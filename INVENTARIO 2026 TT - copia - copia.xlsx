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Vivi Bernal\MAS CAMPO\"/>
    </mc:Choice>
  </mc:AlternateContent>
  <xr:revisionPtr revIDLastSave="0" documentId="13_ncr:1_{CBCB7AEF-592E-4BD4-A8E3-C25C0F22E8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6" sheetId="17" r:id="rId1"/>
  </sheets>
  <calcPr calcId="191029"/>
  <customWorkbookViews>
    <customWorkbookView name="Filtro 1" guid="{721CF05C-031B-4CE7-9666-24F8FA170DEA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956" i="17" l="1"/>
  <c r="S2956" i="17"/>
  <c r="R2955" i="17" l="1"/>
  <c r="S2955" i="17"/>
  <c r="R2917" i="17"/>
  <c r="S2917" i="17"/>
  <c r="R2954" i="17"/>
  <c r="S2954" i="17"/>
  <c r="R2953" i="17"/>
  <c r="S2953" i="17"/>
  <c r="R2952" i="17"/>
  <c r="S2952" i="17"/>
  <c r="R2951" i="17"/>
  <c r="S2951" i="17"/>
  <c r="R2950" i="17"/>
  <c r="S2950" i="17"/>
  <c r="R2949" i="17"/>
  <c r="S2949" i="17"/>
  <c r="R2948" i="17"/>
  <c r="S2948" i="17"/>
  <c r="R2947" i="17"/>
  <c r="S2947" i="17"/>
  <c r="R2946" i="17"/>
  <c r="S2946" i="17"/>
  <c r="R2945" i="17"/>
  <c r="S2945" i="17"/>
  <c r="R2944" i="17"/>
  <c r="S2944" i="17"/>
  <c r="R2943" i="17"/>
  <c r="S2943" i="17"/>
  <c r="R2942" i="17"/>
  <c r="S2942" i="17"/>
  <c r="R2941" i="17"/>
  <c r="S2941" i="17"/>
  <c r="R2940" i="17"/>
  <c r="S2940" i="17"/>
  <c r="R2939" i="17"/>
  <c r="S2939" i="17"/>
  <c r="R2938" i="17"/>
  <c r="S2938" i="17"/>
  <c r="R2937" i="17"/>
  <c r="S2937" i="17"/>
  <c r="R2936" i="17"/>
  <c r="S2936" i="17"/>
  <c r="R2935" i="17"/>
  <c r="S2935" i="17"/>
  <c r="R2934" i="17"/>
  <c r="S2934" i="17"/>
  <c r="R2933" i="17"/>
  <c r="S2933" i="17"/>
  <c r="I1151" i="17"/>
  <c r="I1152" i="17"/>
  <c r="I1153" i="17"/>
  <c r="I1154" i="17"/>
  <c r="I1155" i="17"/>
  <c r="I1156" i="17"/>
  <c r="H1152" i="17"/>
  <c r="H1153" i="17"/>
  <c r="H1154" i="17"/>
  <c r="H1155" i="17"/>
  <c r="H1156" i="17"/>
  <c r="AD396" i="17"/>
  <c r="AE396" i="17"/>
  <c r="R2932" i="17"/>
  <c r="S2932" i="17"/>
  <c r="R2931" i="17"/>
  <c r="S2931" i="17"/>
  <c r="R2930" i="17"/>
  <c r="S2930" i="17"/>
  <c r="R2929" i="17"/>
  <c r="S2929" i="17"/>
  <c r="R2926" i="17"/>
  <c r="S2926" i="17"/>
  <c r="R2928" i="17"/>
  <c r="S2928" i="17"/>
  <c r="R2927" i="17"/>
  <c r="S2927" i="17"/>
  <c r="R2925" i="17"/>
  <c r="S2925" i="17"/>
  <c r="R2924" i="17"/>
  <c r="S2924" i="17"/>
  <c r="R2923" i="17"/>
  <c r="S2923" i="17"/>
  <c r="R2922" i="17"/>
  <c r="S2922" i="17"/>
  <c r="R2921" i="17"/>
  <c r="S2921" i="17"/>
  <c r="R2920" i="17"/>
  <c r="S2920" i="17"/>
  <c r="R2919" i="17"/>
  <c r="S2919" i="17"/>
  <c r="R2918" i="17"/>
  <c r="S2918" i="17"/>
  <c r="R2584" i="17"/>
  <c r="R2585" i="17"/>
  <c r="R2586" i="17"/>
  <c r="R2587" i="17"/>
  <c r="S2584" i="17"/>
  <c r="S2585" i="17"/>
  <c r="S2586" i="17"/>
  <c r="S2587" i="17"/>
  <c r="J1156" i="17" l="1"/>
  <c r="J1155" i="17"/>
  <c r="J1154" i="17"/>
  <c r="J1153" i="17"/>
  <c r="J1152" i="17"/>
  <c r="AD395" i="17"/>
  <c r="AE395" i="17"/>
  <c r="AD394" i="17"/>
  <c r="AE394" i="17"/>
  <c r="AD393" i="17"/>
  <c r="AE393" i="17"/>
  <c r="R2916" i="17"/>
  <c r="S2916" i="17"/>
  <c r="R2915" i="17" l="1"/>
  <c r="S2915" i="17"/>
  <c r="R2914" i="17"/>
  <c r="S2914" i="17"/>
  <c r="R2913" i="17"/>
  <c r="S2913" i="17"/>
  <c r="AD392" i="17"/>
  <c r="AE392" i="17"/>
  <c r="AD391" i="17"/>
  <c r="AE391" i="17"/>
  <c r="AD390" i="17"/>
  <c r="AE390" i="17"/>
  <c r="AD389" i="17"/>
  <c r="AE389" i="17"/>
  <c r="AD388" i="17"/>
  <c r="AE388" i="17"/>
  <c r="AD387" i="17"/>
  <c r="AE387" i="17"/>
  <c r="R2912" i="17"/>
  <c r="S2912" i="17"/>
  <c r="R2911" i="17"/>
  <c r="S2911" i="17"/>
  <c r="R2910" i="17"/>
  <c r="S2910" i="17"/>
  <c r="R2909" i="17"/>
  <c r="S2909" i="17"/>
  <c r="R2908" i="17"/>
  <c r="S2908" i="17"/>
  <c r="R2907" i="17" l="1"/>
  <c r="S2907" i="17"/>
  <c r="R2906" i="17"/>
  <c r="S2906" i="17"/>
  <c r="R2905" i="17"/>
  <c r="S2905" i="17"/>
  <c r="R2904" i="17"/>
  <c r="S2904" i="17"/>
  <c r="R2903" i="17"/>
  <c r="S2903" i="17"/>
  <c r="R2902" i="17"/>
  <c r="S2902" i="17"/>
  <c r="R2901" i="17"/>
  <c r="S2901" i="17"/>
  <c r="R2899" i="17"/>
  <c r="R2900" i="17"/>
  <c r="S2899" i="17"/>
  <c r="S2900" i="17"/>
  <c r="R2898" i="17"/>
  <c r="S2898" i="17"/>
  <c r="R2897" i="17"/>
  <c r="S2897" i="17"/>
  <c r="R2896" i="17"/>
  <c r="S2896" i="17"/>
  <c r="R2895" i="17"/>
  <c r="S2895" i="17"/>
  <c r="R2894" i="17"/>
  <c r="S2894" i="17"/>
  <c r="R2893" i="17"/>
  <c r="S2893" i="17"/>
  <c r="R2892" i="17"/>
  <c r="S2892" i="17"/>
  <c r="R2891" i="17"/>
  <c r="S2891" i="17"/>
  <c r="R2890" i="17"/>
  <c r="S2890" i="17"/>
  <c r="R2889" i="17"/>
  <c r="S2889" i="17"/>
  <c r="R2888" i="17"/>
  <c r="S2888" i="17"/>
  <c r="R2887" i="17"/>
  <c r="S2887" i="17"/>
  <c r="AD385" i="17"/>
  <c r="AE385" i="17"/>
  <c r="R2886" i="17"/>
  <c r="S2886" i="17"/>
  <c r="R2885" i="17"/>
  <c r="S2885" i="17"/>
  <c r="R2884" i="17"/>
  <c r="S2884" i="17"/>
  <c r="R2883" i="17"/>
  <c r="S2883" i="17"/>
  <c r="R2882" i="17"/>
  <c r="S2882" i="17"/>
  <c r="R2881" i="17"/>
  <c r="S2881" i="17"/>
  <c r="R2880" i="17"/>
  <c r="S2880" i="17"/>
  <c r="R2879" i="17"/>
  <c r="S2879" i="17"/>
  <c r="R2878" i="17"/>
  <c r="S2878" i="17"/>
  <c r="R2877" i="17"/>
  <c r="S2877" i="17"/>
  <c r="R2876" i="17"/>
  <c r="S2876" i="17"/>
  <c r="R2875" i="17"/>
  <c r="S2875" i="17"/>
  <c r="R2874" i="17"/>
  <c r="S2874" i="17"/>
  <c r="R2873" i="17"/>
  <c r="S2873" i="17"/>
  <c r="R2872" i="17"/>
  <c r="S2872" i="17"/>
  <c r="R2871" i="17"/>
  <c r="S2871" i="17"/>
  <c r="R2870" i="17"/>
  <c r="S2870" i="17"/>
  <c r="R2869" i="17"/>
  <c r="S2869" i="17"/>
  <c r="R2868" i="17"/>
  <c r="S2868" i="17"/>
  <c r="R2867" i="17"/>
  <c r="S2867" i="17"/>
  <c r="R2866" i="17"/>
  <c r="S2866" i="17"/>
  <c r="R2865" i="17"/>
  <c r="S2865" i="17"/>
  <c r="R2864" i="17"/>
  <c r="S2864" i="17"/>
  <c r="R2863" i="17"/>
  <c r="S2863" i="17"/>
  <c r="R2862" i="17"/>
  <c r="S2862" i="17"/>
  <c r="R2861" i="17"/>
  <c r="S2861" i="17"/>
  <c r="R2860" i="17"/>
  <c r="S2860" i="17"/>
  <c r="R2859" i="17"/>
  <c r="S2859" i="17"/>
  <c r="R2858" i="17"/>
  <c r="S2858" i="17"/>
  <c r="R2857" i="17"/>
  <c r="S2857" i="17"/>
  <c r="R2856" i="17"/>
  <c r="S2856" i="17"/>
  <c r="R2855" i="17"/>
  <c r="S2855" i="17"/>
  <c r="R2854" i="17"/>
  <c r="S2854" i="17"/>
  <c r="R2853" i="17"/>
  <c r="S2853" i="17"/>
  <c r="R2852" i="17"/>
  <c r="S2852" i="17"/>
  <c r="R2851" i="17"/>
  <c r="S2851" i="17"/>
  <c r="AD384" i="17"/>
  <c r="AE384" i="17"/>
  <c r="H1144" i="17"/>
  <c r="H1145" i="17"/>
  <c r="H1146" i="17"/>
  <c r="H1147" i="17"/>
  <c r="H1148" i="17"/>
  <c r="H1149" i="17"/>
  <c r="H1150" i="17"/>
  <c r="AD367" i="17"/>
  <c r="AE367" i="17"/>
  <c r="R2848" i="17" l="1"/>
  <c r="R2849" i="17"/>
  <c r="R2850" i="17"/>
  <c r="S2848" i="17"/>
  <c r="S2849" i="17"/>
  <c r="S2850" i="17"/>
  <c r="R2847" i="17"/>
  <c r="S2847" i="17"/>
  <c r="R2846" i="17"/>
  <c r="S2846" i="17"/>
  <c r="R2845" i="17"/>
  <c r="S2845" i="17"/>
  <c r="R2844" i="17"/>
  <c r="S2844" i="17"/>
  <c r="R2843" i="17"/>
  <c r="S2843" i="17"/>
  <c r="R2842" i="17"/>
  <c r="S2842" i="17"/>
  <c r="R2841" i="17"/>
  <c r="S2841" i="17"/>
  <c r="R2840" i="17"/>
  <c r="S2840" i="17"/>
  <c r="R2839" i="17"/>
  <c r="S2839" i="17"/>
  <c r="R2838" i="17"/>
  <c r="S2838" i="17"/>
  <c r="R2837" i="17"/>
  <c r="S2837" i="17"/>
  <c r="R2836" i="17"/>
  <c r="S2836" i="17"/>
  <c r="R2835" i="17"/>
  <c r="S2835" i="17"/>
  <c r="R2834" i="17"/>
  <c r="S2834" i="17"/>
  <c r="R2833" i="17"/>
  <c r="S2833" i="17"/>
  <c r="R2832" i="17"/>
  <c r="S2832" i="17"/>
  <c r="R2831" i="17"/>
  <c r="S2831" i="17"/>
  <c r="R2830" i="17"/>
  <c r="S2830" i="17"/>
  <c r="R2829" i="17"/>
  <c r="S2829" i="17"/>
  <c r="AD383" i="17"/>
  <c r="AE383" i="17"/>
  <c r="AD382" i="17"/>
  <c r="AE382" i="17"/>
  <c r="AD381" i="17"/>
  <c r="AE381" i="17"/>
  <c r="AD380" i="17"/>
  <c r="AE380" i="17"/>
  <c r="AD379" i="17"/>
  <c r="AE379" i="17"/>
  <c r="R2828" i="17"/>
  <c r="S2828" i="17"/>
  <c r="R2826" i="17"/>
  <c r="S2826" i="17"/>
  <c r="R2755" i="17"/>
  <c r="S2755" i="17"/>
  <c r="R2827" i="17"/>
  <c r="S2827" i="17"/>
  <c r="R2825" i="17"/>
  <c r="S2825" i="17"/>
  <c r="R2779" i="17"/>
  <c r="R2780" i="17"/>
  <c r="S2779" i="17"/>
  <c r="S2780" i="17"/>
  <c r="R2746" i="17"/>
  <c r="R2747" i="17"/>
  <c r="S2746" i="17"/>
  <c r="S2747" i="17"/>
  <c r="R2824" i="17"/>
  <c r="S2824" i="17"/>
  <c r="AD378" i="17" l="1"/>
  <c r="AE378" i="17"/>
  <c r="AD377" i="17"/>
  <c r="AE377" i="17"/>
  <c r="AD376" i="17"/>
  <c r="AE376" i="17"/>
  <c r="AD375" i="17"/>
  <c r="AE375" i="17"/>
  <c r="R2823" i="17"/>
  <c r="S2823" i="17"/>
  <c r="R2820" i="17" l="1"/>
  <c r="R2821" i="17"/>
  <c r="R2822" i="17"/>
  <c r="S2820" i="17"/>
  <c r="S2821" i="17"/>
  <c r="S2822" i="17"/>
  <c r="R2819" i="17"/>
  <c r="S2819" i="17"/>
  <c r="R2818" i="17"/>
  <c r="S2818" i="17"/>
  <c r="R2817" i="17"/>
  <c r="S2817" i="17"/>
  <c r="R2816" i="17"/>
  <c r="S2816" i="17"/>
  <c r="R2815" i="17"/>
  <c r="S2815" i="17"/>
  <c r="R2814" i="17" l="1"/>
  <c r="S2814" i="17"/>
  <c r="R2813" i="17"/>
  <c r="S2813" i="17"/>
  <c r="R2812" i="17"/>
  <c r="S2812" i="17"/>
  <c r="R2811" i="17"/>
  <c r="S2811" i="17"/>
  <c r="AD374" i="17"/>
  <c r="AE374" i="17"/>
  <c r="R2810" i="17"/>
  <c r="S2810" i="17"/>
  <c r="R2809" i="17"/>
  <c r="S2809" i="17"/>
  <c r="R2808" i="17"/>
  <c r="S2808" i="17"/>
  <c r="R2807" i="17"/>
  <c r="S2807" i="17"/>
  <c r="R2806" i="17"/>
  <c r="S2806" i="17"/>
  <c r="R2805" i="17"/>
  <c r="S2805" i="17"/>
  <c r="R2804" i="17"/>
  <c r="S2804" i="17"/>
  <c r="R2803" i="17"/>
  <c r="S2803" i="17"/>
  <c r="R2802" i="17"/>
  <c r="S2802" i="17"/>
  <c r="R2801" i="17"/>
  <c r="S2801" i="17"/>
  <c r="R2800" i="17"/>
  <c r="S2800" i="17"/>
  <c r="R2799" i="17"/>
  <c r="S2799" i="17"/>
  <c r="R2798" i="17"/>
  <c r="S2798" i="17"/>
  <c r="R2797" i="17"/>
  <c r="S2797" i="17"/>
  <c r="R2796" i="17"/>
  <c r="S2796" i="17"/>
  <c r="R2795" i="17"/>
  <c r="S2795" i="17"/>
  <c r="R2794" i="17"/>
  <c r="S2794" i="17"/>
  <c r="R2793" i="17"/>
  <c r="S2793" i="17"/>
  <c r="R2792" i="17"/>
  <c r="S2792" i="17"/>
  <c r="R2791" i="17"/>
  <c r="S2791" i="17"/>
  <c r="R2790" i="17"/>
  <c r="S2790" i="17"/>
  <c r="AD373" i="17"/>
  <c r="AE373" i="17"/>
  <c r="AD372" i="17"/>
  <c r="AE372" i="17"/>
  <c r="R2617" i="17"/>
  <c r="S2617" i="17"/>
  <c r="R2789" i="17"/>
  <c r="S2789" i="17"/>
  <c r="R2788" i="17"/>
  <c r="S2788" i="17"/>
  <c r="R2787" i="17"/>
  <c r="S2787" i="17"/>
  <c r="R2786" i="17"/>
  <c r="S2786" i="17"/>
  <c r="R2785" i="17"/>
  <c r="S2785" i="17"/>
  <c r="R2784" i="17"/>
  <c r="S2784" i="17"/>
  <c r="R2783" i="17"/>
  <c r="S2783" i="17"/>
  <c r="R2782" i="17"/>
  <c r="S2782" i="17"/>
  <c r="R2781" i="17"/>
  <c r="S2781" i="17"/>
  <c r="AD386" i="17"/>
  <c r="AE386" i="17"/>
  <c r="R2778" i="17"/>
  <c r="S2778" i="17"/>
  <c r="R2777" i="17"/>
  <c r="S2777" i="17"/>
  <c r="R2776" i="17"/>
  <c r="S2776" i="17"/>
  <c r="R2775" i="17"/>
  <c r="S2775" i="17"/>
  <c r="R2774" i="17"/>
  <c r="S2774" i="17"/>
  <c r="R2773" i="17"/>
  <c r="S2773" i="17"/>
  <c r="R2772" i="17"/>
  <c r="S2772" i="17"/>
  <c r="R2760" i="17"/>
  <c r="S2760" i="17"/>
  <c r="R2771" i="17"/>
  <c r="S2771" i="17"/>
  <c r="R2770" i="17"/>
  <c r="S2770" i="17"/>
  <c r="R2769" i="17"/>
  <c r="S2769" i="17"/>
  <c r="R2768" i="17"/>
  <c r="S2768" i="17"/>
  <c r="R2767" i="17"/>
  <c r="S2767" i="17"/>
  <c r="AD371" i="17"/>
  <c r="AE371" i="17"/>
  <c r="AD370" i="17"/>
  <c r="AE370" i="17"/>
  <c r="R2646" i="17"/>
  <c r="S2646" i="17"/>
  <c r="R2766" i="17"/>
  <c r="S2766" i="17"/>
  <c r="R2765" i="17"/>
  <c r="S2765" i="17"/>
  <c r="AD368" i="17" l="1"/>
  <c r="AE368" i="17"/>
  <c r="AD369" i="17"/>
  <c r="AE369" i="17"/>
  <c r="AD366" i="17"/>
  <c r="AE366" i="17"/>
  <c r="AD363" i="17"/>
  <c r="AD364" i="17"/>
  <c r="AD365" i="17"/>
  <c r="AE363" i="17"/>
  <c r="AE364" i="17"/>
  <c r="AE365" i="17"/>
  <c r="AD362" i="17"/>
  <c r="AE362" i="17"/>
  <c r="AD361" i="17"/>
  <c r="AE361" i="17"/>
  <c r="AD360" i="17"/>
  <c r="AE360" i="17"/>
  <c r="AD359" i="17"/>
  <c r="AE359" i="17"/>
  <c r="AD358" i="17"/>
  <c r="AE358" i="17"/>
  <c r="R2764" i="17"/>
  <c r="S2764" i="17"/>
  <c r="R2763" i="17"/>
  <c r="S2763" i="17"/>
  <c r="R2762" i="17"/>
  <c r="S2762" i="17"/>
  <c r="R2761" i="17"/>
  <c r="S2761" i="17"/>
  <c r="R2759" i="17"/>
  <c r="S2759" i="17"/>
  <c r="R2758" i="17"/>
  <c r="S2758" i="17"/>
  <c r="R2757" i="17"/>
  <c r="S2757" i="17"/>
  <c r="R2756" i="17"/>
  <c r="S2756" i="17"/>
  <c r="R2754" i="17"/>
  <c r="S2754" i="17"/>
  <c r="R2753" i="17"/>
  <c r="S2753" i="17"/>
  <c r="R2752" i="17"/>
  <c r="S2752" i="17"/>
  <c r="R2745" i="17"/>
  <c r="S2745" i="17"/>
  <c r="R2751" i="17"/>
  <c r="S2751" i="17"/>
  <c r="R2750" i="17"/>
  <c r="S2750" i="17"/>
  <c r="R2749" i="17"/>
  <c r="S2749" i="17"/>
  <c r="R2748" i="17"/>
  <c r="S2748" i="17"/>
  <c r="R2744" i="17"/>
  <c r="S2744" i="17"/>
  <c r="R2743" i="17"/>
  <c r="S2743" i="17"/>
  <c r="R2742" i="17"/>
  <c r="S2742" i="17"/>
  <c r="R2741" i="17"/>
  <c r="S2741" i="17"/>
  <c r="AD357" i="17"/>
  <c r="AE357" i="17"/>
  <c r="R2740" i="17"/>
  <c r="S2740" i="17"/>
  <c r="R2739" i="17"/>
  <c r="S2739" i="17"/>
  <c r="R2738" i="17"/>
  <c r="S2738" i="17"/>
  <c r="R2737" i="17"/>
  <c r="S2737" i="17"/>
  <c r="R2736" i="17"/>
  <c r="S2736" i="17"/>
  <c r="R2735" i="17"/>
  <c r="S2735" i="17"/>
  <c r="R2734" i="17"/>
  <c r="S2734" i="17"/>
  <c r="R2733" i="17"/>
  <c r="S2733" i="17"/>
  <c r="R2732" i="17"/>
  <c r="S2732" i="17"/>
  <c r="R2731" i="17"/>
  <c r="S2731" i="17"/>
  <c r="R2730" i="17"/>
  <c r="S2730" i="17"/>
  <c r="R2729" i="17"/>
  <c r="S2729" i="17"/>
  <c r="R2728" i="17"/>
  <c r="S2728" i="17"/>
  <c r="R2727" i="17"/>
  <c r="S2727" i="17"/>
  <c r="R2726" i="17"/>
  <c r="S2726" i="17"/>
  <c r="R2725" i="17"/>
  <c r="S2725" i="17"/>
  <c r="R2724" i="17" l="1"/>
  <c r="S2724" i="17"/>
  <c r="R2723" i="17"/>
  <c r="S2723" i="17"/>
  <c r="AD356" i="17"/>
  <c r="AE356" i="17"/>
  <c r="AD355" i="17"/>
  <c r="AE355" i="17"/>
  <c r="R2722" i="17"/>
  <c r="S2722" i="17"/>
  <c r="R2721" i="17"/>
  <c r="S2721" i="17"/>
  <c r="R2720" i="17"/>
  <c r="S2720" i="17"/>
  <c r="R2719" i="17"/>
  <c r="S2719" i="17"/>
  <c r="R2718" i="17"/>
  <c r="S2718" i="17"/>
  <c r="R2717" i="17"/>
  <c r="S2717" i="17"/>
  <c r="R2716" i="17"/>
  <c r="S2716" i="17"/>
  <c r="R2715" i="17"/>
  <c r="S2715" i="17"/>
  <c r="R2706" i="17"/>
  <c r="R2707" i="17"/>
  <c r="R2708" i="17"/>
  <c r="R2709" i="17"/>
  <c r="R2710" i="17"/>
  <c r="R2711" i="17"/>
  <c r="R2712" i="17"/>
  <c r="R2713" i="17"/>
  <c r="R2714" i="17"/>
  <c r="S2706" i="17"/>
  <c r="S2707" i="17"/>
  <c r="S2708" i="17"/>
  <c r="S2709" i="17"/>
  <c r="S2710" i="17"/>
  <c r="S2711" i="17"/>
  <c r="S2712" i="17"/>
  <c r="S2713" i="17"/>
  <c r="S2714" i="17"/>
  <c r="R2705" i="17"/>
  <c r="S2705" i="17"/>
  <c r="R2704" i="17"/>
  <c r="S2704" i="17"/>
  <c r="R2703" i="17"/>
  <c r="S2703" i="17"/>
  <c r="R2702" i="17"/>
  <c r="S2702" i="17"/>
  <c r="R2701" i="17"/>
  <c r="S2701" i="17"/>
  <c r="R2700" i="17"/>
  <c r="S2700" i="17"/>
  <c r="R2699" i="17"/>
  <c r="S2699" i="17"/>
  <c r="R2698" i="17"/>
  <c r="S2698" i="17"/>
  <c r="R2697" i="17"/>
  <c r="S2697" i="17"/>
  <c r="R2696" i="17"/>
  <c r="S2696" i="17"/>
  <c r="R2695" i="17"/>
  <c r="S2695" i="17"/>
  <c r="AD354" i="17"/>
  <c r="AE354" i="17"/>
  <c r="R2442" i="17"/>
  <c r="S2442" i="17"/>
  <c r="R2694" i="17"/>
  <c r="S2694" i="17"/>
  <c r="R2693" i="17" l="1"/>
  <c r="S2693" i="17"/>
  <c r="R2692" i="17"/>
  <c r="S2692" i="17"/>
  <c r="R2691" i="17"/>
  <c r="S2691" i="17"/>
  <c r="R2690" i="17"/>
  <c r="S2690" i="17"/>
  <c r="R2689" i="17"/>
  <c r="S2689" i="17"/>
  <c r="R2688" i="17"/>
  <c r="S2688" i="17"/>
  <c r="R2687" i="17"/>
  <c r="S2687" i="17"/>
  <c r="R2686" i="17"/>
  <c r="S2686" i="17"/>
  <c r="R2685" i="17"/>
  <c r="S2685" i="17"/>
  <c r="R2684" i="17"/>
  <c r="S2684" i="17"/>
  <c r="R2683" i="17"/>
  <c r="S2683" i="17"/>
  <c r="R2682" i="17"/>
  <c r="S2682" i="17"/>
  <c r="R2681" i="17"/>
  <c r="S2681" i="17"/>
  <c r="AD353" i="17"/>
  <c r="AE353" i="17"/>
  <c r="AD352" i="17"/>
  <c r="AE352" i="17"/>
  <c r="AD351" i="17"/>
  <c r="AE351" i="17"/>
  <c r="AD350" i="17"/>
  <c r="AE350" i="17"/>
  <c r="AD349" i="17"/>
  <c r="AE349" i="17"/>
  <c r="R2680" i="17"/>
  <c r="S2680" i="17"/>
  <c r="R2679" i="17"/>
  <c r="S2679" i="17"/>
  <c r="R2678" i="17"/>
  <c r="S2678" i="17"/>
  <c r="R2677" i="17"/>
  <c r="S2677" i="17"/>
  <c r="R2676" i="17"/>
  <c r="S2676" i="17"/>
  <c r="R2675" i="17" l="1"/>
  <c r="S2675" i="17"/>
  <c r="R2674" i="17"/>
  <c r="S2674" i="17"/>
  <c r="R2673" i="17"/>
  <c r="S2673" i="17"/>
  <c r="R2672" i="17" l="1"/>
  <c r="S2672" i="17"/>
  <c r="R2671" i="17"/>
  <c r="S2671" i="17"/>
  <c r="R2603" i="17"/>
  <c r="S2603" i="17"/>
  <c r="R2670" i="17"/>
  <c r="S2670" i="17"/>
  <c r="R2669" i="17"/>
  <c r="S2669" i="17"/>
  <c r="R2668" i="17"/>
  <c r="S2668" i="17"/>
  <c r="R2667" i="17"/>
  <c r="S2667" i="17"/>
  <c r="R2666" i="17"/>
  <c r="S2666" i="17"/>
  <c r="R2665" i="17"/>
  <c r="S2665" i="17"/>
  <c r="R2664" i="17"/>
  <c r="S2664" i="17"/>
  <c r="R2663" i="17"/>
  <c r="S2663" i="17"/>
  <c r="R2662" i="17" l="1"/>
  <c r="S2662" i="17"/>
  <c r="R2661" i="17"/>
  <c r="S2661" i="17"/>
  <c r="R2660" i="17"/>
  <c r="S2660" i="17"/>
  <c r="R2659" i="17"/>
  <c r="S2659" i="17"/>
  <c r="R2658" i="17"/>
  <c r="S2658" i="17"/>
  <c r="R2657" i="17"/>
  <c r="S2657" i="17"/>
  <c r="R2656" i="17"/>
  <c r="S2656" i="17"/>
  <c r="R2655" i="17"/>
  <c r="S2655" i="17"/>
  <c r="R2654" i="17"/>
  <c r="S2654" i="17"/>
  <c r="R2653" i="17"/>
  <c r="S2653" i="17"/>
  <c r="R2652" i="17"/>
  <c r="S2652" i="17"/>
  <c r="R2651" i="17"/>
  <c r="S2651" i="17"/>
  <c r="R2650" i="17"/>
  <c r="S2650" i="17"/>
  <c r="R2649" i="17"/>
  <c r="S2649" i="17"/>
  <c r="R2648" i="17"/>
  <c r="S2648" i="17"/>
  <c r="R2647" i="17"/>
  <c r="S2647" i="17"/>
  <c r="R2645" i="17"/>
  <c r="S2645" i="17"/>
  <c r="R2644" i="17"/>
  <c r="S2644" i="17"/>
  <c r="R2643" i="17"/>
  <c r="S2643" i="17"/>
  <c r="R2642" i="17"/>
  <c r="S2642" i="17"/>
  <c r="R2641" i="17"/>
  <c r="S2641" i="17"/>
  <c r="R2640" i="17"/>
  <c r="S2640" i="17"/>
  <c r="R2639" i="17"/>
  <c r="S2639" i="17"/>
  <c r="R2638" i="17"/>
  <c r="S2638" i="17"/>
  <c r="R2637" i="17"/>
  <c r="S2637" i="17"/>
  <c r="R2636" i="17"/>
  <c r="S2636" i="17"/>
  <c r="R2635" i="17"/>
  <c r="S2635" i="17"/>
  <c r="R2634" i="17"/>
  <c r="S2634" i="17"/>
  <c r="R2633" i="17"/>
  <c r="S2633" i="17"/>
  <c r="R2632" i="17"/>
  <c r="S2632" i="17"/>
  <c r="H944" i="17"/>
  <c r="H943" i="17"/>
  <c r="R2631" i="17"/>
  <c r="S2631" i="17"/>
  <c r="R2630" i="17"/>
  <c r="S2630" i="17"/>
  <c r="R2629" i="17"/>
  <c r="S2629" i="17"/>
  <c r="R2628" i="17"/>
  <c r="S2628" i="17"/>
  <c r="R2627" i="17" l="1"/>
  <c r="S2627" i="17"/>
  <c r="R2626" i="17"/>
  <c r="S2626" i="17"/>
  <c r="R2625" i="17"/>
  <c r="S2625" i="17"/>
  <c r="R2624" i="17"/>
  <c r="S2624" i="17"/>
  <c r="R2623" i="17"/>
  <c r="S2623" i="17"/>
  <c r="AD348" i="17" l="1"/>
  <c r="AE348" i="17"/>
  <c r="R2622" i="17"/>
  <c r="S2622" i="17"/>
  <c r="R2621" i="17"/>
  <c r="S2621" i="17"/>
  <c r="R2620" i="17"/>
  <c r="S2620" i="17"/>
  <c r="R2619" i="17" l="1"/>
  <c r="S2619" i="17"/>
  <c r="R2618" i="17"/>
  <c r="S2618" i="17"/>
  <c r="R2615" i="17"/>
  <c r="R2616" i="17"/>
  <c r="S2615" i="17"/>
  <c r="S2616" i="17"/>
  <c r="R2614" i="17"/>
  <c r="S2614" i="17"/>
  <c r="R2613" i="17"/>
  <c r="S2613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6" i="17"/>
  <c r="I647" i="17"/>
  <c r="I648" i="17"/>
  <c r="I649" i="17"/>
  <c r="I650" i="17"/>
  <c r="I651" i="17"/>
  <c r="I652" i="17"/>
  <c r="I653" i="17"/>
  <c r="I654" i="17"/>
  <c r="I655" i="17"/>
  <c r="I656" i="17"/>
  <c r="I657" i="17"/>
  <c r="I658" i="17"/>
  <c r="I659" i="17"/>
  <c r="I660" i="17"/>
  <c r="I661" i="17"/>
  <c r="I662" i="17"/>
  <c r="I663" i="17"/>
  <c r="I664" i="17"/>
  <c r="I665" i="17"/>
  <c r="I666" i="17"/>
  <c r="I667" i="17"/>
  <c r="I668" i="17"/>
  <c r="I669" i="17"/>
  <c r="I670" i="17"/>
  <c r="I671" i="17"/>
  <c r="I672" i="17"/>
  <c r="I673" i="17"/>
  <c r="I674" i="17"/>
  <c r="I675" i="17"/>
  <c r="I676" i="17"/>
  <c r="I677" i="17"/>
  <c r="I678" i="17"/>
  <c r="I679" i="17"/>
  <c r="I680" i="17"/>
  <c r="I681" i="17"/>
  <c r="I682" i="17"/>
  <c r="I683" i="17"/>
  <c r="I684" i="17"/>
  <c r="I685" i="17"/>
  <c r="I686" i="17"/>
  <c r="I687" i="17"/>
  <c r="I688" i="17"/>
  <c r="I689" i="17"/>
  <c r="I690" i="17"/>
  <c r="I691" i="17"/>
  <c r="I692" i="17"/>
  <c r="I693" i="17"/>
  <c r="I694" i="17"/>
  <c r="I695" i="17"/>
  <c r="I696" i="17"/>
  <c r="I697" i="17"/>
  <c r="I698" i="17"/>
  <c r="I699" i="17"/>
  <c r="I700" i="17"/>
  <c r="I701" i="17"/>
  <c r="I702" i="17"/>
  <c r="I703" i="17"/>
  <c r="I704" i="17"/>
  <c r="I705" i="17"/>
  <c r="I706" i="17"/>
  <c r="I707" i="17"/>
  <c r="I708" i="17"/>
  <c r="I709" i="17"/>
  <c r="I710" i="17"/>
  <c r="I711" i="17"/>
  <c r="I712" i="17"/>
  <c r="I713" i="17"/>
  <c r="I714" i="17"/>
  <c r="I715" i="17"/>
  <c r="I716" i="17"/>
  <c r="I717" i="17"/>
  <c r="I718" i="17"/>
  <c r="I719" i="17"/>
  <c r="I720" i="17"/>
  <c r="I721" i="17"/>
  <c r="I722" i="17"/>
  <c r="I723" i="17"/>
  <c r="I724" i="17"/>
  <c r="I725" i="17"/>
  <c r="I726" i="17"/>
  <c r="I727" i="17"/>
  <c r="I728" i="17"/>
  <c r="I729" i="17"/>
  <c r="I730" i="17"/>
  <c r="I731" i="17"/>
  <c r="I732" i="17"/>
  <c r="I733" i="17"/>
  <c r="I734" i="17"/>
  <c r="I735" i="17"/>
  <c r="I736" i="17"/>
  <c r="I737" i="17"/>
  <c r="I738" i="17"/>
  <c r="I739" i="17"/>
  <c r="I740" i="17"/>
  <c r="I741" i="17"/>
  <c r="I742" i="17"/>
  <c r="I743" i="17"/>
  <c r="I744" i="17"/>
  <c r="I745" i="17"/>
  <c r="I746" i="17"/>
  <c r="I747" i="17"/>
  <c r="I748" i="17"/>
  <c r="I749" i="17"/>
  <c r="I750" i="17"/>
  <c r="I751" i="17"/>
  <c r="I752" i="17"/>
  <c r="I753" i="17"/>
  <c r="I754" i="17"/>
  <c r="I755" i="17"/>
  <c r="I756" i="17"/>
  <c r="I757" i="17"/>
  <c r="I758" i="17"/>
  <c r="I759" i="17"/>
  <c r="I760" i="17"/>
  <c r="I761" i="17"/>
  <c r="I762" i="17"/>
  <c r="I763" i="17"/>
  <c r="I764" i="17"/>
  <c r="I765" i="17"/>
  <c r="I766" i="17"/>
  <c r="I767" i="17"/>
  <c r="I768" i="17"/>
  <c r="I769" i="17"/>
  <c r="I770" i="17"/>
  <c r="I771" i="17"/>
  <c r="I772" i="17"/>
  <c r="I773" i="17"/>
  <c r="I774" i="17"/>
  <c r="I775" i="17"/>
  <c r="I776" i="17"/>
  <c r="I777" i="17"/>
  <c r="I778" i="17"/>
  <c r="I779" i="17"/>
  <c r="I780" i="17"/>
  <c r="I781" i="17"/>
  <c r="I782" i="17"/>
  <c r="I783" i="17"/>
  <c r="I784" i="17"/>
  <c r="I785" i="17"/>
  <c r="I786" i="17"/>
  <c r="I787" i="17"/>
  <c r="I788" i="17"/>
  <c r="I789" i="17"/>
  <c r="I790" i="17"/>
  <c r="I791" i="17"/>
  <c r="I792" i="17"/>
  <c r="I793" i="17"/>
  <c r="I794" i="17"/>
  <c r="I795" i="17"/>
  <c r="I796" i="17"/>
  <c r="I797" i="17"/>
  <c r="I798" i="17"/>
  <c r="I799" i="17"/>
  <c r="I800" i="17"/>
  <c r="I801" i="17"/>
  <c r="I802" i="17"/>
  <c r="I803" i="17"/>
  <c r="I804" i="17"/>
  <c r="I805" i="17"/>
  <c r="I806" i="17"/>
  <c r="I807" i="17"/>
  <c r="I808" i="17"/>
  <c r="I809" i="17"/>
  <c r="I810" i="17"/>
  <c r="I811" i="17"/>
  <c r="I812" i="17"/>
  <c r="I813" i="17"/>
  <c r="I814" i="17"/>
  <c r="I815" i="17"/>
  <c r="I816" i="17"/>
  <c r="I817" i="17"/>
  <c r="I818" i="17"/>
  <c r="I819" i="17"/>
  <c r="I820" i="17"/>
  <c r="I821" i="17"/>
  <c r="I822" i="17"/>
  <c r="I823" i="17"/>
  <c r="I824" i="17"/>
  <c r="I825" i="17"/>
  <c r="I826" i="17"/>
  <c r="I827" i="17"/>
  <c r="I828" i="17"/>
  <c r="I829" i="17"/>
  <c r="I830" i="17"/>
  <c r="I831" i="17"/>
  <c r="I832" i="17"/>
  <c r="I833" i="17"/>
  <c r="I834" i="17"/>
  <c r="I835" i="17"/>
  <c r="I836" i="17"/>
  <c r="I837" i="17"/>
  <c r="I838" i="17"/>
  <c r="I839" i="17"/>
  <c r="I840" i="17"/>
  <c r="I841" i="17"/>
  <c r="I842" i="17"/>
  <c r="I843" i="17"/>
  <c r="I844" i="17"/>
  <c r="I845" i="17"/>
  <c r="I846" i="17"/>
  <c r="I847" i="17"/>
  <c r="I848" i="17"/>
  <c r="I849" i="17"/>
  <c r="I850" i="17"/>
  <c r="I851" i="17"/>
  <c r="I852" i="17"/>
  <c r="I853" i="17"/>
  <c r="I854" i="17"/>
  <c r="I855" i="17"/>
  <c r="I856" i="17"/>
  <c r="I857" i="17"/>
  <c r="I858" i="17"/>
  <c r="I859" i="17"/>
  <c r="I860" i="17"/>
  <c r="I861" i="17"/>
  <c r="I862" i="17"/>
  <c r="I863" i="17"/>
  <c r="I864" i="17"/>
  <c r="I865" i="17"/>
  <c r="I866" i="17"/>
  <c r="I867" i="17"/>
  <c r="I868" i="17"/>
  <c r="I869" i="17"/>
  <c r="I870" i="17"/>
  <c r="I871" i="17"/>
  <c r="I872" i="17"/>
  <c r="I873" i="17"/>
  <c r="I874" i="17"/>
  <c r="I875" i="17"/>
  <c r="I876" i="17"/>
  <c r="I877" i="17"/>
  <c r="I878" i="17"/>
  <c r="I879" i="17"/>
  <c r="I880" i="17"/>
  <c r="I881" i="17"/>
  <c r="I882" i="17"/>
  <c r="I883" i="17"/>
  <c r="I884" i="17"/>
  <c r="I885" i="17"/>
  <c r="I886" i="17"/>
  <c r="I887" i="17"/>
  <c r="I888" i="17"/>
  <c r="I889" i="17"/>
  <c r="I890" i="17"/>
  <c r="I891" i="17"/>
  <c r="I892" i="17"/>
  <c r="I893" i="17"/>
  <c r="I894" i="17"/>
  <c r="I895" i="17"/>
  <c r="I896" i="17"/>
  <c r="I897" i="17"/>
  <c r="I898" i="17"/>
  <c r="I899" i="17"/>
  <c r="I900" i="17"/>
  <c r="I901" i="17"/>
  <c r="I902" i="17"/>
  <c r="I903" i="17"/>
  <c r="I904" i="17"/>
  <c r="I905" i="17"/>
  <c r="I906" i="17"/>
  <c r="I907" i="17"/>
  <c r="I908" i="17"/>
  <c r="I909" i="17"/>
  <c r="I910" i="17"/>
  <c r="I911" i="17"/>
  <c r="I912" i="17"/>
  <c r="I913" i="17"/>
  <c r="I914" i="17"/>
  <c r="I915" i="17"/>
  <c r="I916" i="17"/>
  <c r="I917" i="17"/>
  <c r="I918" i="17"/>
  <c r="I919" i="17"/>
  <c r="I920" i="17"/>
  <c r="I921" i="17"/>
  <c r="I922" i="17"/>
  <c r="I923" i="17"/>
  <c r="I924" i="17"/>
  <c r="I925" i="17"/>
  <c r="I926" i="17"/>
  <c r="I927" i="17"/>
  <c r="I928" i="17"/>
  <c r="I929" i="17"/>
  <c r="I930" i="17"/>
  <c r="I931" i="17"/>
  <c r="I932" i="17"/>
  <c r="I933" i="17"/>
  <c r="I934" i="17"/>
  <c r="I935" i="17"/>
  <c r="I936" i="17"/>
  <c r="I937" i="17"/>
  <c r="I938" i="17"/>
  <c r="I939" i="17"/>
  <c r="I940" i="17"/>
  <c r="I941" i="17"/>
  <c r="I942" i="17"/>
  <c r="I943" i="17"/>
  <c r="I944" i="17"/>
  <c r="I945" i="17"/>
  <c r="I946" i="17"/>
  <c r="I947" i="17"/>
  <c r="I948" i="17"/>
  <c r="I949" i="17"/>
  <c r="I950" i="17"/>
  <c r="I951" i="17"/>
  <c r="I952" i="17"/>
  <c r="I953" i="17"/>
  <c r="I954" i="17"/>
  <c r="I955" i="17"/>
  <c r="I956" i="17"/>
  <c r="I957" i="17"/>
  <c r="I958" i="17"/>
  <c r="I959" i="17"/>
  <c r="I960" i="17"/>
  <c r="I961" i="17"/>
  <c r="I962" i="17"/>
  <c r="I963" i="17"/>
  <c r="I964" i="17"/>
  <c r="I965" i="17"/>
  <c r="I966" i="17"/>
  <c r="I967" i="17"/>
  <c r="I968" i="17"/>
  <c r="I969" i="17"/>
  <c r="I970" i="17"/>
  <c r="I971" i="17"/>
  <c r="I972" i="17"/>
  <c r="I973" i="17"/>
  <c r="I974" i="17"/>
  <c r="I975" i="17"/>
  <c r="I976" i="17"/>
  <c r="I977" i="17"/>
  <c r="I978" i="17"/>
  <c r="I979" i="17"/>
  <c r="I980" i="17"/>
  <c r="I981" i="17"/>
  <c r="I982" i="17"/>
  <c r="I983" i="17"/>
  <c r="I984" i="17"/>
  <c r="I985" i="17"/>
  <c r="I986" i="17"/>
  <c r="I987" i="17"/>
  <c r="I988" i="17"/>
  <c r="I989" i="17"/>
  <c r="I990" i="17"/>
  <c r="I991" i="17"/>
  <c r="I992" i="17"/>
  <c r="I993" i="17"/>
  <c r="I994" i="17"/>
  <c r="I995" i="17"/>
  <c r="I996" i="17"/>
  <c r="I997" i="17"/>
  <c r="I998" i="17"/>
  <c r="I999" i="17"/>
  <c r="I1000" i="17"/>
  <c r="I1001" i="17"/>
  <c r="I1002" i="17"/>
  <c r="I1003" i="17"/>
  <c r="I1004" i="17"/>
  <c r="I1005" i="17"/>
  <c r="I1006" i="17"/>
  <c r="I1007" i="17"/>
  <c r="I1008" i="17"/>
  <c r="I1009" i="17"/>
  <c r="I1010" i="17"/>
  <c r="I1011" i="17"/>
  <c r="I1012" i="17"/>
  <c r="I1013" i="17"/>
  <c r="I1014" i="17"/>
  <c r="I1015" i="17"/>
  <c r="I1016" i="17"/>
  <c r="I1017" i="17"/>
  <c r="I1018" i="17"/>
  <c r="I1019" i="17"/>
  <c r="I1020" i="17"/>
  <c r="I1021" i="17"/>
  <c r="I1022" i="17"/>
  <c r="I1023" i="17"/>
  <c r="I1024" i="17"/>
  <c r="I1025" i="17"/>
  <c r="I1026" i="17"/>
  <c r="I1027" i="17"/>
  <c r="I1028" i="17"/>
  <c r="I1029" i="17"/>
  <c r="I1030" i="17"/>
  <c r="I1031" i="17"/>
  <c r="I1032" i="17"/>
  <c r="I1033" i="17"/>
  <c r="I1034" i="17"/>
  <c r="I1035" i="17"/>
  <c r="I1036" i="17"/>
  <c r="I1037" i="17"/>
  <c r="I1038" i="17"/>
  <c r="I1039" i="17"/>
  <c r="I1040" i="17"/>
  <c r="I1041" i="17"/>
  <c r="I1042" i="17"/>
  <c r="I1043" i="17"/>
  <c r="I1044" i="17"/>
  <c r="I1045" i="17"/>
  <c r="I1046" i="17"/>
  <c r="I1047" i="17"/>
  <c r="I1048" i="17"/>
  <c r="I1049" i="17"/>
  <c r="I1050" i="17"/>
  <c r="I1051" i="17"/>
  <c r="I1052" i="17"/>
  <c r="I1053" i="17"/>
  <c r="I1054" i="17"/>
  <c r="I1055" i="17"/>
  <c r="I1056" i="17"/>
  <c r="I1057" i="17"/>
  <c r="I1058" i="17"/>
  <c r="I1059" i="17"/>
  <c r="I1060" i="17"/>
  <c r="I1061" i="17"/>
  <c r="I1062" i="17"/>
  <c r="I1063" i="17"/>
  <c r="I1064" i="17"/>
  <c r="I1065" i="17"/>
  <c r="I1066" i="17"/>
  <c r="I1067" i="17"/>
  <c r="I1068" i="17"/>
  <c r="I1069" i="17"/>
  <c r="I1070" i="17"/>
  <c r="I1071" i="17"/>
  <c r="I1072" i="17"/>
  <c r="I1073" i="17"/>
  <c r="I1074" i="17"/>
  <c r="I1075" i="17"/>
  <c r="I1076" i="17"/>
  <c r="I1077" i="17"/>
  <c r="I1078" i="17"/>
  <c r="I1079" i="17"/>
  <c r="I1080" i="17"/>
  <c r="I1081" i="17"/>
  <c r="I1082" i="17"/>
  <c r="I1083" i="17"/>
  <c r="I1084" i="17"/>
  <c r="I1085" i="17"/>
  <c r="I1086" i="17"/>
  <c r="I1087" i="17"/>
  <c r="I1088" i="17"/>
  <c r="I1089" i="17"/>
  <c r="I1090" i="17"/>
  <c r="I1091" i="17"/>
  <c r="I1092" i="17"/>
  <c r="I1093" i="17"/>
  <c r="I1094" i="17"/>
  <c r="I1095" i="17"/>
  <c r="I1096" i="17"/>
  <c r="I1097" i="17"/>
  <c r="I1098" i="17"/>
  <c r="I1099" i="17"/>
  <c r="I1100" i="17"/>
  <c r="I1101" i="17"/>
  <c r="I1102" i="17"/>
  <c r="I1103" i="17"/>
  <c r="I1104" i="17"/>
  <c r="I1105" i="17"/>
  <c r="I1106" i="17"/>
  <c r="I1107" i="17"/>
  <c r="I1108" i="17"/>
  <c r="I1109" i="17"/>
  <c r="I1110" i="17"/>
  <c r="I1111" i="17"/>
  <c r="I1112" i="17"/>
  <c r="I1113" i="17"/>
  <c r="I1114" i="17"/>
  <c r="I1115" i="17"/>
  <c r="I1116" i="17"/>
  <c r="I1117" i="17"/>
  <c r="I1118" i="17"/>
  <c r="I1119" i="17"/>
  <c r="I1120" i="17"/>
  <c r="I1121" i="17"/>
  <c r="I1122" i="17"/>
  <c r="I1123" i="17"/>
  <c r="I1124" i="17"/>
  <c r="I1125" i="17"/>
  <c r="I1126" i="17"/>
  <c r="I1127" i="17"/>
  <c r="I1128" i="17"/>
  <c r="I1129" i="17"/>
  <c r="I1130" i="17"/>
  <c r="I1131" i="17"/>
  <c r="I1132" i="17"/>
  <c r="I1133" i="17"/>
  <c r="I1134" i="17"/>
  <c r="I1135" i="17"/>
  <c r="I1136" i="17"/>
  <c r="I1137" i="17"/>
  <c r="I1138" i="17"/>
  <c r="I1139" i="17"/>
  <c r="I1140" i="17"/>
  <c r="I1141" i="17"/>
  <c r="I1142" i="17"/>
  <c r="I1143" i="17"/>
  <c r="I1144" i="17"/>
  <c r="I1145" i="17"/>
  <c r="I1146" i="17"/>
  <c r="I1147" i="17"/>
  <c r="I1148" i="17"/>
  <c r="I1149" i="17"/>
  <c r="I1150" i="17"/>
  <c r="I1157" i="17"/>
  <c r="I1158" i="17"/>
  <c r="I1159" i="17"/>
  <c r="I1160" i="17"/>
  <c r="I1161" i="17"/>
  <c r="I1162" i="17"/>
  <c r="I1163" i="17"/>
  <c r="I1164" i="17"/>
  <c r="I1165" i="17"/>
  <c r="I1166" i="17"/>
  <c r="I1167" i="17"/>
  <c r="I1168" i="17"/>
  <c r="I1169" i="17"/>
  <c r="I1170" i="17"/>
  <c r="I1171" i="17"/>
  <c r="I1172" i="17"/>
  <c r="I1173" i="17"/>
  <c r="I1174" i="17"/>
  <c r="I1175" i="17"/>
  <c r="I1176" i="17"/>
  <c r="I1177" i="17"/>
  <c r="I1178" i="17"/>
  <c r="I1179" i="17"/>
  <c r="I1180" i="17"/>
  <c r="I1181" i="17"/>
  <c r="I1182" i="17"/>
  <c r="I1183" i="17"/>
  <c r="I1184" i="17"/>
  <c r="I1185" i="17"/>
  <c r="I1186" i="17"/>
  <c r="I1187" i="17"/>
  <c r="I1188" i="17"/>
  <c r="I1189" i="17"/>
  <c r="I1190" i="17"/>
  <c r="I1191" i="17"/>
  <c r="I1192" i="17"/>
  <c r="I1193" i="17"/>
  <c r="I1194" i="17"/>
  <c r="I1195" i="17"/>
  <c r="I1196" i="17"/>
  <c r="I1197" i="17"/>
  <c r="I1198" i="17"/>
  <c r="I1199" i="17"/>
  <c r="I1200" i="17"/>
  <c r="I1201" i="17"/>
  <c r="I1202" i="17"/>
  <c r="I1203" i="17"/>
  <c r="I1204" i="17"/>
  <c r="I1205" i="17"/>
  <c r="I1206" i="17"/>
  <c r="I1207" i="17"/>
  <c r="I1208" i="17"/>
  <c r="I1209" i="17"/>
  <c r="I1210" i="17"/>
  <c r="I1211" i="17"/>
  <c r="I1212" i="17"/>
  <c r="I1213" i="17"/>
  <c r="I1214" i="17"/>
  <c r="I1215" i="17"/>
  <c r="I1216" i="17"/>
  <c r="H1125" i="17"/>
  <c r="H1126" i="17"/>
  <c r="H1127" i="17"/>
  <c r="H1128" i="17"/>
  <c r="H1129" i="17"/>
  <c r="H1130" i="17"/>
  <c r="H1131" i="17"/>
  <c r="H1132" i="17"/>
  <c r="H1133" i="17"/>
  <c r="H1134" i="17"/>
  <c r="H1135" i="17"/>
  <c r="H1136" i="17"/>
  <c r="H1137" i="17"/>
  <c r="H1138" i="17"/>
  <c r="H1139" i="17"/>
  <c r="H1140" i="17"/>
  <c r="H1141" i="17"/>
  <c r="H1142" i="17"/>
  <c r="H1143" i="17"/>
  <c r="R2611" i="17"/>
  <c r="S2611" i="17"/>
  <c r="R2612" i="17"/>
  <c r="S2612" i="17"/>
  <c r="R2610" i="17"/>
  <c r="S2610" i="17"/>
  <c r="R2609" i="17"/>
  <c r="S2609" i="17"/>
  <c r="R2607" i="17"/>
  <c r="S2607" i="17"/>
  <c r="R2600" i="17"/>
  <c r="R2601" i="17"/>
  <c r="R2602" i="17"/>
  <c r="S2600" i="17"/>
  <c r="S2601" i="17"/>
  <c r="S2602" i="17"/>
  <c r="R2608" i="17"/>
  <c r="S2608" i="17"/>
  <c r="R2605" i="17"/>
  <c r="R2606" i="17"/>
  <c r="S2605" i="17"/>
  <c r="S2606" i="17"/>
  <c r="R2604" i="17"/>
  <c r="S2604" i="17"/>
  <c r="AD337" i="17"/>
  <c r="AD338" i="17"/>
  <c r="AE337" i="17"/>
  <c r="AE338" i="17"/>
  <c r="AD335" i="17"/>
  <c r="AD336" i="17"/>
  <c r="AE335" i="17"/>
  <c r="AE336" i="17"/>
  <c r="AD339" i="17"/>
  <c r="AE339" i="17"/>
  <c r="AD330" i="17"/>
  <c r="AD331" i="17"/>
  <c r="AD332" i="17"/>
  <c r="AD333" i="17"/>
  <c r="AD334" i="17"/>
  <c r="AD340" i="17"/>
  <c r="AE330" i="17"/>
  <c r="AE331" i="17"/>
  <c r="AE332" i="17"/>
  <c r="AE333" i="17"/>
  <c r="AE334" i="17"/>
  <c r="AE340" i="17"/>
  <c r="AE329" i="17"/>
  <c r="AD329" i="17"/>
  <c r="AD319" i="17"/>
  <c r="AE319" i="17"/>
  <c r="AD320" i="17"/>
  <c r="AD321" i="17"/>
  <c r="AD322" i="17"/>
  <c r="AE320" i="17"/>
  <c r="AE321" i="17"/>
  <c r="AE322" i="17"/>
  <c r="AD324" i="17"/>
  <c r="AD325" i="17"/>
  <c r="AE324" i="17"/>
  <c r="AE325" i="17"/>
  <c r="AD326" i="17"/>
  <c r="AD327" i="17"/>
  <c r="AE326" i="17"/>
  <c r="AE327" i="17"/>
  <c r="AD328" i="17"/>
  <c r="AE328" i="17"/>
  <c r="AD304" i="17"/>
  <c r="AD305" i="17"/>
  <c r="AD306" i="17"/>
  <c r="AD307" i="17"/>
  <c r="AD308" i="17"/>
  <c r="AD309" i="17"/>
  <c r="AD310" i="17"/>
  <c r="AD311" i="17"/>
  <c r="AE304" i="17"/>
  <c r="AE305" i="17"/>
  <c r="AE306" i="17"/>
  <c r="AE307" i="17"/>
  <c r="AE308" i="17"/>
  <c r="AE309" i="17"/>
  <c r="AE310" i="17"/>
  <c r="AE311" i="17"/>
  <c r="AD289" i="17"/>
  <c r="AD290" i="17"/>
  <c r="AD291" i="17"/>
  <c r="AD292" i="17"/>
  <c r="AD293" i="17"/>
  <c r="AD294" i="17"/>
  <c r="AD295" i="17"/>
  <c r="AD296" i="17"/>
  <c r="AE289" i="17"/>
  <c r="AE290" i="17"/>
  <c r="AE291" i="17"/>
  <c r="AE292" i="17"/>
  <c r="AE293" i="17"/>
  <c r="AE294" i="17"/>
  <c r="AE295" i="17"/>
  <c r="AE296" i="17"/>
  <c r="AD297" i="17"/>
  <c r="AD298" i="17"/>
  <c r="AD299" i="17"/>
  <c r="AD300" i="17"/>
  <c r="AD301" i="17"/>
  <c r="AD302" i="17"/>
  <c r="AD303" i="17"/>
  <c r="AD312" i="17"/>
  <c r="AE297" i="17"/>
  <c r="AE298" i="17"/>
  <c r="AE299" i="17"/>
  <c r="AE300" i="17"/>
  <c r="AE301" i="17"/>
  <c r="AE302" i="17"/>
  <c r="AE303" i="17"/>
  <c r="AE312" i="17"/>
  <c r="AD313" i="17"/>
  <c r="AD314" i="17"/>
  <c r="AD315" i="17"/>
  <c r="AD316" i="17"/>
  <c r="AE313" i="17"/>
  <c r="AE314" i="17"/>
  <c r="AE315" i="17"/>
  <c r="AE316" i="17"/>
  <c r="AD257" i="17"/>
  <c r="AD258" i="17"/>
  <c r="AD259" i="17"/>
  <c r="AD260" i="17"/>
  <c r="AD261" i="17"/>
  <c r="AD262" i="17"/>
  <c r="AE257" i="17"/>
  <c r="AE258" i="17"/>
  <c r="AE259" i="17"/>
  <c r="AE260" i="17"/>
  <c r="AE261" i="17"/>
  <c r="AE262" i="17"/>
  <c r="AD263" i="17"/>
  <c r="AD264" i="17"/>
  <c r="AD265" i="17"/>
  <c r="AD266" i="17"/>
  <c r="AD267" i="17"/>
  <c r="AD268" i="17"/>
  <c r="AE263" i="17"/>
  <c r="AE264" i="17"/>
  <c r="AE265" i="17"/>
  <c r="AE266" i="17"/>
  <c r="AE267" i="17"/>
  <c r="AE268" i="17"/>
  <c r="AD269" i="17"/>
  <c r="AD270" i="17"/>
  <c r="AD271" i="17"/>
  <c r="AD272" i="17"/>
  <c r="AD273" i="17"/>
  <c r="AD274" i="17"/>
  <c r="AE269" i="17"/>
  <c r="AE270" i="17"/>
  <c r="AE271" i="17"/>
  <c r="AE272" i="17"/>
  <c r="AE273" i="17"/>
  <c r="AE274" i="17"/>
  <c r="AD275" i="17"/>
  <c r="AD276" i="17"/>
  <c r="AD277" i="17"/>
  <c r="AD278" i="17"/>
  <c r="AD279" i="17"/>
  <c r="AD280" i="17"/>
  <c r="AE275" i="17"/>
  <c r="AE276" i="17"/>
  <c r="AE277" i="17"/>
  <c r="AE278" i="17"/>
  <c r="AE279" i="17"/>
  <c r="AE280" i="17"/>
  <c r="AD281" i="17"/>
  <c r="AD282" i="17"/>
  <c r="AD283" i="17"/>
  <c r="AD284" i="17"/>
  <c r="AD285" i="17"/>
  <c r="AD286" i="17"/>
  <c r="AE281" i="17"/>
  <c r="AE282" i="17"/>
  <c r="AE283" i="17"/>
  <c r="AE284" i="17"/>
  <c r="AE285" i="17"/>
  <c r="AE286" i="17"/>
  <c r="AD287" i="17"/>
  <c r="AD288" i="17"/>
  <c r="AD317" i="17"/>
  <c r="AD318" i="17"/>
  <c r="AD323" i="17"/>
  <c r="AE287" i="17"/>
  <c r="AE288" i="17"/>
  <c r="AE317" i="17"/>
  <c r="AE318" i="17"/>
  <c r="AE323" i="17"/>
  <c r="R2599" i="17"/>
  <c r="S2599" i="17"/>
  <c r="R2581" i="17"/>
  <c r="R2582" i="17"/>
  <c r="S2581" i="17"/>
  <c r="S2582" i="17"/>
  <c r="R2578" i="17"/>
  <c r="R2579" i="17"/>
  <c r="R2580" i="17"/>
  <c r="R2583" i="17"/>
  <c r="S2578" i="17"/>
  <c r="S2579" i="17"/>
  <c r="S2580" i="17"/>
  <c r="S2583" i="17"/>
  <c r="R2598" i="17"/>
  <c r="S2598" i="17"/>
  <c r="R2597" i="17"/>
  <c r="S2597" i="17"/>
  <c r="R2596" i="17"/>
  <c r="S2596" i="17"/>
  <c r="R2595" i="17"/>
  <c r="S2595" i="17"/>
  <c r="R2594" i="17"/>
  <c r="S2594" i="17"/>
  <c r="R2593" i="17"/>
  <c r="S2593" i="17"/>
  <c r="R2592" i="17"/>
  <c r="S2592" i="17"/>
  <c r="AD341" i="17"/>
  <c r="AE341" i="17"/>
  <c r="AD347" i="17"/>
  <c r="AE347" i="17"/>
  <c r="AD346" i="17"/>
  <c r="AE346" i="17"/>
  <c r="AD345" i="17"/>
  <c r="AE345" i="17"/>
  <c r="AD344" i="17"/>
  <c r="AE344" i="17"/>
  <c r="AD343" i="17"/>
  <c r="AE343" i="17"/>
  <c r="AD342" i="17"/>
  <c r="AE342" i="17"/>
  <c r="R2558" i="17"/>
  <c r="R2559" i="17"/>
  <c r="R2560" i="17"/>
  <c r="S2558" i="17"/>
  <c r="S2559" i="17"/>
  <c r="S2560" i="17"/>
  <c r="R2574" i="17"/>
  <c r="R2575" i="17"/>
  <c r="S2574" i="17"/>
  <c r="S2575" i="17"/>
  <c r="R2576" i="17"/>
  <c r="S2576" i="17"/>
  <c r="R2567" i="17"/>
  <c r="R2568" i="17"/>
  <c r="R2569" i="17"/>
  <c r="R2570" i="17"/>
  <c r="S2567" i="17"/>
  <c r="S2568" i="17"/>
  <c r="S2569" i="17"/>
  <c r="S2570" i="17"/>
  <c r="R2561" i="17"/>
  <c r="R2562" i="17"/>
  <c r="R2563" i="17"/>
  <c r="R2564" i="17"/>
  <c r="R2565" i="17"/>
  <c r="S2561" i="17"/>
  <c r="S2562" i="17"/>
  <c r="S2563" i="17"/>
  <c r="S2564" i="17"/>
  <c r="S2565" i="17"/>
  <c r="R2566" i="17"/>
  <c r="R2571" i="17"/>
  <c r="R2572" i="17"/>
  <c r="R2573" i="17"/>
  <c r="R2577" i="17"/>
  <c r="S2566" i="17"/>
  <c r="S2571" i="17"/>
  <c r="S2572" i="17"/>
  <c r="S2573" i="17"/>
  <c r="S2577" i="17"/>
  <c r="R1798" i="17"/>
  <c r="S1798" i="17"/>
  <c r="R1799" i="17"/>
  <c r="S1799" i="17"/>
  <c r="R1800" i="17"/>
  <c r="R1801" i="17"/>
  <c r="R1802" i="17"/>
  <c r="R1803" i="17"/>
  <c r="R1804" i="17"/>
  <c r="R1805" i="17"/>
  <c r="R1806" i="17"/>
  <c r="S1800" i="17"/>
  <c r="S1801" i="17"/>
  <c r="S1802" i="17"/>
  <c r="S1803" i="17"/>
  <c r="S1804" i="17"/>
  <c r="S1805" i="17"/>
  <c r="S1806" i="17"/>
  <c r="R1807" i="17"/>
  <c r="R1808" i="17"/>
  <c r="R1809" i="17"/>
  <c r="R1810" i="17"/>
  <c r="R1811" i="17"/>
  <c r="R1812" i="17"/>
  <c r="S1807" i="17"/>
  <c r="S1808" i="17"/>
  <c r="S1809" i="17"/>
  <c r="S1810" i="17"/>
  <c r="S1811" i="17"/>
  <c r="S1812" i="17"/>
  <c r="R1820" i="17"/>
  <c r="S1820" i="17"/>
  <c r="R1842" i="17"/>
  <c r="S1842" i="17"/>
  <c r="R1824" i="17"/>
  <c r="R1825" i="17"/>
  <c r="R1826" i="17"/>
  <c r="R1827" i="17"/>
  <c r="S1824" i="17"/>
  <c r="S1825" i="17"/>
  <c r="S1826" i="17"/>
  <c r="S1827" i="17"/>
  <c r="R1822" i="17"/>
  <c r="S1822" i="17"/>
  <c r="R1829" i="17"/>
  <c r="R1830" i="17"/>
  <c r="R1831" i="17"/>
  <c r="R1832" i="17"/>
  <c r="S1829" i="17"/>
  <c r="S1830" i="17"/>
  <c r="S1831" i="17"/>
  <c r="S1832" i="17"/>
  <c r="R1835" i="17"/>
  <c r="R1836" i="17"/>
  <c r="R1837" i="17"/>
  <c r="R1838" i="17"/>
  <c r="R1839" i="17"/>
  <c r="S1835" i="17"/>
  <c r="S1836" i="17"/>
  <c r="S1837" i="17"/>
  <c r="S1838" i="17"/>
  <c r="S1839" i="17"/>
  <c r="R1858" i="17"/>
  <c r="S1858" i="17"/>
  <c r="R1855" i="17"/>
  <c r="R1856" i="17"/>
  <c r="S1855" i="17"/>
  <c r="S1856" i="17"/>
  <c r="R1845" i="17"/>
  <c r="R1846" i="17"/>
  <c r="R1847" i="17"/>
  <c r="R1848" i="17"/>
  <c r="R1849" i="17"/>
  <c r="R1850" i="17"/>
  <c r="R1851" i="17"/>
  <c r="R1852" i="17"/>
  <c r="R1853" i="17"/>
  <c r="R1854" i="17"/>
  <c r="R1857" i="17"/>
  <c r="S1845" i="17"/>
  <c r="S1846" i="17"/>
  <c r="S1847" i="17"/>
  <c r="S1848" i="17"/>
  <c r="S1849" i="17"/>
  <c r="S1850" i="17"/>
  <c r="S1851" i="17"/>
  <c r="S1852" i="17"/>
  <c r="S1853" i="17"/>
  <c r="S1854" i="17"/>
  <c r="S1857" i="17"/>
  <c r="R1862" i="17"/>
  <c r="R1863" i="17"/>
  <c r="R1864" i="17"/>
  <c r="S1862" i="17"/>
  <c r="S1863" i="17"/>
  <c r="S1864" i="17"/>
  <c r="R1868" i="17"/>
  <c r="S1868" i="17"/>
  <c r="R1870" i="17"/>
  <c r="S1870" i="17"/>
  <c r="R1873" i="17"/>
  <c r="S1873" i="17"/>
  <c r="R1875" i="17"/>
  <c r="R1876" i="17"/>
  <c r="R1877" i="17"/>
  <c r="R1878" i="17"/>
  <c r="R1879" i="17"/>
  <c r="S1875" i="17"/>
  <c r="S1876" i="17"/>
  <c r="S1877" i="17"/>
  <c r="S1878" i="17"/>
  <c r="S1879" i="17"/>
  <c r="R1886" i="17"/>
  <c r="S1886" i="17"/>
  <c r="R1883" i="17"/>
  <c r="S1883" i="17"/>
  <c r="R1894" i="17"/>
  <c r="S1894" i="17"/>
  <c r="R1896" i="17"/>
  <c r="R1897" i="17"/>
  <c r="R1898" i="17"/>
  <c r="R1899" i="17"/>
  <c r="S1896" i="17"/>
  <c r="S1897" i="17"/>
  <c r="S1898" i="17"/>
  <c r="S1899" i="17"/>
  <c r="R1907" i="17"/>
  <c r="S1907" i="17"/>
  <c r="R1904" i="17"/>
  <c r="S1904" i="17"/>
  <c r="R1911" i="17"/>
  <c r="R1912" i="17"/>
  <c r="R1913" i="17"/>
  <c r="R1914" i="17"/>
  <c r="R1915" i="17"/>
  <c r="R1916" i="17"/>
  <c r="S1911" i="17"/>
  <c r="S1912" i="17"/>
  <c r="S1913" i="17"/>
  <c r="S1914" i="17"/>
  <c r="S1915" i="17"/>
  <c r="S1916" i="17"/>
  <c r="R1918" i="17"/>
  <c r="S1918" i="17"/>
  <c r="R1920" i="17"/>
  <c r="S1920" i="17"/>
  <c r="R1924" i="17"/>
  <c r="R1925" i="17"/>
  <c r="R1926" i="17"/>
  <c r="R1927" i="17"/>
  <c r="S1924" i="17"/>
  <c r="S1925" i="17"/>
  <c r="S1926" i="17"/>
  <c r="S1927" i="17"/>
  <c r="R1930" i="17"/>
  <c r="S1930" i="17"/>
  <c r="R1932" i="17"/>
  <c r="R1933" i="17"/>
  <c r="R1934" i="17"/>
  <c r="S1932" i="17"/>
  <c r="S1933" i="17"/>
  <c r="S1934" i="17"/>
  <c r="R1936" i="17"/>
  <c r="R1937" i="17"/>
  <c r="S1936" i="17"/>
  <c r="S1937" i="17"/>
  <c r="R1939" i="17"/>
  <c r="S1939" i="17"/>
  <c r="R1950" i="17"/>
  <c r="S1950" i="17"/>
  <c r="R1942" i="17"/>
  <c r="R1943" i="17"/>
  <c r="R1944" i="17"/>
  <c r="R1945" i="17"/>
  <c r="R1946" i="17"/>
  <c r="R1947" i="17"/>
  <c r="R1948" i="17"/>
  <c r="R1949" i="17"/>
  <c r="S1942" i="17"/>
  <c r="S1943" i="17"/>
  <c r="S1944" i="17"/>
  <c r="S1945" i="17"/>
  <c r="S1946" i="17"/>
  <c r="S1947" i="17"/>
  <c r="S1948" i="17"/>
  <c r="S1949" i="17"/>
  <c r="R1959" i="17"/>
  <c r="S1959" i="17"/>
  <c r="R1962" i="17"/>
  <c r="S1962" i="17"/>
  <c r="R1964" i="17"/>
  <c r="R1965" i="17"/>
  <c r="R1966" i="17"/>
  <c r="S1964" i="17"/>
  <c r="S1965" i="17"/>
  <c r="S1966" i="17"/>
  <c r="R1971" i="17"/>
  <c r="S1971" i="17"/>
  <c r="R1973" i="17"/>
  <c r="S1973" i="17"/>
  <c r="R1975" i="17"/>
  <c r="S1975" i="17"/>
  <c r="R1980" i="17"/>
  <c r="S1980" i="17"/>
  <c r="R1981" i="17"/>
  <c r="S1981" i="17"/>
  <c r="R1983" i="17"/>
  <c r="R1984" i="17"/>
  <c r="R1985" i="17"/>
  <c r="R1986" i="17"/>
  <c r="R1987" i="17"/>
  <c r="S1983" i="17"/>
  <c r="S1984" i="17"/>
  <c r="S1985" i="17"/>
  <c r="S1986" i="17"/>
  <c r="S1987" i="17"/>
  <c r="R1988" i="17"/>
  <c r="R1989" i="17"/>
  <c r="R1990" i="17"/>
  <c r="R1991" i="17"/>
  <c r="R1992" i="17"/>
  <c r="R1993" i="17"/>
  <c r="S1988" i="17"/>
  <c r="S1989" i="17"/>
  <c r="S1990" i="17"/>
  <c r="S1991" i="17"/>
  <c r="S1992" i="17"/>
  <c r="S1993" i="17"/>
  <c r="R1994" i="17"/>
  <c r="R1995" i="17"/>
  <c r="R1996" i="17"/>
  <c r="R1997" i="17"/>
  <c r="S1994" i="17"/>
  <c r="S1995" i="17"/>
  <c r="S1996" i="17"/>
  <c r="S1997" i="17"/>
  <c r="R1998" i="17"/>
  <c r="R1999" i="17"/>
  <c r="S1998" i="17"/>
  <c r="S1999" i="17"/>
  <c r="R2000" i="17"/>
  <c r="R2001" i="17"/>
  <c r="R2002" i="17"/>
  <c r="R2003" i="17"/>
  <c r="R2004" i="17"/>
  <c r="S2000" i="17"/>
  <c r="S2001" i="17"/>
  <c r="S2002" i="17"/>
  <c r="S2003" i="17"/>
  <c r="S2004" i="17"/>
  <c r="R2012" i="17"/>
  <c r="R2013" i="17"/>
  <c r="S2012" i="17"/>
  <c r="S2013" i="17"/>
  <c r="R2009" i="17"/>
  <c r="R2010" i="17"/>
  <c r="R2011" i="17"/>
  <c r="S2009" i="17"/>
  <c r="S2010" i="17"/>
  <c r="S2011" i="17"/>
  <c r="R2031" i="17"/>
  <c r="S2031" i="17"/>
  <c r="R2032" i="17"/>
  <c r="R2033" i="17"/>
  <c r="R2034" i="17"/>
  <c r="S2032" i="17"/>
  <c r="S2033" i="17"/>
  <c r="S2034" i="17"/>
  <c r="R2035" i="17"/>
  <c r="R2036" i="17"/>
  <c r="S2035" i="17"/>
  <c r="S2036" i="17"/>
  <c r="R2037" i="17"/>
  <c r="R2038" i="17"/>
  <c r="S2037" i="17"/>
  <c r="S2038" i="17"/>
  <c r="R2039" i="17"/>
  <c r="R2040" i="17"/>
  <c r="S2039" i="17"/>
  <c r="S2040" i="17"/>
  <c r="R2041" i="17"/>
  <c r="R2042" i="17"/>
  <c r="S2041" i="17"/>
  <c r="S2042" i="17"/>
  <c r="R2043" i="17"/>
  <c r="S2043" i="17"/>
  <c r="R2044" i="17"/>
  <c r="R2045" i="17"/>
  <c r="R2046" i="17"/>
  <c r="S2044" i="17"/>
  <c r="S2045" i="17"/>
  <c r="S2046" i="17"/>
  <c r="R2047" i="17"/>
  <c r="R2048" i="17"/>
  <c r="R2049" i="17"/>
  <c r="S2047" i="17"/>
  <c r="S2048" i="17"/>
  <c r="S2049" i="17"/>
  <c r="R2050" i="17"/>
  <c r="R2051" i="17"/>
  <c r="R2052" i="17"/>
  <c r="R2053" i="17"/>
  <c r="S2050" i="17"/>
  <c r="S2051" i="17"/>
  <c r="S2052" i="17"/>
  <c r="S2053" i="17"/>
  <c r="R2054" i="17"/>
  <c r="R2055" i="17"/>
  <c r="R2056" i="17"/>
  <c r="R2057" i="17"/>
  <c r="S2054" i="17"/>
  <c r="S2055" i="17"/>
  <c r="S2056" i="17"/>
  <c r="S2057" i="17"/>
  <c r="R2058" i="17"/>
  <c r="R2059" i="17"/>
  <c r="S2058" i="17"/>
  <c r="S2059" i="17"/>
  <c r="R2060" i="17"/>
  <c r="R2061" i="17"/>
  <c r="S2060" i="17"/>
  <c r="S2061" i="17"/>
  <c r="R2062" i="17"/>
  <c r="S2062" i="17"/>
  <c r="R2063" i="17"/>
  <c r="S2063" i="17"/>
  <c r="R2030" i="17"/>
  <c r="S2030" i="17"/>
  <c r="R2020" i="17"/>
  <c r="S2020" i="17"/>
  <c r="R2071" i="17"/>
  <c r="R2072" i="17"/>
  <c r="R2073" i="17"/>
  <c r="S2071" i="17"/>
  <c r="S2072" i="17"/>
  <c r="S2073" i="17"/>
  <c r="R2070" i="17"/>
  <c r="R2074" i="17"/>
  <c r="R2075" i="17"/>
  <c r="R2076" i="17"/>
  <c r="S2070" i="17"/>
  <c r="S2074" i="17"/>
  <c r="S2075" i="17"/>
  <c r="S2076" i="17"/>
  <c r="R2077" i="17"/>
  <c r="S2077" i="17"/>
  <c r="R2078" i="17"/>
  <c r="S2078" i="17"/>
  <c r="R2014" i="17"/>
  <c r="R2015" i="17"/>
  <c r="R2016" i="17"/>
  <c r="R2017" i="17"/>
  <c r="R2018" i="17"/>
  <c r="R2019" i="17"/>
  <c r="S2014" i="17"/>
  <c r="S2015" i="17"/>
  <c r="S2016" i="17"/>
  <c r="S2017" i="17"/>
  <c r="S2018" i="17"/>
  <c r="S2019" i="17"/>
  <c r="R2021" i="17"/>
  <c r="R2022" i="17"/>
  <c r="R2023" i="17"/>
  <c r="R2024" i="17"/>
  <c r="R2025" i="17"/>
  <c r="S2021" i="17"/>
  <c r="S2022" i="17"/>
  <c r="S2023" i="17"/>
  <c r="S2024" i="17"/>
  <c r="S2025" i="17"/>
  <c r="R2026" i="17"/>
  <c r="R2027" i="17"/>
  <c r="R2028" i="17"/>
  <c r="R2029" i="17"/>
  <c r="R2064" i="17"/>
  <c r="S2026" i="17"/>
  <c r="S2027" i="17"/>
  <c r="S2028" i="17"/>
  <c r="S2029" i="17"/>
  <c r="S2064" i="17"/>
  <c r="R2005" i="17"/>
  <c r="S2005" i="17"/>
  <c r="R2006" i="17"/>
  <c r="R2007" i="17"/>
  <c r="R2008" i="17"/>
  <c r="S2006" i="17"/>
  <c r="S2007" i="17"/>
  <c r="S2008" i="17"/>
  <c r="R2065" i="17"/>
  <c r="R2066" i="17"/>
  <c r="S2065" i="17"/>
  <c r="S2066" i="17"/>
  <c r="R2088" i="17"/>
  <c r="R2089" i="17"/>
  <c r="R2090" i="17"/>
  <c r="R2091" i="17"/>
  <c r="R2092" i="17"/>
  <c r="S2088" i="17"/>
  <c r="S2089" i="17"/>
  <c r="S2090" i="17"/>
  <c r="S2091" i="17"/>
  <c r="S2092" i="17"/>
  <c r="R2104" i="17"/>
  <c r="S2104" i="17"/>
  <c r="R2067" i="17"/>
  <c r="R2068" i="17"/>
  <c r="R2069" i="17"/>
  <c r="R2079" i="17"/>
  <c r="R2080" i="17"/>
  <c r="R2081" i="17"/>
  <c r="S2067" i="17"/>
  <c r="S2068" i="17"/>
  <c r="S2069" i="17"/>
  <c r="S2079" i="17"/>
  <c r="S2080" i="17"/>
  <c r="S2081" i="17"/>
  <c r="R2082" i="17"/>
  <c r="R2083" i="17"/>
  <c r="R2084" i="17"/>
  <c r="R2085" i="17"/>
  <c r="R2086" i="17"/>
  <c r="R2087" i="17"/>
  <c r="S2082" i="17"/>
  <c r="S2083" i="17"/>
  <c r="S2084" i="17"/>
  <c r="S2085" i="17"/>
  <c r="S2086" i="17"/>
  <c r="S2087" i="17"/>
  <c r="R2093" i="17"/>
  <c r="R2094" i="17"/>
  <c r="R2095" i="17"/>
  <c r="R2096" i="17"/>
  <c r="R2097" i="17"/>
  <c r="R2098" i="17"/>
  <c r="S2093" i="17"/>
  <c r="S2094" i="17"/>
  <c r="S2095" i="17"/>
  <c r="S2096" i="17"/>
  <c r="S2097" i="17"/>
  <c r="S2098" i="17"/>
  <c r="R2099" i="17"/>
  <c r="R2100" i="17"/>
  <c r="R2101" i="17"/>
  <c r="R2102" i="17"/>
  <c r="S2099" i="17"/>
  <c r="S2100" i="17"/>
  <c r="S2101" i="17"/>
  <c r="S2102" i="17"/>
  <c r="R2103" i="17"/>
  <c r="R2105" i="17"/>
  <c r="R2106" i="17"/>
  <c r="S2103" i="17"/>
  <c r="S2105" i="17"/>
  <c r="S2106" i="17"/>
  <c r="R2107" i="17"/>
  <c r="R2108" i="17"/>
  <c r="S2107" i="17"/>
  <c r="S2108" i="17"/>
  <c r="R2109" i="17"/>
  <c r="R2110" i="17"/>
  <c r="R2111" i="17"/>
  <c r="R2112" i="17"/>
  <c r="S2109" i="17"/>
  <c r="S2110" i="17"/>
  <c r="S2111" i="17"/>
  <c r="S2112" i="17"/>
  <c r="R2113" i="17"/>
  <c r="R2114" i="17"/>
  <c r="R2115" i="17"/>
  <c r="R2116" i="17"/>
  <c r="S2113" i="17"/>
  <c r="S2114" i="17"/>
  <c r="S2115" i="17"/>
  <c r="S2116" i="17"/>
  <c r="R2117" i="17"/>
  <c r="R2118" i="17"/>
  <c r="R2119" i="17"/>
  <c r="R2120" i="17"/>
  <c r="S2117" i="17"/>
  <c r="S2118" i="17"/>
  <c r="S2119" i="17"/>
  <c r="S2120" i="17"/>
  <c r="R2121" i="17"/>
  <c r="R2122" i="17"/>
  <c r="R2123" i="17"/>
  <c r="S2121" i="17"/>
  <c r="S2122" i="17"/>
  <c r="S2123" i="17"/>
  <c r="R2124" i="17"/>
  <c r="R2125" i="17"/>
  <c r="R2126" i="17"/>
  <c r="S2124" i="17"/>
  <c r="S2125" i="17"/>
  <c r="S2126" i="17"/>
  <c r="R2127" i="17"/>
  <c r="R2128" i="17"/>
  <c r="R2129" i="17"/>
  <c r="R2130" i="17"/>
  <c r="R2131" i="17"/>
  <c r="R2132" i="17"/>
  <c r="R2133" i="17"/>
  <c r="R2134" i="17"/>
  <c r="S2127" i="17"/>
  <c r="S2128" i="17"/>
  <c r="S2129" i="17"/>
  <c r="S2130" i="17"/>
  <c r="S2131" i="17"/>
  <c r="S2132" i="17"/>
  <c r="S2133" i="17"/>
  <c r="S2134" i="17"/>
  <c r="R2135" i="17"/>
  <c r="R2136" i="17"/>
  <c r="R2137" i="17"/>
  <c r="R2138" i="17"/>
  <c r="R2139" i="17"/>
  <c r="R2140" i="17"/>
  <c r="R2141" i="17"/>
  <c r="R2142" i="17"/>
  <c r="S2135" i="17"/>
  <c r="S2136" i="17"/>
  <c r="S2137" i="17"/>
  <c r="S2138" i="17"/>
  <c r="S2139" i="17"/>
  <c r="S2140" i="17"/>
  <c r="S2141" i="17"/>
  <c r="S2142" i="17"/>
  <c r="R2143" i="17"/>
  <c r="R2144" i="17"/>
  <c r="R2145" i="17"/>
  <c r="R2146" i="17"/>
  <c r="R2147" i="17"/>
  <c r="R2148" i="17"/>
  <c r="R2149" i="17"/>
  <c r="R2150" i="17"/>
  <c r="S2143" i="17"/>
  <c r="S2144" i="17"/>
  <c r="S2145" i="17"/>
  <c r="S2146" i="17"/>
  <c r="S2147" i="17"/>
  <c r="S2148" i="17"/>
  <c r="S2149" i="17"/>
  <c r="S2150" i="17"/>
  <c r="R2151" i="17"/>
  <c r="R2152" i="17"/>
  <c r="R2153" i="17"/>
  <c r="R2154" i="17"/>
  <c r="R2155" i="17"/>
  <c r="R2156" i="17"/>
  <c r="R2157" i="17"/>
  <c r="R2158" i="17"/>
  <c r="S2151" i="17"/>
  <c r="S2152" i="17"/>
  <c r="S2153" i="17"/>
  <c r="S2154" i="17"/>
  <c r="S2155" i="17"/>
  <c r="S2156" i="17"/>
  <c r="S2157" i="17"/>
  <c r="S2158" i="17"/>
  <c r="R2159" i="17"/>
  <c r="R2160" i="17"/>
  <c r="R2161" i="17"/>
  <c r="R2162" i="17"/>
  <c r="S2159" i="17"/>
  <c r="S2160" i="17"/>
  <c r="S2161" i="17"/>
  <c r="S2162" i="17"/>
  <c r="R2163" i="17"/>
  <c r="R2164" i="17"/>
  <c r="S2163" i="17"/>
  <c r="S2164" i="17"/>
  <c r="R2175" i="17"/>
  <c r="R2176" i="17"/>
  <c r="R2177" i="17"/>
  <c r="R2178" i="17"/>
  <c r="R2179" i="17"/>
  <c r="R2180" i="17"/>
  <c r="S2175" i="17"/>
  <c r="S2176" i="17"/>
  <c r="S2177" i="17"/>
  <c r="S2178" i="17"/>
  <c r="S2179" i="17"/>
  <c r="S2180" i="17"/>
  <c r="R2165" i="17"/>
  <c r="R2166" i="17"/>
  <c r="R2167" i="17"/>
  <c r="R2168" i="17"/>
  <c r="S2165" i="17"/>
  <c r="S2166" i="17"/>
  <c r="S2167" i="17"/>
  <c r="S2168" i="17"/>
  <c r="R2169" i="17"/>
  <c r="R2170" i="17"/>
  <c r="R2171" i="17"/>
  <c r="S2169" i="17"/>
  <c r="S2170" i="17"/>
  <c r="S2171" i="17"/>
  <c r="R2172" i="17"/>
  <c r="R2173" i="17"/>
  <c r="R2174" i="17"/>
  <c r="S2172" i="17"/>
  <c r="S2173" i="17"/>
  <c r="S2174" i="17"/>
  <c r="R2181" i="17"/>
  <c r="R2182" i="17"/>
  <c r="R2183" i="17"/>
  <c r="R2184" i="17"/>
  <c r="S2181" i="17"/>
  <c r="S2182" i="17"/>
  <c r="S2183" i="17"/>
  <c r="S2184" i="17"/>
  <c r="R2185" i="17"/>
  <c r="R2186" i="17"/>
  <c r="R2187" i="17"/>
  <c r="R2188" i="17"/>
  <c r="S2185" i="17"/>
  <c r="S2186" i="17"/>
  <c r="S2187" i="17"/>
  <c r="S2188" i="17"/>
  <c r="R2189" i="17"/>
  <c r="R2190" i="17"/>
  <c r="R2191" i="17"/>
  <c r="R2192" i="17"/>
  <c r="S2189" i="17"/>
  <c r="S2190" i="17"/>
  <c r="S2191" i="17"/>
  <c r="S2192" i="17"/>
  <c r="R2193" i="17"/>
  <c r="R2194" i="17"/>
  <c r="S2193" i="17"/>
  <c r="S2194" i="17"/>
  <c r="R2195" i="17"/>
  <c r="S2195" i="17"/>
  <c r="R2196" i="17"/>
  <c r="S2196" i="17"/>
  <c r="R2197" i="17"/>
  <c r="R2198" i="17"/>
  <c r="R2199" i="17"/>
  <c r="R2200" i="17"/>
  <c r="S2197" i="17"/>
  <c r="S2198" i="17"/>
  <c r="S2199" i="17"/>
  <c r="S2200" i="17"/>
  <c r="R2201" i="17"/>
  <c r="R2202" i="17"/>
  <c r="R2203" i="17"/>
  <c r="R2204" i="17"/>
  <c r="S2201" i="17"/>
  <c r="S2202" i="17"/>
  <c r="S2203" i="17"/>
  <c r="S2204" i="17"/>
  <c r="R2205" i="17"/>
  <c r="R2206" i="17"/>
  <c r="R2207" i="17"/>
  <c r="R2208" i="17"/>
  <c r="S2205" i="17"/>
  <c r="S2206" i="17"/>
  <c r="S2207" i="17"/>
  <c r="S2208" i="17"/>
  <c r="R2209" i="17"/>
  <c r="R2210" i="17"/>
  <c r="R2211" i="17"/>
  <c r="R2212" i="17"/>
  <c r="S2209" i="17"/>
  <c r="S2210" i="17"/>
  <c r="S2211" i="17"/>
  <c r="S2212" i="17"/>
  <c r="R2213" i="17"/>
  <c r="R2214" i="17"/>
  <c r="R2215" i="17"/>
  <c r="R2216" i="17"/>
  <c r="S2213" i="17"/>
  <c r="S2214" i="17"/>
  <c r="S2215" i="17"/>
  <c r="S2216" i="17"/>
  <c r="R2217" i="17"/>
  <c r="R2218" i="17"/>
  <c r="R2219" i="17"/>
  <c r="R2220" i="17"/>
  <c r="S2217" i="17"/>
  <c r="S2218" i="17"/>
  <c r="S2219" i="17"/>
  <c r="S2220" i="17"/>
  <c r="R2233" i="17"/>
  <c r="S2233" i="17"/>
  <c r="R2221" i="17"/>
  <c r="R2222" i="17"/>
  <c r="R2223" i="17"/>
  <c r="R2224" i="17"/>
  <c r="S2221" i="17"/>
  <c r="S2222" i="17"/>
  <c r="S2223" i="17"/>
  <c r="S2224" i="17"/>
  <c r="R2225" i="17"/>
  <c r="R2226" i="17"/>
  <c r="R2227" i="17"/>
  <c r="R2228" i="17"/>
  <c r="S2225" i="17"/>
  <c r="S2226" i="17"/>
  <c r="S2227" i="17"/>
  <c r="S2228" i="17"/>
  <c r="R2229" i="17"/>
  <c r="R2230" i="17"/>
  <c r="S2229" i="17"/>
  <c r="S2230" i="17"/>
  <c r="R2231" i="17"/>
  <c r="S2231" i="17"/>
  <c r="R2269" i="17"/>
  <c r="S2269" i="17"/>
  <c r="R2270" i="17"/>
  <c r="S2270" i="17"/>
  <c r="R2232" i="17"/>
  <c r="R2234" i="17"/>
  <c r="R2235" i="17"/>
  <c r="R2236" i="17"/>
  <c r="S2232" i="17"/>
  <c r="S2234" i="17"/>
  <c r="S2235" i="17"/>
  <c r="S2236" i="17"/>
  <c r="R2237" i="17"/>
  <c r="R2238" i="17"/>
  <c r="R2239" i="17"/>
  <c r="R2240" i="17"/>
  <c r="S2237" i="17"/>
  <c r="S2238" i="17"/>
  <c r="S2239" i="17"/>
  <c r="S2240" i="17"/>
  <c r="R2241" i="17"/>
  <c r="R2242" i="17"/>
  <c r="R2243" i="17"/>
  <c r="R2244" i="17"/>
  <c r="S2241" i="17"/>
  <c r="S2242" i="17"/>
  <c r="S2243" i="17"/>
  <c r="S2244" i="17"/>
  <c r="R2245" i="17"/>
  <c r="R2246" i="17"/>
  <c r="R2247" i="17"/>
  <c r="R2248" i="17"/>
  <c r="S2245" i="17"/>
  <c r="S2246" i="17"/>
  <c r="S2247" i="17"/>
  <c r="S2248" i="17"/>
  <c r="R2249" i="17"/>
  <c r="R2250" i="17"/>
  <c r="S2249" i="17"/>
  <c r="S2250" i="17"/>
  <c r="R2251" i="17"/>
  <c r="S2251" i="17"/>
  <c r="R2252" i="17"/>
  <c r="R2253" i="17"/>
  <c r="R2254" i="17"/>
  <c r="R2255" i="17"/>
  <c r="R2256" i="17"/>
  <c r="R2257" i="17"/>
  <c r="R2258" i="17"/>
  <c r="R2259" i="17"/>
  <c r="S2252" i="17"/>
  <c r="S2253" i="17"/>
  <c r="S2254" i="17"/>
  <c r="S2255" i="17"/>
  <c r="S2256" i="17"/>
  <c r="S2257" i="17"/>
  <c r="S2258" i="17"/>
  <c r="S2259" i="17"/>
  <c r="R2260" i="17"/>
  <c r="R2261" i="17"/>
  <c r="R2262" i="17"/>
  <c r="R2263" i="17"/>
  <c r="R2264" i="17"/>
  <c r="R2265" i="17"/>
  <c r="R2266" i="17"/>
  <c r="R2267" i="17"/>
  <c r="S2260" i="17"/>
  <c r="S2261" i="17"/>
  <c r="S2262" i="17"/>
  <c r="S2263" i="17"/>
  <c r="S2264" i="17"/>
  <c r="S2265" i="17"/>
  <c r="S2266" i="17"/>
  <c r="S2267" i="17"/>
  <c r="R2268" i="17"/>
  <c r="R2271" i="17"/>
  <c r="S2268" i="17"/>
  <c r="S2271" i="17"/>
  <c r="R2272" i="17"/>
  <c r="R2273" i="17"/>
  <c r="S2272" i="17"/>
  <c r="S2273" i="17"/>
  <c r="R2274" i="17"/>
  <c r="R2275" i="17"/>
  <c r="R2276" i="17"/>
  <c r="R2277" i="17"/>
  <c r="R2278" i="17"/>
  <c r="R2279" i="17"/>
  <c r="R2280" i="17"/>
  <c r="R2281" i="17"/>
  <c r="R2282" i="17"/>
  <c r="S2274" i="17"/>
  <c r="S2275" i="17"/>
  <c r="S2276" i="17"/>
  <c r="S2277" i="17"/>
  <c r="S2278" i="17"/>
  <c r="S2279" i="17"/>
  <c r="S2280" i="17"/>
  <c r="S2281" i="17"/>
  <c r="S2282" i="17"/>
  <c r="R2283" i="17"/>
  <c r="R2284" i="17"/>
  <c r="R2285" i="17"/>
  <c r="R2286" i="17"/>
  <c r="R2287" i="17"/>
  <c r="R2288" i="17"/>
  <c r="R2289" i="17"/>
  <c r="R2290" i="17"/>
  <c r="R2291" i="17"/>
  <c r="S2283" i="17"/>
  <c r="S2284" i="17"/>
  <c r="S2285" i="17"/>
  <c r="S2286" i="17"/>
  <c r="S2287" i="17"/>
  <c r="S2288" i="17"/>
  <c r="S2289" i="17"/>
  <c r="S2290" i="17"/>
  <c r="S2291" i="17"/>
  <c r="R2292" i="17"/>
  <c r="R2293" i="17"/>
  <c r="R2294" i="17"/>
  <c r="S2292" i="17"/>
  <c r="S2293" i="17"/>
  <c r="S2294" i="17"/>
  <c r="R2295" i="17"/>
  <c r="R2296" i="17"/>
  <c r="R2297" i="17"/>
  <c r="S2295" i="17"/>
  <c r="S2296" i="17"/>
  <c r="S2297" i="17"/>
  <c r="R2298" i="17"/>
  <c r="R2299" i="17"/>
  <c r="S2298" i="17"/>
  <c r="S2299" i="17"/>
  <c r="R2300" i="17"/>
  <c r="S2300" i="17"/>
  <c r="R2301" i="17"/>
  <c r="R2302" i="17"/>
  <c r="R2303" i="17"/>
  <c r="S2301" i="17"/>
  <c r="S2302" i="17"/>
  <c r="S2303" i="17"/>
  <c r="R2304" i="17"/>
  <c r="R2305" i="17"/>
  <c r="R2306" i="17"/>
  <c r="S2304" i="17"/>
  <c r="S2305" i="17"/>
  <c r="S2306" i="17"/>
  <c r="R2308" i="17"/>
  <c r="R2309" i="17"/>
  <c r="R2310" i="17"/>
  <c r="R2311" i="17"/>
  <c r="R2312" i="17"/>
  <c r="R2313" i="17"/>
  <c r="R2314" i="17"/>
  <c r="R2315" i="17"/>
  <c r="S2308" i="17"/>
  <c r="S2309" i="17"/>
  <c r="S2310" i="17"/>
  <c r="S2311" i="17"/>
  <c r="S2312" i="17"/>
  <c r="S2313" i="17"/>
  <c r="S2314" i="17"/>
  <c r="S2315" i="17"/>
  <c r="R2320" i="17"/>
  <c r="R2321" i="17"/>
  <c r="R2322" i="17"/>
  <c r="R2323" i="17"/>
  <c r="R2324" i="17"/>
  <c r="S2320" i="17"/>
  <c r="S2321" i="17"/>
  <c r="S2322" i="17"/>
  <c r="S2323" i="17"/>
  <c r="S2324" i="17"/>
  <c r="R2325" i="17"/>
  <c r="R2326" i="17"/>
  <c r="R2327" i="17"/>
  <c r="R2328" i="17"/>
  <c r="R2329" i="17"/>
  <c r="R2330" i="17"/>
  <c r="R2331" i="17"/>
  <c r="S2325" i="17"/>
  <c r="S2326" i="17"/>
  <c r="S2327" i="17"/>
  <c r="S2328" i="17"/>
  <c r="S2329" i="17"/>
  <c r="S2330" i="17"/>
  <c r="S2331" i="17"/>
  <c r="R2307" i="17"/>
  <c r="R2316" i="17"/>
  <c r="R2317" i="17"/>
  <c r="R2318" i="17"/>
  <c r="S2307" i="17"/>
  <c r="S2316" i="17"/>
  <c r="S2317" i="17"/>
  <c r="S2318" i="17"/>
  <c r="R2319" i="17"/>
  <c r="R2332" i="17"/>
  <c r="R2333" i="17"/>
  <c r="R2334" i="17"/>
  <c r="S2319" i="17"/>
  <c r="S2332" i="17"/>
  <c r="S2333" i="17"/>
  <c r="S2334" i="17"/>
  <c r="R2335" i="17"/>
  <c r="R2336" i="17"/>
  <c r="S2335" i="17"/>
  <c r="S2336" i="17"/>
  <c r="R2337" i="17"/>
  <c r="S2337" i="17"/>
  <c r="R2338" i="17"/>
  <c r="R2339" i="17"/>
  <c r="R2340" i="17"/>
  <c r="R2341" i="17"/>
  <c r="R2342" i="17"/>
  <c r="R2343" i="17"/>
  <c r="R2344" i="17"/>
  <c r="R2345" i="17"/>
  <c r="R2346" i="17"/>
  <c r="S2338" i="17"/>
  <c r="S2339" i="17"/>
  <c r="S2340" i="17"/>
  <c r="S2341" i="17"/>
  <c r="S2342" i="17"/>
  <c r="S2343" i="17"/>
  <c r="S2344" i="17"/>
  <c r="S2345" i="17"/>
  <c r="S2346" i="17"/>
  <c r="R2347" i="17"/>
  <c r="R2348" i="17"/>
  <c r="R2349" i="17"/>
  <c r="R2350" i="17"/>
  <c r="R2351" i="17"/>
  <c r="R2352" i="17"/>
  <c r="S2347" i="17"/>
  <c r="S2348" i="17"/>
  <c r="S2349" i="17"/>
  <c r="S2350" i="17"/>
  <c r="S2351" i="17"/>
  <c r="S2352" i="17"/>
  <c r="R2353" i="17"/>
  <c r="R2354" i="17"/>
  <c r="R2355" i="17"/>
  <c r="R2356" i="17"/>
  <c r="S2353" i="17"/>
  <c r="S2354" i="17"/>
  <c r="S2355" i="17"/>
  <c r="S2356" i="17"/>
  <c r="R2357" i="17"/>
  <c r="R2358" i="17"/>
  <c r="R2359" i="17"/>
  <c r="S2357" i="17"/>
  <c r="S2358" i="17"/>
  <c r="S2359" i="17"/>
  <c r="R2396" i="17"/>
  <c r="S2396" i="17"/>
  <c r="R2384" i="17"/>
  <c r="R2385" i="17"/>
  <c r="R2386" i="17"/>
  <c r="R2387" i="17"/>
  <c r="R2388" i="17"/>
  <c r="S2384" i="17"/>
  <c r="S2385" i="17"/>
  <c r="S2386" i="17"/>
  <c r="S2387" i="17"/>
  <c r="S2388" i="17"/>
  <c r="R2401" i="17"/>
  <c r="S2401" i="17"/>
  <c r="R2368" i="17"/>
  <c r="R2369" i="17"/>
  <c r="R2370" i="17"/>
  <c r="R2371" i="17"/>
  <c r="R2372" i="17"/>
  <c r="R2373" i="17"/>
  <c r="R2374" i="17"/>
  <c r="R2375" i="17"/>
  <c r="S2368" i="17"/>
  <c r="S2369" i="17"/>
  <c r="S2370" i="17"/>
  <c r="S2371" i="17"/>
  <c r="S2372" i="17"/>
  <c r="S2373" i="17"/>
  <c r="S2374" i="17"/>
  <c r="S2375" i="17"/>
  <c r="R2376" i="17"/>
  <c r="R2377" i="17"/>
  <c r="R2378" i="17"/>
  <c r="R2379" i="17"/>
  <c r="R2380" i="17"/>
  <c r="R2381" i="17"/>
  <c r="R2382" i="17"/>
  <c r="R2383" i="17"/>
  <c r="S2376" i="17"/>
  <c r="S2377" i="17"/>
  <c r="S2378" i="17"/>
  <c r="S2379" i="17"/>
  <c r="S2380" i="17"/>
  <c r="S2381" i="17"/>
  <c r="S2382" i="17"/>
  <c r="S2383" i="17"/>
  <c r="R2389" i="17"/>
  <c r="R2390" i="17"/>
  <c r="R2391" i="17"/>
  <c r="R2392" i="17"/>
  <c r="R2393" i="17"/>
  <c r="R2394" i="17"/>
  <c r="R2395" i="17"/>
  <c r="R2397" i="17"/>
  <c r="S2389" i="17"/>
  <c r="S2390" i="17"/>
  <c r="S2391" i="17"/>
  <c r="S2392" i="17"/>
  <c r="S2393" i="17"/>
  <c r="S2394" i="17"/>
  <c r="S2395" i="17"/>
  <c r="S2397" i="17"/>
  <c r="R2398" i="17"/>
  <c r="R2399" i="17"/>
  <c r="R2400" i="17"/>
  <c r="R2402" i="17"/>
  <c r="R2403" i="17"/>
  <c r="R2404" i="17"/>
  <c r="R2405" i="17"/>
  <c r="R2406" i="17"/>
  <c r="S2398" i="17"/>
  <c r="S2399" i="17"/>
  <c r="S2400" i="17"/>
  <c r="S2402" i="17"/>
  <c r="S2403" i="17"/>
  <c r="S2404" i="17"/>
  <c r="S2405" i="17"/>
  <c r="S2406" i="17"/>
  <c r="R2360" i="17"/>
  <c r="R2361" i="17"/>
  <c r="R2362" i="17"/>
  <c r="R2363" i="17"/>
  <c r="S2360" i="17"/>
  <c r="S2361" i="17"/>
  <c r="S2362" i="17"/>
  <c r="S2363" i="17"/>
  <c r="R2364" i="17"/>
  <c r="R2365" i="17"/>
  <c r="R2366" i="17"/>
  <c r="R2367" i="17"/>
  <c r="S2364" i="17"/>
  <c r="S2365" i="17"/>
  <c r="S2366" i="17"/>
  <c r="S2367" i="17"/>
  <c r="R2407" i="17"/>
  <c r="R2408" i="17"/>
  <c r="R2409" i="17"/>
  <c r="R2410" i="17"/>
  <c r="S2407" i="17"/>
  <c r="S2408" i="17"/>
  <c r="S2409" i="17"/>
  <c r="S2410" i="17"/>
  <c r="R2411" i="17"/>
  <c r="R2412" i="17"/>
  <c r="S2411" i="17"/>
  <c r="S2412" i="17"/>
  <c r="R2413" i="17"/>
  <c r="S2413" i="17"/>
  <c r="R2420" i="17"/>
  <c r="S2420" i="17"/>
  <c r="R2418" i="17"/>
  <c r="R2419" i="17"/>
  <c r="R2421" i="17"/>
  <c r="R2422" i="17"/>
  <c r="R2423" i="17"/>
  <c r="R2424" i="17"/>
  <c r="R2425" i="17"/>
  <c r="R2426" i="17"/>
  <c r="S2418" i="17"/>
  <c r="S2419" i="17"/>
  <c r="S2421" i="17"/>
  <c r="S2422" i="17"/>
  <c r="S2423" i="17"/>
  <c r="S2424" i="17"/>
  <c r="S2425" i="17"/>
  <c r="S2426" i="17"/>
  <c r="R2414" i="17"/>
  <c r="R2415" i="17"/>
  <c r="R2416" i="17"/>
  <c r="S2414" i="17"/>
  <c r="S2415" i="17"/>
  <c r="S2416" i="17"/>
  <c r="R2417" i="17"/>
  <c r="R2427" i="17"/>
  <c r="R2428" i="17"/>
  <c r="S2417" i="17"/>
  <c r="S2427" i="17"/>
  <c r="S2428" i="17"/>
  <c r="R2429" i="17"/>
  <c r="R2430" i="17"/>
  <c r="S2429" i="17"/>
  <c r="S2430" i="17"/>
  <c r="R2444" i="17"/>
  <c r="R2445" i="17"/>
  <c r="S2444" i="17"/>
  <c r="S2445" i="17"/>
  <c r="R2432" i="17"/>
  <c r="R2433" i="17"/>
  <c r="R2434" i="17"/>
  <c r="R2435" i="17"/>
  <c r="R2436" i="17"/>
  <c r="R2437" i="17"/>
  <c r="R2438" i="17"/>
  <c r="R2439" i="17"/>
  <c r="S2432" i="17"/>
  <c r="S2433" i="17"/>
  <c r="S2434" i="17"/>
  <c r="S2435" i="17"/>
  <c r="S2436" i="17"/>
  <c r="S2437" i="17"/>
  <c r="S2438" i="17"/>
  <c r="S2439" i="17"/>
  <c r="R2431" i="17"/>
  <c r="R2440" i="17"/>
  <c r="R2441" i="17"/>
  <c r="S2431" i="17"/>
  <c r="S2440" i="17"/>
  <c r="S2441" i="17"/>
  <c r="R2443" i="17"/>
  <c r="R2446" i="17"/>
  <c r="R2447" i="17"/>
  <c r="S2443" i="17"/>
  <c r="S2446" i="17"/>
  <c r="S2447" i="17"/>
  <c r="R2448" i="17"/>
  <c r="R2449" i="17"/>
  <c r="R2450" i="17"/>
  <c r="S2448" i="17"/>
  <c r="S2449" i="17"/>
  <c r="S2450" i="17"/>
  <c r="R2451" i="17"/>
  <c r="R2452" i="17"/>
  <c r="R2453" i="17"/>
  <c r="S2451" i="17"/>
  <c r="S2452" i="17"/>
  <c r="S2453" i="17"/>
  <c r="R1763" i="17"/>
  <c r="S1763" i="17"/>
  <c r="R2454" i="17"/>
  <c r="R2455" i="17"/>
  <c r="R2456" i="17"/>
  <c r="R2457" i="17"/>
  <c r="R2458" i="17"/>
  <c r="R2459" i="17"/>
  <c r="S2454" i="17"/>
  <c r="S2455" i="17"/>
  <c r="S2456" i="17"/>
  <c r="S2457" i="17"/>
  <c r="S2458" i="17"/>
  <c r="S2459" i="17"/>
  <c r="R2460" i="17"/>
  <c r="R2461" i="17"/>
  <c r="R2462" i="17"/>
  <c r="R2463" i="17"/>
  <c r="R2464" i="17"/>
  <c r="R2465" i="17"/>
  <c r="S2460" i="17"/>
  <c r="S2461" i="17"/>
  <c r="S2462" i="17"/>
  <c r="S2463" i="17"/>
  <c r="S2464" i="17"/>
  <c r="S2465" i="17"/>
  <c r="R2466" i="17"/>
  <c r="R2467" i="17"/>
  <c r="R2468" i="17"/>
  <c r="R2469" i="17"/>
  <c r="R2470" i="17"/>
  <c r="R2471" i="17"/>
  <c r="S2466" i="17"/>
  <c r="S2467" i="17"/>
  <c r="S2468" i="17"/>
  <c r="S2469" i="17"/>
  <c r="S2470" i="17"/>
  <c r="S2471" i="17"/>
  <c r="R2472" i="17"/>
  <c r="R2473" i="17"/>
  <c r="R2474" i="17"/>
  <c r="R2475" i="17"/>
  <c r="R2476" i="17"/>
  <c r="R2477" i="17"/>
  <c r="S2472" i="17"/>
  <c r="S2473" i="17"/>
  <c r="S2474" i="17"/>
  <c r="S2475" i="17"/>
  <c r="S2476" i="17"/>
  <c r="S2477" i="17"/>
  <c r="R2478" i="17"/>
  <c r="R2479" i="17"/>
  <c r="R2480" i="17"/>
  <c r="S2478" i="17"/>
  <c r="S2479" i="17"/>
  <c r="S2480" i="17"/>
  <c r="R2485" i="17"/>
  <c r="R2486" i="17"/>
  <c r="R2487" i="17"/>
  <c r="S2485" i="17"/>
  <c r="S2486" i="17"/>
  <c r="S2487" i="17"/>
  <c r="R2481" i="17"/>
  <c r="R2482" i="17"/>
  <c r="R2483" i="17"/>
  <c r="R2484" i="17"/>
  <c r="R2488" i="17"/>
  <c r="R2489" i="17"/>
  <c r="S2481" i="17"/>
  <c r="S2482" i="17"/>
  <c r="S2483" i="17"/>
  <c r="S2484" i="17"/>
  <c r="S2488" i="17"/>
  <c r="S2489" i="17"/>
  <c r="R2514" i="17"/>
  <c r="R2515" i="17"/>
  <c r="R2516" i="17"/>
  <c r="S2514" i="17"/>
  <c r="S2515" i="17"/>
  <c r="S2516" i="17"/>
  <c r="R2513" i="17"/>
  <c r="R2517" i="17"/>
  <c r="R2518" i="17"/>
  <c r="R2519" i="17"/>
  <c r="S2513" i="17"/>
  <c r="S2517" i="17"/>
  <c r="S2518" i="17"/>
  <c r="S2519" i="17"/>
  <c r="R2490" i="17"/>
  <c r="R2491" i="17"/>
  <c r="R2492" i="17"/>
  <c r="R2493" i="17"/>
  <c r="R2494" i="17"/>
  <c r="S2490" i="17"/>
  <c r="S2491" i="17"/>
  <c r="S2492" i="17"/>
  <c r="S2493" i="17"/>
  <c r="S2494" i="17"/>
  <c r="R2495" i="17"/>
  <c r="R2496" i="17"/>
  <c r="R2497" i="17"/>
  <c r="R2498" i="17"/>
  <c r="R2499" i="17"/>
  <c r="R2500" i="17"/>
  <c r="R2501" i="17"/>
  <c r="R2502" i="17"/>
  <c r="S2495" i="17"/>
  <c r="S2496" i="17"/>
  <c r="S2497" i="17"/>
  <c r="S2498" i="17"/>
  <c r="S2499" i="17"/>
  <c r="S2500" i="17"/>
  <c r="S2501" i="17"/>
  <c r="S2502" i="17"/>
  <c r="R2503" i="17"/>
  <c r="R2504" i="17"/>
  <c r="R2505" i="17"/>
  <c r="R2506" i="17"/>
  <c r="R2507" i="17"/>
  <c r="S2503" i="17"/>
  <c r="S2504" i="17"/>
  <c r="S2505" i="17"/>
  <c r="S2506" i="17"/>
  <c r="S2507" i="17"/>
  <c r="R2508" i="17"/>
  <c r="R2509" i="17"/>
  <c r="R2510" i="17"/>
  <c r="R2511" i="17"/>
  <c r="R2512" i="17"/>
  <c r="S2508" i="17"/>
  <c r="S2509" i="17"/>
  <c r="S2510" i="17"/>
  <c r="S2511" i="17"/>
  <c r="S2512" i="17"/>
  <c r="R2589" i="17"/>
  <c r="R2590" i="17"/>
  <c r="R2591" i="17"/>
  <c r="S2589" i="17"/>
  <c r="S2590" i="17"/>
  <c r="S2591" i="17"/>
  <c r="R2588" i="17"/>
  <c r="S2588" i="17"/>
  <c r="R2531" i="17"/>
  <c r="R2532" i="17"/>
  <c r="R2533" i="17"/>
  <c r="R2534" i="17"/>
  <c r="R2535" i="17"/>
  <c r="S2531" i="17"/>
  <c r="S2532" i="17"/>
  <c r="S2533" i="17"/>
  <c r="S2534" i="17"/>
  <c r="S2535" i="17"/>
  <c r="R2520" i="17"/>
  <c r="R2521" i="17"/>
  <c r="R2522" i="17"/>
  <c r="S2520" i="17"/>
  <c r="S2521" i="17"/>
  <c r="S2522" i="17"/>
  <c r="R2523" i="17"/>
  <c r="R2524" i="17"/>
  <c r="R2525" i="17"/>
  <c r="R2526" i="17"/>
  <c r="S2523" i="17"/>
  <c r="S2524" i="17"/>
  <c r="S2525" i="17"/>
  <c r="S2526" i="17"/>
  <c r="R2544" i="17"/>
  <c r="R2545" i="17"/>
  <c r="R2546" i="17"/>
  <c r="S2544" i="17"/>
  <c r="S2545" i="17"/>
  <c r="S2546" i="17"/>
  <c r="R2542" i="17"/>
  <c r="S2542" i="17"/>
  <c r="R2540" i="17"/>
  <c r="R2541" i="17"/>
  <c r="R2543" i="17"/>
  <c r="S2540" i="17"/>
  <c r="S2541" i="17"/>
  <c r="S2543" i="17"/>
  <c r="R2537" i="17"/>
  <c r="R2538" i="17"/>
  <c r="R2539" i="17"/>
  <c r="S2537" i="17"/>
  <c r="S2538" i="17"/>
  <c r="S2539" i="17"/>
  <c r="R2536" i="17"/>
  <c r="R2547" i="17"/>
  <c r="S2536" i="17"/>
  <c r="S2547" i="17"/>
  <c r="R2548" i="17"/>
  <c r="S2548" i="17"/>
  <c r="R2527" i="17"/>
  <c r="R2528" i="17"/>
  <c r="R2529" i="17"/>
  <c r="R2530" i="17"/>
  <c r="S2527" i="17"/>
  <c r="S2528" i="17"/>
  <c r="S2529" i="17"/>
  <c r="S2530" i="17"/>
  <c r="R2554" i="17"/>
  <c r="R2555" i="17"/>
  <c r="S2554" i="17"/>
  <c r="S2555" i="17"/>
  <c r="R2556" i="17"/>
  <c r="S2556" i="17"/>
  <c r="R2557" i="17"/>
  <c r="S2557" i="17"/>
  <c r="R2553" i="17"/>
  <c r="S2553" i="17"/>
  <c r="R2552" i="17"/>
  <c r="S2552" i="17"/>
  <c r="R2551" i="17"/>
  <c r="S2551" i="17"/>
  <c r="R2550" i="17"/>
  <c r="S2550" i="17"/>
  <c r="R2549" i="17"/>
  <c r="S2549" i="17"/>
  <c r="R1982" i="17"/>
  <c r="S1982" i="17"/>
  <c r="R1979" i="17"/>
  <c r="S1979" i="17"/>
  <c r="R1978" i="17"/>
  <c r="S1978" i="17"/>
  <c r="R1977" i="17"/>
  <c r="S1977" i="17"/>
  <c r="R1976" i="17"/>
  <c r="S1976" i="17"/>
  <c r="R1974" i="17"/>
  <c r="S1974" i="17"/>
  <c r="R1972" i="17"/>
  <c r="S1972" i="17"/>
  <c r="R1970" i="17"/>
  <c r="S1970" i="17"/>
  <c r="R1969" i="17"/>
  <c r="S1969" i="17"/>
  <c r="R1968" i="17"/>
  <c r="S1968" i="17"/>
  <c r="R1967" i="17"/>
  <c r="S1967" i="17"/>
  <c r="R1963" i="17"/>
  <c r="S1963" i="17"/>
  <c r="R1961" i="17"/>
  <c r="S1961" i="17"/>
  <c r="R1960" i="17"/>
  <c r="S1960" i="17"/>
  <c r="R1958" i="17"/>
  <c r="S1958" i="17"/>
  <c r="R1957" i="17"/>
  <c r="S1957" i="17"/>
  <c r="R1956" i="17"/>
  <c r="S1956" i="17"/>
  <c r="R1955" i="17"/>
  <c r="S1955" i="17"/>
  <c r="R1954" i="17"/>
  <c r="S1954" i="17"/>
  <c r="R1953" i="17"/>
  <c r="S1953" i="17"/>
  <c r="R1952" i="17"/>
  <c r="S1952" i="17"/>
  <c r="R1951" i="17"/>
  <c r="S1951" i="17"/>
  <c r="R1941" i="17"/>
  <c r="S1941" i="17"/>
  <c r="R1940" i="17"/>
  <c r="S1940" i="17"/>
  <c r="R1938" i="17"/>
  <c r="S1938" i="17"/>
  <c r="R1935" i="17"/>
  <c r="S1935" i="17"/>
  <c r="R1931" i="17"/>
  <c r="S1931" i="17"/>
  <c r="R1929" i="17"/>
  <c r="S1929" i="17"/>
  <c r="R1928" i="17"/>
  <c r="S1928" i="17"/>
  <c r="R1923" i="17"/>
  <c r="S1923" i="17"/>
  <c r="R1922" i="17"/>
  <c r="S1922" i="17"/>
  <c r="R1921" i="17"/>
  <c r="S1921" i="17"/>
  <c r="R1919" i="17"/>
  <c r="S1919" i="17"/>
  <c r="R1917" i="17"/>
  <c r="S1917" i="17"/>
  <c r="R1910" i="17"/>
  <c r="S1910" i="17"/>
  <c r="R1909" i="17"/>
  <c r="S1909" i="17"/>
  <c r="R1908" i="17"/>
  <c r="S1908" i="17"/>
  <c r="R1906" i="17"/>
  <c r="S1906" i="17"/>
  <c r="R1905" i="17"/>
  <c r="S1905" i="17"/>
  <c r="R1903" i="17"/>
  <c r="S1903" i="17"/>
  <c r="R1902" i="17"/>
  <c r="S1902" i="17"/>
  <c r="R1901" i="17"/>
  <c r="S1901" i="17"/>
  <c r="R1900" i="17"/>
  <c r="S1900" i="17"/>
  <c r="R1895" i="17"/>
  <c r="S1895" i="17"/>
  <c r="R1893" i="17"/>
  <c r="S1893" i="17"/>
  <c r="R1892" i="17"/>
  <c r="S1892" i="17"/>
  <c r="R1891" i="17"/>
  <c r="S1891" i="17"/>
  <c r="R1890" i="17"/>
  <c r="S1890" i="17"/>
  <c r="R1889" i="17"/>
  <c r="S1889" i="17"/>
  <c r="R1888" i="17"/>
  <c r="S1888" i="17"/>
  <c r="R1887" i="17"/>
  <c r="S1887" i="17"/>
  <c r="R1885" i="17"/>
  <c r="S1885" i="17"/>
  <c r="R1884" i="17"/>
  <c r="S1884" i="17"/>
  <c r="R1882" i="17"/>
  <c r="S1882" i="17"/>
  <c r="R1881" i="17"/>
  <c r="S1881" i="17"/>
  <c r="R1880" i="17"/>
  <c r="S1880" i="17"/>
  <c r="R1874" i="17"/>
  <c r="S1874" i="17"/>
  <c r="R1872" i="17"/>
  <c r="S1872" i="17"/>
  <c r="R1871" i="17"/>
  <c r="S1871" i="17"/>
  <c r="R1869" i="17"/>
  <c r="S1869" i="17"/>
  <c r="R1867" i="17"/>
  <c r="S1867" i="17"/>
  <c r="R1866" i="17"/>
  <c r="S1866" i="17"/>
  <c r="R1865" i="17"/>
  <c r="S1865" i="17"/>
  <c r="R1861" i="17"/>
  <c r="S1861" i="17"/>
  <c r="R1860" i="17"/>
  <c r="S1860" i="17"/>
  <c r="R1859" i="17"/>
  <c r="S1859" i="17"/>
  <c r="R1844" i="17"/>
  <c r="S1844" i="17"/>
  <c r="R1843" i="17"/>
  <c r="S1843" i="17"/>
  <c r="R1841" i="17"/>
  <c r="S1841" i="17"/>
  <c r="R1840" i="17"/>
  <c r="S1840" i="17"/>
  <c r="R1834" i="17"/>
  <c r="S1834" i="17"/>
  <c r="R1833" i="17"/>
  <c r="S1833" i="17"/>
  <c r="R1828" i="17"/>
  <c r="S1828" i="17"/>
  <c r="R1823" i="17"/>
  <c r="S1823" i="17"/>
  <c r="R1821" i="17"/>
  <c r="S1821" i="17"/>
  <c r="R1819" i="17"/>
  <c r="S1819" i="17"/>
  <c r="R1818" i="17"/>
  <c r="S1818" i="17"/>
  <c r="R1817" i="17"/>
  <c r="S1817" i="17"/>
  <c r="R1816" i="17"/>
  <c r="S1816" i="17"/>
  <c r="R1815" i="17"/>
  <c r="S1815" i="17"/>
  <c r="R1814" i="17"/>
  <c r="S1814" i="17"/>
  <c r="R1813" i="17"/>
  <c r="S1813" i="17"/>
  <c r="R1797" i="17"/>
  <c r="S1797" i="17"/>
  <c r="R1796" i="17"/>
  <c r="S1796" i="17"/>
  <c r="R1795" i="17"/>
  <c r="S1795" i="17"/>
  <c r="R1794" i="17"/>
  <c r="S1794" i="17"/>
  <c r="R1793" i="17"/>
  <c r="S1793" i="17"/>
  <c r="R1792" i="17"/>
  <c r="S1792" i="17"/>
  <c r="R1791" i="17"/>
  <c r="S1791" i="17"/>
  <c r="R1790" i="17"/>
  <c r="S1790" i="17"/>
  <c r="R1789" i="17"/>
  <c r="S1789" i="17"/>
  <c r="R1788" i="17"/>
  <c r="S1788" i="17"/>
  <c r="R1787" i="17"/>
  <c r="S1787" i="17"/>
  <c r="R1786" i="17"/>
  <c r="S1786" i="17"/>
  <c r="R1785" i="17"/>
  <c r="S1785" i="17"/>
  <c r="R1784" i="17"/>
  <c r="S1784" i="17"/>
  <c r="R1783" i="17"/>
  <c r="S1783" i="17"/>
  <c r="R1782" i="17"/>
  <c r="S1782" i="17"/>
  <c r="R1781" i="17"/>
  <c r="S1781" i="17"/>
  <c r="R1780" i="17"/>
  <c r="S1780" i="17"/>
  <c r="R1779" i="17"/>
  <c r="S1779" i="17"/>
  <c r="R1778" i="17"/>
  <c r="S1778" i="17"/>
  <c r="R1777" i="17"/>
  <c r="S1777" i="17"/>
  <c r="R1776" i="17"/>
  <c r="S1776" i="17"/>
  <c r="R1775" i="17"/>
  <c r="S1775" i="17"/>
  <c r="R1774" i="17"/>
  <c r="S1774" i="17"/>
  <c r="R1773" i="17"/>
  <c r="S1773" i="17"/>
  <c r="R1772" i="17"/>
  <c r="S1772" i="17"/>
  <c r="R1771" i="17"/>
  <c r="S1771" i="17"/>
  <c r="R1770" i="17"/>
  <c r="S1770" i="17"/>
  <c r="R1769" i="17"/>
  <c r="S1769" i="17"/>
  <c r="R1768" i="17"/>
  <c r="S1768" i="17"/>
  <c r="R1767" i="17"/>
  <c r="S1767" i="17"/>
  <c r="R1766" i="17"/>
  <c r="S1766" i="17"/>
  <c r="AD244" i="17"/>
  <c r="AE244" i="17"/>
  <c r="R1765" i="17"/>
  <c r="S1765" i="17"/>
  <c r="J1138" i="17" l="1"/>
  <c r="J1130" i="17"/>
  <c r="J1145" i="17"/>
  <c r="J1129" i="17"/>
  <c r="J1144" i="17"/>
  <c r="J1143" i="17"/>
  <c r="J1141" i="17"/>
  <c r="J1133" i="17"/>
  <c r="J1127" i="17"/>
  <c r="J1128" i="17"/>
  <c r="J1146" i="17"/>
  <c r="J1137" i="17"/>
  <c r="J1131" i="17"/>
  <c r="J1139" i="17"/>
  <c r="J1147" i="17"/>
  <c r="J1148" i="17"/>
  <c r="J1134" i="17"/>
  <c r="J1150" i="17"/>
  <c r="J1142" i="17"/>
  <c r="J1126" i="17"/>
  <c r="J1140" i="17"/>
  <c r="J1132" i="17"/>
  <c r="J1149" i="17"/>
  <c r="R1764" i="17"/>
  <c r="S1764" i="17"/>
  <c r="R1762" i="17"/>
  <c r="S1762" i="17"/>
  <c r="R1761" i="17"/>
  <c r="S1761" i="17"/>
  <c r="R1760" i="17"/>
  <c r="S1760" i="17"/>
  <c r="R1758" i="17"/>
  <c r="S1758" i="17"/>
  <c r="R1759" i="17"/>
  <c r="S1759" i="17"/>
  <c r="R1757" i="17"/>
  <c r="S1757" i="17"/>
  <c r="R1756" i="17"/>
  <c r="S1756" i="17"/>
  <c r="R1755" i="17"/>
  <c r="S1755" i="17"/>
  <c r="R1754" i="17"/>
  <c r="S1754" i="17"/>
  <c r="R1753" i="17"/>
  <c r="S1753" i="17"/>
  <c r="R1752" i="17"/>
  <c r="S1752" i="17"/>
  <c r="R1751" i="17"/>
  <c r="S1751" i="17"/>
  <c r="R1750" i="17"/>
  <c r="S1750" i="17"/>
  <c r="R1749" i="17"/>
  <c r="S1749" i="17"/>
  <c r="R1748" i="17"/>
  <c r="S1748" i="17"/>
  <c r="R1747" i="17"/>
  <c r="S1747" i="17"/>
  <c r="R1746" i="17"/>
  <c r="S1746" i="17"/>
  <c r="R1745" i="17"/>
  <c r="S1745" i="17"/>
  <c r="R1744" i="17"/>
  <c r="S1744" i="17"/>
  <c r="R1743" i="17"/>
  <c r="S1743" i="17"/>
  <c r="R1742" i="17"/>
  <c r="S1742" i="17"/>
  <c r="R1740" i="17"/>
  <c r="S1740" i="17"/>
  <c r="R1739" i="17"/>
  <c r="S1739" i="17"/>
  <c r="R1738" i="17"/>
  <c r="S1738" i="17"/>
  <c r="R1737" i="17"/>
  <c r="S1737" i="17"/>
  <c r="R1736" i="17"/>
  <c r="S1736" i="17"/>
  <c r="R1735" i="17"/>
  <c r="S1735" i="17"/>
  <c r="R1734" i="17"/>
  <c r="S1734" i="17"/>
  <c r="R1733" i="17"/>
  <c r="S1733" i="17"/>
  <c r="R1732" i="17"/>
  <c r="S1732" i="17"/>
  <c r="R1731" i="17"/>
  <c r="S1731" i="17"/>
  <c r="R1611" i="17"/>
  <c r="S1611" i="17"/>
  <c r="R1610" i="17"/>
  <c r="S1610" i="17"/>
  <c r="R1609" i="17"/>
  <c r="S1609" i="17"/>
  <c r="AD256" i="17"/>
  <c r="AE256" i="17"/>
  <c r="AD255" i="17"/>
  <c r="AE255" i="17"/>
  <c r="AD254" i="17"/>
  <c r="AE254" i="17"/>
  <c r="R1730" i="17"/>
  <c r="S1730" i="17"/>
  <c r="R1741" i="17"/>
  <c r="S1741" i="17"/>
  <c r="R1729" i="17"/>
  <c r="S1729" i="17"/>
  <c r="R1728" i="17"/>
  <c r="S1728" i="17"/>
  <c r="R1727" i="17"/>
  <c r="S1727" i="17"/>
  <c r="R1726" i="17"/>
  <c r="S1726" i="17"/>
  <c r="R1725" i="17"/>
  <c r="S1725" i="17"/>
  <c r="R1724" i="17"/>
  <c r="S1724" i="17"/>
  <c r="R1723" i="17"/>
  <c r="S1723" i="17"/>
  <c r="R1722" i="17"/>
  <c r="S1722" i="17"/>
  <c r="R1721" i="17"/>
  <c r="S1721" i="17"/>
  <c r="R1720" i="17"/>
  <c r="S1720" i="17"/>
  <c r="R1719" i="17"/>
  <c r="S1719" i="17"/>
  <c r="R1718" i="17"/>
  <c r="S1718" i="17"/>
  <c r="AD253" i="17"/>
  <c r="AE253" i="17"/>
  <c r="AD252" i="17"/>
  <c r="AE252" i="17"/>
  <c r="AD251" i="17"/>
  <c r="AE251" i="17"/>
  <c r="R1717" i="17" l="1"/>
  <c r="S1717" i="17"/>
  <c r="R1716" i="17"/>
  <c r="S1716" i="17"/>
  <c r="R1715" i="17"/>
  <c r="S1715" i="17"/>
  <c r="R1714" i="17"/>
  <c r="S1714" i="17"/>
  <c r="R1713" i="17"/>
  <c r="S1713" i="17"/>
  <c r="R1712" i="17"/>
  <c r="S1712" i="17"/>
  <c r="R1711" i="17"/>
  <c r="S1711" i="17"/>
  <c r="R1710" i="17"/>
  <c r="S1710" i="17"/>
  <c r="R1709" i="17"/>
  <c r="S1709" i="17"/>
  <c r="R1708" i="17"/>
  <c r="S1708" i="17"/>
  <c r="R1707" i="17"/>
  <c r="S1707" i="17"/>
  <c r="R1706" i="17"/>
  <c r="S1706" i="17"/>
  <c r="R1705" i="17"/>
  <c r="S1705" i="17"/>
  <c r="R1704" i="17"/>
  <c r="S1704" i="17"/>
  <c r="R1703" i="17"/>
  <c r="S1703" i="17"/>
  <c r="R1702" i="17"/>
  <c r="S1702" i="17"/>
  <c r="R1701" i="17"/>
  <c r="S1701" i="17"/>
  <c r="R1700" i="17"/>
  <c r="S1700" i="17"/>
  <c r="R1699" i="17"/>
  <c r="S1699" i="17"/>
  <c r="R1698" i="17"/>
  <c r="S1698" i="17"/>
  <c r="R1697" i="17"/>
  <c r="S1697" i="17"/>
  <c r="R1696" i="17"/>
  <c r="S1696" i="17"/>
  <c r="R1695" i="17"/>
  <c r="S1695" i="17"/>
  <c r="R1694" i="17"/>
  <c r="S1694" i="17"/>
  <c r="R1693" i="17"/>
  <c r="S1693" i="17"/>
  <c r="R1692" i="17"/>
  <c r="S1692" i="17"/>
  <c r="R1691" i="17"/>
  <c r="S1691" i="17"/>
  <c r="R1690" i="17"/>
  <c r="S1690" i="17"/>
  <c r="R1689" i="17"/>
  <c r="S1689" i="17"/>
  <c r="R1664" i="17"/>
  <c r="R1665" i="17"/>
  <c r="S1664" i="17"/>
  <c r="S1665" i="17"/>
  <c r="R1688" i="17"/>
  <c r="S1688" i="17"/>
  <c r="R1687" i="17"/>
  <c r="S1687" i="17"/>
  <c r="R1686" i="17"/>
  <c r="S1686" i="17"/>
  <c r="R1685" i="17"/>
  <c r="S1685" i="17"/>
  <c r="R1684" i="17"/>
  <c r="S1684" i="17"/>
  <c r="R1683" i="17"/>
  <c r="S1683" i="17"/>
  <c r="R1682" i="17"/>
  <c r="S1682" i="17"/>
  <c r="R1681" i="17"/>
  <c r="S1681" i="17"/>
  <c r="R1680" i="17"/>
  <c r="S1680" i="17"/>
  <c r="R1679" i="17"/>
  <c r="S1679" i="17"/>
  <c r="R1678" i="17"/>
  <c r="S1678" i="17"/>
  <c r="R1677" i="17"/>
  <c r="S1677" i="17"/>
  <c r="R1676" i="17"/>
  <c r="S1676" i="17"/>
  <c r="R1675" i="17"/>
  <c r="S1675" i="17"/>
  <c r="R1674" i="17"/>
  <c r="S1674" i="17"/>
  <c r="R1673" i="17"/>
  <c r="S1673" i="17"/>
  <c r="AD250" i="17"/>
  <c r="AE250" i="17"/>
  <c r="AD249" i="17"/>
  <c r="AE249" i="17"/>
  <c r="AD248" i="17"/>
  <c r="AE248" i="17"/>
  <c r="AD247" i="17"/>
  <c r="AE247" i="17"/>
  <c r="R1672" i="17"/>
  <c r="S1672" i="17"/>
  <c r="R1671" i="17"/>
  <c r="S1671" i="17"/>
  <c r="R1669" i="17"/>
  <c r="S1669" i="17"/>
  <c r="R1670" i="17"/>
  <c r="S1670" i="17"/>
  <c r="R1668" i="17"/>
  <c r="S1668" i="17"/>
  <c r="R1667" i="17"/>
  <c r="S1667" i="17"/>
  <c r="R1666" i="17"/>
  <c r="S1666" i="17"/>
  <c r="R1663" i="17"/>
  <c r="S1663" i="17"/>
  <c r="R1662" i="17"/>
  <c r="S1662" i="17"/>
  <c r="R1661" i="17"/>
  <c r="S1661" i="17"/>
  <c r="R1660" i="17"/>
  <c r="S1660" i="17"/>
  <c r="R1659" i="17"/>
  <c r="S1659" i="17"/>
  <c r="R1658" i="17"/>
  <c r="S1658" i="17"/>
  <c r="R1657" i="17"/>
  <c r="S1657" i="17"/>
  <c r="R1656" i="17"/>
  <c r="S1656" i="17"/>
  <c r="R1655" i="17"/>
  <c r="S1655" i="17"/>
  <c r="R1654" i="17" l="1"/>
  <c r="S1654" i="17"/>
  <c r="R1653" i="17"/>
  <c r="S1653" i="17"/>
  <c r="R1651" i="17"/>
  <c r="S1651" i="17"/>
  <c r="R1652" i="17"/>
  <c r="S1652" i="17"/>
  <c r="R1650" i="17"/>
  <c r="S1650" i="17"/>
  <c r="R1649" i="17" l="1"/>
  <c r="S1649" i="17"/>
  <c r="R1648" i="17"/>
  <c r="S1648" i="17"/>
  <c r="AD246" i="17"/>
  <c r="AE246" i="17"/>
  <c r="AD245" i="17"/>
  <c r="AE245" i="17"/>
  <c r="R1647" i="17"/>
  <c r="S1647" i="17"/>
  <c r="R1646" i="17"/>
  <c r="S1646" i="17"/>
  <c r="R1640" i="17"/>
  <c r="S1640" i="17"/>
  <c r="R1645" i="17"/>
  <c r="S1645" i="17"/>
  <c r="R1644" i="17"/>
  <c r="S1644" i="17"/>
  <c r="R1643" i="17"/>
  <c r="S1643" i="17"/>
  <c r="R1631" i="17"/>
  <c r="S1631" i="17"/>
  <c r="R1642" i="17"/>
  <c r="S1642" i="17"/>
  <c r="R1641" i="17"/>
  <c r="S1641" i="17"/>
  <c r="R1635" i="17"/>
  <c r="S1635" i="17"/>
  <c r="R1639" i="17"/>
  <c r="S1639" i="17"/>
  <c r="R1638" i="17"/>
  <c r="S1638" i="17"/>
  <c r="R1637" i="17"/>
  <c r="S1637" i="17"/>
  <c r="R1189" i="17"/>
  <c r="S1189" i="17"/>
  <c r="R1636" i="17"/>
  <c r="S1636" i="17"/>
  <c r="R1634" i="17" l="1"/>
  <c r="S1634" i="17"/>
  <c r="R1633" i="17"/>
  <c r="S1633" i="17"/>
  <c r="R1632" i="17"/>
  <c r="S1632" i="17"/>
  <c r="R1630" i="17"/>
  <c r="S1630" i="17"/>
  <c r="R1079" i="17"/>
  <c r="S1079" i="17"/>
  <c r="R1629" i="17" l="1"/>
  <c r="S1629" i="17"/>
  <c r="R1628" i="17"/>
  <c r="S1628" i="17"/>
  <c r="R1627" i="17"/>
  <c r="S1627" i="17"/>
  <c r="R1626" i="17"/>
  <c r="S1626" i="17"/>
  <c r="R1625" i="17"/>
  <c r="S1625" i="17"/>
  <c r="R1624" i="17"/>
  <c r="S1624" i="17"/>
  <c r="R1623" i="17"/>
  <c r="S1623" i="17"/>
  <c r="R1622" i="17"/>
  <c r="S1622" i="17"/>
  <c r="R1621" i="17"/>
  <c r="S1621" i="17"/>
  <c r="R1620" i="17"/>
  <c r="S1620" i="17"/>
  <c r="R1619" i="17"/>
  <c r="S1619" i="17"/>
  <c r="R1618" i="17"/>
  <c r="S1618" i="17"/>
  <c r="R1617" i="17"/>
  <c r="S1617" i="17"/>
  <c r="AD243" i="17"/>
  <c r="AE243" i="17"/>
  <c r="AD242" i="17"/>
  <c r="AE242" i="17"/>
  <c r="AD241" i="17"/>
  <c r="AE241" i="17"/>
  <c r="AD240" i="17"/>
  <c r="AE240" i="17"/>
  <c r="AD239" i="17"/>
  <c r="AE239" i="17"/>
  <c r="R1616" i="17"/>
  <c r="S1616" i="17"/>
  <c r="AD227" i="17"/>
  <c r="AD228" i="17"/>
  <c r="AE227" i="17"/>
  <c r="AE228" i="17"/>
  <c r="R1615" i="17"/>
  <c r="S1615" i="17"/>
  <c r="R1614" i="17"/>
  <c r="S1614" i="17"/>
  <c r="R1613" i="17"/>
  <c r="S1613" i="17"/>
  <c r="R1612" i="17"/>
  <c r="S1612" i="17"/>
  <c r="R1608" i="17"/>
  <c r="S1608" i="17"/>
  <c r="R1607" i="17"/>
  <c r="S1607" i="17"/>
  <c r="R1606" i="17"/>
  <c r="S1606" i="17"/>
  <c r="R1605" i="17"/>
  <c r="S1605" i="17"/>
  <c r="R1604" i="17"/>
  <c r="S1604" i="17"/>
  <c r="R1603" i="17"/>
  <c r="S1603" i="17"/>
  <c r="R1602" i="17"/>
  <c r="S1602" i="17"/>
  <c r="R1601" i="17"/>
  <c r="S1601" i="17"/>
  <c r="R1600" i="17"/>
  <c r="S1600" i="17"/>
  <c r="R1599" i="17"/>
  <c r="S1599" i="17"/>
  <c r="R1598" i="17"/>
  <c r="S1598" i="17"/>
  <c r="R1597" i="17"/>
  <c r="S1597" i="17"/>
  <c r="R1596" i="17"/>
  <c r="S1596" i="17"/>
  <c r="R1595" i="17"/>
  <c r="S1595" i="17"/>
  <c r="R1594" i="17"/>
  <c r="S1594" i="17"/>
  <c r="R1593" i="17"/>
  <c r="S1593" i="17"/>
  <c r="R1592" i="17"/>
  <c r="S1592" i="17"/>
  <c r="R1577" i="17"/>
  <c r="S1577" i="17"/>
  <c r="R1576" i="17"/>
  <c r="S1576" i="17"/>
  <c r="R1575" i="17"/>
  <c r="S1575" i="17"/>
  <c r="R1574" i="17"/>
  <c r="S1574" i="17"/>
  <c r="R1573" i="17"/>
  <c r="S1573" i="17"/>
  <c r="R1496" i="17"/>
  <c r="S1496" i="17"/>
  <c r="H1124" i="17"/>
  <c r="J1125" i="17"/>
  <c r="R1551" i="17"/>
  <c r="S1551" i="17"/>
  <c r="R1591" i="17"/>
  <c r="S1591" i="17"/>
  <c r="R1572" i="17"/>
  <c r="S1572" i="17"/>
  <c r="R1571" i="17"/>
  <c r="S1571" i="17"/>
  <c r="R1570" i="17"/>
  <c r="S1570" i="17"/>
  <c r="R1569" i="17"/>
  <c r="S1569" i="17"/>
  <c r="R1568" i="17"/>
  <c r="S1568" i="17"/>
  <c r="R1567" i="17"/>
  <c r="S1567" i="17"/>
  <c r="R1566" i="17"/>
  <c r="S1566" i="17"/>
  <c r="R1565" i="17"/>
  <c r="S1565" i="17"/>
  <c r="R1564" i="17"/>
  <c r="S1564" i="17"/>
  <c r="R1563" i="17"/>
  <c r="S1563" i="17"/>
  <c r="R1562" i="17"/>
  <c r="S1562" i="17"/>
  <c r="R1561" i="17"/>
  <c r="S1561" i="17"/>
  <c r="R1560" i="17"/>
  <c r="S1560" i="17"/>
  <c r="R1559" i="17"/>
  <c r="S1559" i="17"/>
  <c r="R1558" i="17"/>
  <c r="S1558" i="17"/>
  <c r="R1557" i="17"/>
  <c r="S1557" i="17"/>
  <c r="R1556" i="17"/>
  <c r="S1556" i="17"/>
  <c r="R1555" i="17"/>
  <c r="S1555" i="17"/>
  <c r="AD238" i="17"/>
  <c r="AE238" i="17"/>
  <c r="AD237" i="17"/>
  <c r="AE237" i="17"/>
  <c r="R1554" i="17"/>
  <c r="S1554" i="17"/>
  <c r="J1135" i="17"/>
  <c r="J1136" i="17"/>
  <c r="AD234" i="17"/>
  <c r="AE234" i="17"/>
  <c r="AD236" i="17"/>
  <c r="AE236" i="17"/>
  <c r="AD235" i="17"/>
  <c r="AE235" i="17"/>
  <c r="AD233" i="17"/>
  <c r="AE233" i="17"/>
  <c r="R1480" i="17" l="1"/>
  <c r="S1480" i="17"/>
  <c r="R1481" i="17"/>
  <c r="S1481" i="17"/>
  <c r="R1553" i="17"/>
  <c r="S1553" i="17"/>
  <c r="R1552" i="17"/>
  <c r="S1552" i="17"/>
  <c r="R1550" i="17"/>
  <c r="S1550" i="17"/>
  <c r="R1549" i="17"/>
  <c r="S1549" i="17"/>
  <c r="R1548" i="17"/>
  <c r="S1548" i="17"/>
  <c r="R1547" i="17"/>
  <c r="S1547" i="17"/>
  <c r="R1546" i="17"/>
  <c r="S1546" i="17"/>
  <c r="R1545" i="17"/>
  <c r="S1545" i="17"/>
  <c r="R1544" i="17"/>
  <c r="S1544" i="17"/>
  <c r="R1543" i="17"/>
  <c r="S1543" i="17"/>
  <c r="R1542" i="17"/>
  <c r="S1542" i="17"/>
  <c r="R1541" i="17"/>
  <c r="S1541" i="17"/>
  <c r="R1540" i="17"/>
  <c r="S1540" i="17"/>
  <c r="R1539" i="17"/>
  <c r="S1539" i="17"/>
  <c r="R1538" i="17"/>
  <c r="S1538" i="17"/>
  <c r="R1537" i="17"/>
  <c r="S1537" i="17"/>
  <c r="R1536" i="17"/>
  <c r="S1536" i="17"/>
  <c r="R1527" i="17"/>
  <c r="S1527" i="17"/>
  <c r="R1535" i="17"/>
  <c r="S1535" i="17"/>
  <c r="R1534" i="17" l="1"/>
  <c r="S1534" i="17"/>
  <c r="R1533" i="17"/>
  <c r="S1533" i="17"/>
  <c r="R1532" i="17"/>
  <c r="S1532" i="17"/>
  <c r="R1531" i="17"/>
  <c r="S1531" i="17"/>
  <c r="R1530" i="17"/>
  <c r="S1530" i="17"/>
  <c r="R1529" i="17"/>
  <c r="S1529" i="17"/>
  <c r="R1528" i="17"/>
  <c r="S1528" i="17"/>
  <c r="R1526" i="17"/>
  <c r="S1526" i="17"/>
  <c r="R1525" i="17"/>
  <c r="S1525" i="17"/>
  <c r="R1524" i="17"/>
  <c r="S1524" i="17"/>
  <c r="R1523" i="17"/>
  <c r="S1523" i="17"/>
  <c r="R1522" i="17"/>
  <c r="S1522" i="17"/>
  <c r="R1521" i="17"/>
  <c r="S1521" i="17"/>
  <c r="R1520" i="17"/>
  <c r="S1520" i="17"/>
  <c r="R1519" i="17"/>
  <c r="S1519" i="17"/>
  <c r="R1518" i="17"/>
  <c r="S1518" i="17"/>
  <c r="R1517" i="17"/>
  <c r="S1517" i="17"/>
  <c r="R1516" i="17" l="1"/>
  <c r="S1516" i="17"/>
  <c r="R1515" i="17"/>
  <c r="S1515" i="17"/>
  <c r="R1514" i="17"/>
  <c r="S1514" i="17"/>
  <c r="R1513" i="17"/>
  <c r="S1513" i="17"/>
  <c r="R1512" i="17"/>
  <c r="S1512" i="17"/>
  <c r="R1511" i="17"/>
  <c r="S1511" i="17"/>
  <c r="AD232" i="17" l="1"/>
  <c r="AE232" i="17"/>
  <c r="R1510" i="17"/>
  <c r="S1510" i="17"/>
  <c r="R1509" i="17"/>
  <c r="S1509" i="17"/>
  <c r="R1508" i="17"/>
  <c r="S1508" i="17"/>
  <c r="R1507" i="17"/>
  <c r="S1507" i="17"/>
  <c r="R1506" i="17"/>
  <c r="S1506" i="17"/>
  <c r="R1505" i="17"/>
  <c r="S1505" i="17"/>
  <c r="R1504" i="17"/>
  <c r="S1504" i="17"/>
  <c r="R1503" i="17" l="1"/>
  <c r="S1503" i="17"/>
  <c r="R1502" i="17"/>
  <c r="S1502" i="17"/>
  <c r="R1501" i="17"/>
  <c r="S1501" i="17"/>
  <c r="R1500" i="17"/>
  <c r="S1500" i="17"/>
  <c r="R1499" i="17"/>
  <c r="S1499" i="17"/>
  <c r="R1498" i="17"/>
  <c r="S1498" i="17"/>
  <c r="R1497" i="17"/>
  <c r="S1497" i="17"/>
  <c r="R1495" i="17" l="1"/>
  <c r="S1495" i="17"/>
  <c r="R1494" i="17"/>
  <c r="S1494" i="17"/>
  <c r="R1493" i="17"/>
  <c r="S1493" i="17"/>
  <c r="R1492" i="17"/>
  <c r="S1492" i="17"/>
  <c r="R1491" i="17"/>
  <c r="S1491" i="17"/>
  <c r="R1490" i="17"/>
  <c r="S1490" i="17"/>
  <c r="R1479" i="17"/>
  <c r="S1479" i="17"/>
  <c r="AD231" i="17" l="1"/>
  <c r="AE231" i="17"/>
  <c r="AD230" i="17"/>
  <c r="AE230" i="17"/>
  <c r="R1489" i="17"/>
  <c r="S1489" i="17"/>
  <c r="R1488" i="17"/>
  <c r="S1488" i="17"/>
  <c r="R1487" i="17"/>
  <c r="S1487" i="17"/>
  <c r="R1486" i="17"/>
  <c r="S1486" i="17"/>
  <c r="R1485" i="17"/>
  <c r="S1485" i="17"/>
  <c r="R1484" i="17"/>
  <c r="S1484" i="17"/>
  <c r="R1483" i="17"/>
  <c r="S1483" i="17"/>
  <c r="R1482" i="17"/>
  <c r="S1482" i="17"/>
  <c r="R1478" i="17"/>
  <c r="S1478" i="17"/>
  <c r="R1476" i="17"/>
  <c r="S1476" i="17"/>
  <c r="R1401" i="17"/>
  <c r="S1401" i="17"/>
  <c r="R1477" i="17"/>
  <c r="S1477" i="17"/>
  <c r="R1475" i="17"/>
  <c r="S1475" i="17"/>
  <c r="R1474" i="17"/>
  <c r="S1474" i="17"/>
  <c r="R1473" i="17"/>
  <c r="S1473" i="17"/>
  <c r="R1472" i="17"/>
  <c r="S1472" i="17"/>
  <c r="AD229" i="17"/>
  <c r="AE229" i="17"/>
  <c r="R1471" i="17"/>
  <c r="S1471" i="17"/>
  <c r="R1470" i="17"/>
  <c r="S1470" i="17"/>
  <c r="R1469" i="17"/>
  <c r="S1469" i="17"/>
  <c r="AD225" i="17"/>
  <c r="AD226" i="17"/>
  <c r="AE225" i="17"/>
  <c r="AE226" i="17"/>
  <c r="AD224" i="17"/>
  <c r="AE224" i="17"/>
  <c r="AD223" i="17"/>
  <c r="AE223" i="17"/>
  <c r="AD222" i="17"/>
  <c r="AE222" i="17"/>
  <c r="AD221" i="17"/>
  <c r="AE221" i="17"/>
  <c r="AD220" i="17"/>
  <c r="AE220" i="17"/>
  <c r="AD219" i="17"/>
  <c r="AE219" i="17"/>
  <c r="AD218" i="17"/>
  <c r="AE218" i="17"/>
  <c r="R1468" i="17"/>
  <c r="S1468" i="17"/>
  <c r="H1123" i="17"/>
  <c r="AD217" i="17"/>
  <c r="AE217" i="17"/>
  <c r="AD216" i="17"/>
  <c r="AE216" i="17"/>
  <c r="AD215" i="17"/>
  <c r="AE215" i="17"/>
  <c r="AD214" i="17"/>
  <c r="AE214" i="17"/>
  <c r="AD213" i="17"/>
  <c r="AE213" i="17"/>
  <c r="AD212" i="17"/>
  <c r="AE212" i="17"/>
  <c r="H1119" i="17"/>
  <c r="H1120" i="17"/>
  <c r="H1121" i="17"/>
  <c r="H1122" i="17"/>
  <c r="AD211" i="17"/>
  <c r="AE211" i="17"/>
  <c r="AD210" i="17"/>
  <c r="AE210" i="17"/>
  <c r="J1124" i="17"/>
  <c r="J1123" i="17" l="1"/>
  <c r="J1122" i="17"/>
  <c r="R1467" i="17" l="1"/>
  <c r="S1467" i="17"/>
  <c r="R1466" i="17"/>
  <c r="S1466" i="17"/>
  <c r="R1423" i="17"/>
  <c r="S1423" i="17"/>
  <c r="R1465" i="17"/>
  <c r="S1465" i="17"/>
  <c r="R1464" i="17"/>
  <c r="S1464" i="17"/>
  <c r="R1463" i="17"/>
  <c r="S1463" i="17"/>
  <c r="R1462" i="17"/>
  <c r="S1462" i="17"/>
  <c r="R1461" i="17"/>
  <c r="S1461" i="17"/>
  <c r="R1460" i="17"/>
  <c r="S1460" i="17"/>
  <c r="R1459" i="17"/>
  <c r="S1459" i="17"/>
  <c r="R1458" i="17"/>
  <c r="S1458" i="17"/>
  <c r="R1457" i="17"/>
  <c r="S1457" i="17"/>
  <c r="R1456" i="17"/>
  <c r="S1456" i="17"/>
  <c r="R1455" i="17"/>
  <c r="S1455" i="17"/>
  <c r="R1454" i="17"/>
  <c r="S1454" i="17"/>
  <c r="R1453" i="17"/>
  <c r="S1453" i="17"/>
  <c r="R1452" i="17"/>
  <c r="S1452" i="17"/>
  <c r="R1451" i="17"/>
  <c r="S1451" i="17"/>
  <c r="AD209" i="17"/>
  <c r="AE209" i="17"/>
  <c r="R999" i="17"/>
  <c r="R1000" i="17"/>
  <c r="S999" i="17"/>
  <c r="S1000" i="17"/>
  <c r="R1450" i="17"/>
  <c r="S1450" i="17"/>
  <c r="R1449" i="17"/>
  <c r="S1449" i="17"/>
  <c r="R1448" i="17"/>
  <c r="S1448" i="17"/>
  <c r="R1447" i="17"/>
  <c r="S1447" i="17"/>
  <c r="R1446" i="17"/>
  <c r="S1446" i="17"/>
  <c r="R1445" i="17"/>
  <c r="S1445" i="17"/>
  <c r="R1444" i="17"/>
  <c r="S1444" i="17"/>
  <c r="R1443" i="17"/>
  <c r="S1443" i="17"/>
  <c r="R1442" i="17"/>
  <c r="S1442" i="17"/>
  <c r="R1441" i="17"/>
  <c r="S1441" i="17"/>
  <c r="R1440" i="17"/>
  <c r="S1440" i="17"/>
  <c r="R1439" i="17"/>
  <c r="S1439" i="17"/>
  <c r="R1438" i="17"/>
  <c r="S1438" i="17"/>
  <c r="R1437" i="17"/>
  <c r="S1437" i="17"/>
  <c r="R1436" i="17"/>
  <c r="S1436" i="17"/>
  <c r="R1435" i="17"/>
  <c r="S1435" i="17"/>
  <c r="R1434" i="17"/>
  <c r="S1434" i="17"/>
  <c r="R1430" i="17"/>
  <c r="S1430" i="17"/>
  <c r="R1344" i="17"/>
  <c r="S1344" i="17"/>
  <c r="R1590" i="17"/>
  <c r="S1590" i="17"/>
  <c r="R1589" i="17"/>
  <c r="S1589" i="17"/>
  <c r="R1588" i="17"/>
  <c r="S1588" i="17"/>
  <c r="R1587" i="17"/>
  <c r="S1587" i="17"/>
  <c r="R1586" i="17"/>
  <c r="S1586" i="17"/>
  <c r="R1585" i="17"/>
  <c r="S1585" i="17"/>
  <c r="R1584" i="17"/>
  <c r="S1584" i="17"/>
  <c r="R1583" i="17"/>
  <c r="S1583" i="17"/>
  <c r="R1582" i="17"/>
  <c r="S1582" i="17"/>
  <c r="R1581" i="17"/>
  <c r="S1581" i="17"/>
  <c r="R1580" i="17"/>
  <c r="S1580" i="17"/>
  <c r="R1579" i="17"/>
  <c r="S1579" i="17"/>
  <c r="R1578" i="17"/>
  <c r="S1578" i="17"/>
  <c r="R1433" i="17"/>
  <c r="S1433" i="17"/>
  <c r="R1422" i="17"/>
  <c r="S1422" i="17"/>
  <c r="R1432" i="17"/>
  <c r="S1432" i="17"/>
  <c r="R1314" i="17"/>
  <c r="S1314" i="17"/>
  <c r="S1429" i="17"/>
  <c r="R1429" i="17"/>
  <c r="R1431" i="17"/>
  <c r="S1431" i="17"/>
  <c r="AD206" i="17"/>
  <c r="AD207" i="17"/>
  <c r="AD208" i="17"/>
  <c r="AE206" i="17"/>
  <c r="AE207" i="17"/>
  <c r="AE208" i="17"/>
  <c r="AD205" i="17"/>
  <c r="AE205" i="17"/>
  <c r="R1428" i="17"/>
  <c r="S1428" i="17"/>
  <c r="R1427" i="17"/>
  <c r="S1427" i="17"/>
  <c r="R1426" i="17"/>
  <c r="S1426" i="17"/>
  <c r="R1425" i="17"/>
  <c r="S1425" i="17"/>
  <c r="R1424" i="17"/>
  <c r="S1424" i="17"/>
  <c r="R1421" i="17"/>
  <c r="S1421" i="17"/>
  <c r="R1420" i="17"/>
  <c r="S1420" i="17"/>
  <c r="R1419" i="17"/>
  <c r="S1419" i="17"/>
  <c r="S1418" i="17"/>
  <c r="R1418" i="17"/>
  <c r="S1417" i="17"/>
  <c r="R1417" i="17"/>
  <c r="R1374" i="17"/>
  <c r="S1374" i="17"/>
  <c r="R1416" i="17"/>
  <c r="S1416" i="17"/>
  <c r="R1415" i="17"/>
  <c r="S1415" i="17"/>
  <c r="R1414" i="17"/>
  <c r="S1414" i="17"/>
  <c r="R1413" i="17"/>
  <c r="S1413" i="17"/>
  <c r="R1412" i="17"/>
  <c r="S1412" i="17"/>
  <c r="R1411" i="17"/>
  <c r="S1411" i="17"/>
  <c r="R1410" i="17"/>
  <c r="S1410" i="17"/>
  <c r="R1409" i="17"/>
  <c r="S1409" i="17"/>
  <c r="R1408" i="17"/>
  <c r="S1408" i="17"/>
  <c r="R1407" i="17"/>
  <c r="S1407" i="17"/>
  <c r="R1406" i="17"/>
  <c r="S1406" i="17"/>
  <c r="R1405" i="17"/>
  <c r="S1405" i="17"/>
  <c r="G9" i="17"/>
  <c r="R643" i="17"/>
  <c r="S643" i="17"/>
  <c r="R639" i="17"/>
  <c r="R640" i="17"/>
  <c r="R641" i="17"/>
  <c r="R642" i="17"/>
  <c r="S639" i="17"/>
  <c r="S640" i="17"/>
  <c r="S641" i="17"/>
  <c r="S642" i="17"/>
  <c r="R1404" i="17"/>
  <c r="S1404" i="17"/>
  <c r="R1403" i="17"/>
  <c r="S1403" i="17"/>
  <c r="R1402" i="17"/>
  <c r="S1402" i="17"/>
  <c r="R1400" i="17"/>
  <c r="S1400" i="17"/>
  <c r="R1399" i="17"/>
  <c r="S1399" i="17"/>
  <c r="R1398" i="17"/>
  <c r="S1398" i="17"/>
  <c r="R1397" i="17"/>
  <c r="S1397" i="17"/>
  <c r="R1396" i="17"/>
  <c r="S1396" i="17"/>
  <c r="R1395" i="17"/>
  <c r="S1395" i="17"/>
  <c r="R1394" i="17"/>
  <c r="S1394" i="17"/>
  <c r="R1393" i="17"/>
  <c r="S1393" i="17"/>
  <c r="R1392" i="17"/>
  <c r="S1392" i="17"/>
  <c r="R1391" i="17"/>
  <c r="S1391" i="17"/>
  <c r="R1390" i="17"/>
  <c r="S1390" i="17"/>
  <c r="R1389" i="17"/>
  <c r="S1389" i="17"/>
  <c r="R1388" i="17"/>
  <c r="S1388" i="17"/>
  <c r="R1387" i="17"/>
  <c r="S1387" i="17"/>
  <c r="R1386" i="17"/>
  <c r="S1386" i="17"/>
  <c r="R1385" i="17"/>
  <c r="S1385" i="17"/>
  <c r="R1384" i="17"/>
  <c r="S1384" i="17"/>
  <c r="R1383" i="17"/>
  <c r="S1383" i="17"/>
  <c r="R1382" i="17"/>
  <c r="S1382" i="17"/>
  <c r="R1381" i="17"/>
  <c r="S1381" i="17"/>
  <c r="R1380" i="17"/>
  <c r="S1380" i="17"/>
  <c r="R1379" i="17"/>
  <c r="S1379" i="17"/>
  <c r="R1378" i="17"/>
  <c r="S1378" i="17"/>
  <c r="R1376" i="17"/>
  <c r="R1377" i="17"/>
  <c r="S1376" i="17"/>
  <c r="S1377" i="17"/>
  <c r="R1375" i="17"/>
  <c r="S1375" i="17"/>
  <c r="R1366" i="17"/>
  <c r="S1366" i="17"/>
  <c r="R1373" i="17"/>
  <c r="S1373" i="17"/>
  <c r="R1372" i="17"/>
  <c r="S1372" i="17"/>
  <c r="R1371" i="17"/>
  <c r="S1371" i="17"/>
  <c r="R1370" i="17"/>
  <c r="S1370" i="17"/>
  <c r="R1369" i="17"/>
  <c r="S1369" i="17"/>
  <c r="R1368" i="17"/>
  <c r="S1368" i="17"/>
  <c r="R1367" i="17"/>
  <c r="S1367" i="17"/>
  <c r="R1365" i="17"/>
  <c r="S1365" i="17"/>
  <c r="R1364" i="17"/>
  <c r="S1364" i="17"/>
  <c r="R1363" i="17"/>
  <c r="S1363" i="17"/>
  <c r="R1362" i="17"/>
  <c r="S1362" i="17"/>
  <c r="R1361" i="17"/>
  <c r="S1361" i="17"/>
  <c r="R1360" i="17"/>
  <c r="S1360" i="17"/>
  <c r="R1359" i="17"/>
  <c r="S1359" i="17"/>
  <c r="R1358" i="17"/>
  <c r="S1358" i="17"/>
  <c r="R1357" i="17"/>
  <c r="S1357" i="17"/>
  <c r="R1356" i="17"/>
  <c r="S1356" i="17"/>
  <c r="R1355" i="17"/>
  <c r="S1355" i="17"/>
  <c r="R1354" i="17"/>
  <c r="S1354" i="17"/>
  <c r="R1353" i="17"/>
  <c r="S1353" i="17"/>
  <c r="R1352" i="17"/>
  <c r="S1352" i="17"/>
  <c r="AD204" i="17"/>
  <c r="AE204" i="17"/>
  <c r="AD203" i="17"/>
  <c r="AE203" i="17"/>
  <c r="R1351" i="17"/>
  <c r="S1351" i="17"/>
  <c r="R1350" i="17"/>
  <c r="S1350" i="17"/>
  <c r="R1349" i="17"/>
  <c r="S1349" i="17"/>
  <c r="R1348" i="17"/>
  <c r="S1348" i="17"/>
  <c r="R1347" i="17"/>
  <c r="S1347" i="17"/>
  <c r="R1346" i="17"/>
  <c r="S1346" i="17"/>
  <c r="AD202" i="17"/>
  <c r="AE202" i="17"/>
  <c r="AD201" i="17"/>
  <c r="AE201" i="17"/>
  <c r="AD200" i="17"/>
  <c r="AE200" i="17"/>
  <c r="AD199" i="17"/>
  <c r="AE199" i="17"/>
  <c r="AD198" i="17"/>
  <c r="AE198" i="17"/>
  <c r="AD197" i="17"/>
  <c r="AE197" i="17"/>
  <c r="R1343" i="17"/>
  <c r="S1343" i="17"/>
  <c r="R1342" i="17"/>
  <c r="S1342" i="17"/>
  <c r="R1345" i="17"/>
  <c r="S1345" i="17"/>
  <c r="R1340" i="17"/>
  <c r="S1340" i="17"/>
  <c r="R1341" i="17"/>
  <c r="S1341" i="17"/>
  <c r="R1339" i="17"/>
  <c r="S1339" i="17"/>
  <c r="R1338" i="17"/>
  <c r="S1338" i="17"/>
  <c r="R1337" i="17"/>
  <c r="S1337" i="17"/>
  <c r="AD196" i="17"/>
  <c r="AE196" i="17"/>
  <c r="R1331" i="17"/>
  <c r="S1331" i="17"/>
  <c r="R1325" i="17"/>
  <c r="S1325" i="17"/>
  <c r="AD195" i="17"/>
  <c r="AE195" i="17"/>
  <c r="R1336" i="17"/>
  <c r="S1336" i="17"/>
  <c r="AD194" i="17"/>
  <c r="AE194" i="17"/>
  <c r="AD193" i="17"/>
  <c r="AE193" i="17"/>
  <c r="AD192" i="17"/>
  <c r="AE192" i="17"/>
  <c r="R1335" i="17"/>
  <c r="S1335" i="17"/>
  <c r="R1334" i="17"/>
  <c r="S1334" i="17"/>
  <c r="R1333" i="17"/>
  <c r="S1333" i="17"/>
  <c r="R1332" i="17"/>
  <c r="S1332" i="17"/>
  <c r="R1330" i="17"/>
  <c r="S1330" i="17"/>
  <c r="R1329" i="17"/>
  <c r="S1329" i="17"/>
  <c r="R1328" i="17"/>
  <c r="S1328" i="17"/>
  <c r="J1119" i="17"/>
  <c r="J1120" i="17"/>
  <c r="R1327" i="17"/>
  <c r="S1327" i="17"/>
  <c r="R1326" i="17"/>
  <c r="S1326" i="17"/>
  <c r="R1321" i="17"/>
  <c r="S1321" i="17"/>
  <c r="AD191" i="17"/>
  <c r="AE191" i="17"/>
  <c r="R1324" i="17"/>
  <c r="S1324" i="17"/>
  <c r="R1323" i="17"/>
  <c r="S1323" i="17"/>
  <c r="R1322" i="17"/>
  <c r="S1322" i="17"/>
  <c r="R1320" i="17"/>
  <c r="S1320" i="17"/>
  <c r="R1319" i="17"/>
  <c r="S1319" i="17"/>
  <c r="R1318" i="17"/>
  <c r="S1318" i="17"/>
  <c r="R1317" i="17"/>
  <c r="S1317" i="17"/>
  <c r="R1316" i="17"/>
  <c r="S1316" i="17"/>
  <c r="R1315" i="17"/>
  <c r="S1315" i="17"/>
  <c r="R1313" i="17"/>
  <c r="S1313" i="17"/>
  <c r="R1312" i="17"/>
  <c r="S1312" i="17"/>
  <c r="R1311" i="17"/>
  <c r="S1311" i="17"/>
  <c r="R1310" i="17"/>
  <c r="S1310" i="17"/>
  <c r="R1309" i="17"/>
  <c r="S1309" i="17"/>
  <c r="R1308" i="17"/>
  <c r="S1308" i="17"/>
  <c r="R1307" i="17"/>
  <c r="S1307" i="17"/>
  <c r="R1306" i="17"/>
  <c r="S1306" i="17"/>
  <c r="R1305" i="17"/>
  <c r="S1305" i="17"/>
  <c r="R1304" i="17"/>
  <c r="S1304" i="17"/>
  <c r="R1303" i="17"/>
  <c r="S1303" i="17"/>
  <c r="R1302" i="17"/>
  <c r="S1302" i="17"/>
  <c r="H770" i="17"/>
  <c r="R1301" i="17"/>
  <c r="S1301" i="17"/>
  <c r="R1300" i="17"/>
  <c r="S1300" i="17"/>
  <c r="R1299" i="17"/>
  <c r="S1299" i="17"/>
  <c r="R1298" i="17"/>
  <c r="S1298" i="17"/>
  <c r="R1297" i="17"/>
  <c r="S1297" i="17"/>
  <c r="R1296" i="17"/>
  <c r="S1296" i="17"/>
  <c r="R1295" i="17"/>
  <c r="S1295" i="17"/>
  <c r="R1293" i="17"/>
  <c r="R1294" i="17"/>
  <c r="S1293" i="17"/>
  <c r="S1294" i="17"/>
  <c r="R1292" i="17"/>
  <c r="S1292" i="17"/>
  <c r="R1291" i="17"/>
  <c r="S1291" i="17"/>
  <c r="R1290" i="17"/>
  <c r="S1290" i="17"/>
  <c r="R1289" i="17"/>
  <c r="S1289" i="17"/>
  <c r="R1288" i="17"/>
  <c r="S1288" i="17"/>
  <c r="R1287" i="17"/>
  <c r="S1287" i="17"/>
  <c r="R1286" i="17"/>
  <c r="S1286" i="17"/>
  <c r="R1285" i="17"/>
  <c r="S1285" i="17"/>
  <c r="R1284" i="17"/>
  <c r="S1284" i="17"/>
  <c r="R1283" i="17"/>
  <c r="S1283" i="17"/>
  <c r="R1282" i="17"/>
  <c r="S1282" i="17"/>
  <c r="R1281" i="17"/>
  <c r="S1281" i="17"/>
  <c r="R1280" i="17"/>
  <c r="S1280" i="17"/>
  <c r="R1279" i="17"/>
  <c r="S1279" i="17"/>
  <c r="J1121" i="17" l="1"/>
  <c r="AD190" i="17"/>
  <c r="AE190" i="17"/>
  <c r="AD189" i="17"/>
  <c r="AE189" i="17"/>
  <c r="AD188" i="17"/>
  <c r="AE188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1002" i="17"/>
  <c r="H1003" i="17"/>
  <c r="H1004" i="17"/>
  <c r="H1005" i="17"/>
  <c r="H1006" i="17"/>
  <c r="H1007" i="17"/>
  <c r="H1008" i="17"/>
  <c r="H1009" i="17"/>
  <c r="H1010" i="17"/>
  <c r="H1011" i="17"/>
  <c r="H1012" i="17"/>
  <c r="H1013" i="17"/>
  <c r="H1014" i="17"/>
  <c r="H1015" i="17"/>
  <c r="H1016" i="17"/>
  <c r="H1017" i="17"/>
  <c r="H1018" i="17"/>
  <c r="H1019" i="17"/>
  <c r="H1020" i="17"/>
  <c r="H1021" i="17"/>
  <c r="H1022" i="17"/>
  <c r="H1023" i="17"/>
  <c r="H1024" i="17"/>
  <c r="H1025" i="17"/>
  <c r="H1026" i="17"/>
  <c r="H1027" i="17"/>
  <c r="H1028" i="17"/>
  <c r="H1029" i="17"/>
  <c r="H1030" i="17"/>
  <c r="H1031" i="17"/>
  <c r="H1032" i="17"/>
  <c r="H1033" i="17"/>
  <c r="H1034" i="17"/>
  <c r="H1035" i="17"/>
  <c r="H1036" i="17"/>
  <c r="H1037" i="17"/>
  <c r="H1038" i="17"/>
  <c r="H1039" i="17"/>
  <c r="H1040" i="17"/>
  <c r="H1041" i="17"/>
  <c r="H1042" i="17"/>
  <c r="H1043" i="17"/>
  <c r="H1044" i="17"/>
  <c r="H1045" i="17"/>
  <c r="H1046" i="17"/>
  <c r="H1047" i="17"/>
  <c r="H1048" i="17"/>
  <c r="H1049" i="17"/>
  <c r="H1050" i="17"/>
  <c r="H1051" i="17"/>
  <c r="H1052" i="17"/>
  <c r="H1053" i="17"/>
  <c r="H1054" i="17"/>
  <c r="H1055" i="17"/>
  <c r="H1056" i="17"/>
  <c r="H1057" i="17"/>
  <c r="H1058" i="17"/>
  <c r="H1059" i="17"/>
  <c r="H1060" i="17"/>
  <c r="H1061" i="17"/>
  <c r="H1062" i="17"/>
  <c r="H1063" i="17"/>
  <c r="H1064" i="17"/>
  <c r="H1065" i="17"/>
  <c r="H1066" i="17"/>
  <c r="H1067" i="17"/>
  <c r="H1068" i="17"/>
  <c r="H1069" i="17"/>
  <c r="H1070" i="17"/>
  <c r="H1071" i="17"/>
  <c r="H1072" i="17"/>
  <c r="H1073" i="17"/>
  <c r="H1074" i="17"/>
  <c r="H1075" i="17"/>
  <c r="H1076" i="17"/>
  <c r="H1077" i="17"/>
  <c r="H1078" i="17"/>
  <c r="H1079" i="17"/>
  <c r="H1080" i="17"/>
  <c r="H1081" i="17"/>
  <c r="H1082" i="17"/>
  <c r="H1083" i="17"/>
  <c r="H1084" i="17"/>
  <c r="H1085" i="17"/>
  <c r="H1086" i="17"/>
  <c r="H1087" i="17"/>
  <c r="H1088" i="17"/>
  <c r="H1089" i="17"/>
  <c r="H1090" i="17"/>
  <c r="H1091" i="17"/>
  <c r="H1092" i="17"/>
  <c r="H1093" i="17"/>
  <c r="H1094" i="17"/>
  <c r="H1095" i="17"/>
  <c r="H1096" i="17"/>
  <c r="H1097" i="17"/>
  <c r="H1098" i="17"/>
  <c r="H1099" i="17"/>
  <c r="H1100" i="17"/>
  <c r="H1101" i="17"/>
  <c r="H1102" i="17"/>
  <c r="H1103" i="17"/>
  <c r="H1104" i="17"/>
  <c r="H1105" i="17"/>
  <c r="H1106" i="17"/>
  <c r="H1107" i="17"/>
  <c r="H1108" i="17"/>
  <c r="H1109" i="17"/>
  <c r="H1110" i="17"/>
  <c r="H1111" i="17"/>
  <c r="H1112" i="17"/>
  <c r="H1113" i="17"/>
  <c r="H1114" i="17"/>
  <c r="H1115" i="17"/>
  <c r="H1116" i="17"/>
  <c r="H1117" i="17"/>
  <c r="H1118" i="17"/>
  <c r="H1151" i="17"/>
  <c r="H1157" i="17"/>
  <c r="H1158" i="17"/>
  <c r="H1159" i="17"/>
  <c r="H1160" i="17"/>
  <c r="H1161" i="17"/>
  <c r="H1162" i="17"/>
  <c r="H1163" i="17"/>
  <c r="H1164" i="17"/>
  <c r="H1165" i="17"/>
  <c r="H1166" i="17"/>
  <c r="H1167" i="17"/>
  <c r="H1168" i="17"/>
  <c r="H1169" i="17"/>
  <c r="H1170" i="17"/>
  <c r="H1171" i="17"/>
  <c r="H1172" i="17"/>
  <c r="H1173" i="17"/>
  <c r="H1174" i="17"/>
  <c r="H1175" i="17"/>
  <c r="H1176" i="17"/>
  <c r="H1177" i="17"/>
  <c r="H1178" i="17"/>
  <c r="H1179" i="17"/>
  <c r="H1180" i="17"/>
  <c r="H1181" i="17"/>
  <c r="H1182" i="17"/>
  <c r="H1183" i="17"/>
  <c r="H1184" i="17"/>
  <c r="H1185" i="17"/>
  <c r="H1186" i="17"/>
  <c r="H1187" i="17"/>
  <c r="H1188" i="17"/>
  <c r="H1189" i="17"/>
  <c r="H1190" i="17"/>
  <c r="H1191" i="17"/>
  <c r="H1192" i="17"/>
  <c r="H1193" i="17"/>
  <c r="H1194" i="17"/>
  <c r="H1195" i="17"/>
  <c r="H1196" i="17"/>
  <c r="H1197" i="17"/>
  <c r="H1198" i="17"/>
  <c r="H1199" i="17"/>
  <c r="H1200" i="17"/>
  <c r="H1201" i="17"/>
  <c r="H1202" i="17"/>
  <c r="H1203" i="17"/>
  <c r="H1204" i="17"/>
  <c r="H1205" i="17"/>
  <c r="H1206" i="17"/>
  <c r="H1207" i="17"/>
  <c r="H1208" i="17"/>
  <c r="H1209" i="17"/>
  <c r="H1210" i="17"/>
  <c r="H1211" i="17"/>
  <c r="H1212" i="17"/>
  <c r="H1213" i="17"/>
  <c r="H1214" i="17"/>
  <c r="H1215" i="17"/>
  <c r="H1216" i="17"/>
  <c r="H1217" i="17"/>
  <c r="H1218" i="17"/>
  <c r="H1219" i="17"/>
  <c r="H1220" i="17"/>
  <c r="H1221" i="17"/>
  <c r="H1222" i="17"/>
  <c r="H1223" i="17"/>
  <c r="H1224" i="17"/>
  <c r="H1225" i="17"/>
  <c r="H1226" i="17"/>
  <c r="H1227" i="17"/>
  <c r="H1228" i="17"/>
  <c r="H1229" i="17"/>
  <c r="H1230" i="17"/>
  <c r="H1231" i="17"/>
  <c r="H1232" i="17"/>
  <c r="H1233" i="17"/>
  <c r="H1234" i="17"/>
  <c r="H1235" i="17"/>
  <c r="H1236" i="17"/>
  <c r="H1237" i="17"/>
  <c r="H1238" i="17"/>
  <c r="H1239" i="17"/>
  <c r="H1240" i="17"/>
  <c r="H1241" i="17"/>
  <c r="H1242" i="17"/>
  <c r="H1243" i="17"/>
  <c r="H1244" i="17"/>
  <c r="H1245" i="17"/>
  <c r="H1246" i="17"/>
  <c r="H1247" i="17"/>
  <c r="H1248" i="17"/>
  <c r="H1249" i="17"/>
  <c r="H1250" i="17"/>
  <c r="H1251" i="17"/>
  <c r="H1252" i="17"/>
  <c r="H1253" i="17"/>
  <c r="H1254" i="17"/>
  <c r="H1255" i="17"/>
  <c r="H1256" i="17"/>
  <c r="H1257" i="17"/>
  <c r="H1258" i="17"/>
  <c r="H1259" i="17"/>
  <c r="H1260" i="17"/>
  <c r="H1261" i="17"/>
  <c r="H1262" i="17"/>
  <c r="H1263" i="17"/>
  <c r="H1264" i="17"/>
  <c r="H1265" i="17"/>
  <c r="H1266" i="17"/>
  <c r="H1267" i="17"/>
  <c r="H1268" i="17"/>
  <c r="H1269" i="17"/>
  <c r="H1270" i="17"/>
  <c r="H1271" i="17"/>
  <c r="H1272" i="17"/>
  <c r="H1273" i="17"/>
  <c r="H1274" i="17"/>
  <c r="H1275" i="17"/>
  <c r="H1276" i="17"/>
  <c r="H1277" i="17"/>
  <c r="H1278" i="17"/>
  <c r="H1279" i="17"/>
  <c r="H1280" i="17"/>
  <c r="H1281" i="17"/>
  <c r="H1282" i="17"/>
  <c r="H1283" i="17"/>
  <c r="H1284" i="17"/>
  <c r="H1285" i="17"/>
  <c r="H1286" i="17"/>
  <c r="H1287" i="17"/>
  <c r="H1288" i="17"/>
  <c r="H1289" i="17"/>
  <c r="H1290" i="17"/>
  <c r="H1291" i="17"/>
  <c r="H1292" i="17"/>
  <c r="H1293" i="17"/>
  <c r="H1294" i="17"/>
  <c r="H1295" i="17"/>
  <c r="H1296" i="17"/>
  <c r="H1297" i="17"/>
  <c r="H1298" i="17"/>
  <c r="H1299" i="17"/>
  <c r="H1300" i="17"/>
  <c r="H1301" i="17"/>
  <c r="H1302" i="17"/>
  <c r="R1278" i="17"/>
  <c r="S1278" i="17"/>
  <c r="R1277" i="17"/>
  <c r="S1277" i="17"/>
  <c r="AD187" i="17"/>
  <c r="AE187" i="17"/>
  <c r="R1276" i="17"/>
  <c r="S1276" i="17"/>
  <c r="AD186" i="17"/>
  <c r="AE186" i="17"/>
  <c r="R1275" i="17"/>
  <c r="S1275" i="17"/>
  <c r="R1274" i="17"/>
  <c r="S1274" i="17"/>
  <c r="R1273" i="17"/>
  <c r="S1273" i="17"/>
  <c r="R1272" i="17"/>
  <c r="S1272" i="17"/>
  <c r="R1271" i="17"/>
  <c r="S1271" i="17"/>
  <c r="R1106" i="17"/>
  <c r="S1106" i="17"/>
  <c r="R1270" i="17"/>
  <c r="S1270" i="17"/>
  <c r="R1269" i="17"/>
  <c r="S1269" i="17"/>
  <c r="R1268" i="17"/>
  <c r="S1268" i="17"/>
  <c r="R1267" i="17"/>
  <c r="S1267" i="17"/>
  <c r="R1266" i="17"/>
  <c r="S1266" i="17"/>
  <c r="R1265" i="17"/>
  <c r="S1265" i="17"/>
  <c r="R1264" i="17"/>
  <c r="S1264" i="17"/>
  <c r="R1263" i="17"/>
  <c r="S1263" i="17"/>
  <c r="R1262" i="17"/>
  <c r="S1262" i="17"/>
  <c r="R1244" i="17"/>
  <c r="S1244" i="17"/>
  <c r="R1243" i="17"/>
  <c r="S1243" i="17"/>
  <c r="R1261" i="17"/>
  <c r="S1261" i="17"/>
  <c r="R1260" i="17"/>
  <c r="S1260" i="17"/>
  <c r="R1259" i="17"/>
  <c r="S1259" i="17"/>
  <c r="R1258" i="17"/>
  <c r="S1258" i="17"/>
  <c r="R1257" i="17"/>
  <c r="S1257" i="17"/>
  <c r="R1256" i="17"/>
  <c r="S1256" i="17"/>
  <c r="R1255" i="17"/>
  <c r="S1255" i="17"/>
  <c r="R1254" i="17"/>
  <c r="S1254" i="17"/>
  <c r="R1253" i="17"/>
  <c r="S1253" i="17"/>
  <c r="R1252" i="17"/>
  <c r="S1252" i="17"/>
  <c r="R1251" i="17"/>
  <c r="S1251" i="17"/>
  <c r="R1250" i="17"/>
  <c r="S1250" i="17"/>
  <c r="R1249" i="17"/>
  <c r="S1249" i="17"/>
  <c r="R1248" i="17"/>
  <c r="S1248" i="17"/>
  <c r="R1247" i="17"/>
  <c r="S1247" i="17"/>
  <c r="R1246" i="17"/>
  <c r="S1246" i="17"/>
  <c r="R1245" i="17"/>
  <c r="S1245" i="17"/>
  <c r="R1242" i="17"/>
  <c r="S1242" i="17"/>
  <c r="R1241" i="17"/>
  <c r="S1241" i="17"/>
  <c r="R1240" i="17"/>
  <c r="S1240" i="17"/>
  <c r="R1239" i="17"/>
  <c r="S1239" i="17"/>
  <c r="R1238" i="17"/>
  <c r="S1238" i="17"/>
  <c r="R1214" i="17"/>
  <c r="S1214" i="17"/>
  <c r="R1237" i="17"/>
  <c r="S1237" i="17"/>
  <c r="R1236" i="17"/>
  <c r="S1236" i="17"/>
  <c r="AD185" i="17"/>
  <c r="AE185" i="17"/>
  <c r="R1235" i="17"/>
  <c r="S1235" i="17"/>
  <c r="R1234" i="17"/>
  <c r="S1234" i="17"/>
  <c r="R1233" i="17"/>
  <c r="S1233" i="17"/>
  <c r="R1232" i="17"/>
  <c r="S1232" i="17"/>
  <c r="R1231" i="17"/>
  <c r="S1231" i="17"/>
  <c r="R1230" i="17"/>
  <c r="S1230" i="17"/>
  <c r="R1229" i="17"/>
  <c r="S1229" i="17"/>
  <c r="R1228" i="17"/>
  <c r="S1228" i="17"/>
  <c r="R1227" i="17"/>
  <c r="S1227" i="17"/>
  <c r="R1226" i="17"/>
  <c r="S1226" i="17"/>
  <c r="R1225" i="17"/>
  <c r="S1225" i="17"/>
  <c r="R1224" i="17"/>
  <c r="S1224" i="17"/>
  <c r="R1223" i="17"/>
  <c r="S1223" i="17"/>
  <c r="R1222" i="17"/>
  <c r="S1222" i="17"/>
  <c r="R1221" i="17"/>
  <c r="S1221" i="17"/>
  <c r="R1220" i="17"/>
  <c r="S1220" i="17"/>
  <c r="R1219" i="17"/>
  <c r="S1219" i="17"/>
  <c r="R1218" i="17"/>
  <c r="S1218" i="17"/>
  <c r="R1217" i="17"/>
  <c r="S1217" i="17"/>
  <c r="R1216" i="17"/>
  <c r="S1216" i="17"/>
  <c r="R1215" i="17"/>
  <c r="S1215" i="17"/>
  <c r="R1213" i="17"/>
  <c r="S1213" i="17"/>
  <c r="R1212" i="17"/>
  <c r="S1212" i="17"/>
  <c r="R1211" i="17"/>
  <c r="S1211" i="17"/>
  <c r="R1210" i="17"/>
  <c r="S1210" i="17"/>
  <c r="AD184" i="17"/>
  <c r="AE184" i="17"/>
  <c r="R1198" i="17" l="1"/>
  <c r="R1199" i="17"/>
  <c r="S1198" i="17"/>
  <c r="S1199" i="17"/>
  <c r="R1193" i="17"/>
  <c r="S1193" i="17"/>
  <c r="R1209" i="17"/>
  <c r="S1209" i="17"/>
  <c r="R1208" i="17"/>
  <c r="S1208" i="17"/>
  <c r="R1207" i="17"/>
  <c r="S1207" i="17"/>
  <c r="R1206" i="17"/>
  <c r="S1206" i="17"/>
  <c r="R1205" i="17"/>
  <c r="S1205" i="17"/>
  <c r="R1204" i="17"/>
  <c r="S1204" i="17"/>
  <c r="R1203" i="17"/>
  <c r="S1203" i="17"/>
  <c r="R1202" i="17"/>
  <c r="S1202" i="17"/>
  <c r="R1201" i="17"/>
  <c r="S1201" i="17"/>
  <c r="R1200" i="17"/>
  <c r="S1200" i="17"/>
  <c r="R1197" i="17"/>
  <c r="S1197" i="17"/>
  <c r="R1196" i="17"/>
  <c r="S1196" i="17"/>
  <c r="R1195" i="17"/>
  <c r="S1195" i="17"/>
  <c r="R1194" i="17"/>
  <c r="S1194" i="17"/>
  <c r="R1192" i="17"/>
  <c r="S1192" i="17"/>
  <c r="R1191" i="17"/>
  <c r="S1191" i="17"/>
  <c r="R1190" i="17" l="1"/>
  <c r="S1190" i="17"/>
  <c r="R1180" i="17"/>
  <c r="R1181" i="17"/>
  <c r="R1182" i="17"/>
  <c r="S1180" i="17"/>
  <c r="S1181" i="17"/>
  <c r="S1182" i="17"/>
  <c r="R1174" i="17"/>
  <c r="S1174" i="17"/>
  <c r="R1188" i="17"/>
  <c r="S1188" i="17"/>
  <c r="R1187" i="17"/>
  <c r="S1187" i="17"/>
  <c r="R1186" i="17"/>
  <c r="S1186" i="17"/>
  <c r="R1184" i="17"/>
  <c r="R1185" i="17"/>
  <c r="S1184" i="17"/>
  <c r="S1185" i="17"/>
  <c r="R1179" i="17"/>
  <c r="R1183" i="17"/>
  <c r="S1179" i="17"/>
  <c r="S1183" i="17"/>
  <c r="R1178" i="17"/>
  <c r="S1178" i="17"/>
  <c r="R1177" i="17"/>
  <c r="S1177" i="17"/>
  <c r="R1176" i="17"/>
  <c r="S1176" i="17"/>
  <c r="R1175" i="17"/>
  <c r="S1175" i="17"/>
  <c r="R1173" i="17"/>
  <c r="S1173" i="17"/>
  <c r="R1172" i="17"/>
  <c r="S1172" i="17"/>
  <c r="R1171" i="17"/>
  <c r="S1171" i="17"/>
  <c r="R1170" i="17"/>
  <c r="S1170" i="17"/>
  <c r="R1169" i="17"/>
  <c r="S1169" i="17"/>
  <c r="R1168" i="17"/>
  <c r="S1168" i="17"/>
  <c r="R1167" i="17"/>
  <c r="S1167" i="17"/>
  <c r="R1157" i="17"/>
  <c r="S1157" i="17"/>
  <c r="R1166" i="17"/>
  <c r="S1166" i="17"/>
  <c r="R1165" i="17"/>
  <c r="S1165" i="17"/>
  <c r="R1164" i="17"/>
  <c r="S1164" i="17"/>
  <c r="R1163" i="17"/>
  <c r="S1163" i="17"/>
  <c r="R1162" i="17"/>
  <c r="S1162" i="17"/>
  <c r="AD183" i="17"/>
  <c r="AE183" i="17"/>
  <c r="R1161" i="17"/>
  <c r="S1161" i="17"/>
  <c r="R1160" i="17"/>
  <c r="S1160" i="17"/>
  <c r="R1159" i="17"/>
  <c r="S1159" i="17"/>
  <c r="R1158" i="17"/>
  <c r="S1158" i="17"/>
  <c r="R1156" i="17"/>
  <c r="S1156" i="17"/>
  <c r="AD182" i="17"/>
  <c r="AE182" i="17"/>
  <c r="AD181" i="17"/>
  <c r="AE181" i="17"/>
  <c r="AD180" i="17"/>
  <c r="AE180" i="17"/>
  <c r="AD179" i="17"/>
  <c r="AE179" i="17"/>
  <c r="AD178" i="17"/>
  <c r="AE178" i="17"/>
  <c r="AD177" i="17"/>
  <c r="AE177" i="17"/>
  <c r="R879" i="17"/>
  <c r="R880" i="17"/>
  <c r="S879" i="17"/>
  <c r="S880" i="17"/>
  <c r="R1155" i="17"/>
  <c r="S1155" i="17"/>
  <c r="R1148" i="17" l="1"/>
  <c r="S1148" i="17"/>
  <c r="R1147" i="17"/>
  <c r="S1147" i="17"/>
  <c r="R1153" i="17"/>
  <c r="S1153" i="17"/>
  <c r="R1152" i="17"/>
  <c r="S1152" i="17"/>
  <c r="R1151" i="17"/>
  <c r="S1151" i="17"/>
  <c r="R1150" i="17"/>
  <c r="S1150" i="17"/>
  <c r="R1149" i="17"/>
  <c r="S1149" i="17"/>
  <c r="R1146" i="17"/>
  <c r="S1146" i="17"/>
  <c r="R1145" i="17"/>
  <c r="S1145" i="17"/>
  <c r="R1144" i="17"/>
  <c r="S1144" i="17"/>
  <c r="R1143" i="17"/>
  <c r="S1143" i="17"/>
  <c r="R1142" i="17"/>
  <c r="S1142" i="17"/>
  <c r="R1141" i="17"/>
  <c r="S1141" i="17"/>
  <c r="R1140" i="17"/>
  <c r="S1140" i="17"/>
  <c r="R1154" i="17" l="1"/>
  <c r="S1154" i="17"/>
  <c r="R1139" i="17"/>
  <c r="S1139" i="17"/>
  <c r="R894" i="17"/>
  <c r="S894" i="17"/>
  <c r="R1138" i="17"/>
  <c r="S1138" i="17"/>
  <c r="R1137" i="17"/>
  <c r="S1137" i="17"/>
  <c r="R1136" i="17"/>
  <c r="S1136" i="17"/>
  <c r="R1135" i="17"/>
  <c r="S1135" i="17"/>
  <c r="R1134" i="17" l="1"/>
  <c r="S1134" i="17"/>
  <c r="R1133" i="17"/>
  <c r="S1133" i="17"/>
  <c r="R1132" i="17"/>
  <c r="S1132" i="17"/>
  <c r="R1131" i="17"/>
  <c r="S1131" i="17"/>
  <c r="R1130" i="17"/>
  <c r="S1130" i="17"/>
  <c r="R1129" i="17"/>
  <c r="S1129" i="17"/>
  <c r="R1128" i="17"/>
  <c r="S1128" i="17"/>
  <c r="R1127" i="17"/>
  <c r="S1127" i="17"/>
  <c r="R1126" i="17"/>
  <c r="S1126" i="17"/>
  <c r="R1125" i="17"/>
  <c r="S1125" i="17"/>
  <c r="R1124" i="17"/>
  <c r="S1124" i="17"/>
  <c r="R1123" i="17"/>
  <c r="S1123" i="17"/>
  <c r="R1122" i="17"/>
  <c r="S1122" i="17"/>
  <c r="R1121" i="17"/>
  <c r="S1121" i="17"/>
  <c r="R1120" i="17"/>
  <c r="S1120" i="17"/>
  <c r="R1119" i="17"/>
  <c r="S1119" i="17"/>
  <c r="R1118" i="17"/>
  <c r="S1118" i="17"/>
  <c r="R1117" i="17"/>
  <c r="S1117" i="17"/>
  <c r="R1116" i="17"/>
  <c r="S1116" i="17"/>
  <c r="R1115" i="17"/>
  <c r="S1115" i="17"/>
  <c r="R1114" i="17"/>
  <c r="S1114" i="17"/>
  <c r="R1113" i="17"/>
  <c r="S1113" i="17"/>
  <c r="R1112" i="17"/>
  <c r="S1112" i="17"/>
  <c r="R1111" i="17"/>
  <c r="S1111" i="17"/>
  <c r="R1110" i="17"/>
  <c r="S1110" i="17"/>
  <c r="R1109" i="17"/>
  <c r="S1109" i="17"/>
  <c r="R1108" i="17"/>
  <c r="S1108" i="17"/>
  <c r="R1107" i="17"/>
  <c r="S1107" i="17"/>
  <c r="AD176" i="17"/>
  <c r="AE176" i="17"/>
  <c r="AD175" i="17"/>
  <c r="AE175" i="17"/>
  <c r="AD174" i="17"/>
  <c r="AE174" i="17"/>
  <c r="AD173" i="17"/>
  <c r="AE173" i="17"/>
  <c r="AD172" i="17"/>
  <c r="AE172" i="17"/>
  <c r="R1105" i="17"/>
  <c r="S1105" i="17"/>
  <c r="R1104" i="17"/>
  <c r="S1104" i="17"/>
  <c r="R1103" i="17"/>
  <c r="S1103" i="17"/>
  <c r="R1102" i="17"/>
  <c r="S1102" i="17"/>
  <c r="R1101" i="17"/>
  <c r="S1101" i="17"/>
  <c r="R1100" i="17"/>
  <c r="S1100" i="17"/>
  <c r="R1099" i="17"/>
  <c r="S1099" i="17"/>
  <c r="R1098" i="17"/>
  <c r="S1098" i="17"/>
  <c r="R1097" i="17"/>
  <c r="S1097" i="17"/>
  <c r="R1096" i="17"/>
  <c r="S1096" i="17"/>
  <c r="R1095" i="17" l="1"/>
  <c r="S1095" i="17"/>
  <c r="AD171" i="17"/>
  <c r="AE171" i="17"/>
  <c r="AD170" i="17"/>
  <c r="AE170" i="17"/>
  <c r="R1088" i="17"/>
  <c r="R1089" i="17"/>
  <c r="S1088" i="17"/>
  <c r="S1089" i="17"/>
  <c r="R1094" i="17"/>
  <c r="S1094" i="17"/>
  <c r="AD169" i="17"/>
  <c r="AE169" i="17"/>
  <c r="AD168" i="17"/>
  <c r="AE168" i="17"/>
  <c r="AD167" i="17"/>
  <c r="AE167" i="17"/>
  <c r="AD166" i="17"/>
  <c r="AE166" i="17"/>
  <c r="R1093" i="17"/>
  <c r="S1093" i="17"/>
  <c r="R1092" i="17"/>
  <c r="S1092" i="17"/>
  <c r="AD165" i="17"/>
  <c r="AE165" i="17"/>
  <c r="AD164" i="17"/>
  <c r="AE164" i="17"/>
  <c r="AD163" i="17"/>
  <c r="AE163" i="17"/>
  <c r="AD162" i="17"/>
  <c r="AE162" i="17"/>
  <c r="J1112" i="17"/>
  <c r="J1113" i="17"/>
  <c r="J1114" i="17"/>
  <c r="J1115" i="17"/>
  <c r="J1116" i="17"/>
  <c r="J1117" i="17"/>
  <c r="R1091" i="17"/>
  <c r="S1091" i="17"/>
  <c r="R1090" i="17"/>
  <c r="S1090" i="17"/>
  <c r="R1087" i="17"/>
  <c r="S1087" i="17"/>
  <c r="R1086" i="17"/>
  <c r="S1086" i="17"/>
  <c r="R1085" i="17" l="1"/>
  <c r="S1085" i="17"/>
  <c r="R1084" i="17"/>
  <c r="S1084" i="17"/>
  <c r="R651" i="17"/>
  <c r="S651" i="17"/>
  <c r="R1083" i="17"/>
  <c r="S1083" i="17"/>
  <c r="R1082" i="17"/>
  <c r="S1082" i="17"/>
  <c r="R1081" i="17"/>
  <c r="S1081" i="17"/>
  <c r="R1080" i="17"/>
  <c r="S1080" i="17"/>
  <c r="R1078" i="17"/>
  <c r="S1078" i="17"/>
  <c r="R1077" i="17"/>
  <c r="S1077" i="17"/>
  <c r="R1076" i="17"/>
  <c r="S1076" i="17"/>
  <c r="R1075" i="17"/>
  <c r="S1075" i="17"/>
  <c r="R1074" i="17"/>
  <c r="S1074" i="17"/>
  <c r="R1073" i="17"/>
  <c r="S1073" i="17"/>
  <c r="R1072" i="17"/>
  <c r="S1072" i="17"/>
  <c r="AD161" i="17"/>
  <c r="AE161" i="17"/>
  <c r="R1071" i="17"/>
  <c r="S1071" i="17"/>
  <c r="R1070" i="17"/>
  <c r="S1070" i="17"/>
  <c r="R1069" i="17"/>
  <c r="S1069" i="17"/>
  <c r="R1068" i="17"/>
  <c r="S1068" i="17"/>
  <c r="R1067" i="17"/>
  <c r="S1067" i="17"/>
  <c r="R1066" i="17"/>
  <c r="S1066" i="17"/>
  <c r="R1065" i="17"/>
  <c r="S1065" i="17"/>
  <c r="R1064" i="17"/>
  <c r="S1064" i="17"/>
  <c r="R1063" i="17"/>
  <c r="S1063" i="17"/>
  <c r="R1062" i="17"/>
  <c r="S1062" i="17"/>
  <c r="R1061" i="17"/>
  <c r="S1061" i="17"/>
  <c r="R1060" i="17"/>
  <c r="S1060" i="17"/>
  <c r="R1059" i="17"/>
  <c r="S1059" i="17"/>
  <c r="R1058" i="17"/>
  <c r="S1058" i="17"/>
  <c r="R1057" i="17"/>
  <c r="S1057" i="17"/>
  <c r="R1056" i="17"/>
  <c r="S1056" i="17"/>
  <c r="AD160" i="17"/>
  <c r="AE160" i="17"/>
  <c r="AD157" i="17"/>
  <c r="AE157" i="17"/>
  <c r="R1055" i="17"/>
  <c r="S1055" i="17"/>
  <c r="R1054" i="17"/>
  <c r="S1054" i="17"/>
  <c r="R1053" i="17"/>
  <c r="S1053" i="17"/>
  <c r="AD158" i="17"/>
  <c r="AD159" i="17"/>
  <c r="AE158" i="17"/>
  <c r="AE159" i="17"/>
  <c r="AD156" i="17"/>
  <c r="AE156" i="17"/>
  <c r="R1052" i="17"/>
  <c r="S1052" i="17"/>
  <c r="R1051" i="17"/>
  <c r="S1051" i="17"/>
  <c r="R1050" i="17"/>
  <c r="S1050" i="17"/>
  <c r="R1049" i="17"/>
  <c r="S1049" i="17"/>
  <c r="R1048" i="17"/>
  <c r="S1048" i="17"/>
  <c r="R1047" i="17"/>
  <c r="S1047" i="17"/>
  <c r="R1046" i="17"/>
  <c r="S1046" i="17"/>
  <c r="R1045" i="17"/>
  <c r="S1045" i="17"/>
  <c r="R1044" i="17"/>
  <c r="S1044" i="17"/>
  <c r="R1043" i="17"/>
  <c r="S1043" i="17"/>
  <c r="R1042" i="17"/>
  <c r="S1042" i="17"/>
  <c r="R1041" i="17"/>
  <c r="S1041" i="17"/>
  <c r="R1040" i="17"/>
  <c r="S1040" i="17"/>
  <c r="R1039" i="17"/>
  <c r="S1039" i="17"/>
  <c r="R1038" i="17"/>
  <c r="S1038" i="17"/>
  <c r="R1037" i="17"/>
  <c r="S1037" i="17"/>
  <c r="R1036" i="17"/>
  <c r="S1036" i="17"/>
  <c r="R1035" i="17"/>
  <c r="S1035" i="17"/>
  <c r="R1034" i="17"/>
  <c r="S1034" i="17"/>
  <c r="R1033" i="17"/>
  <c r="S1033" i="17"/>
  <c r="R1032" i="17"/>
  <c r="S1032" i="17"/>
  <c r="R1031" i="17"/>
  <c r="S1031" i="17"/>
  <c r="R1030" i="17"/>
  <c r="S1030" i="17"/>
  <c r="R1029" i="17"/>
  <c r="S1029" i="17"/>
  <c r="R1028" i="17"/>
  <c r="S1028" i="17"/>
  <c r="R1027" i="17"/>
  <c r="S1027" i="17"/>
  <c r="R1026" i="17"/>
  <c r="S1026" i="17"/>
  <c r="R1025" i="17"/>
  <c r="S1025" i="17"/>
  <c r="J1108" i="17"/>
  <c r="J1109" i="17"/>
  <c r="J1110" i="17"/>
  <c r="J1111" i="17"/>
  <c r="J1118" i="17"/>
  <c r="AD155" i="17"/>
  <c r="AE155" i="17"/>
  <c r="AD154" i="17"/>
  <c r="AE154" i="17"/>
  <c r="AD153" i="17"/>
  <c r="AE153" i="17"/>
  <c r="R1016" i="17"/>
  <c r="S1016" i="17"/>
  <c r="R1023" i="17"/>
  <c r="S1023" i="17"/>
  <c r="R1024" i="17"/>
  <c r="S1024" i="17"/>
  <c r="R1022" i="17"/>
  <c r="S1022" i="17"/>
  <c r="R1021" i="17"/>
  <c r="S1021" i="17"/>
  <c r="R1020" i="17"/>
  <c r="S1020" i="17"/>
  <c r="R1019" i="17"/>
  <c r="S1019" i="17"/>
  <c r="R1018" i="17"/>
  <c r="S1018" i="17"/>
  <c r="R1017" i="17"/>
  <c r="S1017" i="17"/>
  <c r="AD152" i="17"/>
  <c r="AE152" i="17"/>
  <c r="R1015" i="17"/>
  <c r="S1015" i="17"/>
  <c r="R1014" i="17"/>
  <c r="S1014" i="17"/>
  <c r="R1013" i="17"/>
  <c r="S1013" i="17"/>
  <c r="R1012" i="17"/>
  <c r="S1012" i="17"/>
  <c r="R1011" i="17"/>
  <c r="S1011" i="17"/>
  <c r="R1010" i="17"/>
  <c r="S1010" i="17"/>
  <c r="R1009" i="17"/>
  <c r="S1009" i="17"/>
  <c r="R1008" i="17"/>
  <c r="S1008" i="17"/>
  <c r="R1007" i="17"/>
  <c r="S1007" i="17"/>
  <c r="R1006" i="17"/>
  <c r="S1006" i="17"/>
  <c r="R1005" i="17"/>
  <c r="S1005" i="17"/>
  <c r="R1004" i="17"/>
  <c r="S1004" i="17"/>
  <c r="R1003" i="17"/>
  <c r="S1003" i="17"/>
  <c r="R1002" i="17"/>
  <c r="S1002" i="17"/>
  <c r="AD151" i="17"/>
  <c r="AE151" i="17"/>
  <c r="AD150" i="17"/>
  <c r="AE150" i="17"/>
  <c r="AD149" i="17"/>
  <c r="AE149" i="17"/>
  <c r="AD148" i="17"/>
  <c r="AE148" i="17"/>
  <c r="AD147" i="17"/>
  <c r="AE147" i="17"/>
  <c r="AD146" i="17"/>
  <c r="AE146" i="17"/>
  <c r="AD145" i="17"/>
  <c r="AE145" i="17"/>
  <c r="AD144" i="17"/>
  <c r="AE144" i="17"/>
  <c r="R1001" i="17"/>
  <c r="S1001" i="17"/>
  <c r="R998" i="17"/>
  <c r="S998" i="17"/>
  <c r="R997" i="17"/>
  <c r="S997" i="17"/>
  <c r="R996" i="17"/>
  <c r="S996" i="17"/>
  <c r="R995" i="17"/>
  <c r="S995" i="17"/>
  <c r="R994" i="17"/>
  <c r="S994" i="17"/>
  <c r="R993" i="17"/>
  <c r="S993" i="17"/>
  <c r="R992" i="17"/>
  <c r="S992" i="17"/>
  <c r="J1298" i="17" l="1"/>
  <c r="J1297" i="17"/>
  <c r="J1296" i="17"/>
  <c r="R991" i="17"/>
  <c r="S991" i="17"/>
  <c r="R990" i="17"/>
  <c r="S990" i="17"/>
  <c r="R989" i="17"/>
  <c r="S989" i="17"/>
  <c r="R988" i="17"/>
  <c r="S988" i="17"/>
  <c r="R987" i="17"/>
  <c r="S987" i="17"/>
  <c r="R986" i="17"/>
  <c r="S986" i="17"/>
  <c r="R985" i="17"/>
  <c r="S985" i="17"/>
  <c r="R984" i="17"/>
  <c r="S984" i="17"/>
  <c r="R983" i="17"/>
  <c r="S983" i="17"/>
  <c r="AD142" i="17"/>
  <c r="AE142" i="17"/>
  <c r="AD141" i="17"/>
  <c r="AE141" i="17"/>
  <c r="AD140" i="17"/>
  <c r="AE140" i="17"/>
  <c r="R982" i="17" l="1"/>
  <c r="S982" i="17"/>
  <c r="R981" i="17"/>
  <c r="S981" i="17"/>
  <c r="R980" i="17"/>
  <c r="S980" i="17"/>
  <c r="R979" i="17"/>
  <c r="S979" i="17"/>
  <c r="R978" i="17"/>
  <c r="S978" i="17"/>
  <c r="R977" i="17"/>
  <c r="S977" i="17"/>
  <c r="R976" i="17"/>
  <c r="S976" i="17"/>
  <c r="R975" i="17"/>
  <c r="S975" i="17"/>
  <c r="R974" i="17"/>
  <c r="S974" i="17"/>
  <c r="AD139" i="17"/>
  <c r="AE139" i="17"/>
  <c r="R973" i="17"/>
  <c r="S973" i="17"/>
  <c r="R972" i="17"/>
  <c r="S972" i="17"/>
  <c r="R971" i="17"/>
  <c r="S971" i="17"/>
  <c r="R970" i="17"/>
  <c r="S970" i="17"/>
  <c r="R969" i="17"/>
  <c r="S969" i="17"/>
  <c r="R968" i="17"/>
  <c r="S968" i="17"/>
  <c r="R967" i="17"/>
  <c r="S967" i="17"/>
  <c r="R966" i="17"/>
  <c r="S966" i="17"/>
  <c r="R965" i="17"/>
  <c r="S965" i="17"/>
  <c r="R964" i="17"/>
  <c r="S964" i="17"/>
  <c r="R963" i="17"/>
  <c r="S963" i="17"/>
  <c r="R962" i="17"/>
  <c r="S962" i="17"/>
  <c r="R961" i="17"/>
  <c r="S961" i="17"/>
  <c r="R960" i="17"/>
  <c r="S960" i="17"/>
  <c r="R959" i="17"/>
  <c r="S959" i="17"/>
  <c r="R958" i="17"/>
  <c r="S958" i="17"/>
  <c r="R957" i="17"/>
  <c r="S957" i="17"/>
  <c r="R956" i="17"/>
  <c r="S956" i="17"/>
  <c r="R955" i="17"/>
  <c r="S955" i="17"/>
  <c r="R954" i="17"/>
  <c r="S954" i="17"/>
  <c r="R953" i="17"/>
  <c r="S953" i="17"/>
  <c r="R951" i="17"/>
  <c r="R952" i="17"/>
  <c r="S951" i="17"/>
  <c r="S952" i="17"/>
  <c r="R950" i="17"/>
  <c r="S950" i="17"/>
  <c r="R949" i="17"/>
  <c r="S949" i="17"/>
  <c r="AD135" i="17"/>
  <c r="AE135" i="17"/>
  <c r="R948" i="17"/>
  <c r="S948" i="17"/>
  <c r="R947" i="17"/>
  <c r="S947" i="17"/>
  <c r="R946" i="17"/>
  <c r="S946" i="17"/>
  <c r="R945" i="17"/>
  <c r="S945" i="17"/>
  <c r="R944" i="17"/>
  <c r="S944" i="17"/>
  <c r="R943" i="17"/>
  <c r="S943" i="17"/>
  <c r="AD138" i="17"/>
  <c r="AE138" i="17"/>
  <c r="R942" i="17"/>
  <c r="S942" i="17"/>
  <c r="R941" i="17"/>
  <c r="S941" i="17"/>
  <c r="AD137" i="17"/>
  <c r="AE137" i="17"/>
  <c r="AD136" i="17"/>
  <c r="AE136" i="17"/>
  <c r="AD134" i="17"/>
  <c r="AE134" i="17"/>
  <c r="AD133" i="17"/>
  <c r="AE133" i="17"/>
  <c r="R938" i="17"/>
  <c r="R939" i="17"/>
  <c r="R940" i="17"/>
  <c r="S938" i="17"/>
  <c r="S939" i="17"/>
  <c r="S940" i="17"/>
  <c r="R937" i="17"/>
  <c r="S937" i="17"/>
  <c r="R932" i="17"/>
  <c r="S932" i="17"/>
  <c r="R936" i="17"/>
  <c r="S936" i="17"/>
  <c r="R935" i="17"/>
  <c r="S935" i="17"/>
  <c r="R934" i="17"/>
  <c r="S934" i="17"/>
  <c r="R933" i="17"/>
  <c r="S933" i="17"/>
  <c r="R931" i="17"/>
  <c r="S931" i="17"/>
  <c r="R930" i="17"/>
  <c r="S930" i="17"/>
  <c r="R929" i="17"/>
  <c r="S929" i="17"/>
  <c r="R928" i="17"/>
  <c r="S928" i="17"/>
  <c r="R927" i="17"/>
  <c r="S927" i="17"/>
  <c r="R926" i="17"/>
  <c r="S926" i="17"/>
  <c r="R925" i="17"/>
  <c r="S925" i="17"/>
  <c r="R924" i="17"/>
  <c r="S924" i="17"/>
  <c r="R923" i="17"/>
  <c r="S923" i="17"/>
  <c r="R922" i="17"/>
  <c r="S922" i="17"/>
  <c r="R921" i="17"/>
  <c r="S921" i="17"/>
  <c r="R920" i="17"/>
  <c r="S920" i="17"/>
  <c r="R919" i="17"/>
  <c r="S919" i="17"/>
  <c r="AD132" i="17"/>
  <c r="AE132" i="17"/>
  <c r="R918" i="17"/>
  <c r="S918" i="17"/>
  <c r="R917" i="17" l="1"/>
  <c r="S917" i="17"/>
  <c r="R916" i="17"/>
  <c r="S916" i="17"/>
  <c r="R915" i="17"/>
  <c r="S915" i="17"/>
  <c r="R914" i="17"/>
  <c r="S914" i="17"/>
  <c r="R913" i="17"/>
  <c r="S913" i="17"/>
  <c r="R912" i="17"/>
  <c r="S912" i="17"/>
  <c r="R911" i="17"/>
  <c r="S911" i="17"/>
  <c r="R910" i="17"/>
  <c r="S910" i="17"/>
  <c r="R909" i="17"/>
  <c r="S909" i="17"/>
  <c r="R908" i="17"/>
  <c r="S908" i="17"/>
  <c r="R907" i="17"/>
  <c r="S907" i="17"/>
  <c r="R906" i="17"/>
  <c r="S906" i="17"/>
  <c r="R905" i="17"/>
  <c r="S905" i="17"/>
  <c r="R904" i="17"/>
  <c r="S904" i="17"/>
  <c r="R903" i="17"/>
  <c r="S903" i="17"/>
  <c r="R902" i="17"/>
  <c r="S902" i="17"/>
  <c r="R901" i="17"/>
  <c r="S901" i="17"/>
  <c r="R900" i="17"/>
  <c r="S900" i="17"/>
  <c r="R899" i="17"/>
  <c r="S899" i="17"/>
  <c r="R898" i="17"/>
  <c r="S898" i="17"/>
  <c r="R897" i="17"/>
  <c r="S897" i="17"/>
  <c r="R896" i="17"/>
  <c r="S896" i="17"/>
  <c r="R873" i="17"/>
  <c r="R874" i="17"/>
  <c r="S873" i="17"/>
  <c r="S874" i="17"/>
  <c r="R895" i="17"/>
  <c r="S895" i="17"/>
  <c r="R893" i="17"/>
  <c r="S893" i="17"/>
  <c r="R892" i="17"/>
  <c r="S892" i="17"/>
  <c r="R891" i="17"/>
  <c r="S891" i="17"/>
  <c r="R890" i="17"/>
  <c r="S890" i="17"/>
  <c r="R889" i="17"/>
  <c r="S889" i="17"/>
  <c r="R888" i="17"/>
  <c r="S888" i="17"/>
  <c r="R887" i="17"/>
  <c r="S887" i="17"/>
  <c r="R886" i="17"/>
  <c r="S886" i="17"/>
  <c r="R875" i="17"/>
  <c r="R876" i="17"/>
  <c r="R877" i="17"/>
  <c r="S875" i="17"/>
  <c r="S876" i="17"/>
  <c r="S877" i="17"/>
  <c r="R885" i="17"/>
  <c r="S885" i="17"/>
  <c r="R868" i="17"/>
  <c r="S868" i="17"/>
  <c r="R884" i="17"/>
  <c r="S884" i="17"/>
  <c r="R883" i="17"/>
  <c r="S883" i="17"/>
  <c r="R882" i="17"/>
  <c r="S882" i="17"/>
  <c r="R881" i="17"/>
  <c r="S881" i="17"/>
  <c r="R878" i="17"/>
  <c r="S878" i="17"/>
  <c r="R872" i="17"/>
  <c r="S872" i="17"/>
  <c r="R871" i="17"/>
  <c r="S871" i="17"/>
  <c r="R870" i="17"/>
  <c r="S870" i="17"/>
  <c r="AD131" i="17"/>
  <c r="AE131" i="17"/>
  <c r="R869" i="17"/>
  <c r="S869" i="17"/>
  <c r="R545" i="17"/>
  <c r="R546" i="17"/>
  <c r="S545" i="17"/>
  <c r="S546" i="17"/>
  <c r="R867" i="17"/>
  <c r="S867" i="17"/>
  <c r="R866" i="17"/>
  <c r="S866" i="17"/>
  <c r="R865" i="17"/>
  <c r="S865" i="17"/>
  <c r="R864" i="17"/>
  <c r="S864" i="17"/>
  <c r="R863" i="17"/>
  <c r="S863" i="17"/>
  <c r="R862" i="17"/>
  <c r="S862" i="17"/>
  <c r="R861" i="17"/>
  <c r="S861" i="17"/>
  <c r="R860" i="17"/>
  <c r="S860" i="17"/>
  <c r="R859" i="17"/>
  <c r="S859" i="17"/>
  <c r="R858" i="17"/>
  <c r="S858" i="17"/>
  <c r="R857" i="17"/>
  <c r="S857" i="17"/>
  <c r="R856" i="17"/>
  <c r="S856" i="17"/>
  <c r="R855" i="17"/>
  <c r="S855" i="17"/>
  <c r="R854" i="17"/>
  <c r="S854" i="17"/>
  <c r="R853" i="17"/>
  <c r="S853" i="17"/>
  <c r="R852" i="17"/>
  <c r="S852" i="17"/>
  <c r="R851" i="17"/>
  <c r="S851" i="17"/>
  <c r="R850" i="17"/>
  <c r="S850" i="17"/>
  <c r="R849" i="17"/>
  <c r="S849" i="17"/>
  <c r="R848" i="17"/>
  <c r="S848" i="17"/>
  <c r="R847" i="17"/>
  <c r="S847" i="17"/>
  <c r="R846" i="17"/>
  <c r="S846" i="17"/>
  <c r="R845" i="17"/>
  <c r="S845" i="17"/>
  <c r="R844" i="17"/>
  <c r="S844" i="17"/>
  <c r="R843" i="17"/>
  <c r="S843" i="17"/>
  <c r="R842" i="17"/>
  <c r="S842" i="17"/>
  <c r="R841" i="17"/>
  <c r="S841" i="17"/>
  <c r="R840" i="17"/>
  <c r="S840" i="17"/>
  <c r="R839" i="17"/>
  <c r="S839" i="17"/>
  <c r="R838" i="17"/>
  <c r="S838" i="17"/>
  <c r="R837" i="17"/>
  <c r="S837" i="17"/>
  <c r="R836" i="17" l="1"/>
  <c r="S836" i="17"/>
  <c r="R835" i="17"/>
  <c r="S835" i="17"/>
  <c r="R834" i="17"/>
  <c r="S834" i="17"/>
  <c r="R833" i="17"/>
  <c r="S833" i="17"/>
  <c r="R832" i="17"/>
  <c r="S832" i="17"/>
  <c r="R831" i="17"/>
  <c r="S831" i="17"/>
  <c r="AD128" i="17"/>
  <c r="AE128" i="17"/>
  <c r="R830" i="17"/>
  <c r="S830" i="17"/>
  <c r="AD130" i="17"/>
  <c r="AE130" i="17"/>
  <c r="AD129" i="17"/>
  <c r="AE129" i="17"/>
  <c r="AD127" i="17"/>
  <c r="AE127" i="17"/>
  <c r="R829" i="17"/>
  <c r="S829" i="17"/>
  <c r="R828" i="17"/>
  <c r="S828" i="17"/>
  <c r="AD126" i="17"/>
  <c r="AE126" i="17"/>
  <c r="AD125" i="17"/>
  <c r="AE125" i="17"/>
  <c r="AD124" i="17"/>
  <c r="AE124" i="17"/>
  <c r="AD123" i="17"/>
  <c r="AE123" i="17"/>
  <c r="AD122" i="17"/>
  <c r="AE122" i="17"/>
  <c r="AD121" i="17"/>
  <c r="AE121" i="17"/>
  <c r="AD120" i="17"/>
  <c r="AE120" i="17"/>
  <c r="AD119" i="17"/>
  <c r="AE119" i="17"/>
  <c r="AD118" i="17"/>
  <c r="AE118" i="17"/>
  <c r="R827" i="17"/>
  <c r="S827" i="17"/>
  <c r="J1107" i="17" l="1"/>
  <c r="J1106" i="17"/>
  <c r="J1105" i="17"/>
  <c r="R826" i="17" l="1"/>
  <c r="S826" i="17"/>
  <c r="R825" i="17"/>
  <c r="S825" i="17"/>
  <c r="R824" i="17"/>
  <c r="S824" i="17"/>
  <c r="R823" i="17"/>
  <c r="S823" i="17"/>
  <c r="R822" i="17"/>
  <c r="S822" i="17"/>
  <c r="R821" i="17"/>
  <c r="S821" i="17"/>
  <c r="R820" i="17"/>
  <c r="S820" i="17"/>
  <c r="R819" i="17"/>
  <c r="S819" i="17"/>
  <c r="R818" i="17"/>
  <c r="S818" i="17"/>
  <c r="R817" i="17"/>
  <c r="S817" i="17"/>
  <c r="R816" i="17"/>
  <c r="S816" i="17"/>
  <c r="R815" i="17"/>
  <c r="S815" i="17"/>
  <c r="R814" i="17"/>
  <c r="S814" i="17"/>
  <c r="R813" i="17"/>
  <c r="S813" i="17"/>
  <c r="R812" i="17"/>
  <c r="S812" i="17"/>
  <c r="R811" i="17"/>
  <c r="S811" i="17"/>
  <c r="R810" i="17"/>
  <c r="S810" i="17"/>
  <c r="R809" i="17"/>
  <c r="S809" i="17"/>
  <c r="R808" i="17"/>
  <c r="S808" i="17"/>
  <c r="R807" i="17" l="1"/>
  <c r="S807" i="17"/>
  <c r="R806" i="17"/>
  <c r="S806" i="17"/>
  <c r="R805" i="17"/>
  <c r="S805" i="17"/>
  <c r="R804" i="17"/>
  <c r="S804" i="17"/>
  <c r="R803" i="17"/>
  <c r="S803" i="17"/>
  <c r="R802" i="17"/>
  <c r="S802" i="17"/>
  <c r="R801" i="17"/>
  <c r="S801" i="17"/>
  <c r="R800" i="17"/>
  <c r="S800" i="17"/>
  <c r="R799" i="17"/>
  <c r="S799" i="17"/>
  <c r="R798" i="17"/>
  <c r="S798" i="17"/>
  <c r="G609" i="17"/>
  <c r="R797" i="17"/>
  <c r="S797" i="17"/>
  <c r="R796" i="17"/>
  <c r="S796" i="17"/>
  <c r="R795" i="17"/>
  <c r="S795" i="17"/>
  <c r="AD114" i="17"/>
  <c r="AD115" i="17"/>
  <c r="AD116" i="17"/>
  <c r="AE114" i="17"/>
  <c r="AE115" i="17"/>
  <c r="AE116" i="17"/>
  <c r="AD113" i="17"/>
  <c r="AE113" i="17"/>
  <c r="R794" i="17"/>
  <c r="S794" i="17"/>
  <c r="R793" i="17"/>
  <c r="S793" i="17"/>
  <c r="R792" i="17"/>
  <c r="S792" i="17"/>
  <c r="J1200" i="17" l="1"/>
  <c r="J1199" i="17"/>
  <c r="J1198" i="17"/>
  <c r="J1197" i="17"/>
  <c r="AD112" i="17"/>
  <c r="AE112" i="17"/>
  <c r="AD111" i="17" l="1"/>
  <c r="AE111" i="17"/>
  <c r="AD110" i="17"/>
  <c r="AE110" i="17"/>
  <c r="R791" i="17"/>
  <c r="S791" i="17"/>
  <c r="R790" i="17"/>
  <c r="S790" i="17"/>
  <c r="R789" i="17"/>
  <c r="S789" i="17"/>
  <c r="R788" i="17"/>
  <c r="S788" i="17"/>
  <c r="R787" i="17"/>
  <c r="S787" i="17"/>
  <c r="R786" i="17"/>
  <c r="S786" i="17"/>
  <c r="R785" i="17"/>
  <c r="S785" i="17"/>
  <c r="R784" i="17"/>
  <c r="S784" i="17"/>
  <c r="R783" i="17"/>
  <c r="S783" i="17"/>
  <c r="R782" i="17"/>
  <c r="S782" i="17"/>
  <c r="R781" i="17"/>
  <c r="S781" i="17"/>
  <c r="R780" i="17"/>
  <c r="S780" i="17"/>
  <c r="R779" i="17"/>
  <c r="S779" i="17"/>
  <c r="R778" i="17"/>
  <c r="S778" i="17"/>
  <c r="AD109" i="17"/>
  <c r="AE109" i="17"/>
  <c r="AD108" i="17"/>
  <c r="AE108" i="17"/>
  <c r="AD107" i="17"/>
  <c r="AE107" i="17"/>
  <c r="R777" i="17"/>
  <c r="S777" i="17"/>
  <c r="R776" i="17"/>
  <c r="S776" i="17"/>
  <c r="R775" i="17"/>
  <c r="S775" i="17"/>
  <c r="R774" i="17"/>
  <c r="S774" i="17"/>
  <c r="R773" i="17"/>
  <c r="S773" i="17"/>
  <c r="R772" i="17"/>
  <c r="S772" i="17"/>
  <c r="AD143" i="17"/>
  <c r="AE143" i="17"/>
  <c r="R771" i="17" l="1"/>
  <c r="S771" i="17"/>
  <c r="R770" i="17"/>
  <c r="S770" i="17"/>
  <c r="R769" i="17"/>
  <c r="S769" i="17"/>
  <c r="AD106" i="17"/>
  <c r="AE106" i="17"/>
  <c r="R768" i="17"/>
  <c r="S768" i="17"/>
  <c r="R767" i="17"/>
  <c r="S767" i="17"/>
  <c r="R766" i="17"/>
  <c r="S766" i="17"/>
  <c r="R765" i="17"/>
  <c r="S765" i="17"/>
  <c r="R764" i="17"/>
  <c r="S764" i="17"/>
  <c r="R763" i="17"/>
  <c r="S763" i="17"/>
  <c r="R762" i="17"/>
  <c r="S762" i="17"/>
  <c r="R761" i="17"/>
  <c r="S761" i="17"/>
  <c r="R760" i="17"/>
  <c r="S760" i="17"/>
  <c r="R759" i="17"/>
  <c r="S759" i="17"/>
  <c r="R758" i="17"/>
  <c r="S758" i="17"/>
  <c r="R757" i="17"/>
  <c r="S757" i="17"/>
  <c r="R756" i="17"/>
  <c r="S756" i="17"/>
  <c r="R755" i="17"/>
  <c r="S755" i="17"/>
  <c r="R754" i="17"/>
  <c r="S754" i="17"/>
  <c r="R753" i="17"/>
  <c r="S753" i="17"/>
  <c r="R752" i="17"/>
  <c r="S752" i="17"/>
  <c r="R751" i="17"/>
  <c r="S751" i="17"/>
  <c r="R750" i="17"/>
  <c r="S750" i="17"/>
  <c r="R749" i="17"/>
  <c r="S749" i="17"/>
  <c r="R748" i="17"/>
  <c r="S748" i="17"/>
  <c r="R747" i="17"/>
  <c r="S747" i="17"/>
  <c r="R746" i="17"/>
  <c r="S746" i="17"/>
  <c r="R745" i="17"/>
  <c r="S745" i="17"/>
  <c r="R744" i="17"/>
  <c r="S744" i="17"/>
  <c r="R743" i="17"/>
  <c r="S743" i="17"/>
  <c r="R742" i="17"/>
  <c r="S742" i="17"/>
  <c r="R741" i="17"/>
  <c r="S741" i="17"/>
  <c r="AD105" i="17"/>
  <c r="AE105" i="17"/>
  <c r="R164" i="17"/>
  <c r="S164" i="17"/>
  <c r="R740" i="17"/>
  <c r="S740" i="17"/>
  <c r="R739" i="17"/>
  <c r="S739" i="17"/>
  <c r="R738" i="17"/>
  <c r="S738" i="17"/>
  <c r="R737" i="17"/>
  <c r="S737" i="17"/>
  <c r="R736" i="17"/>
  <c r="S736" i="17"/>
  <c r="R735" i="17"/>
  <c r="S735" i="17"/>
  <c r="R734" i="17"/>
  <c r="S734" i="17"/>
  <c r="R733" i="17"/>
  <c r="S733" i="17"/>
  <c r="AD104" i="17"/>
  <c r="AE104" i="17"/>
  <c r="R636" i="17"/>
  <c r="S636" i="17"/>
  <c r="R732" i="17"/>
  <c r="S732" i="17"/>
  <c r="R731" i="17"/>
  <c r="S731" i="17"/>
  <c r="AD103" i="17"/>
  <c r="AE103" i="17"/>
  <c r="AD102" i="17"/>
  <c r="AE102" i="17"/>
  <c r="AD101" i="17"/>
  <c r="AE101" i="17"/>
  <c r="AD100" i="17"/>
  <c r="AE100" i="17"/>
  <c r="R730" i="17"/>
  <c r="S730" i="17"/>
  <c r="R729" i="17"/>
  <c r="S729" i="17"/>
  <c r="R728" i="17"/>
  <c r="S728" i="17"/>
  <c r="R727" i="17"/>
  <c r="S727" i="17"/>
  <c r="R726" i="17"/>
  <c r="S726" i="17"/>
  <c r="R725" i="17"/>
  <c r="S725" i="17"/>
  <c r="R724" i="17"/>
  <c r="S724" i="17"/>
  <c r="R723" i="17"/>
  <c r="S723" i="17"/>
  <c r="R722" i="17"/>
  <c r="S722" i="17"/>
  <c r="R721" i="17"/>
  <c r="S721" i="17"/>
  <c r="R720" i="17"/>
  <c r="S720" i="17"/>
  <c r="R719" i="17"/>
  <c r="S719" i="17"/>
  <c r="R718" i="17"/>
  <c r="S718" i="17"/>
  <c r="R717" i="17"/>
  <c r="S717" i="17"/>
  <c r="R470" i="17"/>
  <c r="R471" i="17"/>
  <c r="S470" i="17"/>
  <c r="S471" i="17"/>
  <c r="R716" i="17"/>
  <c r="S716" i="17"/>
  <c r="R715" i="17"/>
  <c r="S715" i="17"/>
  <c r="R714" i="17"/>
  <c r="S714" i="17"/>
  <c r="R693" i="17"/>
  <c r="S693" i="17"/>
  <c r="R689" i="17"/>
  <c r="R690" i="17"/>
  <c r="R691" i="17"/>
  <c r="R692" i="17"/>
  <c r="S689" i="17"/>
  <c r="S690" i="17"/>
  <c r="S691" i="17"/>
  <c r="S692" i="17"/>
  <c r="R652" i="17"/>
  <c r="R653" i="17"/>
  <c r="R654" i="17"/>
  <c r="R655" i="17"/>
  <c r="R656" i="17"/>
  <c r="S652" i="17"/>
  <c r="S653" i="17"/>
  <c r="S654" i="17"/>
  <c r="S655" i="17"/>
  <c r="S656" i="17"/>
  <c r="AD117" i="17"/>
  <c r="AE117" i="17"/>
  <c r="R644" i="17" l="1"/>
  <c r="R645" i="17"/>
  <c r="R646" i="17"/>
  <c r="R647" i="17"/>
  <c r="S644" i="17"/>
  <c r="S645" i="17"/>
  <c r="S646" i="17"/>
  <c r="S647" i="17"/>
  <c r="R648" i="17"/>
  <c r="R649" i="17"/>
  <c r="R650" i="17"/>
  <c r="R657" i="17"/>
  <c r="S648" i="17"/>
  <c r="S649" i="17"/>
  <c r="S650" i="17"/>
  <c r="S657" i="17"/>
  <c r="R637" i="17" l="1"/>
  <c r="R638" i="17"/>
  <c r="S637" i="17"/>
  <c r="S638" i="17"/>
  <c r="R658" i="17"/>
  <c r="R659" i="17"/>
  <c r="S658" i="17"/>
  <c r="S659" i="17"/>
  <c r="R626" i="17"/>
  <c r="R627" i="17"/>
  <c r="R628" i="17"/>
  <c r="R629" i="17"/>
  <c r="S626" i="17"/>
  <c r="S627" i="17"/>
  <c r="S628" i="17"/>
  <c r="S629" i="17"/>
  <c r="R630" i="17"/>
  <c r="R631" i="17"/>
  <c r="R632" i="17"/>
  <c r="R633" i="17"/>
  <c r="S630" i="17"/>
  <c r="S631" i="17"/>
  <c r="S632" i="17"/>
  <c r="S633" i="17"/>
  <c r="R634" i="17"/>
  <c r="R635" i="17"/>
  <c r="S634" i="17"/>
  <c r="S635" i="17"/>
  <c r="R619" i="17"/>
  <c r="R620" i="17"/>
  <c r="R621" i="17"/>
  <c r="S619" i="17"/>
  <c r="S620" i="17"/>
  <c r="S621" i="17"/>
  <c r="R622" i="17"/>
  <c r="R623" i="17"/>
  <c r="R624" i="17"/>
  <c r="S622" i="17"/>
  <c r="S623" i="17"/>
  <c r="S624" i="17"/>
  <c r="R613" i="17"/>
  <c r="R614" i="17"/>
  <c r="R615" i="17"/>
  <c r="S613" i="17"/>
  <c r="S614" i="17"/>
  <c r="S615" i="17"/>
  <c r="R616" i="17"/>
  <c r="R617" i="17"/>
  <c r="R618" i="17"/>
  <c r="S616" i="17"/>
  <c r="S617" i="17"/>
  <c r="S618" i="17"/>
  <c r="AD99" i="17"/>
  <c r="AE99" i="17"/>
  <c r="AD98" i="17"/>
  <c r="AE98" i="17"/>
  <c r="AD97" i="17"/>
  <c r="AE97" i="17"/>
  <c r="AD96" i="17"/>
  <c r="AE96" i="17"/>
  <c r="AD95" i="17"/>
  <c r="AE95" i="17"/>
  <c r="AD94" i="17"/>
  <c r="AE94" i="17"/>
  <c r="AD93" i="17"/>
  <c r="AE93" i="17"/>
  <c r="AD92" i="17"/>
  <c r="AE92" i="17"/>
  <c r="R597" i="17"/>
  <c r="R598" i="17"/>
  <c r="R599" i="17"/>
  <c r="R600" i="17"/>
  <c r="R601" i="17"/>
  <c r="R602" i="17"/>
  <c r="S597" i="17"/>
  <c r="S598" i="17"/>
  <c r="S599" i="17"/>
  <c r="S600" i="17"/>
  <c r="S601" i="17"/>
  <c r="S602" i="17"/>
  <c r="R603" i="17"/>
  <c r="R604" i="17"/>
  <c r="R605" i="17"/>
  <c r="R606" i="17"/>
  <c r="R607" i="17"/>
  <c r="R608" i="17"/>
  <c r="S603" i="17"/>
  <c r="S604" i="17"/>
  <c r="S605" i="17"/>
  <c r="S606" i="17"/>
  <c r="S607" i="17"/>
  <c r="S608" i="17"/>
  <c r="R594" i="17"/>
  <c r="R595" i="17"/>
  <c r="R596" i="17"/>
  <c r="R609" i="17"/>
  <c r="R610" i="17"/>
  <c r="S594" i="17"/>
  <c r="S595" i="17"/>
  <c r="S596" i="17"/>
  <c r="S609" i="17"/>
  <c r="S610" i="17"/>
  <c r="AD91" i="17"/>
  <c r="AE91" i="17"/>
  <c r="R590" i="17"/>
  <c r="R591" i="17"/>
  <c r="R592" i="17"/>
  <c r="S590" i="17"/>
  <c r="S591" i="17"/>
  <c r="S592" i="17"/>
  <c r="R593" i="17"/>
  <c r="R611" i="17"/>
  <c r="R612" i="17"/>
  <c r="S593" i="17"/>
  <c r="S611" i="17"/>
  <c r="S612" i="17"/>
  <c r="R587" i="17"/>
  <c r="R588" i="17"/>
  <c r="R589" i="17"/>
  <c r="S587" i="17"/>
  <c r="S588" i="17"/>
  <c r="S589" i="17"/>
  <c r="R581" i="17"/>
  <c r="R582" i="17"/>
  <c r="R583" i="17"/>
  <c r="S581" i="17"/>
  <c r="S582" i="17"/>
  <c r="S583" i="17"/>
  <c r="R584" i="17"/>
  <c r="R585" i="17"/>
  <c r="R586" i="17"/>
  <c r="S584" i="17"/>
  <c r="S585" i="17"/>
  <c r="S586" i="17"/>
  <c r="R576" i="17"/>
  <c r="R577" i="17"/>
  <c r="R578" i="17"/>
  <c r="R579" i="17"/>
  <c r="S576" i="17"/>
  <c r="S577" i="17"/>
  <c r="S578" i="17"/>
  <c r="S579" i="17"/>
  <c r="R572" i="17" l="1"/>
  <c r="R573" i="17"/>
  <c r="R574" i="17"/>
  <c r="R575" i="17"/>
  <c r="S572" i="17"/>
  <c r="S573" i="17"/>
  <c r="S574" i="17"/>
  <c r="S575" i="17"/>
  <c r="R553" i="17"/>
  <c r="S553" i="17"/>
  <c r="R543" i="17"/>
  <c r="S543" i="17"/>
  <c r="R542" i="17"/>
  <c r="S542" i="17"/>
  <c r="R560" i="17"/>
  <c r="R561" i="17"/>
  <c r="R562" i="17"/>
  <c r="R563" i="17"/>
  <c r="R564" i="17"/>
  <c r="R565" i="17"/>
  <c r="R566" i="17"/>
  <c r="R567" i="17"/>
  <c r="S560" i="17"/>
  <c r="S561" i="17"/>
  <c r="S562" i="17"/>
  <c r="S563" i="17"/>
  <c r="S564" i="17"/>
  <c r="S565" i="17"/>
  <c r="S566" i="17"/>
  <c r="S567" i="17"/>
  <c r="R556" i="17"/>
  <c r="R557" i="17"/>
  <c r="R558" i="17"/>
  <c r="R559" i="17"/>
  <c r="R568" i="17"/>
  <c r="R569" i="17"/>
  <c r="S556" i="17"/>
  <c r="S557" i="17"/>
  <c r="S558" i="17"/>
  <c r="S559" i="17"/>
  <c r="S568" i="17"/>
  <c r="S569" i="17"/>
  <c r="R554" i="17"/>
  <c r="R555" i="17"/>
  <c r="R570" i="17"/>
  <c r="R571" i="17"/>
  <c r="S554" i="17"/>
  <c r="S555" i="17"/>
  <c r="S570" i="17"/>
  <c r="S571" i="17"/>
  <c r="R580" i="17"/>
  <c r="R625" i="17"/>
  <c r="S580" i="17"/>
  <c r="S625" i="17"/>
  <c r="R541" i="17"/>
  <c r="R544" i="17"/>
  <c r="R547" i="17"/>
  <c r="R548" i="17"/>
  <c r="S541" i="17"/>
  <c r="S544" i="17"/>
  <c r="S547" i="17"/>
  <c r="S548" i="17"/>
  <c r="AD90" i="17"/>
  <c r="AE90" i="17"/>
  <c r="R536" i="17" l="1"/>
  <c r="R537" i="17"/>
  <c r="R538" i="17"/>
  <c r="S536" i="17"/>
  <c r="S537" i="17"/>
  <c r="S538" i="17"/>
  <c r="R539" i="17"/>
  <c r="R540" i="17"/>
  <c r="R549" i="17"/>
  <c r="S539" i="17"/>
  <c r="S540" i="17"/>
  <c r="S549" i="17"/>
  <c r="R529" i="17"/>
  <c r="R530" i="17"/>
  <c r="R531" i="17"/>
  <c r="R532" i="17"/>
  <c r="R533" i="17"/>
  <c r="S529" i="17"/>
  <c r="S530" i="17"/>
  <c r="S531" i="17"/>
  <c r="S532" i="17"/>
  <c r="S533" i="17"/>
  <c r="R524" i="17"/>
  <c r="R525" i="17"/>
  <c r="R526" i="17"/>
  <c r="R527" i="17"/>
  <c r="R528" i="17"/>
  <c r="S524" i="17"/>
  <c r="S525" i="17"/>
  <c r="S526" i="17"/>
  <c r="S527" i="17"/>
  <c r="S528" i="17"/>
  <c r="R519" i="17"/>
  <c r="R520" i="17"/>
  <c r="R521" i="17"/>
  <c r="R522" i="17"/>
  <c r="R523" i="17"/>
  <c r="S519" i="17"/>
  <c r="S520" i="17"/>
  <c r="S521" i="17"/>
  <c r="S522" i="17"/>
  <c r="S523" i="17"/>
  <c r="R515" i="17"/>
  <c r="R516" i="17"/>
  <c r="R517" i="17"/>
  <c r="S515" i="17"/>
  <c r="S516" i="17"/>
  <c r="S517" i="17"/>
  <c r="R518" i="17"/>
  <c r="R534" i="17"/>
  <c r="R535" i="17"/>
  <c r="S518" i="17"/>
  <c r="S534" i="17"/>
  <c r="S535" i="17"/>
  <c r="R506" i="17"/>
  <c r="R507" i="17"/>
  <c r="R508" i="17"/>
  <c r="R509" i="17"/>
  <c r="S506" i="17"/>
  <c r="S507" i="17"/>
  <c r="S508" i="17"/>
  <c r="S509" i="17"/>
  <c r="R510" i="17"/>
  <c r="R511" i="17"/>
  <c r="R512" i="17"/>
  <c r="R513" i="17"/>
  <c r="S510" i="17"/>
  <c r="S511" i="17"/>
  <c r="S512" i="17"/>
  <c r="S513" i="17"/>
  <c r="R500" i="17"/>
  <c r="S500" i="17"/>
  <c r="R504" i="17"/>
  <c r="R505" i="17"/>
  <c r="S504" i="17"/>
  <c r="S505" i="17"/>
  <c r="R514" i="17"/>
  <c r="R550" i="17"/>
  <c r="S514" i="17"/>
  <c r="S550" i="17"/>
  <c r="R497" i="17"/>
  <c r="R498" i="17"/>
  <c r="R499" i="17"/>
  <c r="R501" i="17"/>
  <c r="S497" i="17"/>
  <c r="S498" i="17"/>
  <c r="S499" i="17"/>
  <c r="S501" i="17"/>
  <c r="R502" i="17"/>
  <c r="R503" i="17"/>
  <c r="S502" i="17"/>
  <c r="S503" i="17"/>
  <c r="AD87" i="17"/>
  <c r="AE87" i="17"/>
  <c r="AD89" i="17"/>
  <c r="AE89" i="17"/>
  <c r="R486" i="17"/>
  <c r="R487" i="17"/>
  <c r="R488" i="17"/>
  <c r="R489" i="17"/>
  <c r="R490" i="17"/>
  <c r="R491" i="17"/>
  <c r="S486" i="17"/>
  <c r="S487" i="17"/>
  <c r="S488" i="17"/>
  <c r="S489" i="17"/>
  <c r="S490" i="17"/>
  <c r="S491" i="17"/>
  <c r="R483" i="17"/>
  <c r="R484" i="17"/>
  <c r="R485" i="17"/>
  <c r="R492" i="17"/>
  <c r="R493" i="17"/>
  <c r="S483" i="17"/>
  <c r="S484" i="17"/>
  <c r="S485" i="17"/>
  <c r="S492" i="17"/>
  <c r="S493" i="17"/>
  <c r="AD88" i="17"/>
  <c r="AE88" i="17"/>
  <c r="R481" i="17"/>
  <c r="R482" i="17"/>
  <c r="R494" i="17"/>
  <c r="R495" i="17"/>
  <c r="S481" i="17"/>
  <c r="S482" i="17"/>
  <c r="S494" i="17"/>
  <c r="S495" i="17"/>
  <c r="R476" i="17" l="1"/>
  <c r="R477" i="17"/>
  <c r="R478" i="17"/>
  <c r="S476" i="17"/>
  <c r="S477" i="17"/>
  <c r="S478" i="17"/>
  <c r="R479" i="17"/>
  <c r="R480" i="17"/>
  <c r="R496" i="17"/>
  <c r="S479" i="17"/>
  <c r="S480" i="17"/>
  <c r="S496" i="17"/>
  <c r="R473" i="17"/>
  <c r="R474" i="17"/>
  <c r="R475" i="17"/>
  <c r="S473" i="17"/>
  <c r="S474" i="17"/>
  <c r="S475" i="17"/>
  <c r="R465" i="17"/>
  <c r="S465" i="17"/>
  <c r="R468" i="17"/>
  <c r="R469" i="17"/>
  <c r="S468" i="17"/>
  <c r="S469" i="17"/>
  <c r="R472" i="17"/>
  <c r="R551" i="17"/>
  <c r="S472" i="17"/>
  <c r="S551" i="17"/>
  <c r="R463" i="17"/>
  <c r="S463" i="17"/>
  <c r="R464" i="17"/>
  <c r="R466" i="17"/>
  <c r="S464" i="17"/>
  <c r="S466" i="17"/>
  <c r="R460" i="17"/>
  <c r="R461" i="17"/>
  <c r="R462" i="17"/>
  <c r="S460" i="17"/>
  <c r="S461" i="17"/>
  <c r="S462" i="17"/>
  <c r="R458" i="17"/>
  <c r="S458" i="17"/>
  <c r="R457" i="17"/>
  <c r="S457" i="17"/>
  <c r="R455" i="17"/>
  <c r="S455" i="17"/>
  <c r="AD86" i="17"/>
  <c r="AE86" i="17"/>
  <c r="R448" i="17"/>
  <c r="R449" i="17"/>
  <c r="R450" i="17"/>
  <c r="R451" i="17"/>
  <c r="R452" i="17"/>
  <c r="R453" i="17"/>
  <c r="S448" i="17"/>
  <c r="S449" i="17"/>
  <c r="S450" i="17"/>
  <c r="S451" i="17"/>
  <c r="S452" i="17"/>
  <c r="S453" i="17"/>
  <c r="R190" i="17"/>
  <c r="R191" i="17"/>
  <c r="S190" i="17"/>
  <c r="S191" i="17"/>
  <c r="R445" i="17"/>
  <c r="R446" i="17"/>
  <c r="R447" i="17"/>
  <c r="S445" i="17"/>
  <c r="S446" i="17"/>
  <c r="S447" i="17"/>
  <c r="R454" i="17"/>
  <c r="R456" i="17"/>
  <c r="R459" i="17"/>
  <c r="S454" i="17"/>
  <c r="S456" i="17"/>
  <c r="S459" i="17"/>
  <c r="R442" i="17"/>
  <c r="R443" i="17"/>
  <c r="S442" i="17"/>
  <c r="S443" i="17"/>
  <c r="R444" i="17"/>
  <c r="R467" i="17"/>
  <c r="S444" i="17"/>
  <c r="S467" i="17"/>
  <c r="R552" i="17"/>
  <c r="S552" i="17"/>
  <c r="R428" i="17"/>
  <c r="S428" i="17"/>
  <c r="R434" i="17"/>
  <c r="R435" i="17"/>
  <c r="R436" i="17"/>
  <c r="S434" i="17"/>
  <c r="S435" i="17"/>
  <c r="S436" i="17"/>
  <c r="R437" i="17"/>
  <c r="R438" i="17"/>
  <c r="R439" i="17"/>
  <c r="S437" i="17"/>
  <c r="S438" i="17"/>
  <c r="S439" i="17"/>
  <c r="AD85" i="17"/>
  <c r="AE85" i="17"/>
  <c r="AD84" i="17"/>
  <c r="AE84" i="17"/>
  <c r="AD83" i="17"/>
  <c r="AE83" i="17"/>
  <c r="AD82" i="17"/>
  <c r="AE82" i="17"/>
  <c r="AD81" i="17"/>
  <c r="AE81" i="17"/>
  <c r="AD80" i="17"/>
  <c r="AE80" i="17"/>
  <c r="R429" i="17"/>
  <c r="R430" i="17"/>
  <c r="R431" i="17"/>
  <c r="R432" i="17"/>
  <c r="S429" i="17"/>
  <c r="S430" i="17"/>
  <c r="S431" i="17"/>
  <c r="S432" i="17"/>
  <c r="R409" i="17"/>
  <c r="S409" i="17"/>
  <c r="R420" i="17"/>
  <c r="R421" i="17"/>
  <c r="R422" i="17"/>
  <c r="R423" i="17"/>
  <c r="S420" i="17"/>
  <c r="S421" i="17"/>
  <c r="S422" i="17"/>
  <c r="S423" i="17"/>
  <c r="R424" i="17"/>
  <c r="R425" i="17"/>
  <c r="R426" i="17"/>
  <c r="R427" i="17"/>
  <c r="S424" i="17"/>
  <c r="S425" i="17"/>
  <c r="S426" i="17"/>
  <c r="S427" i="17"/>
  <c r="R405" i="17"/>
  <c r="S405" i="17"/>
  <c r="R418" i="17"/>
  <c r="R419" i="17"/>
  <c r="S418" i="17"/>
  <c r="S419" i="17"/>
  <c r="R433" i="17"/>
  <c r="R440" i="17"/>
  <c r="S433" i="17"/>
  <c r="S440" i="17"/>
  <c r="H6" i="17"/>
  <c r="H7" i="17"/>
  <c r="R416" i="17"/>
  <c r="R417" i="17"/>
  <c r="S416" i="17"/>
  <c r="S417" i="17"/>
  <c r="R441" i="17"/>
  <c r="S441" i="17"/>
  <c r="R411" i="17"/>
  <c r="R412" i="17"/>
  <c r="S411" i="17"/>
  <c r="S412" i="17"/>
  <c r="R413" i="17"/>
  <c r="R414" i="17"/>
  <c r="S413" i="17"/>
  <c r="S414" i="17"/>
  <c r="R406" i="17"/>
  <c r="R407" i="17"/>
  <c r="S406" i="17"/>
  <c r="S407" i="17"/>
  <c r="R408" i="17"/>
  <c r="R410" i="17"/>
  <c r="S408" i="17"/>
  <c r="S410" i="17"/>
  <c r="R415" i="17"/>
  <c r="S415" i="17"/>
  <c r="R402" i="17"/>
  <c r="R403" i="17"/>
  <c r="S402" i="17"/>
  <c r="S403" i="17"/>
  <c r="R404" i="17"/>
  <c r="S404" i="17"/>
  <c r="R393" i="17" l="1"/>
  <c r="R394" i="17"/>
  <c r="R395" i="17"/>
  <c r="R396" i="17"/>
  <c r="R397" i="17"/>
  <c r="S393" i="17"/>
  <c r="S394" i="17"/>
  <c r="S395" i="17"/>
  <c r="S396" i="17"/>
  <c r="S397" i="17"/>
  <c r="R392" i="17"/>
  <c r="R398" i="17"/>
  <c r="S392" i="17"/>
  <c r="S398" i="17"/>
  <c r="R399" i="17"/>
  <c r="R400" i="17"/>
  <c r="S399" i="17"/>
  <c r="S400" i="17"/>
  <c r="R382" i="17"/>
  <c r="R383" i="17"/>
  <c r="R384" i="17"/>
  <c r="R385" i="17"/>
  <c r="R386" i="17"/>
  <c r="R387" i="17"/>
  <c r="S382" i="17"/>
  <c r="S383" i="17"/>
  <c r="S384" i="17"/>
  <c r="S385" i="17"/>
  <c r="S386" i="17"/>
  <c r="S387" i="17"/>
  <c r="R388" i="17"/>
  <c r="R389" i="17"/>
  <c r="S388" i="17"/>
  <c r="S389" i="17"/>
  <c r="R390" i="17"/>
  <c r="R391" i="17"/>
  <c r="S390" i="17"/>
  <c r="S391" i="17"/>
  <c r="AD79" i="17" l="1"/>
  <c r="AE79" i="17"/>
  <c r="R374" i="17"/>
  <c r="R375" i="17"/>
  <c r="R376" i="17"/>
  <c r="R377" i="17"/>
  <c r="S374" i="17"/>
  <c r="S375" i="17"/>
  <c r="S376" i="17"/>
  <c r="S377" i="17"/>
  <c r="R378" i="17"/>
  <c r="R379" i="17"/>
  <c r="S378" i="17"/>
  <c r="S379" i="17"/>
  <c r="R380" i="17"/>
  <c r="R381" i="17"/>
  <c r="S380" i="17"/>
  <c r="S381" i="17"/>
  <c r="R370" i="17"/>
  <c r="R371" i="17"/>
  <c r="S370" i="17"/>
  <c r="S371" i="17"/>
  <c r="R372" i="17"/>
  <c r="R373" i="17"/>
  <c r="S372" i="17"/>
  <c r="S373" i="17"/>
  <c r="R401" i="17"/>
  <c r="S401" i="17"/>
  <c r="R359" i="17"/>
  <c r="R360" i="17"/>
  <c r="R361" i="17"/>
  <c r="R362" i="17"/>
  <c r="S359" i="17"/>
  <c r="S360" i="17"/>
  <c r="S361" i="17"/>
  <c r="S362" i="17"/>
  <c r="R363" i="17"/>
  <c r="R364" i="17"/>
  <c r="R365" i="17"/>
  <c r="R366" i="17"/>
  <c r="S363" i="17"/>
  <c r="S364" i="17"/>
  <c r="S365" i="17"/>
  <c r="S366" i="17"/>
  <c r="R367" i="17"/>
  <c r="R368" i="17"/>
  <c r="S367" i="17"/>
  <c r="S368" i="17"/>
  <c r="R357" i="17"/>
  <c r="R358" i="17"/>
  <c r="S357" i="17"/>
  <c r="S358" i="17"/>
  <c r="R369" i="17"/>
  <c r="S369" i="17"/>
  <c r="R352" i="17"/>
  <c r="R353" i="17"/>
  <c r="R354" i="17"/>
  <c r="S352" i="17"/>
  <c r="S353" i="17"/>
  <c r="S354" i="17"/>
  <c r="R350" i="17"/>
  <c r="S350" i="17"/>
  <c r="AD78" i="17"/>
  <c r="AE78" i="17"/>
  <c r="R342" i="17"/>
  <c r="R343" i="17"/>
  <c r="R344" i="17"/>
  <c r="R345" i="17"/>
  <c r="S342" i="17"/>
  <c r="S343" i="17"/>
  <c r="S344" i="17"/>
  <c r="S345" i="17"/>
  <c r="R346" i="17"/>
  <c r="R347" i="17"/>
  <c r="R348" i="17"/>
  <c r="R349" i="17"/>
  <c r="S346" i="17"/>
  <c r="S347" i="17"/>
  <c r="S348" i="17"/>
  <c r="S349" i="17"/>
  <c r="R339" i="17" l="1"/>
  <c r="R340" i="17"/>
  <c r="S339" i="17"/>
  <c r="S340" i="17"/>
  <c r="R324" i="17"/>
  <c r="R325" i="17"/>
  <c r="R326" i="17"/>
  <c r="R327" i="17"/>
  <c r="R328" i="17"/>
  <c r="R329" i="17"/>
  <c r="S324" i="17"/>
  <c r="S325" i="17"/>
  <c r="S326" i="17"/>
  <c r="S327" i="17"/>
  <c r="S328" i="17"/>
  <c r="S329" i="17"/>
  <c r="R330" i="17"/>
  <c r="R331" i="17"/>
  <c r="R332" i="17"/>
  <c r="R333" i="17"/>
  <c r="R334" i="17"/>
  <c r="R335" i="17"/>
  <c r="S330" i="17"/>
  <c r="S331" i="17"/>
  <c r="S332" i="17"/>
  <c r="S333" i="17"/>
  <c r="S334" i="17"/>
  <c r="S335" i="17"/>
  <c r="R336" i="17"/>
  <c r="R341" i="17"/>
  <c r="R351" i="17"/>
  <c r="S336" i="17"/>
  <c r="S341" i="17"/>
  <c r="S351" i="17"/>
  <c r="AD77" i="17"/>
  <c r="AE77" i="17"/>
  <c r="AD76" i="17"/>
  <c r="AE76" i="17"/>
  <c r="R321" i="17"/>
  <c r="R322" i="17"/>
  <c r="S321" i="17"/>
  <c r="S322" i="17"/>
  <c r="R323" i="17"/>
  <c r="R355" i="17"/>
  <c r="S323" i="17"/>
  <c r="S355" i="17"/>
  <c r="R315" i="17"/>
  <c r="R316" i="17"/>
  <c r="R317" i="17"/>
  <c r="R318" i="17"/>
  <c r="S315" i="17"/>
  <c r="S316" i="17"/>
  <c r="S317" i="17"/>
  <c r="S318" i="17"/>
  <c r="R319" i="17"/>
  <c r="R320" i="17"/>
  <c r="S319" i="17"/>
  <c r="S320" i="17"/>
  <c r="R311" i="17" l="1"/>
  <c r="R312" i="17"/>
  <c r="S311" i="17"/>
  <c r="S312" i="17"/>
  <c r="R313" i="17"/>
  <c r="R314" i="17"/>
  <c r="S313" i="17"/>
  <c r="S314" i="17"/>
  <c r="R307" i="17"/>
  <c r="R308" i="17"/>
  <c r="S307" i="17"/>
  <c r="S308" i="17"/>
  <c r="R309" i="17"/>
  <c r="R310" i="17"/>
  <c r="S309" i="17"/>
  <c r="S310" i="17"/>
  <c r="R356" i="17"/>
  <c r="S356" i="17"/>
  <c r="R300" i="17"/>
  <c r="R301" i="17"/>
  <c r="R302" i="17"/>
  <c r="R303" i="17"/>
  <c r="S300" i="17"/>
  <c r="S301" i="17"/>
  <c r="S302" i="17"/>
  <c r="S303" i="17"/>
  <c r="AD75" i="17"/>
  <c r="AE75" i="17"/>
  <c r="AD73" i="17"/>
  <c r="AD74" i="17"/>
  <c r="AE73" i="17"/>
  <c r="AE74" i="17"/>
  <c r="AD72" i="17"/>
  <c r="AE72" i="17"/>
  <c r="AD71" i="17"/>
  <c r="AE71" i="17"/>
  <c r="AD70" i="17"/>
  <c r="AE70" i="17"/>
  <c r="AD69" i="17"/>
  <c r="AE69" i="17"/>
  <c r="AD68" i="17"/>
  <c r="AE68" i="17"/>
  <c r="AD67" i="17"/>
  <c r="AE67" i="17"/>
  <c r="AD66" i="17"/>
  <c r="AE66" i="17"/>
  <c r="AD65" i="17"/>
  <c r="AE65" i="17"/>
  <c r="R296" i="17"/>
  <c r="R297" i="17"/>
  <c r="S296" i="17"/>
  <c r="S297" i="17"/>
  <c r="R298" i="17"/>
  <c r="R299" i="17"/>
  <c r="S298" i="17"/>
  <c r="S299" i="17"/>
  <c r="R304" i="17"/>
  <c r="R305" i="17"/>
  <c r="S304" i="17"/>
  <c r="S305" i="17"/>
  <c r="R306" i="17"/>
  <c r="S306" i="17"/>
  <c r="R291" i="17"/>
  <c r="R292" i="17"/>
  <c r="R293" i="17"/>
  <c r="S291" i="17"/>
  <c r="S292" i="17"/>
  <c r="S293" i="17"/>
  <c r="R290" i="17"/>
  <c r="R294" i="17"/>
  <c r="S290" i="17"/>
  <c r="S294" i="17"/>
  <c r="J1098" i="17" l="1"/>
  <c r="J1101" i="17"/>
  <c r="J1100" i="17"/>
  <c r="J1099" i="17"/>
  <c r="J1103" i="17"/>
  <c r="J1102" i="17"/>
  <c r="R262" i="17" l="1"/>
  <c r="S262" i="17"/>
  <c r="R284" i="17"/>
  <c r="R285" i="17"/>
  <c r="R286" i="17"/>
  <c r="R287" i="17"/>
  <c r="S284" i="17"/>
  <c r="S285" i="17"/>
  <c r="S286" i="17"/>
  <c r="S287" i="17"/>
  <c r="R280" i="17"/>
  <c r="R281" i="17"/>
  <c r="R282" i="17"/>
  <c r="S280" i="17"/>
  <c r="S281" i="17"/>
  <c r="S282" i="17"/>
  <c r="R283" i="17"/>
  <c r="R288" i="17"/>
  <c r="S283" i="17"/>
  <c r="S288" i="17"/>
  <c r="R277" i="17"/>
  <c r="R278" i="17"/>
  <c r="S277" i="17"/>
  <c r="S278" i="17"/>
  <c r="R279" i="17"/>
  <c r="R289" i="17"/>
  <c r="S279" i="17"/>
  <c r="S289" i="17"/>
  <c r="R259" i="17"/>
  <c r="R260" i="17"/>
  <c r="S259" i="17"/>
  <c r="S260" i="17"/>
  <c r="R257" i="17"/>
  <c r="S257" i="17"/>
  <c r="R256" i="17"/>
  <c r="S256" i="17"/>
  <c r="R255" i="17"/>
  <c r="S255" i="17"/>
  <c r="R37" i="17"/>
  <c r="R38" i="17"/>
  <c r="S37" i="17"/>
  <c r="S38" i="17"/>
  <c r="R273" i="17"/>
  <c r="R274" i="17"/>
  <c r="S273" i="17"/>
  <c r="S274" i="17"/>
  <c r="R275" i="17"/>
  <c r="R276" i="17"/>
  <c r="S275" i="17"/>
  <c r="S276" i="17"/>
  <c r="R295" i="17"/>
  <c r="S295" i="17"/>
  <c r="R266" i="17"/>
  <c r="R267" i="17"/>
  <c r="R268" i="17"/>
  <c r="R269" i="17"/>
  <c r="S266" i="17"/>
  <c r="S267" i="17"/>
  <c r="S268" i="17"/>
  <c r="S269" i="17"/>
  <c r="R270" i="17"/>
  <c r="R271" i="17"/>
  <c r="S270" i="17"/>
  <c r="S271" i="17"/>
  <c r="R261" i="17"/>
  <c r="R263" i="17"/>
  <c r="R264" i="17"/>
  <c r="S261" i="17"/>
  <c r="S263" i="17"/>
  <c r="S264" i="17"/>
  <c r="R248" i="17"/>
  <c r="S248" i="17"/>
  <c r="R250" i="17"/>
  <c r="R251" i="17"/>
  <c r="R252" i="17"/>
  <c r="S250" i="17"/>
  <c r="S251" i="17"/>
  <c r="S252" i="17"/>
  <c r="R253" i="17"/>
  <c r="R254" i="17"/>
  <c r="R258" i="17"/>
  <c r="S253" i="17"/>
  <c r="S254" i="17"/>
  <c r="S258" i="17"/>
  <c r="R249" i="17"/>
  <c r="R265" i="17"/>
  <c r="S249" i="17"/>
  <c r="S265" i="17"/>
  <c r="R244" i="17"/>
  <c r="R245" i="17"/>
  <c r="R246" i="17"/>
  <c r="S244" i="17"/>
  <c r="S245" i="17"/>
  <c r="S246" i="17"/>
  <c r="R235" i="17"/>
  <c r="R236" i="17"/>
  <c r="R237" i="17"/>
  <c r="S235" i="17"/>
  <c r="S236" i="17"/>
  <c r="S237" i="17"/>
  <c r="R238" i="17"/>
  <c r="R239" i="17"/>
  <c r="R240" i="17"/>
  <c r="S238" i="17"/>
  <c r="S239" i="17"/>
  <c r="S240" i="17"/>
  <c r="R241" i="17"/>
  <c r="R242" i="17"/>
  <c r="R243" i="17"/>
  <c r="S241" i="17"/>
  <c r="S242" i="17"/>
  <c r="S243" i="17"/>
  <c r="R230" i="17"/>
  <c r="R231" i="17"/>
  <c r="R232" i="17"/>
  <c r="R233" i="17"/>
  <c r="S230" i="17"/>
  <c r="S231" i="17"/>
  <c r="S232" i="17"/>
  <c r="S233" i="17"/>
  <c r="R234" i="17"/>
  <c r="R247" i="17"/>
  <c r="S234" i="17"/>
  <c r="S247" i="17"/>
  <c r="R338" i="17"/>
  <c r="R229" i="17"/>
  <c r="S338" i="17"/>
  <c r="S229" i="17"/>
  <c r="R272" i="17"/>
  <c r="S272" i="17"/>
  <c r="R227" i="17"/>
  <c r="R228" i="17"/>
  <c r="S227" i="17"/>
  <c r="S228" i="17"/>
  <c r="R223" i="17"/>
  <c r="R224" i="17"/>
  <c r="R225" i="17"/>
  <c r="S223" i="17"/>
  <c r="S224" i="17"/>
  <c r="S225" i="17"/>
  <c r="AD64" i="17"/>
  <c r="AE64" i="17"/>
  <c r="AD63" i="17"/>
  <c r="AE63" i="17"/>
  <c r="R220" i="17"/>
  <c r="R221" i="17"/>
  <c r="R222" i="17"/>
  <c r="S220" i="17"/>
  <c r="S221" i="17"/>
  <c r="S222" i="17"/>
  <c r="R217" i="17" l="1"/>
  <c r="R218" i="17"/>
  <c r="R219" i="17"/>
  <c r="S217" i="17"/>
  <c r="S218" i="17"/>
  <c r="S219" i="17"/>
  <c r="AD62" i="17"/>
  <c r="AE62" i="17"/>
  <c r="R214" i="17"/>
  <c r="R215" i="17"/>
  <c r="R216" i="17"/>
  <c r="S214" i="17"/>
  <c r="S215" i="17"/>
  <c r="S216" i="17"/>
  <c r="R211" i="17"/>
  <c r="R212" i="17"/>
  <c r="R213" i="17"/>
  <c r="S211" i="17"/>
  <c r="S212" i="17"/>
  <c r="S213" i="17"/>
  <c r="R206" i="17" l="1"/>
  <c r="R207" i="17"/>
  <c r="R208" i="17"/>
  <c r="R209" i="17"/>
  <c r="S206" i="17"/>
  <c r="S207" i="17"/>
  <c r="S208" i="17"/>
  <c r="S209" i="17"/>
  <c r="R201" i="17"/>
  <c r="R202" i="17"/>
  <c r="R203" i="17"/>
  <c r="S201" i="17"/>
  <c r="S202" i="17"/>
  <c r="S203" i="17"/>
  <c r="R204" i="17"/>
  <c r="R205" i="17"/>
  <c r="R210" i="17"/>
  <c r="S204" i="17"/>
  <c r="S205" i="17"/>
  <c r="S210" i="17"/>
  <c r="R708" i="17"/>
  <c r="R709" i="17"/>
  <c r="R710" i="17"/>
  <c r="R711" i="17"/>
  <c r="R712" i="17"/>
  <c r="R713" i="17"/>
  <c r="S708" i="17"/>
  <c r="S709" i="17"/>
  <c r="S710" i="17"/>
  <c r="S711" i="17"/>
  <c r="S712" i="17"/>
  <c r="S713" i="17"/>
  <c r="R196" i="17"/>
  <c r="R197" i="17"/>
  <c r="R198" i="17"/>
  <c r="R199" i="17"/>
  <c r="S196" i="17"/>
  <c r="S197" i="17"/>
  <c r="S198" i="17"/>
  <c r="S199" i="17"/>
  <c r="R200" i="17"/>
  <c r="R226" i="17"/>
  <c r="S200" i="17"/>
  <c r="S226" i="17"/>
  <c r="R337" i="17"/>
  <c r="S337" i="17"/>
  <c r="R189" i="17"/>
  <c r="R192" i="17"/>
  <c r="R193" i="17"/>
  <c r="S189" i="17"/>
  <c r="S192" i="17"/>
  <c r="S193" i="17"/>
  <c r="R186" i="17"/>
  <c r="R187" i="17"/>
  <c r="R188" i="17"/>
  <c r="S186" i="17"/>
  <c r="S187" i="17"/>
  <c r="S188" i="17"/>
  <c r="AD61" i="17"/>
  <c r="AE61" i="17"/>
  <c r="AD60" i="17"/>
  <c r="AE60" i="17"/>
  <c r="R150" i="17"/>
  <c r="R151" i="17"/>
  <c r="R152" i="17"/>
  <c r="S150" i="17"/>
  <c r="S151" i="17"/>
  <c r="S152" i="17"/>
  <c r="R185" i="17"/>
  <c r="R194" i="17"/>
  <c r="S185" i="17"/>
  <c r="S194" i="17"/>
  <c r="R707" i="17"/>
  <c r="S707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R110" i="17"/>
  <c r="R111" i="17"/>
  <c r="R112" i="17"/>
  <c r="R113" i="17"/>
  <c r="R114" i="17"/>
  <c r="R115" i="17"/>
  <c r="R116" i="17"/>
  <c r="R117" i="17"/>
  <c r="R118" i="17"/>
  <c r="R119" i="17"/>
  <c r="R120" i="17"/>
  <c r="R121" i="17"/>
  <c r="R122" i="17"/>
  <c r="R123" i="17"/>
  <c r="R124" i="17"/>
  <c r="R125" i="17"/>
  <c r="R126" i="17"/>
  <c r="R127" i="17"/>
  <c r="R128" i="17"/>
  <c r="R129" i="17"/>
  <c r="R130" i="17"/>
  <c r="R131" i="17"/>
  <c r="R132" i="17"/>
  <c r="R133" i="17"/>
  <c r="R134" i="17"/>
  <c r="R135" i="17"/>
  <c r="R136" i="17"/>
  <c r="R137" i="17"/>
  <c r="R138" i="17"/>
  <c r="R139" i="17"/>
  <c r="R140" i="17"/>
  <c r="R141" i="17"/>
  <c r="R142" i="17"/>
  <c r="R143" i="17"/>
  <c r="R144" i="17"/>
  <c r="R145" i="17"/>
  <c r="R146" i="17"/>
  <c r="R147" i="17"/>
  <c r="R148" i="17"/>
  <c r="R149" i="17"/>
  <c r="R153" i="17"/>
  <c r="R154" i="17"/>
  <c r="R155" i="17"/>
  <c r="R156" i="17"/>
  <c r="R157" i="17"/>
  <c r="R158" i="17"/>
  <c r="R159" i="17"/>
  <c r="R160" i="17"/>
  <c r="R161" i="17"/>
  <c r="R162" i="17"/>
  <c r="R163" i="17"/>
  <c r="R165" i="17"/>
  <c r="R166" i="17"/>
  <c r="R167" i="17"/>
  <c r="R168" i="17"/>
  <c r="R169" i="17"/>
  <c r="R170" i="17"/>
  <c r="R171" i="17"/>
  <c r="R172" i="17"/>
  <c r="R173" i="17"/>
  <c r="R174" i="17"/>
  <c r="R175" i="17"/>
  <c r="R176" i="17"/>
  <c r="R177" i="17"/>
  <c r="R178" i="17"/>
  <c r="R179" i="17"/>
  <c r="R180" i="17"/>
  <c r="R181" i="17"/>
  <c r="R182" i="17"/>
  <c r="R183" i="17"/>
  <c r="R184" i="17"/>
  <c r="R195" i="17"/>
  <c r="R660" i="17"/>
  <c r="R661" i="17"/>
  <c r="R662" i="17"/>
  <c r="R663" i="17"/>
  <c r="R664" i="17"/>
  <c r="R665" i="17"/>
  <c r="R666" i="17"/>
  <c r="R667" i="17"/>
  <c r="R668" i="17"/>
  <c r="R669" i="17"/>
  <c r="R670" i="17"/>
  <c r="R671" i="17"/>
  <c r="R672" i="17"/>
  <c r="R673" i="17"/>
  <c r="R674" i="17"/>
  <c r="R675" i="17"/>
  <c r="R676" i="17"/>
  <c r="R677" i="17"/>
  <c r="R678" i="17"/>
  <c r="R679" i="17"/>
  <c r="R680" i="17"/>
  <c r="R681" i="17"/>
  <c r="R682" i="17"/>
  <c r="R683" i="17"/>
  <c r="R684" i="17"/>
  <c r="R685" i="17"/>
  <c r="R686" i="17"/>
  <c r="R687" i="17"/>
  <c r="R688" i="17"/>
  <c r="R694" i="17"/>
  <c r="R695" i="17"/>
  <c r="R696" i="17"/>
  <c r="R697" i="17"/>
  <c r="R698" i="17"/>
  <c r="R699" i="17"/>
  <c r="R700" i="17"/>
  <c r="R701" i="17"/>
  <c r="R702" i="17"/>
  <c r="R703" i="17"/>
  <c r="R704" i="17"/>
  <c r="R705" i="17"/>
  <c r="R706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121" i="17"/>
  <c r="S122" i="17"/>
  <c r="S123" i="17"/>
  <c r="S124" i="17"/>
  <c r="S125" i="17"/>
  <c r="S126" i="17"/>
  <c r="S127" i="17"/>
  <c r="S128" i="17"/>
  <c r="S129" i="17"/>
  <c r="S130" i="17"/>
  <c r="S131" i="17"/>
  <c r="S132" i="17"/>
  <c r="S133" i="17"/>
  <c r="S134" i="17"/>
  <c r="S135" i="17"/>
  <c r="S136" i="17"/>
  <c r="S137" i="17"/>
  <c r="S138" i="17"/>
  <c r="S139" i="17"/>
  <c r="S140" i="17"/>
  <c r="S141" i="17"/>
  <c r="S142" i="17"/>
  <c r="S143" i="17"/>
  <c r="S144" i="17"/>
  <c r="S145" i="17"/>
  <c r="S146" i="17"/>
  <c r="S147" i="17"/>
  <c r="S148" i="17"/>
  <c r="S149" i="17"/>
  <c r="S153" i="17"/>
  <c r="S154" i="17"/>
  <c r="S155" i="17"/>
  <c r="S156" i="17"/>
  <c r="S157" i="17"/>
  <c r="S158" i="17"/>
  <c r="S159" i="17"/>
  <c r="S160" i="17"/>
  <c r="S161" i="17"/>
  <c r="S162" i="17"/>
  <c r="S163" i="17"/>
  <c r="S165" i="17"/>
  <c r="S166" i="17"/>
  <c r="S167" i="17"/>
  <c r="S168" i="17"/>
  <c r="S169" i="17"/>
  <c r="S170" i="17"/>
  <c r="S171" i="17"/>
  <c r="S172" i="17"/>
  <c r="S173" i="17"/>
  <c r="S174" i="17"/>
  <c r="S175" i="17"/>
  <c r="S176" i="17"/>
  <c r="S177" i="17"/>
  <c r="S178" i="17"/>
  <c r="S179" i="17"/>
  <c r="S180" i="17"/>
  <c r="S181" i="17"/>
  <c r="S182" i="17"/>
  <c r="S183" i="17"/>
  <c r="S184" i="17"/>
  <c r="S195" i="17"/>
  <c r="S660" i="17"/>
  <c r="S661" i="17"/>
  <c r="S662" i="17"/>
  <c r="S663" i="17"/>
  <c r="S664" i="17"/>
  <c r="S665" i="17"/>
  <c r="S666" i="17"/>
  <c r="S667" i="17"/>
  <c r="S668" i="17"/>
  <c r="S669" i="17"/>
  <c r="S670" i="17"/>
  <c r="S671" i="17"/>
  <c r="S672" i="17"/>
  <c r="S673" i="17"/>
  <c r="S674" i="17"/>
  <c r="S675" i="17"/>
  <c r="S676" i="17"/>
  <c r="S677" i="17"/>
  <c r="S678" i="17"/>
  <c r="S679" i="17"/>
  <c r="S680" i="17"/>
  <c r="S681" i="17"/>
  <c r="S682" i="17"/>
  <c r="S683" i="17"/>
  <c r="S684" i="17"/>
  <c r="S685" i="17"/>
  <c r="S686" i="17"/>
  <c r="S687" i="17"/>
  <c r="S688" i="17"/>
  <c r="S694" i="17"/>
  <c r="S695" i="17"/>
  <c r="S696" i="17"/>
  <c r="S697" i="17"/>
  <c r="S698" i="17"/>
  <c r="S699" i="17"/>
  <c r="S700" i="17"/>
  <c r="S701" i="17"/>
  <c r="S702" i="17"/>
  <c r="S703" i="17"/>
  <c r="S704" i="17"/>
  <c r="S705" i="17"/>
  <c r="S706" i="17"/>
  <c r="I6" i="17"/>
  <c r="AD59" i="17"/>
  <c r="AE59" i="17"/>
  <c r="AD58" i="17"/>
  <c r="AE58" i="17"/>
  <c r="AD57" i="17"/>
  <c r="AE57" i="17"/>
  <c r="AD56" i="17"/>
  <c r="AE56" i="17"/>
  <c r="AD55" i="17"/>
  <c r="AE55" i="17"/>
  <c r="AD54" i="17"/>
  <c r="AE54" i="17"/>
  <c r="AD53" i="17"/>
  <c r="AE53" i="17"/>
  <c r="AD52" i="17"/>
  <c r="AE52" i="17"/>
  <c r="AD12" i="17"/>
  <c r="AE12" i="17"/>
  <c r="AD11" i="17"/>
  <c r="AE11" i="17"/>
  <c r="AD51" i="17"/>
  <c r="AE51" i="17"/>
  <c r="AD50" i="17"/>
  <c r="AE50" i="17"/>
  <c r="AD28" i="17"/>
  <c r="AD29" i="17"/>
  <c r="AD30" i="17"/>
  <c r="AD31" i="17"/>
  <c r="AD32" i="17"/>
  <c r="AD33" i="17"/>
  <c r="AD34" i="17"/>
  <c r="AD35" i="17"/>
  <c r="AD36" i="17"/>
  <c r="AD37" i="17"/>
  <c r="AD38" i="17"/>
  <c r="AD39" i="17"/>
  <c r="AD40" i="17"/>
  <c r="AD41" i="17"/>
  <c r="AD42" i="17"/>
  <c r="AD43" i="17"/>
  <c r="AD44" i="17"/>
  <c r="AD45" i="17"/>
  <c r="AD46" i="17"/>
  <c r="AD47" i="17"/>
  <c r="AD48" i="17"/>
  <c r="AD49" i="17"/>
  <c r="AE28" i="17"/>
  <c r="AE29" i="17"/>
  <c r="AE30" i="17"/>
  <c r="AE31" i="17"/>
  <c r="AE32" i="17"/>
  <c r="AE33" i="17"/>
  <c r="AE34" i="17"/>
  <c r="AE35" i="17"/>
  <c r="AE36" i="17"/>
  <c r="AE37" i="17"/>
  <c r="AE38" i="17"/>
  <c r="AE39" i="17"/>
  <c r="AE40" i="17"/>
  <c r="AE41" i="17"/>
  <c r="AE42" i="17"/>
  <c r="AE43" i="17"/>
  <c r="AE44" i="17"/>
  <c r="AE45" i="17"/>
  <c r="AE46" i="17"/>
  <c r="AE47" i="17"/>
  <c r="AE48" i="17"/>
  <c r="AE49" i="17"/>
  <c r="AD27" i="17"/>
  <c r="AE27" i="17"/>
  <c r="AD26" i="17"/>
  <c r="AE26" i="17"/>
  <c r="AD25" i="17"/>
  <c r="AE25" i="17"/>
  <c r="AD24" i="17"/>
  <c r="AE24" i="17"/>
  <c r="AD23" i="17"/>
  <c r="AE23" i="17"/>
  <c r="AD22" i="17"/>
  <c r="AE22" i="17"/>
  <c r="AD21" i="17"/>
  <c r="AE21" i="17"/>
  <c r="AD20" i="17"/>
  <c r="AE20" i="17"/>
  <c r="AD19" i="17"/>
  <c r="AE19" i="17"/>
  <c r="AD18" i="17"/>
  <c r="AE18" i="17"/>
  <c r="AD17" i="17"/>
  <c r="AE17" i="17"/>
  <c r="AD16" i="17"/>
  <c r="AE16" i="17"/>
  <c r="AD15" i="17"/>
  <c r="AE15" i="17"/>
  <c r="AD14" i="17"/>
  <c r="AE14" i="17"/>
  <c r="AD7" i="17"/>
  <c r="AE7" i="17"/>
  <c r="AD13" i="17"/>
  <c r="AE13" i="17"/>
  <c r="AD10" i="17"/>
  <c r="AE10" i="17"/>
  <c r="AD9" i="17"/>
  <c r="AE9" i="17"/>
  <c r="AD8" i="17"/>
  <c r="AE8" i="17"/>
  <c r="J1104" i="17" l="1"/>
  <c r="J1097" i="17"/>
  <c r="J1096" i="17"/>
  <c r="J1091" i="17" l="1"/>
  <c r="G963" i="17" l="1"/>
  <c r="G913" i="17"/>
  <c r="G163" i="17"/>
  <c r="G676" i="17"/>
  <c r="G817" i="17"/>
  <c r="G760" i="17"/>
  <c r="G480" i="17"/>
  <c r="G50" i="17"/>
  <c r="G747" i="17"/>
  <c r="G1028" i="17"/>
  <c r="G379" i="17"/>
  <c r="G903" i="17"/>
  <c r="G1037" i="17"/>
  <c r="G1036" i="17"/>
  <c r="G486" i="17"/>
  <c r="G485" i="17"/>
  <c r="G610" i="17"/>
  <c r="G911" i="17"/>
  <c r="G166" i="17"/>
  <c r="G363" i="17"/>
  <c r="G501" i="17"/>
  <c r="G431" i="17"/>
  <c r="G742" i="17"/>
  <c r="G939" i="17"/>
  <c r="G971" i="17"/>
  <c r="G786" i="17"/>
  <c r="G700" i="17"/>
  <c r="G787" i="17"/>
  <c r="G701" i="17"/>
  <c r="G1158" i="17"/>
  <c r="G992" i="17"/>
  <c r="G687" i="17"/>
  <c r="G852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AE6" i="17"/>
  <c r="AD6" i="17"/>
  <c r="J11" i="17" l="1"/>
  <c r="J19" i="17"/>
  <c r="J59" i="17"/>
  <c r="J43" i="17"/>
  <c r="J14" i="17"/>
  <c r="J73" i="17"/>
  <c r="J81" i="17"/>
  <c r="J100" i="17"/>
  <c r="J236" i="17"/>
  <c r="J244" i="17"/>
  <c r="J252" i="17"/>
  <c r="J124" i="17"/>
  <c r="J116" i="17"/>
  <c r="J204" i="17"/>
  <c r="J18" i="17"/>
  <c r="J34" i="17"/>
  <c r="J50" i="17"/>
  <c r="J66" i="17"/>
  <c r="J28" i="17"/>
  <c r="J36" i="17"/>
  <c r="J9" i="17"/>
  <c r="J17" i="17"/>
  <c r="J25" i="17"/>
  <c r="J33" i="17"/>
  <c r="J41" i="17"/>
  <c r="J49" i="17"/>
  <c r="J57" i="17"/>
  <c r="J65" i="17"/>
  <c r="J380" i="17"/>
  <c r="J364" i="17"/>
  <c r="J396" i="17"/>
  <c r="J308" i="17"/>
  <c r="J356" i="17"/>
  <c r="J404" i="17"/>
  <c r="J125" i="17"/>
  <c r="J189" i="17"/>
  <c r="J253" i="17"/>
  <c r="J309" i="17"/>
  <c r="J317" i="17"/>
  <c r="J357" i="17"/>
  <c r="J389" i="17"/>
  <c r="J8" i="17"/>
  <c r="J32" i="17"/>
  <c r="J40" i="17"/>
  <c r="J48" i="17"/>
  <c r="J56" i="17"/>
  <c r="J104" i="17"/>
  <c r="J90" i="17"/>
  <c r="J98" i="17"/>
  <c r="J106" i="17"/>
  <c r="J114" i="17"/>
  <c r="J154" i="17"/>
  <c r="J186" i="17"/>
  <c r="J202" i="17"/>
  <c r="J210" i="17"/>
  <c r="J226" i="17"/>
  <c r="J234" i="17"/>
  <c r="J258" i="17"/>
  <c r="J274" i="17"/>
  <c r="J282" i="17"/>
  <c r="J298" i="17"/>
  <c r="J306" i="17"/>
  <c r="J322" i="17"/>
  <c r="J330" i="17"/>
  <c r="J346" i="17"/>
  <c r="J362" i="17"/>
  <c r="J370" i="17"/>
  <c r="J378" i="17"/>
  <c r="J386" i="17"/>
  <c r="J410" i="17"/>
  <c r="J426" i="17"/>
  <c r="J434" i="17"/>
  <c r="J450" i="17"/>
  <c r="J458" i="17"/>
  <c r="J466" i="17"/>
  <c r="J482" i="17"/>
  <c r="J490" i="17"/>
  <c r="J514" i="17"/>
  <c r="J538" i="17"/>
  <c r="J112" i="17"/>
  <c r="J120" i="17"/>
  <c r="J128" i="17"/>
  <c r="J136" i="17"/>
  <c r="J144" i="17"/>
  <c r="J152" i="17"/>
  <c r="J160" i="17"/>
  <c r="J168" i="17"/>
  <c r="J176" i="17"/>
  <c r="J184" i="17"/>
  <c r="J113" i="17"/>
  <c r="J129" i="17"/>
  <c r="J137" i="17"/>
  <c r="J145" i="17"/>
  <c r="J153" i="17"/>
  <c r="J161" i="17"/>
  <c r="J192" i="17"/>
  <c r="J200" i="17"/>
  <c r="J208" i="17"/>
  <c r="J216" i="17"/>
  <c r="J224" i="17"/>
  <c r="J232" i="17"/>
  <c r="J240" i="17"/>
  <c r="J248" i="17"/>
  <c r="J256" i="17"/>
  <c r="J264" i="17"/>
  <c r="J272" i="17"/>
  <c r="J280" i="17"/>
  <c r="J288" i="17"/>
  <c r="J296" i="17"/>
  <c r="J304" i="17"/>
  <c r="J312" i="17"/>
  <c r="J320" i="17"/>
  <c r="J328" i="17"/>
  <c r="J336" i="17"/>
  <c r="J344" i="17"/>
  <c r="J352" i="17"/>
  <c r="J360" i="17"/>
  <c r="J368" i="17"/>
  <c r="J376" i="17"/>
  <c r="J384" i="17"/>
  <c r="J392" i="17"/>
  <c r="J400" i="17"/>
  <c r="J408" i="17"/>
  <c r="J416" i="17"/>
  <c r="J424" i="17"/>
  <c r="J432" i="17"/>
  <c r="J440" i="17"/>
  <c r="J448" i="17"/>
  <c r="J456" i="17"/>
  <c r="J464" i="17"/>
  <c r="J472" i="17"/>
  <c r="J480" i="17"/>
  <c r="J488" i="17"/>
  <c r="J496" i="17"/>
  <c r="J504" i="17"/>
  <c r="J512" i="17"/>
  <c r="J520" i="17"/>
  <c r="J536" i="17"/>
  <c r="J544" i="17"/>
  <c r="J552" i="17"/>
  <c r="J560" i="17"/>
  <c r="J568" i="17"/>
  <c r="J576" i="17"/>
  <c r="J584" i="17"/>
  <c r="J600" i="17"/>
  <c r="J608" i="17"/>
  <c r="J616" i="17"/>
  <c r="J624" i="17"/>
  <c r="J640" i="17"/>
  <c r="J664" i="17"/>
  <c r="J672" i="17"/>
  <c r="J680" i="17"/>
  <c r="J688" i="17"/>
  <c r="J696" i="17"/>
  <c r="J712" i="17"/>
  <c r="J736" i="17"/>
  <c r="J744" i="17"/>
  <c r="J752" i="17"/>
  <c r="J768" i="17"/>
  <c r="J792" i="17"/>
  <c r="J800" i="17"/>
  <c r="J808" i="17"/>
  <c r="J832" i="17"/>
  <c r="J856" i="17"/>
  <c r="J872" i="17"/>
  <c r="J880" i="17"/>
  <c r="J896" i="17"/>
  <c r="J926" i="17"/>
  <c r="J942" i="17"/>
  <c r="J966" i="17"/>
  <c r="J982" i="17"/>
  <c r="J1022" i="17"/>
  <c r="J1030" i="17"/>
  <c r="J1062" i="17"/>
  <c r="J1078" i="17"/>
  <c r="J1086" i="17"/>
  <c r="J1207" i="17"/>
  <c r="J1231" i="17"/>
  <c r="J1247" i="17"/>
  <c r="J1255" i="17"/>
  <c r="J169" i="17"/>
  <c r="J177" i="17"/>
  <c r="J185" i="17"/>
  <c r="J193" i="17"/>
  <c r="J201" i="17"/>
  <c r="J209" i="17"/>
  <c r="J217" i="17"/>
  <c r="J225" i="17"/>
  <c r="J233" i="17"/>
  <c r="J241" i="17"/>
  <c r="J249" i="17"/>
  <c r="J257" i="17"/>
  <c r="J265" i="17"/>
  <c r="J273" i="17"/>
  <c r="J281" i="17"/>
  <c r="J289" i="17"/>
  <c r="J297" i="17"/>
  <c r="J305" i="17"/>
  <c r="J313" i="17"/>
  <c r="J321" i="17"/>
  <c r="J329" i="17"/>
  <c r="J337" i="17"/>
  <c r="J345" i="17"/>
  <c r="J353" i="17"/>
  <c r="J361" i="17"/>
  <c r="J369" i="17"/>
  <c r="J377" i="17"/>
  <c r="J385" i="17"/>
  <c r="J393" i="17"/>
  <c r="J401" i="17"/>
  <c r="J409" i="17"/>
  <c r="J417" i="17"/>
  <c r="J425" i="17"/>
  <c r="J433" i="17"/>
  <c r="J441" i="17"/>
  <c r="J449" i="17"/>
  <c r="J457" i="17"/>
  <c r="J465" i="17"/>
  <c r="J473" i="17"/>
  <c r="J481" i="17"/>
  <c r="J489" i="17"/>
  <c r="J497" i="17"/>
  <c r="J505" i="17"/>
  <c r="J513" i="17"/>
  <c r="J521" i="17"/>
  <c r="J529" i="17"/>
  <c r="J537" i="17"/>
  <c r="J545" i="17"/>
  <c r="J553" i="17"/>
  <c r="J577" i="17"/>
  <c r="J593" i="17"/>
  <c r="J617" i="17"/>
  <c r="J649" i="17"/>
  <c r="J753" i="17"/>
  <c r="J761" i="17"/>
  <c r="J769" i="17"/>
  <c r="J785" i="17"/>
  <c r="J801" i="17"/>
  <c r="J817" i="17"/>
  <c r="J849" i="17"/>
  <c r="J865" i="17"/>
  <c r="J873" i="17"/>
  <c r="J881" i="17"/>
  <c r="J889" i="17"/>
  <c r="J897" i="17"/>
  <c r="J913" i="17"/>
  <c r="J1071" i="17"/>
  <c r="J554" i="17"/>
  <c r="J562" i="17"/>
  <c r="J578" i="17"/>
  <c r="J586" i="17"/>
  <c r="J594" i="17"/>
  <c r="J602" i="17"/>
  <c r="J610" i="17"/>
  <c r="J618" i="17"/>
  <c r="J626" i="17"/>
  <c r="J634" i="17"/>
  <c r="J642" i="17"/>
  <c r="J650" i="17"/>
  <c r="J658" i="17"/>
  <c r="J666" i="17"/>
  <c r="J682" i="17"/>
  <c r="J698" i="17"/>
  <c r="J706" i="17"/>
  <c r="J714" i="17"/>
  <c r="J722" i="17"/>
  <c r="J730" i="17"/>
  <c r="J754" i="17"/>
  <c r="J762" i="17"/>
  <c r="J770" i="17"/>
  <c r="J786" i="17"/>
  <c r="J794" i="17"/>
  <c r="J818" i="17"/>
  <c r="J826" i="17"/>
  <c r="J834" i="17"/>
  <c r="J842" i="17"/>
  <c r="J850" i="17"/>
  <c r="J858" i="17"/>
  <c r="J882" i="17"/>
  <c r="J890" i="17"/>
  <c r="J898" i="17"/>
  <c r="J914" i="17"/>
  <c r="J944" i="17"/>
  <c r="J952" i="17"/>
  <c r="J960" i="17"/>
  <c r="J976" i="17"/>
  <c r="J984" i="17"/>
  <c r="J1016" i="17"/>
  <c r="J1024" i="17"/>
  <c r="J1040" i="17"/>
  <c r="J1048" i="17"/>
  <c r="J1056" i="17"/>
  <c r="J1072" i="17"/>
  <c r="J1080" i="17"/>
  <c r="J1088" i="17"/>
  <c r="J428" i="17"/>
  <c r="J460" i="17"/>
  <c r="J484" i="17"/>
  <c r="J548" i="17"/>
  <c r="J564" i="17"/>
  <c r="J946" i="17"/>
  <c r="J1002" i="17"/>
  <c r="J1050" i="17"/>
  <c r="J1058" i="17"/>
  <c r="J139" i="17"/>
  <c r="J267" i="17"/>
  <c r="J291" i="17"/>
  <c r="J427" i="17"/>
  <c r="J451" i="17"/>
  <c r="J523" i="17"/>
  <c r="J547" i="17"/>
  <c r="J571" i="17"/>
  <c r="J595" i="17"/>
  <c r="J715" i="17"/>
  <c r="J915" i="17"/>
  <c r="J83" i="17"/>
  <c r="J131" i="17"/>
  <c r="J155" i="17"/>
  <c r="J203" i="17"/>
  <c r="J227" i="17"/>
  <c r="J331" i="17"/>
  <c r="J355" i="17"/>
  <c r="J419" i="17"/>
  <c r="J443" i="17"/>
  <c r="J475" i="17"/>
  <c r="J499" i="17"/>
  <c r="J611" i="17"/>
  <c r="J635" i="17"/>
  <c r="J659" i="17"/>
  <c r="J683" i="17"/>
  <c r="J699" i="17"/>
  <c r="J1065" i="17"/>
  <c r="J75" i="17"/>
  <c r="J99" i="17"/>
  <c r="J147" i="17"/>
  <c r="J195" i="17"/>
  <c r="J323" i="17"/>
  <c r="J395" i="17"/>
  <c r="J459" i="17"/>
  <c r="J483" i="17"/>
  <c r="J507" i="17"/>
  <c r="J531" i="17"/>
  <c r="J563" i="17"/>
  <c r="J651" i="17"/>
  <c r="J675" i="17"/>
  <c r="J707" i="17"/>
  <c r="J964" i="17"/>
  <c r="J940" i="17"/>
  <c r="J924" i="17"/>
  <c r="J918" i="17"/>
  <c r="J878" i="17"/>
  <c r="J862" i="17"/>
  <c r="J854" i="17"/>
  <c r="J838" i="17"/>
  <c r="J814" i="17"/>
  <c r="J790" i="17"/>
  <c r="J1263" i="17"/>
  <c r="J1287" i="17"/>
  <c r="J1295" i="17"/>
  <c r="J750" i="17"/>
  <c r="J742" i="17"/>
  <c r="J734" i="17"/>
  <c r="J726" i="17"/>
  <c r="J907" i="17"/>
  <c r="J549" i="17"/>
  <c r="J927" i="17"/>
  <c r="J943" i="17"/>
  <c r="J959" i="17"/>
  <c r="J975" i="17"/>
  <c r="J991" i="17"/>
  <c r="J999" i="17"/>
  <c r="J1007" i="17"/>
  <c r="J1015" i="17"/>
  <c r="J1023" i="17"/>
  <c r="J1039" i="17"/>
  <c r="J755" i="17"/>
  <c r="J779" i="17"/>
  <c r="J787" i="17"/>
  <c r="J795" i="17"/>
  <c r="J819" i="17"/>
  <c r="J835" i="17"/>
  <c r="J843" i="17"/>
  <c r="J883" i="17"/>
  <c r="J796" i="17"/>
  <c r="J804" i="17"/>
  <c r="J812" i="17"/>
  <c r="J860" i="17"/>
  <c r="J876" i="17"/>
  <c r="J945" i="17"/>
  <c r="J969" i="17"/>
  <c r="J1009" i="17"/>
  <c r="J1033" i="17"/>
  <c r="J1079" i="17"/>
  <c r="J1151" i="17"/>
  <c r="J1164" i="17"/>
  <c r="J1172" i="17"/>
  <c r="J1180" i="17"/>
  <c r="J1188" i="17"/>
  <c r="J1196" i="17"/>
  <c r="J1167" i="17"/>
  <c r="J1175" i="17"/>
  <c r="J1203" i="17"/>
  <c r="J710" i="17"/>
  <c r="J902" i="17"/>
  <c r="J980" i="17"/>
  <c r="J774" i="17"/>
  <c r="J766" i="17"/>
  <c r="J694" i="17"/>
  <c r="J686" i="17"/>
  <c r="J566" i="17"/>
  <c r="J62" i="17"/>
  <c r="J46" i="17"/>
  <c r="J30" i="17"/>
  <c r="J1216" i="17"/>
  <c r="J1224" i="17"/>
  <c r="J1240" i="17"/>
  <c r="J1248" i="17"/>
  <c r="J1243" i="17"/>
  <c r="J1227" i="17"/>
  <c r="J1211" i="17"/>
  <c r="J1183" i="17"/>
  <c r="J1090" i="17"/>
  <c r="J1082" i="17"/>
  <c r="J1042" i="17"/>
  <c r="J1026" i="17"/>
  <c r="J986" i="17"/>
  <c r="J644" i="17"/>
  <c r="J612" i="17"/>
  <c r="J604" i="17"/>
  <c r="J532" i="17"/>
  <c r="J524" i="17"/>
  <c r="J508" i="17"/>
  <c r="J420" i="17"/>
  <c r="J340" i="17"/>
  <c r="J332" i="17"/>
  <c r="J300" i="17"/>
  <c r="J292" i="17"/>
  <c r="J276" i="17"/>
  <c r="J228" i="17"/>
  <c r="J180" i="17"/>
  <c r="J140" i="17"/>
  <c r="J1258" i="17"/>
  <c r="J1250" i="17"/>
  <c r="J1218" i="17"/>
  <c r="J1166" i="17"/>
  <c r="J1049" i="17"/>
  <c r="J1041" i="17"/>
  <c r="J1273" i="17"/>
  <c r="J1265" i="17"/>
  <c r="J1233" i="17"/>
  <c r="J1225" i="17"/>
  <c r="J1201" i="17"/>
  <c r="J6" i="17"/>
  <c r="J1286" i="17"/>
  <c r="J1262" i="17"/>
  <c r="J1254" i="17"/>
  <c r="J1246" i="17"/>
  <c r="J1238" i="17"/>
  <c r="J1222" i="17"/>
  <c r="J1206" i="17"/>
  <c r="J1194" i="17"/>
  <c r="J1178" i="17"/>
  <c r="J1162" i="17"/>
  <c r="J1085" i="17"/>
  <c r="J1077" i="17"/>
  <c r="J1061" i="17"/>
  <c r="J1045" i="17"/>
  <c r="J1029" i="17"/>
  <c r="J1021" i="17"/>
  <c r="J997" i="17"/>
  <c r="J981" i="17"/>
  <c r="J965" i="17"/>
  <c r="J957" i="17"/>
  <c r="J933" i="17"/>
  <c r="J919" i="17"/>
  <c r="J903" i="17"/>
  <c r="J895" i="17"/>
  <c r="J871" i="17"/>
  <c r="J855" i="17"/>
  <c r="J839" i="17"/>
  <c r="J831" i="17"/>
  <c r="J807" i="17"/>
  <c r="J783" i="17"/>
  <c r="J775" i="17"/>
  <c r="J767" i="17"/>
  <c r="J759" i="17"/>
  <c r="J743" i="17"/>
  <c r="J727" i="17"/>
  <c r="J703" i="17"/>
  <c r="J679" i="17"/>
  <c r="J663" i="17"/>
  <c r="J647" i="17"/>
  <c r="J631" i="17"/>
  <c r="J607" i="17"/>
  <c r="J599" i="17"/>
  <c r="J559" i="17"/>
  <c r="J143" i="17"/>
  <c r="J87" i="17"/>
  <c r="J39" i="17"/>
  <c r="J31" i="17"/>
  <c r="J15" i="17"/>
  <c r="J132" i="17"/>
  <c r="J268" i="17"/>
  <c r="J660" i="17"/>
  <c r="J844" i="17"/>
  <c r="J904" i="17"/>
  <c r="J922" i="17"/>
  <c r="J930" i="17"/>
  <c r="J938" i="17"/>
  <c r="J1010" i="17"/>
  <c r="J1191" i="17"/>
  <c r="J68" i="17"/>
  <c r="J148" i="17"/>
  <c r="J212" i="17"/>
  <c r="J572" i="17"/>
  <c r="J628" i="17"/>
  <c r="J716" i="17"/>
  <c r="J840" i="17"/>
  <c r="J884" i="17"/>
  <c r="J954" i="17"/>
  <c r="J990" i="17"/>
  <c r="J998" i="17"/>
  <c r="J1046" i="17"/>
  <c r="J1066" i="17"/>
  <c r="J1095" i="17"/>
  <c r="J1163" i="17"/>
  <c r="J372" i="17"/>
  <c r="J732" i="17"/>
  <c r="J740" i="17"/>
  <c r="J748" i="17"/>
  <c r="J820" i="17"/>
  <c r="J920" i="17"/>
  <c r="J1006" i="17"/>
  <c r="J1074" i="17"/>
  <c r="J1171" i="17"/>
  <c r="J76" i="17"/>
  <c r="J84" i="17"/>
  <c r="J92" i="17"/>
  <c r="J164" i="17"/>
  <c r="J172" i="17"/>
  <c r="J596" i="17"/>
  <c r="J828" i="17"/>
  <c r="J934" i="17"/>
  <c r="J970" i="17"/>
  <c r="J1034" i="17"/>
  <c r="J1187" i="17"/>
  <c r="J1195" i="17"/>
  <c r="J692" i="17"/>
  <c r="J764" i="17"/>
  <c r="J436" i="17"/>
  <c r="J492" i="17"/>
  <c r="J500" i="17"/>
  <c r="J958" i="17"/>
  <c r="J994" i="17"/>
  <c r="J1223" i="17"/>
  <c r="J205" i="17"/>
  <c r="J365" i="17"/>
  <c r="J405" i="17"/>
  <c r="J461" i="17"/>
  <c r="J565" i="17"/>
  <c r="J797" i="17"/>
  <c r="J61" i="17"/>
  <c r="J1235" i="17"/>
  <c r="J1251" i="17"/>
  <c r="J1259" i="17"/>
  <c r="J1159" i="17"/>
  <c r="J13" i="17"/>
  <c r="J21" i="17"/>
  <c r="J37" i="17"/>
  <c r="J269" i="17"/>
  <c r="J509" i="17"/>
  <c r="J709" i="17"/>
  <c r="J789" i="17"/>
  <c r="J1264" i="17"/>
  <c r="J1272" i="17"/>
  <c r="J69" i="17"/>
  <c r="J141" i="17"/>
  <c r="J149" i="17"/>
  <c r="J213" i="17"/>
  <c r="J277" i="17"/>
  <c r="J525" i="17"/>
  <c r="J629" i="17"/>
  <c r="J1059" i="17"/>
  <c r="J1204" i="17"/>
  <c r="J341" i="17"/>
  <c r="J421" i="17"/>
  <c r="J469" i="17"/>
  <c r="J477" i="17"/>
  <c r="J533" i="17"/>
  <c r="J733" i="17"/>
  <c r="J77" i="17"/>
  <c r="J165" i="17"/>
  <c r="J229" i="17"/>
  <c r="J293" i="17"/>
  <c r="J589" i="17"/>
  <c r="J829" i="17"/>
  <c r="J1027" i="17"/>
  <c r="J101" i="17"/>
  <c r="J237" i="17"/>
  <c r="J381" i="17"/>
  <c r="J429" i="17"/>
  <c r="J485" i="17"/>
  <c r="J605" i="17"/>
  <c r="J693" i="17"/>
  <c r="J765" i="17"/>
  <c r="J901" i="17"/>
  <c r="J109" i="17"/>
  <c r="J181" i="17"/>
  <c r="J301" i="17"/>
  <c r="J437" i="17"/>
  <c r="J445" i="17"/>
  <c r="J493" i="17"/>
  <c r="J1280" i="17"/>
  <c r="J1299" i="17"/>
  <c r="J1179" i="17"/>
  <c r="J1053" i="17"/>
  <c r="J7" i="17"/>
  <c r="J837" i="17"/>
  <c r="J979" i="17"/>
  <c r="J1184" i="17"/>
  <c r="J1278" i="17"/>
  <c r="J567" i="17"/>
  <c r="J917" i="17"/>
  <c r="J1212" i="17"/>
  <c r="J527" i="17"/>
  <c r="J853" i="17"/>
  <c r="J923" i="17"/>
  <c r="J1003" i="17"/>
  <c r="J1083" i="17"/>
  <c r="J719" i="17"/>
  <c r="J847" i="17"/>
  <c r="J861" i="17"/>
  <c r="J1011" i="17"/>
  <c r="J1228" i="17"/>
  <c r="J955" i="17"/>
  <c r="J1092" i="17"/>
  <c r="J1244" i="17"/>
  <c r="J893" i="17"/>
  <c r="J949" i="17"/>
  <c r="J963" i="17"/>
  <c r="J1252" i="17"/>
  <c r="J1268" i="17"/>
  <c r="J1276" i="17"/>
  <c r="J1284" i="17"/>
  <c r="J1209" i="17"/>
  <c r="J655" i="17"/>
  <c r="J375" i="17"/>
  <c r="J615" i="17"/>
  <c r="J687" i="17"/>
  <c r="J695" i="17"/>
  <c r="J702" i="17"/>
  <c r="J911" i="17"/>
  <c r="J1037" i="17"/>
  <c r="J111" i="17"/>
  <c r="J383" i="17"/>
  <c r="J431" i="17"/>
  <c r="J863" i="17"/>
  <c r="J1005" i="17"/>
  <c r="J1069" i="17"/>
  <c r="J1170" i="17"/>
  <c r="J1094" i="17"/>
  <c r="J47" i="17"/>
  <c r="J127" i="17"/>
  <c r="J134" i="17"/>
  <c r="J183" i="17"/>
  <c r="J303" i="17"/>
  <c r="J447" i="17"/>
  <c r="J606" i="17"/>
  <c r="J638" i="17"/>
  <c r="J751" i="17"/>
  <c r="J879" i="17"/>
  <c r="J1013" i="17"/>
  <c r="J1267" i="17"/>
  <c r="J535" i="17"/>
  <c r="J55" i="17"/>
  <c r="J255" i="17"/>
  <c r="J262" i="17"/>
  <c r="J319" i="17"/>
  <c r="J326" i="17"/>
  <c r="J455" i="17"/>
  <c r="J551" i="17"/>
  <c r="J558" i="17"/>
  <c r="J791" i="17"/>
  <c r="J887" i="17"/>
  <c r="J1291" i="17"/>
  <c r="J1302" i="17"/>
  <c r="J159" i="17"/>
  <c r="J989" i="17"/>
  <c r="J63" i="17"/>
  <c r="J271" i="17"/>
  <c r="J327" i="17"/>
  <c r="J511" i="17"/>
  <c r="J671" i="17"/>
  <c r="J711" i="17"/>
  <c r="J799" i="17"/>
  <c r="J925" i="17"/>
  <c r="J71" i="17"/>
  <c r="J207" i="17"/>
  <c r="J367" i="17"/>
  <c r="J463" i="17"/>
  <c r="J815" i="17"/>
  <c r="J941" i="17"/>
  <c r="J1270" i="17"/>
  <c r="J1293" i="17"/>
  <c r="J142" i="17"/>
  <c r="J462" i="17"/>
  <c r="J518" i="17"/>
  <c r="J932" i="17"/>
  <c r="J1012" i="17"/>
  <c r="J1068" i="17"/>
  <c r="J1279" i="17"/>
  <c r="J1294" i="17"/>
  <c r="J86" i="17"/>
  <c r="J334" i="17"/>
  <c r="J414" i="17"/>
  <c r="J678" i="17"/>
  <c r="J798" i="17"/>
  <c r="J806" i="17"/>
  <c r="J870" i="17"/>
  <c r="J972" i="17"/>
  <c r="J1020" i="17"/>
  <c r="J1044" i="17"/>
  <c r="J1076" i="17"/>
  <c r="J1177" i="17"/>
  <c r="J1214" i="17"/>
  <c r="J1221" i="17"/>
  <c r="J1253" i="17"/>
  <c r="J94" i="17"/>
  <c r="J286" i="17"/>
  <c r="J374" i="17"/>
  <c r="J470" i="17"/>
  <c r="J910" i="17"/>
  <c r="J158" i="17"/>
  <c r="J166" i="17"/>
  <c r="J174" i="17"/>
  <c r="J574" i="17"/>
  <c r="J614" i="17"/>
  <c r="J948" i="17"/>
  <c r="J1261" i="17"/>
  <c r="J110" i="17"/>
  <c r="J246" i="17"/>
  <c r="J350" i="17"/>
  <c r="J382" i="17"/>
  <c r="J542" i="17"/>
  <c r="J782" i="17"/>
  <c r="J886" i="17"/>
  <c r="J956" i="17"/>
  <c r="J1028" i="17"/>
  <c r="J1052" i="17"/>
  <c r="J1186" i="17"/>
  <c r="J1283" i="17"/>
  <c r="J1301" i="17"/>
  <c r="J118" i="17"/>
  <c r="J182" i="17"/>
  <c r="J438" i="17"/>
  <c r="J494" i="17"/>
  <c r="J502" i="17"/>
  <c r="J598" i="17"/>
  <c r="J630" i="17"/>
  <c r="J758" i="17"/>
  <c r="J846" i="17"/>
  <c r="J894" i="17"/>
  <c r="J996" i="17"/>
  <c r="J1230" i="17"/>
  <c r="J1237" i="17"/>
  <c r="J190" i="17"/>
  <c r="J310" i="17"/>
  <c r="J358" i="17"/>
  <c r="J390" i="17"/>
  <c r="J398" i="17"/>
  <c r="J454" i="17"/>
  <c r="J830" i="17"/>
  <c r="J1036" i="17"/>
  <c r="J1205" i="17"/>
  <c r="J1285" i="17"/>
  <c r="J54" i="17"/>
  <c r="J556" i="17"/>
  <c r="J10" i="17"/>
  <c r="J29" i="17"/>
  <c r="J44" i="17"/>
  <c r="J51" i="17"/>
  <c r="J58" i="17"/>
  <c r="J72" i="17"/>
  <c r="J79" i="17"/>
  <c r="J91" i="17"/>
  <c r="J102" i="17"/>
  <c r="J105" i="17"/>
  <c r="J117" i="17"/>
  <c r="J151" i="17"/>
  <c r="J175" i="17"/>
  <c r="J178" i="17"/>
  <c r="J188" i="17"/>
  <c r="J206" i="17"/>
  <c r="J230" i="17"/>
  <c r="J247" i="17"/>
  <c r="J250" i="17"/>
  <c r="J254" i="17"/>
  <c r="J261" i="17"/>
  <c r="J278" i="17"/>
  <c r="J285" i="17"/>
  <c r="J302" i="17"/>
  <c r="J333" i="17"/>
  <c r="J354" i="17"/>
  <c r="J388" i="17"/>
  <c r="J399" i="17"/>
  <c r="J402" i="17"/>
  <c r="J406" i="17"/>
  <c r="J413" i="17"/>
  <c r="J430" i="17"/>
  <c r="J468" i="17"/>
  <c r="J486" i="17"/>
  <c r="J503" i="17"/>
  <c r="J506" i="17"/>
  <c r="J510" i="17"/>
  <c r="J517" i="17"/>
  <c r="J528" i="17"/>
  <c r="J691" i="17"/>
  <c r="J718" i="17"/>
  <c r="J747" i="17"/>
  <c r="J802" i="17"/>
  <c r="J833" i="17"/>
  <c r="J928" i="17"/>
  <c r="J1008" i="17"/>
  <c r="J1084" i="17"/>
  <c r="J1281" i="17"/>
  <c r="J284" i="17"/>
  <c r="J412" i="17"/>
  <c r="J822" i="17"/>
  <c r="J260" i="17"/>
  <c r="J516" i="17"/>
  <c r="J22" i="17"/>
  <c r="J26" i="17"/>
  <c r="J45" i="17"/>
  <c r="J52" i="17"/>
  <c r="J80" i="17"/>
  <c r="J95" i="17"/>
  <c r="J135" i="17"/>
  <c r="J196" i="17"/>
  <c r="J220" i="17"/>
  <c r="J316" i="17"/>
  <c r="J444" i="17"/>
  <c r="J476" i="17"/>
  <c r="J590" i="17"/>
  <c r="J1001" i="17"/>
  <c r="J1266" i="17"/>
  <c r="J570" i="17"/>
  <c r="J88" i="17"/>
  <c r="J103" i="17"/>
  <c r="J121" i="17"/>
  <c r="J197" i="17"/>
  <c r="J214" i="17"/>
  <c r="J221" i="17"/>
  <c r="J238" i="17"/>
  <c r="J348" i="17"/>
  <c r="J579" i="17"/>
  <c r="J583" i="17"/>
  <c r="J823" i="17"/>
  <c r="J864" i="17"/>
  <c r="J868" i="17"/>
  <c r="J875" i="17"/>
  <c r="J12" i="17"/>
  <c r="J16" i="17"/>
  <c r="J23" i="17"/>
  <c r="J27" i="17"/>
  <c r="J38" i="17"/>
  <c r="J42" i="17"/>
  <c r="J53" i="17"/>
  <c r="J60" i="17"/>
  <c r="J70" i="17"/>
  <c r="J74" i="17"/>
  <c r="J85" i="17"/>
  <c r="J89" i="17"/>
  <c r="J96" i="17"/>
  <c r="J156" i="17"/>
  <c r="J163" i="17"/>
  <c r="J173" i="17"/>
  <c r="J245" i="17"/>
  <c r="J259" i="17"/>
  <c r="J263" i="17"/>
  <c r="J266" i="17"/>
  <c r="J290" i="17"/>
  <c r="J324" i="17"/>
  <c r="J335" i="17"/>
  <c r="J338" i="17"/>
  <c r="J342" i="17"/>
  <c r="J349" i="17"/>
  <c r="J366" i="17"/>
  <c r="J397" i="17"/>
  <c r="J411" i="17"/>
  <c r="J418" i="17"/>
  <c r="J435" i="17"/>
  <c r="J452" i="17"/>
  <c r="J491" i="17"/>
  <c r="J501" i="17"/>
  <c r="J515" i="17"/>
  <c r="J519" i="17"/>
  <c r="J522" i="17"/>
  <c r="J526" i="17"/>
  <c r="J540" i="17"/>
  <c r="J603" i="17"/>
  <c r="J656" i="17"/>
  <c r="J816" i="17"/>
  <c r="J1018" i="17"/>
  <c r="J1067" i="17"/>
  <c r="J20" i="17"/>
  <c r="J24" i="17"/>
  <c r="J35" i="17"/>
  <c r="J64" i="17"/>
  <c r="J67" i="17"/>
  <c r="J78" i="17"/>
  <c r="J82" i="17"/>
  <c r="J93" i="17"/>
  <c r="J97" i="17"/>
  <c r="J108" i="17"/>
  <c r="J119" i="17"/>
  <c r="J126" i="17"/>
  <c r="J133" i="17"/>
  <c r="J150" i="17"/>
  <c r="J157" i="17"/>
  <c r="J170" i="17"/>
  <c r="J194" i="17"/>
  <c r="J198" i="17"/>
  <c r="J218" i="17"/>
  <c r="J222" i="17"/>
  <c r="J239" i="17"/>
  <c r="J242" i="17"/>
  <c r="J270" i="17"/>
  <c r="J294" i="17"/>
  <c r="J311" i="17"/>
  <c r="J314" i="17"/>
  <c r="J318" i="17"/>
  <c r="J325" i="17"/>
  <c r="J373" i="17"/>
  <c r="J387" i="17"/>
  <c r="J391" i="17"/>
  <c r="J394" i="17"/>
  <c r="J422" i="17"/>
  <c r="J439" i="17"/>
  <c r="J442" i="17"/>
  <c r="J446" i="17"/>
  <c r="J453" i="17"/>
  <c r="J467" i="17"/>
  <c r="J474" i="17"/>
  <c r="J478" i="17"/>
  <c r="J495" i="17"/>
  <c r="J498" i="17"/>
  <c r="J588" i="17"/>
  <c r="J592" i="17"/>
  <c r="J641" i="17"/>
  <c r="J690" i="17"/>
  <c r="J735" i="17"/>
  <c r="J809" i="17"/>
  <c r="J892" i="17"/>
  <c r="J935" i="17"/>
  <c r="J973" i="17"/>
  <c r="J1060" i="17"/>
  <c r="J1173" i="17"/>
  <c r="J1215" i="17"/>
  <c r="J1219" i="17"/>
  <c r="J1226" i="17"/>
  <c r="J619" i="17"/>
  <c r="J623" i="17"/>
  <c r="J667" i="17"/>
  <c r="J674" i="17"/>
  <c r="J723" i="17"/>
  <c r="J771" i="17"/>
  <c r="J778" i="17"/>
  <c r="J851" i="17"/>
  <c r="J899" i="17"/>
  <c r="J906" i="17"/>
  <c r="J977" i="17"/>
  <c r="J1025" i="17"/>
  <c r="J1032" i="17"/>
  <c r="J1057" i="17"/>
  <c r="J1064" i="17"/>
  <c r="J1081" i="17"/>
  <c r="J1202" i="17"/>
  <c r="J1274" i="17"/>
  <c r="J1289" i="17"/>
  <c r="J539" i="17"/>
  <c r="J543" i="17"/>
  <c r="J546" i="17"/>
  <c r="J550" i="17"/>
  <c r="J557" i="17"/>
  <c r="J561" i="17"/>
  <c r="J575" i="17"/>
  <c r="J582" i="17"/>
  <c r="J597" i="17"/>
  <c r="J620" i="17"/>
  <c r="J627" i="17"/>
  <c r="J646" i="17"/>
  <c r="J654" i="17"/>
  <c r="J661" i="17"/>
  <c r="J668" i="17"/>
  <c r="J689" i="17"/>
  <c r="J713" i="17"/>
  <c r="J720" i="17"/>
  <c r="J724" i="17"/>
  <c r="J772" i="17"/>
  <c r="J793" i="17"/>
  <c r="J803" i="17"/>
  <c r="J810" i="17"/>
  <c r="J824" i="17"/>
  <c r="J827" i="17"/>
  <c r="J841" i="17"/>
  <c r="J848" i="17"/>
  <c r="J852" i="17"/>
  <c r="J900" i="17"/>
  <c r="J921" i="17"/>
  <c r="J929" i="17"/>
  <c r="J936" i="17"/>
  <c r="J950" i="17"/>
  <c r="J953" i="17"/>
  <c r="J967" i="17"/>
  <c r="J971" i="17"/>
  <c r="J974" i="17"/>
  <c r="J978" i="17"/>
  <c r="J988" i="17"/>
  <c r="J995" i="17"/>
  <c r="J1019" i="17"/>
  <c r="J1047" i="17"/>
  <c r="J1054" i="17"/>
  <c r="J1075" i="17"/>
  <c r="J1093" i="17"/>
  <c r="J1174" i="17"/>
  <c r="J1181" i="17"/>
  <c r="J1185" i="17"/>
  <c r="J1192" i="17"/>
  <c r="J1213" i="17"/>
  <c r="J1220" i="17"/>
  <c r="J1234" i="17"/>
  <c r="J1241" i="17"/>
  <c r="J1245" i="17"/>
  <c r="J1256" i="17"/>
  <c r="J1271" i="17"/>
  <c r="J1275" i="17"/>
  <c r="J1282" i="17"/>
  <c r="J1290" i="17"/>
  <c r="J1300" i="17"/>
  <c r="J621" i="17"/>
  <c r="J632" i="17"/>
  <c r="J636" i="17"/>
  <c r="J639" i="17"/>
  <c r="J643" i="17"/>
  <c r="J662" i="17"/>
  <c r="J676" i="17"/>
  <c r="J700" i="17"/>
  <c r="J721" i="17"/>
  <c r="J725" i="17"/>
  <c r="J728" i="17"/>
  <c r="J731" i="17"/>
  <c r="J738" i="17"/>
  <c r="J756" i="17"/>
  <c r="J773" i="17"/>
  <c r="J776" i="17"/>
  <c r="J780" i="17"/>
  <c r="J811" i="17"/>
  <c r="J825" i="17"/>
  <c r="J859" i="17"/>
  <c r="J866" i="17"/>
  <c r="J908" i="17"/>
  <c r="J937" i="17"/>
  <c r="J951" i="17"/>
  <c r="J985" i="17"/>
  <c r="J992" i="17"/>
  <c r="J1055" i="17"/>
  <c r="J1089" i="17"/>
  <c r="J1157" i="17"/>
  <c r="J1161" i="17"/>
  <c r="J1182" i="17"/>
  <c r="J1189" i="17"/>
  <c r="J1193" i="17"/>
  <c r="J1210" i="17"/>
  <c r="J1217" i="17"/>
  <c r="J1242" i="17"/>
  <c r="J1249" i="17"/>
  <c r="J961" i="17"/>
  <c r="J968" i="17"/>
  <c r="J1232" i="17"/>
  <c r="J1239" i="17"/>
  <c r="J1257" i="17"/>
  <c r="J1269" i="17"/>
  <c r="J530" i="17"/>
  <c r="J534" i="17"/>
  <c r="J541" i="17"/>
  <c r="J555" i="17"/>
  <c r="J569" i="17"/>
  <c r="J573" i="17"/>
  <c r="J580" i="17"/>
  <c r="J587" i="17"/>
  <c r="J591" i="17"/>
  <c r="J622" i="17"/>
  <c r="J633" i="17"/>
  <c r="J637" i="17"/>
  <c r="J648" i="17"/>
  <c r="J652" i="17"/>
  <c r="J670" i="17"/>
  <c r="J673" i="17"/>
  <c r="J684" i="17"/>
  <c r="J701" i="17"/>
  <c r="J704" i="17"/>
  <c r="J708" i="17"/>
  <c r="J729" i="17"/>
  <c r="J739" i="17"/>
  <c r="J746" i="17"/>
  <c r="J760" i="17"/>
  <c r="J763" i="17"/>
  <c r="J777" i="17"/>
  <c r="J784" i="17"/>
  <c r="J788" i="17"/>
  <c r="J836" i="17"/>
  <c r="J857" i="17"/>
  <c r="J867" i="17"/>
  <c r="J874" i="17"/>
  <c r="J888" i="17"/>
  <c r="J891" i="17"/>
  <c r="J905" i="17"/>
  <c r="J909" i="17"/>
  <c r="J912" i="17"/>
  <c r="J916" i="17"/>
  <c r="J962" i="17"/>
  <c r="J983" i="17"/>
  <c r="J993" i="17"/>
  <c r="J1000" i="17"/>
  <c r="J1004" i="17"/>
  <c r="J1014" i="17"/>
  <c r="J1017" i="17"/>
  <c r="J1031" i="17"/>
  <c r="J1038" i="17"/>
  <c r="J1063" i="17"/>
  <c r="J1070" i="17"/>
  <c r="J1073" i="17"/>
  <c r="J1087" i="17"/>
  <c r="J1158" i="17"/>
  <c r="J1165" i="17"/>
  <c r="J1169" i="17"/>
  <c r="J1176" i="17"/>
  <c r="J1190" i="17"/>
  <c r="J1208" i="17"/>
  <c r="J1229" i="17"/>
  <c r="J1277" i="17"/>
  <c r="J1288" i="17"/>
  <c r="J1292" i="17"/>
  <c r="J107" i="17"/>
  <c r="J122" i="17"/>
  <c r="J167" i="17"/>
  <c r="J187" i="17"/>
  <c r="J231" i="17"/>
  <c r="J251" i="17"/>
  <c r="J295" i="17"/>
  <c r="J315" i="17"/>
  <c r="J359" i="17"/>
  <c r="J379" i="17"/>
  <c r="J423" i="17"/>
  <c r="J487" i="17"/>
  <c r="J138" i="17"/>
  <c r="J191" i="17"/>
  <c r="J211" i="17"/>
  <c r="J275" i="17"/>
  <c r="J339" i="17"/>
  <c r="J403" i="17"/>
  <c r="J123" i="17"/>
  <c r="J171" i="17"/>
  <c r="J215" i="17"/>
  <c r="J235" i="17"/>
  <c r="J279" i="17"/>
  <c r="J299" i="17"/>
  <c r="J343" i="17"/>
  <c r="J363" i="17"/>
  <c r="J407" i="17"/>
  <c r="J471" i="17"/>
  <c r="J199" i="17"/>
  <c r="J219" i="17"/>
  <c r="J283" i="17"/>
  <c r="J347" i="17"/>
  <c r="J115" i="17"/>
  <c r="J130" i="17"/>
  <c r="J146" i="17"/>
  <c r="J162" i="17"/>
  <c r="J179" i="17"/>
  <c r="J223" i="17"/>
  <c r="J243" i="17"/>
  <c r="J287" i="17"/>
  <c r="J307" i="17"/>
  <c r="J351" i="17"/>
  <c r="J371" i="17"/>
  <c r="J415" i="17"/>
  <c r="J479" i="17"/>
  <c r="J585" i="17"/>
  <c r="J645" i="17"/>
  <c r="J657" i="17"/>
  <c r="J757" i="17"/>
  <c r="J821" i="17"/>
  <c r="J885" i="17"/>
  <c r="J947" i="17"/>
  <c r="J987" i="17"/>
  <c r="J1051" i="17"/>
  <c r="J677" i="17"/>
  <c r="J717" i="17"/>
  <c r="J737" i="17"/>
  <c r="J781" i="17"/>
  <c r="J845" i="17"/>
  <c r="J609" i="17"/>
  <c r="J697" i="17"/>
  <c r="J741" i="17"/>
  <c r="J805" i="17"/>
  <c r="J869" i="17"/>
  <c r="J931" i="17"/>
  <c r="J1035" i="17"/>
  <c r="J1160" i="17"/>
  <c r="J601" i="17"/>
  <c r="J613" i="17"/>
  <c r="J625" i="17"/>
  <c r="J665" i="17"/>
  <c r="J681" i="17"/>
  <c r="J745" i="17"/>
  <c r="J1260" i="17"/>
  <c r="J581" i="17"/>
  <c r="J653" i="17"/>
  <c r="J669" i="17"/>
  <c r="J685" i="17"/>
  <c r="J705" i="17"/>
  <c r="J749" i="17"/>
  <c r="J813" i="17"/>
  <c r="J877" i="17"/>
  <c r="J939" i="17"/>
  <c r="J1043" i="17"/>
  <c r="J1168" i="17"/>
  <c r="J1236" i="17"/>
</calcChain>
</file>

<file path=xl/sharedStrings.xml><?xml version="1.0" encoding="utf-8"?>
<sst xmlns="http://schemas.openxmlformats.org/spreadsheetml/2006/main" count="17606" uniqueCount="5826">
  <si>
    <t>CÓDIGO</t>
  </si>
  <si>
    <t>REFERENCIA</t>
  </si>
  <si>
    <t>NOMBRE</t>
  </si>
  <si>
    <t>MARCA</t>
  </si>
  <si>
    <t>PROVEEDOR</t>
  </si>
  <si>
    <t>UNIDAD DE VENTA</t>
  </si>
  <si>
    <t>EXISTENCIAS</t>
  </si>
  <si>
    <t>ENTRADAS</t>
  </si>
  <si>
    <t>SALIDAS</t>
  </si>
  <si>
    <t>STOCK</t>
  </si>
  <si>
    <t># FACTURA</t>
  </si>
  <si>
    <t>CLIENTE</t>
  </si>
  <si>
    <t>FECHA</t>
  </si>
  <si>
    <t>CANTIDAD</t>
  </si>
  <si>
    <t>TRANSITO</t>
  </si>
  <si>
    <t>MC 001</t>
  </si>
  <si>
    <t>BTE-025PT/ 504002</t>
  </si>
  <si>
    <t>FUNDAS PARA TRANSFERENCIA DE EMBRIONES</t>
  </si>
  <si>
    <t>TED</t>
  </si>
  <si>
    <t>PAQUETE X 5 UND</t>
  </si>
  <si>
    <t>MC 105</t>
  </si>
  <si>
    <t>MC 509</t>
  </si>
  <si>
    <t>MC 002</t>
  </si>
  <si>
    <t>MARCA PROPIA</t>
  </si>
  <si>
    <t>INCOLAMERICA</t>
  </si>
  <si>
    <t>MC 140</t>
  </si>
  <si>
    <t>MC 510</t>
  </si>
  <si>
    <t>MC 003</t>
  </si>
  <si>
    <t>INO-025/ 508001</t>
  </si>
  <si>
    <t>PISTOLA DE TRANSFERENCIA DE EMBRIONES</t>
  </si>
  <si>
    <t>UNIDAD</t>
  </si>
  <si>
    <t>MC 265</t>
  </si>
  <si>
    <t>MC 523</t>
  </si>
  <si>
    <t>MC 004</t>
  </si>
  <si>
    <t>LA-120 /506003</t>
  </si>
  <si>
    <t>LíNEA PARA OPU 1,2 METROS</t>
  </si>
  <si>
    <t>MC 047</t>
  </si>
  <si>
    <t>MC 508</t>
  </si>
  <si>
    <t>MC 005</t>
  </si>
  <si>
    <t>LP-25/ 505005</t>
  </si>
  <si>
    <t>LACRADORES CUADRADO 0,25</t>
  </si>
  <si>
    <t>PAQUETE X 100 UND</t>
  </si>
  <si>
    <t>MC 131</t>
  </si>
  <si>
    <t>MC 507</t>
  </si>
  <si>
    <t>MC 006</t>
  </si>
  <si>
    <t>RS-01</t>
  </si>
  <si>
    <t>TAPON DE SILICONA PARA OPU</t>
  </si>
  <si>
    <t>MC 120</t>
  </si>
  <si>
    <t>MC 402</t>
  </si>
  <si>
    <t>MC 007</t>
  </si>
  <si>
    <t>RSS-T 04</t>
  </si>
  <si>
    <t>TAPON DE SILICONA PEQUEÑO</t>
  </si>
  <si>
    <t>MC 194</t>
  </si>
  <si>
    <t>MC 347</t>
  </si>
  <si>
    <t>MC 008</t>
  </si>
  <si>
    <t>AA-OPU</t>
  </si>
  <si>
    <t>AGUJAS PARA OPU</t>
  </si>
  <si>
    <t>MC 520</t>
  </si>
  <si>
    <t>MC 009</t>
  </si>
  <si>
    <t>TNB-0001-16</t>
  </si>
  <si>
    <t>CAMISA SANITARIA PARA OPU ASPIRACIÓN FOLICULAR</t>
  </si>
  <si>
    <t>TNB</t>
  </si>
  <si>
    <t>PAQUETE X 50 UND</t>
  </si>
  <si>
    <t>MC 305</t>
  </si>
  <si>
    <t>MC 010</t>
  </si>
  <si>
    <t>TIPE-V 22/ 386315</t>
  </si>
  <si>
    <t>TUBOS PARA INSEMINACIÓN PROFUNDA  EN EQUINOS 22¨(VERDE) ESTERILIZADO</t>
  </si>
  <si>
    <t>SINMARCA</t>
  </si>
  <si>
    <t>PAQUETE X 25 UND</t>
  </si>
  <si>
    <t>MC 326</t>
  </si>
  <si>
    <t>MC 396</t>
  </si>
  <si>
    <t>MC 011</t>
  </si>
  <si>
    <t>CAJA DE CAMISAS SANITARIA ROLLO POR 80 UNIDADES</t>
  </si>
  <si>
    <t>SIN MARCA</t>
  </si>
  <si>
    <t>ROLLO X 80 UND</t>
  </si>
  <si>
    <t>MC 248</t>
  </si>
  <si>
    <t>MC 012</t>
  </si>
  <si>
    <t>LUBRICANTE SLIX NO ESPERMICIDA-TUBO 6 OZ</t>
  </si>
  <si>
    <t>SLIX</t>
  </si>
  <si>
    <t>MC 206</t>
  </si>
  <si>
    <t>MC 529</t>
  </si>
  <si>
    <t>MC 013</t>
  </si>
  <si>
    <t>SISTEMA DE CONDUCCIÓN UNIÓN Y- SISTEMA DE USO DUAL
(EQUINO &amp; BOVINO)</t>
  </si>
  <si>
    <t>US</t>
  </si>
  <si>
    <t>ALEJANDRA GARAVITO</t>
  </si>
  <si>
    <t>MC 530</t>
  </si>
  <si>
    <t>MC 014</t>
  </si>
  <si>
    <t xml:space="preserve">CATÉTER DE SILICONA DE 18 FR X 30 CC X 21" </t>
  </si>
  <si>
    <t>BIONICHE</t>
  </si>
  <si>
    <t>SEN 052</t>
  </si>
  <si>
    <t>MC 015</t>
  </si>
  <si>
    <t>41357/ 150200</t>
  </si>
  <si>
    <t>FILTRO, EM-CON PARA USO EQUINO Y BOVINO</t>
  </si>
  <si>
    <t>EMCON</t>
  </si>
  <si>
    <t>IN VITRO COLOMBIA S A S</t>
  </si>
  <si>
    <t>SEN 004</t>
  </si>
  <si>
    <t>MC 016</t>
  </si>
  <si>
    <t>LUBRICANTE GEL PRIORITY CARE 5 OZ (LUBRICANT, STER-LJELLY
5 OZ )</t>
  </si>
  <si>
    <t>PRIORITY CARE</t>
  </si>
  <si>
    <t>SEN 016</t>
  </si>
  <si>
    <t>MC 017</t>
  </si>
  <si>
    <t>17209/1165</t>
  </si>
  <si>
    <t xml:space="preserve">PIPETA IA PROFUNDA EQUINA DE 65 CM </t>
  </si>
  <si>
    <t>MINITUBE</t>
  </si>
  <si>
    <t>MC 083</t>
  </si>
  <si>
    <t>SEN 008</t>
  </si>
  <si>
    <t>MC 018</t>
  </si>
  <si>
    <t>17209/1175N</t>
  </si>
  <si>
    <t xml:space="preserve">PIPETA  IA PROFUNDA EQUINA DE 75 CM </t>
  </si>
  <si>
    <t>MC 519</t>
  </si>
  <si>
    <t>MC 019</t>
  </si>
  <si>
    <t>19010/6000</t>
  </si>
  <si>
    <t>EmSafe - FILTRO COLECCIÓN DE EMBRIONES BOVINO/EQUINO</t>
  </si>
  <si>
    <t>MC 020</t>
  </si>
  <si>
    <t>CATHETER, Equine flushing, 32FR x 75cc (34) - Silicone Cate</t>
  </si>
  <si>
    <t>MC 107</t>
  </si>
  <si>
    <t>MC 021</t>
  </si>
  <si>
    <t>BOLSA WHIRL-PAK 7 oz</t>
  </si>
  <si>
    <t>WHIRL-PAK</t>
  </si>
  <si>
    <t>MC 167</t>
  </si>
  <si>
    <t>MC 022</t>
  </si>
  <si>
    <t>GUANTES DE NITRILO AZUL</t>
  </si>
  <si>
    <t>ALFASAFE</t>
  </si>
  <si>
    <t>VET-BUSINESS</t>
  </si>
  <si>
    <t>CAJA X 100 UND</t>
  </si>
  <si>
    <t>SEN 006</t>
  </si>
  <si>
    <t>MC 023</t>
  </si>
  <si>
    <t>F-2690-9</t>
  </si>
  <si>
    <t>FILTROS ACRODISC, ESTERILIZADOS , 0.22um</t>
  </si>
  <si>
    <t>ACRODISC</t>
  </si>
  <si>
    <t>SEN 009</t>
  </si>
  <si>
    <t>MC 024</t>
  </si>
  <si>
    <t xml:space="preserve">PAJILLAS AMARILLAS IRRADIADAS 0.25 </t>
  </si>
  <si>
    <t>MC 533</t>
  </si>
  <si>
    <t>MC 025</t>
  </si>
  <si>
    <t>311-4150</t>
  </si>
  <si>
    <t>PUNTAS TRANSPARENTES DE 10 ul Esterilizadas</t>
  </si>
  <si>
    <t>BIOPOINT</t>
  </si>
  <si>
    <t>EXPERT/ EQUIMED</t>
  </si>
  <si>
    <t>RACK X 96 UND</t>
  </si>
  <si>
    <t>MC 079</t>
  </si>
  <si>
    <t>MC 026</t>
  </si>
  <si>
    <t>ISAS D4C20 L</t>
  </si>
  <si>
    <t>CÁMARA DE RECUENTO  CELULAR</t>
  </si>
  <si>
    <t>PROISER</t>
  </si>
  <si>
    <t>PROISER/ ARQUIMEA</t>
  </si>
  <si>
    <t>CAJA X 25 UND</t>
  </si>
  <si>
    <t>REPOSICIÓN</t>
  </si>
  <si>
    <t>DIEGO GRISOLIA</t>
  </si>
  <si>
    <t>MC 354</t>
  </si>
  <si>
    <t>SEN 041</t>
  </si>
  <si>
    <t>MC 027</t>
  </si>
  <si>
    <t xml:space="preserve">ISAS D4C20 </t>
  </si>
  <si>
    <t>MC 045</t>
  </si>
  <si>
    <t>MC 028</t>
  </si>
  <si>
    <t xml:space="preserve">5563 CAMISA SANITARIA TRANSFERENCIA </t>
  </si>
  <si>
    <t>IMV</t>
  </si>
  <si>
    <t xml:space="preserve">ROYAL PLUS </t>
  </si>
  <si>
    <t>PAQUETE X 80 UND</t>
  </si>
  <si>
    <t>MC 077</t>
  </si>
  <si>
    <t>MC 029</t>
  </si>
  <si>
    <t>J217-500L</t>
  </si>
  <si>
    <t>ACEITE MINERAL VWR X 500 ML</t>
  </si>
  <si>
    <t>VWR</t>
  </si>
  <si>
    <t>MC 030</t>
  </si>
  <si>
    <t>LINEA DE ASPIRACION GRANDE 1.40 M</t>
  </si>
  <si>
    <t>PROPIA</t>
  </si>
  <si>
    <t>MC 052</t>
  </si>
  <si>
    <t>MC 532</t>
  </si>
  <si>
    <t>MC 031</t>
  </si>
  <si>
    <t>CAJAS DE PETRI 35X15</t>
  </si>
  <si>
    <t>GREINER BIO-ONE</t>
  </si>
  <si>
    <t>PAQUETE X 10 UND</t>
  </si>
  <si>
    <t>SEN 096</t>
  </si>
  <si>
    <t>MC 032</t>
  </si>
  <si>
    <t>CAJAS DE PETRI 60X15</t>
  </si>
  <si>
    <t>BRIXCO</t>
  </si>
  <si>
    <t>ISLAS</t>
  </si>
  <si>
    <t>SEN 097</t>
  </si>
  <si>
    <t>MC 033</t>
  </si>
  <si>
    <t>353003-20</t>
  </si>
  <si>
    <t>CAJAS DE PETRI 100X20 PS</t>
  </si>
  <si>
    <t>FALCON</t>
  </si>
  <si>
    <t>EXPERT</t>
  </si>
  <si>
    <t>PAQUETE X 20 UND</t>
  </si>
  <si>
    <t>SEN 099</t>
  </si>
  <si>
    <t>MC 034</t>
  </si>
  <si>
    <t>MQAUT003</t>
  </si>
  <si>
    <t>BOLSA AUTOSELLABLE PARA ESTERILIZAR 13,5 CM 25,5 CMS</t>
  </si>
  <si>
    <t>YIPAK</t>
  </si>
  <si>
    <t>LIDERMEDICA</t>
  </si>
  <si>
    <t>CAJA X 200 UND</t>
  </si>
  <si>
    <t>MC 282</t>
  </si>
  <si>
    <t>SEN 007</t>
  </si>
  <si>
    <t>MC 035</t>
  </si>
  <si>
    <t xml:space="preserve">CATETER DE SILICONA  3 VIAS EQUINO </t>
  </si>
  <si>
    <t>CAJA X 8 UND</t>
  </si>
  <si>
    <t>SEN 017</t>
  </si>
  <si>
    <t>MC 036</t>
  </si>
  <si>
    <t>CAMISA SANITARIA IMV</t>
  </si>
  <si>
    <t>EIDER</t>
  </si>
  <si>
    <t>CAJA X 80 UND</t>
  </si>
  <si>
    <t>MC 135</t>
  </si>
  <si>
    <t>SEN 019</t>
  </si>
  <si>
    <t>MC 037</t>
  </si>
  <si>
    <t>TUBOS PIPETAS INSEMINACION ARTIFICIAL EQUINOS</t>
  </si>
  <si>
    <t>PAQUETE X 22 UND</t>
  </si>
  <si>
    <t>SEN 025</t>
  </si>
  <si>
    <t>MC 038</t>
  </si>
  <si>
    <t>FUNDAS PARA INSEMINACION ARTIFICIAL PUNTA VERDE</t>
  </si>
  <si>
    <t>MC 432</t>
  </si>
  <si>
    <t>MC 039</t>
  </si>
  <si>
    <t>SYNGRO HOLDING 8 ML</t>
  </si>
  <si>
    <t>VETOQUINOL</t>
  </si>
  <si>
    <t>MC 536</t>
  </si>
  <si>
    <t>MC 040</t>
  </si>
  <si>
    <t>MANGA PALPACION SUPER SENSITIVA</t>
  </si>
  <si>
    <t>SEN 055</t>
  </si>
  <si>
    <t>MC 041</t>
  </si>
  <si>
    <t>ETHYLENE GRYCOL ABT FREEZE 8 ML</t>
  </si>
  <si>
    <t>SEN 056</t>
  </si>
  <si>
    <t>MC 042</t>
  </si>
  <si>
    <t>BIOLOGIX CRIOVIALES PP 2,0ML</t>
  </si>
  <si>
    <t>BIOLOGIX</t>
  </si>
  <si>
    <t>PAQUETE X 500 UND</t>
  </si>
  <si>
    <t>SEN 054</t>
  </si>
  <si>
    <t>MC 043</t>
  </si>
  <si>
    <t>CINTA CONTROL ESTERILIZACION A VAPOR ROLLO 3/4 ANCHO, 60 YARDAS REF: 1322</t>
  </si>
  <si>
    <t>3M</t>
  </si>
  <si>
    <t>MC 044</t>
  </si>
  <si>
    <t>MC 392</t>
  </si>
  <si>
    <t>SEN 044</t>
  </si>
  <si>
    <t>PISTOLA QUICKLOCK CLASIC</t>
  </si>
  <si>
    <t>ANDITECNICA</t>
  </si>
  <si>
    <t>MC 046</t>
  </si>
  <si>
    <t>CORTAPAJILLAS</t>
  </si>
  <si>
    <t>MC 426</t>
  </si>
  <si>
    <t>MC 537</t>
  </si>
  <si>
    <t xml:space="preserve">ESTROTECT </t>
  </si>
  <si>
    <t>ESTROTECT</t>
  </si>
  <si>
    <t>SEN 069</t>
  </si>
  <si>
    <t>MC 048</t>
  </si>
  <si>
    <t>ABT360</t>
  </si>
  <si>
    <t>COMPLETE FLUSH ABT 1 LTR</t>
  </si>
  <si>
    <t>ABT</t>
  </si>
  <si>
    <t>LITRO</t>
  </si>
  <si>
    <t>SEN 020</t>
  </si>
  <si>
    <t>MC 049</t>
  </si>
  <si>
    <t>TUBO DE FONDO REDONDO DE 5ML 12X75MM , POLIESTIRENO</t>
  </si>
  <si>
    <t>EQUIMED</t>
  </si>
  <si>
    <t>PAQUETE X 125 UND</t>
  </si>
  <si>
    <t>SEN 070</t>
  </si>
  <si>
    <t>MC 050</t>
  </si>
  <si>
    <t>MEDIOS DE CULTIVO</t>
  </si>
  <si>
    <t>STARSWAB II</t>
  </si>
  <si>
    <t>SEN 071</t>
  </si>
  <si>
    <t>MC 051</t>
  </si>
  <si>
    <t>10-0152-1</t>
  </si>
  <si>
    <t>TUBO TIPO FALCON CÓNICO DE 15 ML</t>
  </si>
  <si>
    <t>SEN 072</t>
  </si>
  <si>
    <t>50050-1</t>
  </si>
  <si>
    <t>TUBO CONICO PLUG, AUTOCLAVABLE ESTERIL  TAPA ROSCA DE 50 ML</t>
  </si>
  <si>
    <t>SPL</t>
  </si>
  <si>
    <t>MC 473</t>
  </si>
  <si>
    <t>MC 538</t>
  </si>
  <si>
    <t>MC 053</t>
  </si>
  <si>
    <t>FILTRO SAFE-WAY</t>
  </si>
  <si>
    <t>SEN 014</t>
  </si>
  <si>
    <t>MC 054</t>
  </si>
  <si>
    <t>150212A</t>
  </si>
  <si>
    <t>FILTROS DE ALTO VOLUMEN</t>
  </si>
  <si>
    <t>MAI</t>
  </si>
  <si>
    <t>MC 304</t>
  </si>
  <si>
    <t>MC 147</t>
  </si>
  <si>
    <t>MC 055</t>
  </si>
  <si>
    <t>ADA724/ 627024</t>
  </si>
  <si>
    <t>HOLDING HA 7ML</t>
  </si>
  <si>
    <t>SEN 015</t>
  </si>
  <si>
    <t>MC 056</t>
  </si>
  <si>
    <t>DIGITAL MICROSCOPE USB</t>
  </si>
  <si>
    <t>CHINA</t>
  </si>
  <si>
    <t>SEN 042</t>
  </si>
  <si>
    <t>MC 057</t>
  </si>
  <si>
    <t>207774.03</t>
  </si>
  <si>
    <t>SEN 036</t>
  </si>
  <si>
    <t>MC 058</t>
  </si>
  <si>
    <t>HISOPO DE CULTIVO DOBLE SEGURIDAD ESTERILIZADO</t>
  </si>
  <si>
    <t>SEN 095</t>
  </si>
  <si>
    <t>MC 059</t>
  </si>
  <si>
    <t>GUANTES DE VINILO</t>
  </si>
  <si>
    <t>VITAL MEDIC</t>
  </si>
  <si>
    <t>UNIDAD CAJA X 100</t>
  </si>
  <si>
    <t>MC 293</t>
  </si>
  <si>
    <t>SEN 026</t>
  </si>
  <si>
    <t>MC 060</t>
  </si>
  <si>
    <t>VAGINA ARTIFICIAL OVINA</t>
  </si>
  <si>
    <t>SEN 038</t>
  </si>
  <si>
    <t>MC 061</t>
  </si>
  <si>
    <t>CONO DE RECOLECCION BOVINO DESECHABLE SATIN BOLSILLO, EXTRA-SUAVE</t>
  </si>
  <si>
    <t>MC 359</t>
  </si>
  <si>
    <t>SEN 011</t>
  </si>
  <si>
    <t>MC 062</t>
  </si>
  <si>
    <t>CONO DE RECOLECCION BOVINO DESECHABLE DE POLIETILENO CERRADO</t>
  </si>
  <si>
    <t>SEN 033</t>
  </si>
  <si>
    <t>MC 063</t>
  </si>
  <si>
    <t>INSEMINADOR PARA LAPAROSCOPIO DE 14" PARA OVINO</t>
  </si>
  <si>
    <t xml:space="preserve">UNIDAD </t>
  </si>
  <si>
    <t>MC 284</t>
  </si>
  <si>
    <t>SEN 032</t>
  </si>
  <si>
    <t>MC 064</t>
  </si>
  <si>
    <t>INSEMINADOR PARA LAPAROSCOPIO DE 12" PARA OVINO</t>
  </si>
  <si>
    <t>MC 539</t>
  </si>
  <si>
    <t>MC 065</t>
  </si>
  <si>
    <t>11123/3020</t>
  </si>
  <si>
    <t>FILTRO PARA SEMEN PORCINO DIA: 240 MM</t>
  </si>
  <si>
    <t>PAQUETE X 200 UND</t>
  </si>
  <si>
    <t>MC 540</t>
  </si>
  <si>
    <t>MC 066</t>
  </si>
  <si>
    <t>ESTILETE</t>
  </si>
  <si>
    <t>MC 067</t>
  </si>
  <si>
    <t>GUANTES DE LATEX</t>
  </si>
  <si>
    <t>SEN 034</t>
  </si>
  <si>
    <t>MC 068</t>
  </si>
  <si>
    <t>WARMER GUN CALENTADOR PISTOLAS</t>
  </si>
  <si>
    <t>AGJAPAN</t>
  </si>
  <si>
    <t>FREDERIK</t>
  </si>
  <si>
    <t>MC 276</t>
  </si>
  <si>
    <t>MC 541</t>
  </si>
  <si>
    <t>MC 069</t>
  </si>
  <si>
    <t>VAGINA OVINA</t>
  </si>
  <si>
    <t>SEN 062</t>
  </si>
  <si>
    <t>MC 070</t>
  </si>
  <si>
    <t>CONO VAGINA OVINA</t>
  </si>
  <si>
    <t>MC 542</t>
  </si>
  <si>
    <t>MC 071</t>
  </si>
  <si>
    <t>CAMISA VAGINA OVINA</t>
  </si>
  <si>
    <t>MC 512</t>
  </si>
  <si>
    <t>SEN 098</t>
  </si>
  <si>
    <t>MC 072</t>
  </si>
  <si>
    <t>ESCOTIMETRO</t>
  </si>
  <si>
    <t>COLINSTRUVET</t>
  </si>
  <si>
    <t>MC 543</t>
  </si>
  <si>
    <t>MC 073</t>
  </si>
  <si>
    <t>MICROSCOPIO CON PLATINA Y PANTALLA 7"</t>
  </si>
  <si>
    <t>APUS MEDICAL</t>
  </si>
  <si>
    <t>MC 535</t>
  </si>
  <si>
    <t>MC 074</t>
  </si>
  <si>
    <t>DRY BATTERY</t>
  </si>
  <si>
    <t>TATTU</t>
  </si>
  <si>
    <t>MC 278</t>
  </si>
  <si>
    <t>MC 075</t>
  </si>
  <si>
    <t>MEDIUM BUBBER X 25</t>
  </si>
  <si>
    <t>ALTA VETERINARY LLC</t>
  </si>
  <si>
    <t>MC 076</t>
  </si>
  <si>
    <t>13-201-546</t>
  </si>
  <si>
    <t>PRECISION LIQUID IN GLASS VERIFICATION THERMOMETERS WHIT COMPLIANCE REPORT</t>
  </si>
  <si>
    <t>FISHERBRAND</t>
  </si>
  <si>
    <t>13400010/ 1124</t>
  </si>
  <si>
    <t>MINIPAJILLA 0,25 ML TRANSPARENTES</t>
  </si>
  <si>
    <t>PAQUETE X 2000 UND</t>
  </si>
  <si>
    <t>MC 486</t>
  </si>
  <si>
    <t>MC 078</t>
  </si>
  <si>
    <t>T-200-Y</t>
  </si>
  <si>
    <t>PUNTA PIPETA UNIV. AMARILLA 1-200 UL PAQ. X 1000</t>
  </si>
  <si>
    <t>AXYGEN</t>
  </si>
  <si>
    <t>PAQUETE X 1000 UND</t>
  </si>
  <si>
    <t>MC 487</t>
  </si>
  <si>
    <t>T 1000 B</t>
  </si>
  <si>
    <t>PUNTA PIPETA UNIV. 1000 UL PAQ. X 1000</t>
  </si>
  <si>
    <t>MC 161</t>
  </si>
  <si>
    <t>MC 080</t>
  </si>
  <si>
    <t>T-300</t>
  </si>
  <si>
    <t>PUNTA PIPETA UNIV. 0,5- 10 UL</t>
  </si>
  <si>
    <t>SEN 022</t>
  </si>
  <si>
    <t>MC 081</t>
  </si>
  <si>
    <t>81-8204</t>
  </si>
  <si>
    <t>MICROTUBO 2,0 ML PP AUTOCLAVABLE, AUTOSOSTENIBLE, ESTERIL, CON ÁREA DE ESCRITURA</t>
  </si>
  <si>
    <t>CAJA X 500 UND</t>
  </si>
  <si>
    <t>MC 082</t>
  </si>
  <si>
    <t>ISPERM KIT (WITH 50 INCLUIDED CHIPS, EXS M5)</t>
  </si>
  <si>
    <t>ISPERM</t>
  </si>
  <si>
    <t>AIDMICS BIOLOCHNOLOGY</t>
  </si>
  <si>
    <t>MC 358</t>
  </si>
  <si>
    <t>ISPERM CHIPS (500 TESTS PER BOX) PAQ. X 50 UND</t>
  </si>
  <si>
    <t>MC 327</t>
  </si>
  <si>
    <t>MC 084</t>
  </si>
  <si>
    <t>PINZA COGE PAJILLA</t>
  </si>
  <si>
    <t>MC 448</t>
  </si>
  <si>
    <t>MC 085</t>
  </si>
  <si>
    <t>PLACA CALENTADORA/ MESA PATRON MA-3320</t>
  </si>
  <si>
    <t>MC 544</t>
  </si>
  <si>
    <t>MC 086</t>
  </si>
  <si>
    <t>502003/ 502019</t>
  </si>
  <si>
    <t>PLACA CALENTADORA/ LUPA NIKON MA-SMZ</t>
  </si>
  <si>
    <t>MC 087</t>
  </si>
  <si>
    <t>RACK 28 TUBOS MIXTOS (2X15 + 15X5 + B KG 8X1.5)</t>
  </si>
  <si>
    <t>MC 481</t>
  </si>
  <si>
    <t>MC 088</t>
  </si>
  <si>
    <t>CAMISA SANITARIA PARA PROBE RECTAL</t>
  </si>
  <si>
    <t>MC 457</t>
  </si>
  <si>
    <t>MC 089</t>
  </si>
  <si>
    <t xml:space="preserve">GUIA OPU- MINDRAY 65C15EAV </t>
  </si>
  <si>
    <t>MC 419</t>
  </si>
  <si>
    <t>MC 090</t>
  </si>
  <si>
    <t>627161-C</t>
  </si>
  <si>
    <t>CAJA DE CAJAS PETRI PEQUEÑA 30X15. 74 PAQ. X 10 UNIDADES</t>
  </si>
  <si>
    <t>CAJA X 74 PAQ.</t>
  </si>
  <si>
    <t>MC 460</t>
  </si>
  <si>
    <t>MC 091</t>
  </si>
  <si>
    <t>ARGOLLA NARIGUERA BRONCE NAL</t>
  </si>
  <si>
    <t>INSMEVET</t>
  </si>
  <si>
    <t>MC 370</t>
  </si>
  <si>
    <t>MC 092</t>
  </si>
  <si>
    <t>LAPIZ MARCADOR ROJO</t>
  </si>
  <si>
    <t>RAIDEX</t>
  </si>
  <si>
    <t>SEN 028</t>
  </si>
  <si>
    <t>MC 093</t>
  </si>
  <si>
    <t>LAPIZ MARCADOR VERDE</t>
  </si>
  <si>
    <t>MC 219</t>
  </si>
  <si>
    <t>MC 428</t>
  </si>
  <si>
    <t>MC 094</t>
  </si>
  <si>
    <t>PAJILLA MEDIANA 0,5 ML VERDE T</t>
  </si>
  <si>
    <t>PAQUETE X 2500 UND</t>
  </si>
  <si>
    <t>MC 095</t>
  </si>
  <si>
    <t>PIPETA PASTEUR EN PLÁSTICO PE-LD 3 ML CAJA X 500</t>
  </si>
  <si>
    <t>BRAND</t>
  </si>
  <si>
    <t>BLAMIS DOTACIONES LABORATORIO SAS</t>
  </si>
  <si>
    <t>MC 096</t>
  </si>
  <si>
    <t>SONDA NASAL EQUINO 3M*19MM</t>
  </si>
  <si>
    <t>HAUPTNER</t>
  </si>
  <si>
    <t>MC 097</t>
  </si>
  <si>
    <t>66-1560</t>
  </si>
  <si>
    <t>CAJA DE PETRI 60X15 PS ESTERIL X 500 UND</t>
  </si>
  <si>
    <t>PAQUETE 500 UND</t>
  </si>
  <si>
    <t>MC 550</t>
  </si>
  <si>
    <t>MC 098</t>
  </si>
  <si>
    <t>TERMOMETRO DE VIDRIO EN ALCOHOL 10+50°C</t>
  </si>
  <si>
    <t>LAB SCIENT</t>
  </si>
  <si>
    <t>MC 475</t>
  </si>
  <si>
    <t>MC 551</t>
  </si>
  <si>
    <t>MC 099</t>
  </si>
  <si>
    <t>TERMO DESCONGELADOR DE SEMEN DE EMBRIONES ORANGE</t>
  </si>
  <si>
    <t>WTA</t>
  </si>
  <si>
    <t>MC 100</t>
  </si>
  <si>
    <t>TERMO DESCONGELADOR DE SEMEN DE EMBRIONES AZUL</t>
  </si>
  <si>
    <t>MC 394</t>
  </si>
  <si>
    <t>MC 101</t>
  </si>
  <si>
    <t>ROPRONX50M</t>
  </si>
  <si>
    <t>RONCAINA X 50 ML</t>
  </si>
  <si>
    <t>PAISAGRO</t>
  </si>
  <si>
    <t>UNIDAD 50 ML</t>
  </si>
  <si>
    <t>MC 552</t>
  </si>
  <si>
    <t>MC 102</t>
  </si>
  <si>
    <t xml:space="preserve">AGUJA DESECH 18G X 1/2 </t>
  </si>
  <si>
    <t>ISAVET</t>
  </si>
  <si>
    <t>MC 330</t>
  </si>
  <si>
    <t>MC 103</t>
  </si>
  <si>
    <t>TERMO DESCONGELADOR DE SEMEN DE EMBRIONES VERDE</t>
  </si>
  <si>
    <t>MC 553</t>
  </si>
  <si>
    <t>MC 104</t>
  </si>
  <si>
    <t>3XLTLB-5S</t>
  </si>
  <si>
    <t>TERMO XTL3 270517 CON 5 IN, CARTINER (6)</t>
  </si>
  <si>
    <t>TAYLOR  WHARTON</t>
  </si>
  <si>
    <t>ANICAM</t>
  </si>
  <si>
    <t>COLVITRO BIOTECNOLOGIA REPRODUCTIVA SAS</t>
  </si>
  <si>
    <t>L60</t>
  </si>
  <si>
    <t>ECOGRAFO POTATIL L60 CON SONDA LINEAL RECTAL</t>
  </si>
  <si>
    <t>BMV</t>
  </si>
  <si>
    <t>MC 106</t>
  </si>
  <si>
    <t>CTS-800</t>
  </si>
  <si>
    <t>ECOGRAFO SIUI ULTRASOUND 3 SONDAS SCANNER WITH L7FVC, C3FC AND L1FC</t>
  </si>
  <si>
    <t>SIUI</t>
  </si>
  <si>
    <t>ECOGRAFO SIUI ULTRA SOUND SCANNER WITH L7FCV</t>
  </si>
  <si>
    <t>MC 108</t>
  </si>
  <si>
    <t>LAINER VAGINA ARTIFICIAL OVINA-CAPRINA  </t>
  </si>
  <si>
    <t>LEYLA BERNAL</t>
  </si>
  <si>
    <t>MC 504</t>
  </si>
  <si>
    <t>MC 109</t>
  </si>
  <si>
    <t>NO USAR</t>
  </si>
  <si>
    <t>MC 110</t>
  </si>
  <si>
    <t>MC 561</t>
  </si>
  <si>
    <t>MC 111</t>
  </si>
  <si>
    <t>ECOMDP20</t>
  </si>
  <si>
    <t>ECOGRAFO BLANCO Y NEGRO DP 20 VET</t>
  </si>
  <si>
    <t>MINDRAY</t>
  </si>
  <si>
    <t>MARQUETING NET SAS</t>
  </si>
  <si>
    <t>MC 208</t>
  </si>
  <si>
    <t>MC 177</t>
  </si>
  <si>
    <t>MC 112</t>
  </si>
  <si>
    <t>65C15EA</t>
  </si>
  <si>
    <t>TRASDUCTOR MICROCONVEX (DP-10,DP20, DP30, DP-50, DP-2200)</t>
  </si>
  <si>
    <t>MC 528</t>
  </si>
  <si>
    <t>MC 113</t>
  </si>
  <si>
    <t>T-300-R-S</t>
  </si>
  <si>
    <t>MC 114</t>
  </si>
  <si>
    <t>MPED 10</t>
  </si>
  <si>
    <t xml:space="preserve">MALLETIN PARA ECOGRAFO DP 10 </t>
  </si>
  <si>
    <t>MC 115</t>
  </si>
  <si>
    <t>TINTA MARCAR CARNE 500 ML AZUL</t>
  </si>
  <si>
    <t>ALVARO ESCOBAR SAAVEDRA</t>
  </si>
  <si>
    <t>MC 562</t>
  </si>
  <si>
    <t>MC 116</t>
  </si>
  <si>
    <t>IMPLEGAN</t>
  </si>
  <si>
    <t>MC 560</t>
  </si>
  <si>
    <t>MC 117</t>
  </si>
  <si>
    <t>MQJEL1011</t>
  </si>
  <si>
    <t>JELCO N° 18 MED</t>
  </si>
  <si>
    <t>JELCO</t>
  </si>
  <si>
    <t>SEN 024</t>
  </si>
  <si>
    <t>MC 118</t>
  </si>
  <si>
    <t>MQRM1003</t>
  </si>
  <si>
    <t>PAPEL ESTERLIZACION ROLLO MIXTO 62GR 15CMX200MT 3 INCIDAD</t>
  </si>
  <si>
    <t>ALFA-YIPAK</t>
  </si>
  <si>
    <t>ROLLO X 200 MTS</t>
  </si>
  <si>
    <t>MC 119</t>
  </si>
  <si>
    <t>PL2A-30-90629</t>
  </si>
  <si>
    <t>TRANSDUCTOR ENDORECTAL</t>
  </si>
  <si>
    <t>MC 547</t>
  </si>
  <si>
    <t>TRILADYL</t>
  </si>
  <si>
    <t>MC 525</t>
  </si>
  <si>
    <t>MC 121</t>
  </si>
  <si>
    <t>BATERIA LI-ION ICR26650 3,7 V 4400 MAH COM TOP- RONTEK</t>
  </si>
  <si>
    <t>MC 612</t>
  </si>
  <si>
    <t>MC 122</t>
  </si>
  <si>
    <t>T-200YRS</t>
  </si>
  <si>
    <t>PUNTAS ul YELLOW TIPS</t>
  </si>
  <si>
    <t>RACK  X  96 UND</t>
  </si>
  <si>
    <t>MC 123</t>
  </si>
  <si>
    <t>ETHYLENE GRYCOL ABT FREEZE CON SUCROSA Y HA X 7 ML</t>
  </si>
  <si>
    <t>MC 420</t>
  </si>
  <si>
    <t>MC 124</t>
  </si>
  <si>
    <t>20-0200</t>
  </si>
  <si>
    <t>PUNTAS COLOR AMARILLO ESTANDAR. GRADUADA. ARO LARGO. 200 UL PP.</t>
  </si>
  <si>
    <t>PAQUETE 1000 UND</t>
  </si>
  <si>
    <t>SEN 079</t>
  </si>
  <si>
    <t>MC 125</t>
  </si>
  <si>
    <t>BD FALCON FILTRO CELULAR 70 UM</t>
  </si>
  <si>
    <t>CAJA X 50 UND</t>
  </si>
  <si>
    <t>SEN 086</t>
  </si>
  <si>
    <t>MC 126</t>
  </si>
  <si>
    <t>PAJILLA PARA SEMEN 0,50 ML</t>
  </si>
  <si>
    <t>PAQ. X 100 UND</t>
  </si>
  <si>
    <t>SEN 050</t>
  </si>
  <si>
    <t>MC 127</t>
  </si>
  <si>
    <t>135030/1000</t>
  </si>
  <si>
    <t>ANDROMET 200 ML</t>
  </si>
  <si>
    <t>SEN 053</t>
  </si>
  <si>
    <t>MC 128</t>
  </si>
  <si>
    <t>MICROTUBO 2,0 ML</t>
  </si>
  <si>
    <t>SEN 060</t>
  </si>
  <si>
    <t>MC 129</t>
  </si>
  <si>
    <t>CINTA ESCROTAL</t>
  </si>
  <si>
    <t>SEN 049</t>
  </si>
  <si>
    <t>MC 130</t>
  </si>
  <si>
    <t>EF23892C</t>
  </si>
  <si>
    <t>TERMOMETRO PARA INCUBADORA</t>
  </si>
  <si>
    <t>MC 335</t>
  </si>
  <si>
    <t>MC 563</t>
  </si>
  <si>
    <t>AI 00059 RED 10</t>
  </si>
  <si>
    <t>GENETICA SELECTA</t>
  </si>
  <si>
    <t>SEN 065</t>
  </si>
  <si>
    <t>MC 132</t>
  </si>
  <si>
    <t>SEN 066</t>
  </si>
  <si>
    <t>MC 133</t>
  </si>
  <si>
    <t>BOMBA DE VACIO TOUCH BA-06</t>
  </si>
  <si>
    <t>SEN 076</t>
  </si>
  <si>
    <t>MC 134</t>
  </si>
  <si>
    <t>LAMINILLAS CUBRE OBJETOS 22X22 MM</t>
  </si>
  <si>
    <t>GLASS LAB</t>
  </si>
  <si>
    <t>INCOLMEDICA SA</t>
  </si>
  <si>
    <t>SEN 075</t>
  </si>
  <si>
    <t>LAMINILLAS PORTA- OBJETOS</t>
  </si>
  <si>
    <t>MC 498</t>
  </si>
  <si>
    <t>MC 136</t>
  </si>
  <si>
    <t>MCT-150C</t>
  </si>
  <si>
    <t>TUBOS PARA MICROCENTRIFUGA 1,5 ML</t>
  </si>
  <si>
    <t>MC 489</t>
  </si>
  <si>
    <t>MC 137</t>
  </si>
  <si>
    <t>J0102D9</t>
  </si>
  <si>
    <t>DISPENSADOR DE CONOS AI</t>
  </si>
  <si>
    <t>JOR VET</t>
  </si>
  <si>
    <t>MC 496</t>
  </si>
  <si>
    <t>MC 138</t>
  </si>
  <si>
    <t>CALENTADOR DE TUBOS 50 ML AT-650-OLED</t>
  </si>
  <si>
    <t>SEN 059</t>
  </si>
  <si>
    <t>MC 139</t>
  </si>
  <si>
    <t>CONO DE COLECTA PAQUETE POR 100 UNIDADES</t>
  </si>
  <si>
    <t>MC 404</t>
  </si>
  <si>
    <t>MC 564</t>
  </si>
  <si>
    <t>BOLSA TELA MAS CAMPO</t>
  </si>
  <si>
    <t>CARLOS PINILLA</t>
  </si>
  <si>
    <t>MC 141</t>
  </si>
  <si>
    <t>FUNDA SANITARIA 18" IA</t>
  </si>
  <si>
    <t>PLAYCEL SAS</t>
  </si>
  <si>
    <t>MC 142</t>
  </si>
  <si>
    <t>SONDA FOLLEY BIONICHE DE SILICONA (ABT) 20FR. X 30CCX 22"</t>
  </si>
  <si>
    <t>ANDINA PREMIER SAS</t>
  </si>
  <si>
    <t>MC 143</t>
  </si>
  <si>
    <t>ESCALERILLAS METÁLICAS PARA GOBLETS DE 10 MM PAQ. X 100</t>
  </si>
  <si>
    <t>MC 144</t>
  </si>
  <si>
    <t>CAMARA DE NEUBAUER</t>
  </si>
  <si>
    <t>NEWLTEM</t>
  </si>
  <si>
    <t>MC 565</t>
  </si>
  <si>
    <t>MC 145</t>
  </si>
  <si>
    <t>CATÉTER DE INSEMINACIÓN UNIVERSAL INSERTO VERDE EMP INDIVIDUAL PAQ X 25</t>
  </si>
  <si>
    <t>PAQUETE X 250UND</t>
  </si>
  <si>
    <t>MC 363</t>
  </si>
  <si>
    <t>SEN 051</t>
  </si>
  <si>
    <t>MC 146</t>
  </si>
  <si>
    <t>PAJILLAS 0.5 CC</t>
  </si>
  <si>
    <t>MC 531</t>
  </si>
  <si>
    <t>JALEA CONDUCTIVA (GEL ULTRASONICO) GALON X 3785 ML AZUL</t>
  </si>
  <si>
    <t>KRAMER</t>
  </si>
  <si>
    <t>GALON X 3785 ML</t>
  </si>
  <si>
    <t>MC 148</t>
  </si>
  <si>
    <t>TRANSPORTADORA DE EMBRIONES</t>
  </si>
  <si>
    <t>MC 150</t>
  </si>
  <si>
    <t>0060-1</t>
  </si>
  <si>
    <t>SPI</t>
  </si>
  <si>
    <t>BIOGENEC</t>
  </si>
  <si>
    <t>MC 151</t>
  </si>
  <si>
    <t>CONO PARA SFS 133 (13018/0100)</t>
  </si>
  <si>
    <t>MC 152</t>
  </si>
  <si>
    <t>CAJA CUATRO HUECOS DISH 4 WELLS ESTERILIZADO PAQ X10</t>
  </si>
  <si>
    <t>MC 153</t>
  </si>
  <si>
    <t>CARGADOR PARA TRANSPORTADORA TED</t>
  </si>
  <si>
    <t>NOVOA</t>
  </si>
  <si>
    <t>MUESTRA</t>
  </si>
  <si>
    <t>MC 566</t>
  </si>
  <si>
    <t>MC 154</t>
  </si>
  <si>
    <t>MC 548</t>
  </si>
  <si>
    <t>MC 155</t>
  </si>
  <si>
    <t>V2 - KAIXIN</t>
  </si>
  <si>
    <t>ECOGRAFO PORTATIL V2</t>
  </si>
  <si>
    <t>KAIXIN</t>
  </si>
  <si>
    <t>MC 567</t>
  </si>
  <si>
    <t>MC 156</t>
  </si>
  <si>
    <t>MG-W3500500M</t>
  </si>
  <si>
    <t>AGUA, DOBLE - CULTIVO CEL PROCESADO * TES 500 ML</t>
  </si>
  <si>
    <t>SIGMA</t>
  </si>
  <si>
    <t>ADEQUIM</t>
  </si>
  <si>
    <t>500 ML</t>
  </si>
  <si>
    <t>MC 568</t>
  </si>
  <si>
    <t>MC 157</t>
  </si>
  <si>
    <t>SSF08S</t>
  </si>
  <si>
    <t>FILTRO JERINGA DE 0.22 UM</t>
  </si>
  <si>
    <t>BIOBASE</t>
  </si>
  <si>
    <t>PAQUETE X 50 UNIDADES</t>
  </si>
  <si>
    <t>MC 158</t>
  </si>
  <si>
    <t>S5</t>
  </si>
  <si>
    <t>SONDA S5 UNIDAD PRINCIPAL CON SONDA LINEAL RECTAL</t>
  </si>
  <si>
    <t>MC 569</t>
  </si>
  <si>
    <t>MC 159</t>
  </si>
  <si>
    <t>PASTA TATUAR VERDE</t>
  </si>
  <si>
    <t>MC 160</t>
  </si>
  <si>
    <t>BATERIA WED3000</t>
  </si>
  <si>
    <t>FUNDA UNIVERSAL PARA I.A. RANURADA</t>
  </si>
  <si>
    <t>MC 570</t>
  </si>
  <si>
    <t>MC 162</t>
  </si>
  <si>
    <t>CATETER TALADRO TRANSPARENTE 18"</t>
  </si>
  <si>
    <t>PAQUETE X 25 UNIDADES</t>
  </si>
  <si>
    <t>MC 511</t>
  </si>
  <si>
    <t>MC 163</t>
  </si>
  <si>
    <t>TERMO TRANSPORTE 1 LITRO/1 DIA- METÁLICO</t>
  </si>
  <si>
    <t>MC 571</t>
  </si>
  <si>
    <t>MC 164</t>
  </si>
  <si>
    <t>NARIGUERA DE TORO MEDIO 3/8" X 3"</t>
  </si>
  <si>
    <t>MC 572</t>
  </si>
  <si>
    <t>MC 165</t>
  </si>
  <si>
    <t>ALCOHOL POLIVINILICO</t>
  </si>
  <si>
    <t>RODA QUÍMICOS SAS</t>
  </si>
  <si>
    <t>BOLSA X 1 KILO</t>
  </si>
  <si>
    <t>MC 166</t>
  </si>
  <si>
    <t>CARBOXIMETIL CELULOSA (CMC)</t>
  </si>
  <si>
    <t>MC 517</t>
  </si>
  <si>
    <t>CPALICL100</t>
  </si>
  <si>
    <t>LIDOCAINA X 100 ML</t>
  </si>
  <si>
    <t>CORPAUL</t>
  </si>
  <si>
    <t>100 ML</t>
  </si>
  <si>
    <t>MC 439</t>
  </si>
  <si>
    <t>MC 168</t>
  </si>
  <si>
    <t>HEPARINA 5000 UN</t>
  </si>
  <si>
    <t>MC 456</t>
  </si>
  <si>
    <t>MC 169</t>
  </si>
  <si>
    <t>EOSINA- NIGROSINA</t>
  </si>
  <si>
    <t>NOVALAB</t>
  </si>
  <si>
    <t>50 ML</t>
  </si>
  <si>
    <t>MC 556</t>
  </si>
  <si>
    <t>MC 170</t>
  </si>
  <si>
    <t>REGLA PARA NITROGENO</t>
  </si>
  <si>
    <t>MC 558</t>
  </si>
  <si>
    <t>MC 171</t>
  </si>
  <si>
    <t>MANGA OBSTÉTRICA DESECHABLE NARANJA</t>
  </si>
  <si>
    <t>MC 259</t>
  </si>
  <si>
    <t>MC 172</t>
  </si>
  <si>
    <t>PINZA COGEPAJILLA</t>
  </si>
  <si>
    <t>MC 173</t>
  </si>
  <si>
    <t xml:space="preserve">MICROPIPETA AUTOMATICA PETTEPLUS VOLUMEN VARIABLE  0,5-10ul, </t>
  </si>
  <si>
    <t>MC 465</t>
  </si>
  <si>
    <t>MC 174</t>
  </si>
  <si>
    <t>SH113</t>
  </si>
  <si>
    <t xml:space="preserve">TERMÓMETRO DIGITAL </t>
  </si>
  <si>
    <t>MEDICOR</t>
  </si>
  <si>
    <t>MC 281</t>
  </si>
  <si>
    <t>MC 175</t>
  </si>
  <si>
    <t>MC 176</t>
  </si>
  <si>
    <t>PIPETA VOL VARIABLE 5-10 UL EPPENDORF SERIE P27161H</t>
  </si>
  <si>
    <t>EPPENDORF</t>
  </si>
  <si>
    <t>KAIKA</t>
  </si>
  <si>
    <t>MC 573</t>
  </si>
  <si>
    <t>GUIA PARA OPU WTA</t>
  </si>
  <si>
    <t>MC 179</t>
  </si>
  <si>
    <t>TAPABOCAS TIRA ELASTICA CAJA X 50 UND 2018DM-0017530. REGISTRO INVIMA</t>
  </si>
  <si>
    <t>EMBRIONES DEL SINÚ</t>
  </si>
  <si>
    <t>MC 574</t>
  </si>
  <si>
    <t>MC 180</t>
  </si>
  <si>
    <t>QA-08</t>
  </si>
  <si>
    <t>GORRO DESECHABLE REDONDO 17 GRAMOS. PAQ X 50 UND NACIONAL. REGISTRO INVIMA</t>
  </si>
  <si>
    <t>MC 575</t>
  </si>
  <si>
    <t>MC 181</t>
  </si>
  <si>
    <t>ALCOHOL ANTISEPTICO GALON X 3700 ML. REGISTRO SANITARIO 2008M-011909-R1</t>
  </si>
  <si>
    <t>GALON X 3700 ML</t>
  </si>
  <si>
    <t>MC 576</t>
  </si>
  <si>
    <t>MC 182</t>
  </si>
  <si>
    <t>11111003-05</t>
  </si>
  <si>
    <t>TAPABOCAS (MASCARA RESPIRADOR) DE MEDIA CARA DOBLE CARTUCHO</t>
  </si>
  <si>
    <t>MC 479</t>
  </si>
  <si>
    <t>MC 183</t>
  </si>
  <si>
    <t>FVV032420</t>
  </si>
  <si>
    <t>GEL ANTIBACTERIAL 250 ML</t>
  </si>
  <si>
    <t>LABG&amp;M</t>
  </si>
  <si>
    <t>250 ML</t>
  </si>
  <si>
    <t>MC 577</t>
  </si>
  <si>
    <t>MC 184</t>
  </si>
  <si>
    <t>FVV03244</t>
  </si>
  <si>
    <t>GEL ANTIBACTERIAL GALON X 4 LT</t>
  </si>
  <si>
    <t>GALON</t>
  </si>
  <si>
    <t>MC 578</t>
  </si>
  <si>
    <t>MC 185</t>
  </si>
  <si>
    <t>FVV031810</t>
  </si>
  <si>
    <t>JABON LIQUIDO ANTIBACTERIAL GALON X 5 LTRS</t>
  </si>
  <si>
    <t>MC 374</t>
  </si>
  <si>
    <t>MC 579</t>
  </si>
  <si>
    <t>MC 186</t>
  </si>
  <si>
    <t>00EXA192</t>
  </si>
  <si>
    <t>GUANTE DE EXAMEN X 100 UND. TALLA M</t>
  </si>
  <si>
    <t>EXAMTEX</t>
  </si>
  <si>
    <t>OBSEQUIO</t>
  </si>
  <si>
    <t>MC 328</t>
  </si>
  <si>
    <t>MC 187</t>
  </si>
  <si>
    <t>00EXA191</t>
  </si>
  <si>
    <t>GUANTE DE EXAMEN X 100 UND. TALLA S</t>
  </si>
  <si>
    <t>MC 534</t>
  </si>
  <si>
    <t>MC 188</t>
  </si>
  <si>
    <t>00EXA225</t>
  </si>
  <si>
    <t>GUANTE DE NITRILO AZUL X 100 UND TALLA M</t>
  </si>
  <si>
    <t>PROTEXION</t>
  </si>
  <si>
    <t>MC 189</t>
  </si>
  <si>
    <t>00EXA224</t>
  </si>
  <si>
    <t>GUANTE DE NITRILO AZUL X 100 UND TALLA S</t>
  </si>
  <si>
    <t>MC 580</t>
  </si>
  <si>
    <t>MC 190</t>
  </si>
  <si>
    <t>00EXA227</t>
  </si>
  <si>
    <t>GUANTES DE VINILO X 100 UND. TALLA S</t>
  </si>
  <si>
    <t>MC 191</t>
  </si>
  <si>
    <t>00EXA229</t>
  </si>
  <si>
    <t>GUANTES DE VINILO X 100 UND. TALLA L</t>
  </si>
  <si>
    <t>MC 192</t>
  </si>
  <si>
    <t>CAJAS DE PETRI DE 35X 10 MM, EN POLYESTYRENO, ESTPERILES, DESECHABLES, PARA CULTIVO CELULAR</t>
  </si>
  <si>
    <t>CORNING</t>
  </si>
  <si>
    <t>MC 193</t>
  </si>
  <si>
    <t>12300/1111</t>
  </si>
  <si>
    <t>MICROCUBETA PARA FOTÓMETRO SDM 1, 100/CAJA</t>
  </si>
  <si>
    <t>MC 491</t>
  </si>
  <si>
    <t>13408/0010</t>
  </si>
  <si>
    <t>PAJILLA MEDIANA 0,5 ML TRANSPARENTES</t>
  </si>
  <si>
    <t>MC 361</t>
  </si>
  <si>
    <t>MC 311</t>
  </si>
  <si>
    <t>MC 195</t>
  </si>
  <si>
    <t>IVEAGDE181</t>
  </si>
  <si>
    <t>AGUJA DESECHABLE 18 X 11/2</t>
  </si>
  <si>
    <t>ISMEVET</t>
  </si>
  <si>
    <t>MC 196</t>
  </si>
  <si>
    <t>MC 197</t>
  </si>
  <si>
    <t>RAMPAS DE CONGELACIÓN DE 58 PAJILLAS</t>
  </si>
  <si>
    <t>MC 198</t>
  </si>
  <si>
    <t>KIT DE INSEMINACIÓN BÁSICO</t>
  </si>
  <si>
    <t>MC 199</t>
  </si>
  <si>
    <t>POLVO SELLANTE DE PAJILLAS X 750 GR</t>
  </si>
  <si>
    <t>750 GR</t>
  </si>
  <si>
    <t>MC 200</t>
  </si>
  <si>
    <t>CARGADOR TED 4S5A C/ LED INDICADOR</t>
  </si>
  <si>
    <t>MC 201</t>
  </si>
  <si>
    <t>TRANSISTOR MOSFET AO34407- A79T 4,3A/ 30V SOT 23</t>
  </si>
  <si>
    <t>MC 202</t>
  </si>
  <si>
    <t>CONECTOR PARA CABO INVERTIDO M16 6 CONTACTO MACHO</t>
  </si>
  <si>
    <t>MC 373</t>
  </si>
  <si>
    <t>MC 203</t>
  </si>
  <si>
    <t>LATGUNIX100</t>
  </si>
  <si>
    <t xml:space="preserve">GUANTE NITRILO AZUL  TALLA  L </t>
  </si>
  <si>
    <t>SEMPERQUARD</t>
  </si>
  <si>
    <t>MC 583</t>
  </si>
  <si>
    <t>MC 204</t>
  </si>
  <si>
    <t>OVEROL</t>
  </si>
  <si>
    <t>MUNDIAL DE DOTACIONES SAS</t>
  </si>
  <si>
    <t>MC 584</t>
  </si>
  <si>
    <t>MC 205</t>
  </si>
  <si>
    <t>BATA QUIRURGICA</t>
  </si>
  <si>
    <t>MC 607</t>
  </si>
  <si>
    <t>ABT ADAPT HOLDING</t>
  </si>
  <si>
    <t>ABT ADAPT HOLDING CON HA 7 ML</t>
  </si>
  <si>
    <t>MC 207</t>
  </si>
  <si>
    <t>HOL06-100 ML</t>
  </si>
  <si>
    <t>HEPES SOLUTION 1M SOLUTION IN PURFIED WATER. STERILE FILTERED</t>
  </si>
  <si>
    <t>MAISSON</t>
  </si>
  <si>
    <t>GENTECH BIOSCIENCES</t>
  </si>
  <si>
    <t>GU1078</t>
  </si>
  <si>
    <t>GUANTE NITRILO TALLA M. WELL</t>
  </si>
  <si>
    <t>WELL</t>
  </si>
  <si>
    <t>MC 329</t>
  </si>
  <si>
    <t>MC 209</t>
  </si>
  <si>
    <t xml:space="preserve">TAPABOCAS TRADICIONAL TRES CAPAS </t>
  </si>
  <si>
    <t>NACIONAL</t>
  </si>
  <si>
    <t>MC 210</t>
  </si>
  <si>
    <t>6459 CAMISA SANITARIA INSEMINACION PQ X 100</t>
  </si>
  <si>
    <t>MC 211</t>
  </si>
  <si>
    <t>GOBLETS CLAROS/BLANCOS DE 10 MM PAQ. X 100</t>
  </si>
  <si>
    <t>MC 212</t>
  </si>
  <si>
    <t>GOBLETS AMARILLOS DE 13 MM PAQ. X 100</t>
  </si>
  <si>
    <t>PAQUETE X 100</t>
  </si>
  <si>
    <t>MC 585</t>
  </si>
  <si>
    <t>MC 213</t>
  </si>
  <si>
    <t>ESCALERILLAS METÁLICAS PARA GOBLETS DE 13 MM PAQ. X 100</t>
  </si>
  <si>
    <t>MC 586</t>
  </si>
  <si>
    <t>MC 214</t>
  </si>
  <si>
    <t>BOTA PLÁSTICA NACIONAL</t>
  </si>
  <si>
    <t>MC 587</t>
  </si>
  <si>
    <t>MC 215</t>
  </si>
  <si>
    <t>BOTUSEMENSPECIAL 8,5gm</t>
  </si>
  <si>
    <t>BOTUPHARMA</t>
  </si>
  <si>
    <t>MC 588</t>
  </si>
  <si>
    <t>MC 216</t>
  </si>
  <si>
    <t xml:space="preserve">ILERSAN 414 </t>
  </si>
  <si>
    <t>ILEDERCORP</t>
  </si>
  <si>
    <t>1000 CC</t>
  </si>
  <si>
    <t>MC 589</t>
  </si>
  <si>
    <t>MC 217</t>
  </si>
  <si>
    <t>ADAPTADOR DE JERINGA X 1 ML TB A PAJILLA DE 1/4 CC O 1/2 CC AZUL</t>
  </si>
  <si>
    <t>MC 590</t>
  </si>
  <si>
    <t>MC 218</t>
  </si>
  <si>
    <t>JXB-178</t>
  </si>
  <si>
    <t>TERMOMETRO INFRAROJO DÍGITAL</t>
  </si>
  <si>
    <t>BERRCOM</t>
  </si>
  <si>
    <t>MC 591</t>
  </si>
  <si>
    <t>AGUJA DESECH 20G X 1 1/2</t>
  </si>
  <si>
    <t>BD</t>
  </si>
  <si>
    <t>MC 220</t>
  </si>
  <si>
    <t>PAJILLA PARA SEMEN 0,25 ML</t>
  </si>
  <si>
    <t>MC 221</t>
  </si>
  <si>
    <t>CS-200311</t>
  </si>
  <si>
    <t>PARAFILM ROLLO DEV 100 MM ANCHO,  38 MTS DE LARGO</t>
  </si>
  <si>
    <t>SANTA CRUZ</t>
  </si>
  <si>
    <t>ROLLO</t>
  </si>
  <si>
    <t>MC 222</t>
  </si>
  <si>
    <t>MQSOL1005</t>
  </si>
  <si>
    <t>SOLUCION SALINA 500ML (1323)</t>
  </si>
  <si>
    <t>BAXTER</t>
  </si>
  <si>
    <t>MC 223</t>
  </si>
  <si>
    <t xml:space="preserve">ESTUCHE DE CIRUGIA * 15 PIEZAS </t>
  </si>
  <si>
    <t>AMALGADENT</t>
  </si>
  <si>
    <t>MC 377</t>
  </si>
  <si>
    <t>MC 224</t>
  </si>
  <si>
    <t>DP 2200</t>
  </si>
  <si>
    <t>ECOGRAFO PORTATIL DP2200</t>
  </si>
  <si>
    <t>MC 225</t>
  </si>
  <si>
    <t>AGUJA SUTURA CURVA GRANDE * 12</t>
  </si>
  <si>
    <t>MC 592</t>
  </si>
  <si>
    <t>MC 226</t>
  </si>
  <si>
    <t>CATGUT CROMADO N° 2 CON AGUJA</t>
  </si>
  <si>
    <t>ASSUT</t>
  </si>
  <si>
    <t>MC 593</t>
  </si>
  <si>
    <t>MC 227</t>
  </si>
  <si>
    <t>TIRAS INDICADORAS DEL PH PH 0 - 14 INDICADOR UNIVERSAL NO DESTIÑEN 100 STRIPS</t>
  </si>
  <si>
    <t>100 STRIPS</t>
  </si>
  <si>
    <t>CESAR DELGADO</t>
  </si>
  <si>
    <t>MC 594</t>
  </si>
  <si>
    <t>MC 228</t>
  </si>
  <si>
    <t>FVV03205</t>
  </si>
  <si>
    <t>AGUA DESTILADA GALÓN X 5 LT</t>
  </si>
  <si>
    <t>MICROGEN</t>
  </si>
  <si>
    <t>GALÓN X 5 LT</t>
  </si>
  <si>
    <t>MC 595</t>
  </si>
  <si>
    <t>MC 232</t>
  </si>
  <si>
    <t>EXP000253</t>
  </si>
  <si>
    <t>CAJA PETRI 100X15 MM</t>
  </si>
  <si>
    <t>MC 596</t>
  </si>
  <si>
    <t>MC 233</t>
  </si>
  <si>
    <t>MG-324558100</t>
  </si>
  <si>
    <t>ETHYLENE GRYCOL ANHYDROUS 99,8% X 100 ML</t>
  </si>
  <si>
    <t>MC 597</t>
  </si>
  <si>
    <t>MC 234</t>
  </si>
  <si>
    <t>MG-D26505X5M</t>
  </si>
  <si>
    <t>DIMETHYL SULFOXIDE HYDRIMAX STERILE 5X5 ML</t>
  </si>
  <si>
    <t>5 ML</t>
  </si>
  <si>
    <t>MC 286</t>
  </si>
  <si>
    <t>MC 235</t>
  </si>
  <si>
    <t>MG-S1888500G</t>
  </si>
  <si>
    <t>SUCROSE; CELL CULTURE TESTED X 500 G</t>
  </si>
  <si>
    <t>500 G</t>
  </si>
  <si>
    <t>MC 598</t>
  </si>
  <si>
    <t>MC 236</t>
  </si>
  <si>
    <t>MG-L4263100M</t>
  </si>
  <si>
    <t>SODIUM DL- LACTATE SOLUTION, SYRUP, BIOREAGENT, 60 %, SYNTHETIC, SUITABLE FOR CELL CULTURE, 100 ML</t>
  </si>
  <si>
    <t>MC 600</t>
  </si>
  <si>
    <t>MC 237</t>
  </si>
  <si>
    <t>LACRADORES LARGOS REDONDOS, BLANCOS</t>
  </si>
  <si>
    <t>MC 238</t>
  </si>
  <si>
    <t>TABLET S5</t>
  </si>
  <si>
    <t>HUAWEI</t>
  </si>
  <si>
    <t>MC 522</t>
  </si>
  <si>
    <t>MC 239</t>
  </si>
  <si>
    <t>97064-130</t>
  </si>
  <si>
    <t>MINERAL OIL WHITE (PETROLEUM) LIGHT. HIGH PURITY</t>
  </si>
  <si>
    <t>MC 379</t>
  </si>
  <si>
    <t>MC 582</t>
  </si>
  <si>
    <t>MC 240</t>
  </si>
  <si>
    <t>EXP000304/ 430165</t>
  </si>
  <si>
    <t>CAJA PETRI 35X10MM 00520002</t>
  </si>
  <si>
    <t>MC 599</t>
  </si>
  <si>
    <t>MC 241</t>
  </si>
  <si>
    <t>FUNDA DE LÁTEX PARA VAGINA BOVINA</t>
  </si>
  <si>
    <t>MC 466</t>
  </si>
  <si>
    <t>MC 601</t>
  </si>
  <si>
    <t>MC 242</t>
  </si>
  <si>
    <t>SE-500</t>
  </si>
  <si>
    <t>MICROSCOPIO MONOCULAR CON PANTALLA DE 5 "</t>
  </si>
  <si>
    <t>SONOVIC</t>
  </si>
  <si>
    <t>MC 243</t>
  </si>
  <si>
    <t>SE-1900</t>
  </si>
  <si>
    <t>MICROSCOPIO MONOCULAR CON PANTALLA DE 7 " CON PLATINA TERMICA</t>
  </si>
  <si>
    <t>MC 244</t>
  </si>
  <si>
    <t>9012900000-0</t>
  </si>
  <si>
    <t>MALETIN NEGRO ISPERM</t>
  </si>
  <si>
    <t>MC 245</t>
  </si>
  <si>
    <t>V16</t>
  </si>
  <si>
    <t>ULTRASONIDO V16</t>
  </si>
  <si>
    <t>SHENZHEN DARKMATTER TECH</t>
  </si>
  <si>
    <t>MC 246</t>
  </si>
  <si>
    <t>5569 PAJILLAS 0.5 ML</t>
  </si>
  <si>
    <t>PAQUETE X 200</t>
  </si>
  <si>
    <t>MC 247</t>
  </si>
  <si>
    <t>BOTUVITAL DIILUENT FOR SPERM EVALUATION</t>
  </si>
  <si>
    <t>VIVIAN ALEJANDRA</t>
  </si>
  <si>
    <t>10 ML</t>
  </si>
  <si>
    <t>18130E</t>
  </si>
  <si>
    <t>CAJA PETRI DESECHABLE ESTERIL 60X15 MM</t>
  </si>
  <si>
    <t>CRAL</t>
  </si>
  <si>
    <t>DICORLAB S.A.S</t>
  </si>
  <si>
    <t>MC 603</t>
  </si>
  <si>
    <t>MC 249</t>
  </si>
  <si>
    <t>MG-S9625500G</t>
  </si>
  <si>
    <t>SODIUM CHLORIDE; REAGENTPLUS(R);gt;99% X 500G</t>
  </si>
  <si>
    <t>MC 250</t>
  </si>
  <si>
    <t>MG-P5405250G</t>
  </si>
  <si>
    <t>POTASSIUM CHLORIDE CELL CULTURE TESTED X 250G</t>
  </si>
  <si>
    <t>250 G</t>
  </si>
  <si>
    <t>MC 251</t>
  </si>
  <si>
    <t>MG-S5761500G</t>
  </si>
  <si>
    <t>SODIUM BICARBONATE; POWDER; BIOREAGENT X 500G</t>
  </si>
  <si>
    <t>MC 604</t>
  </si>
  <si>
    <t>MC 252</t>
  </si>
  <si>
    <t>MG-M2393100</t>
  </si>
  <si>
    <t>MAGNESIUM CHLORIDE HEXAHYDRATE CELL  X 100G</t>
  </si>
  <si>
    <t>100 G</t>
  </si>
  <si>
    <t>MC 253</t>
  </si>
  <si>
    <t>MG-H4034100G</t>
  </si>
  <si>
    <t>HEPES; BIOPERFORMANCE CERTIFIED X 100G</t>
  </si>
  <si>
    <t>VITA IVF LAB SAS</t>
  </si>
  <si>
    <t>MC 254</t>
  </si>
  <si>
    <t>MG-E42501G</t>
  </si>
  <si>
    <t>EPINEPHRINE X 1G</t>
  </si>
  <si>
    <t>1 G</t>
  </si>
  <si>
    <t>MC 255</t>
  </si>
  <si>
    <t>MG-B6766100M</t>
  </si>
  <si>
    <t>BME Amino Acids Solution 50, Without L-glutamine, sterile-filtered, BioReagent, suitable for cell culture</t>
  </si>
  <si>
    <t>MC 602</t>
  </si>
  <si>
    <t>MC 256</t>
  </si>
  <si>
    <t>MG-E88751G</t>
  </si>
  <si>
    <t>BESTRADIOL X 1G</t>
  </si>
  <si>
    <t>MC 257</t>
  </si>
  <si>
    <t>MG-P48751G</t>
  </si>
  <si>
    <t>D-Penicillamine , 98-101% , 1G</t>
  </si>
  <si>
    <t>MC 258</t>
  </si>
  <si>
    <t>MG-H1384250</t>
  </si>
  <si>
    <t>HYPOTAURINE CRYSTALLINE X 250MG</t>
  </si>
  <si>
    <t>MG-M4530500</t>
  </si>
  <si>
    <t>Medium 199, With Earles salts,</t>
  </si>
  <si>
    <t>MC 260</t>
  </si>
  <si>
    <t>MG-S5011100G</t>
  </si>
  <si>
    <t>SODIUM PHOSPHATE MONOBASIC X 100G</t>
  </si>
  <si>
    <t>MC 261</t>
  </si>
  <si>
    <t>MG-C7902500G</t>
  </si>
  <si>
    <t>CALCIUM CHLORIDE DIHYDRATE, BIOREAGENT, SUITABLE FOR CELL CULTURE</t>
  </si>
  <si>
    <t>MC 262</t>
  </si>
  <si>
    <t>MG-H3784100G</t>
  </si>
  <si>
    <t>HEPES; SODIUM SALT BIOPERFORMANCE X 100G</t>
  </si>
  <si>
    <t>MC 605</t>
  </si>
  <si>
    <t>MC 263</t>
  </si>
  <si>
    <t>MG-S9000500G</t>
  </si>
  <si>
    <t>SODIUM METABISULFITE, 500G</t>
  </si>
  <si>
    <t>MC 375</t>
  </si>
  <si>
    <t>MC 264</t>
  </si>
  <si>
    <t>EXP000313 430921</t>
  </si>
  <si>
    <t>TUBOS CONICO ESTERILIZADOS DE 50 ML PUNTA PLANA</t>
  </si>
  <si>
    <t>MC 400</t>
  </si>
  <si>
    <t>18248AUTE</t>
  </si>
  <si>
    <t>CAJA PETRI DESECHABLE ESTERIL 90X15 MM</t>
  </si>
  <si>
    <t>MC 266</t>
  </si>
  <si>
    <t>CAJA PETRI  35 X 10 mm</t>
  </si>
  <si>
    <t>NEST</t>
  </si>
  <si>
    <t>MC 267</t>
  </si>
  <si>
    <t>OPTIDYL X 500 CC</t>
  </si>
  <si>
    <t>500 CC</t>
  </si>
  <si>
    <t>MC 367</t>
  </si>
  <si>
    <t>MC 268</t>
  </si>
  <si>
    <t>02 3013</t>
  </si>
  <si>
    <t>TERMO CITO THAW UNIT 120V</t>
  </si>
  <si>
    <t>CITO</t>
  </si>
  <si>
    <t>MC 269</t>
  </si>
  <si>
    <t>CRIO18NR</t>
  </si>
  <si>
    <t>TUBO CRIOGENICO GRADUADO 1,8 ML TAPA ROSCA EXTERNA ESTERIL</t>
  </si>
  <si>
    <t>PAQUETE X100</t>
  </si>
  <si>
    <t>MC 270</t>
  </si>
  <si>
    <t>CONOS DE COLECTA</t>
  </si>
  <si>
    <t>PAQUETE X</t>
  </si>
  <si>
    <t>MC 271</t>
  </si>
  <si>
    <t>JUEGO DE DADOS 3/8</t>
  </si>
  <si>
    <t>STONE</t>
  </si>
  <si>
    <t>MC 554</t>
  </si>
  <si>
    <t>MC 272</t>
  </si>
  <si>
    <t>866/ 2505</t>
  </si>
  <si>
    <t>TATUADOR STANDARD 3/8</t>
  </si>
  <si>
    <t>MC 557</t>
  </si>
  <si>
    <t>MC 273</t>
  </si>
  <si>
    <t>920/ 6530</t>
  </si>
  <si>
    <t>TINTA VERDE FCO 3 ONZ</t>
  </si>
  <si>
    <t>MC 559</t>
  </si>
  <si>
    <t>MC 274</t>
  </si>
  <si>
    <t>10595-1</t>
  </si>
  <si>
    <t>JELCO CATETER ONTRAV # 18 BRAUM DEC551</t>
  </si>
  <si>
    <t>INSTRUAGRO COLOMBIA SAS</t>
  </si>
  <si>
    <t>MC 275</t>
  </si>
  <si>
    <t>DCV5ML</t>
  </si>
  <si>
    <t>HEPARINA SODICA 5000 U.I/ML SI 5ML VIAL</t>
  </si>
  <si>
    <t>BRAUN</t>
  </si>
  <si>
    <t>J217-1000L</t>
  </si>
  <si>
    <t>ACEITE MINERAL VWR X 1000 ML</t>
  </si>
  <si>
    <t>1 LITRO</t>
  </si>
  <si>
    <t>CESAR ALBERTO RAMIREZ MUÑOZ</t>
  </si>
  <si>
    <t>MC 395</t>
  </si>
  <si>
    <t>MC 277</t>
  </si>
  <si>
    <t>MG-W35001L</t>
  </si>
  <si>
    <t>WATER, STERILE-FILTERED, BIOREAGENT</t>
  </si>
  <si>
    <t>MC 608</t>
  </si>
  <si>
    <t>MC 279</t>
  </si>
  <si>
    <t>ZB7L18B</t>
  </si>
  <si>
    <t>JERINGA DES. 20 ML C/A 18G X 1 1/2</t>
  </si>
  <si>
    <t>RYMCO</t>
  </si>
  <si>
    <t>ISNMEVET</t>
  </si>
  <si>
    <t>CAJA X 50 UNIDADES</t>
  </si>
  <si>
    <t>MC 303</t>
  </si>
  <si>
    <t>MC 280</t>
  </si>
  <si>
    <t>JERINGA DES. 5 ML -  2 PARTES C/A 18G X 1 1/2</t>
  </si>
  <si>
    <t>MC 609</t>
  </si>
  <si>
    <t>ASPIC PARA IA OVINOS</t>
  </si>
  <si>
    <t>GENÉTICA SELECTA</t>
  </si>
  <si>
    <t>CONO GRANDE COLECTOR</t>
  </si>
  <si>
    <t>MC 283</t>
  </si>
  <si>
    <t>CONO SATINDO PEQUEÑO</t>
  </si>
  <si>
    <t>MC 611</t>
  </si>
  <si>
    <t>AGUJA BD 20G X 1 1/2</t>
  </si>
  <si>
    <t>MC 350</t>
  </si>
  <si>
    <t>MC 285</t>
  </si>
  <si>
    <t>4035/ 01-01342</t>
  </si>
  <si>
    <t>CATETER INTRAVENOSO N°18</t>
  </si>
  <si>
    <t>HOSPICLINIC SAS</t>
  </si>
  <si>
    <t>MC 423</t>
  </si>
  <si>
    <t>10612-18</t>
  </si>
  <si>
    <t>JERINGAS 27GX1/2"</t>
  </si>
  <si>
    <t>MC 391</t>
  </si>
  <si>
    <t>MC 287</t>
  </si>
  <si>
    <t>SZX-B+SZ-A1+SZ-ST2</t>
  </si>
  <si>
    <t>ESTEREOMICROSCOPIO BINOCULAR LED, ENFOQUE GRUESO</t>
  </si>
  <si>
    <t>OPTIKA</t>
  </si>
  <si>
    <t>LAB BRANDS SAS</t>
  </si>
  <si>
    <t>MC 482</t>
  </si>
  <si>
    <t>MC 288</t>
  </si>
  <si>
    <t>MQLACT 1001</t>
  </si>
  <si>
    <t>LACTATO DE RINGER-HARMANT</t>
  </si>
  <si>
    <t>RINGER-HARMANT</t>
  </si>
  <si>
    <t>MC 289</t>
  </si>
  <si>
    <t>AGUA DESTILADA X 4 LT ALBOR</t>
  </si>
  <si>
    <t>ALBOR</t>
  </si>
  <si>
    <t>QUIOS</t>
  </si>
  <si>
    <t>4 LITROS</t>
  </si>
  <si>
    <t>AD003</t>
  </si>
  <si>
    <t>MC 290</t>
  </si>
  <si>
    <t>CAMISAS SANITARIAS 21"</t>
  </si>
  <si>
    <t>AD005</t>
  </si>
  <si>
    <t>MC 291</t>
  </si>
  <si>
    <t>PT50C</t>
  </si>
  <si>
    <t>PT50C : VET COLOR DOPPLER SISTEM/ CON TRANSDUCTOR LENEAL RECTAL/ TRANSDUCTOR LINEAL CONVEXO</t>
  </si>
  <si>
    <t>AD018</t>
  </si>
  <si>
    <t>MC 292</t>
  </si>
  <si>
    <t>CRIOVIALES 2,0 ML AUTOSOSTENIBLE ESTERIL PARA - 196 (FASE GASEOSA NO SUMERGIBLE )</t>
  </si>
  <si>
    <t>BIOHAUS</t>
  </si>
  <si>
    <t>BOLSA X 100 UND</t>
  </si>
  <si>
    <t>AD019</t>
  </si>
  <si>
    <t>616201B</t>
  </si>
  <si>
    <t>TUBOS TIPO EPPENDERF 1,5 ML. GRADUADO. CERTIFICADOS LIBRE DE RNASE, DNASA, PIROGENOS Y DNA</t>
  </si>
  <si>
    <t>BOLSA X 500 UND</t>
  </si>
  <si>
    <t>AD006</t>
  </si>
  <si>
    <t>MC 294</t>
  </si>
  <si>
    <t>CP-P200V</t>
  </si>
  <si>
    <t>MICROPIPETA PREMIUM VOLUMEN VARIABLE 20-200 UL</t>
  </si>
  <si>
    <t>CRALPLAST</t>
  </si>
  <si>
    <t>AD007</t>
  </si>
  <si>
    <t>MC 295</t>
  </si>
  <si>
    <t>FILTRO DE BOMBA DE VACÍO</t>
  </si>
  <si>
    <t>AD022</t>
  </si>
  <si>
    <t>MC 296</t>
  </si>
  <si>
    <t>PUNTA DE MANDRIL DE FORMA SENCILLA</t>
  </si>
  <si>
    <t>AD004</t>
  </si>
  <si>
    <t>MC 297</t>
  </si>
  <si>
    <t>CAMISA SANITARIA PARA OPU ASPIRACION FOLICULAR/ WTA</t>
  </si>
  <si>
    <t>AD001</t>
  </si>
  <si>
    <t>MC 298</t>
  </si>
  <si>
    <t>MANGAS DE PALPACIÓN SUPER SENSITIVA</t>
  </si>
  <si>
    <t>MC 299</t>
  </si>
  <si>
    <t>P15</t>
  </si>
  <si>
    <t>PIPETA  AUT VOL VARIABLE ACCUBIOTECH SUREPETTE 0,5-10</t>
  </si>
  <si>
    <t>ACCUBIOTECH</t>
  </si>
  <si>
    <t>EUROLAB</t>
  </si>
  <si>
    <t>MC 613</t>
  </si>
  <si>
    <t>MC 300</t>
  </si>
  <si>
    <t>SEN 094</t>
  </si>
  <si>
    <t>MC 301</t>
  </si>
  <si>
    <t xml:space="preserve">PUNTAS PARA PIPETA SUELTAS TRANSPARENTES LIBRES DE ADN DNASA RNASA 0,1-20 MI </t>
  </si>
  <si>
    <t>MC 302</t>
  </si>
  <si>
    <t xml:space="preserve">PUNTAS PARA PIPETA AMARILLAS SUELTAS LIBRES DE ADN 2-200 UL </t>
  </si>
  <si>
    <t>50015-1</t>
  </si>
  <si>
    <t xml:space="preserve">TUBO CONICO PLUG SEAL PP 15 ML GRADUADO AUTOCLAVABLE ESTERIL TAPA ROSCA </t>
  </si>
  <si>
    <t xml:space="preserve">CAJA PETRI 35X10 ESTERIL </t>
  </si>
  <si>
    <t>BOLSA X 10 UND</t>
  </si>
  <si>
    <t>FILTROS PARA OPU 100 UL</t>
  </si>
  <si>
    <t>CAJA X 20 UND</t>
  </si>
  <si>
    <t>MC 306</t>
  </si>
  <si>
    <t>CARDI06X10</t>
  </si>
  <si>
    <t>DISPOCEL 0.6 GM X 10 GMS</t>
  </si>
  <si>
    <t>VON FRANFEN</t>
  </si>
  <si>
    <t>10 GMS</t>
  </si>
  <si>
    <t>MC 307</t>
  </si>
  <si>
    <t>CARAPLIDIS</t>
  </si>
  <si>
    <t>APLICADOR DISPOCEL</t>
  </si>
  <si>
    <t>MC 308</t>
  </si>
  <si>
    <t>CARSINC5MI</t>
  </si>
  <si>
    <t>SINCVAL X 5000 UI</t>
  </si>
  <si>
    <t>MC 309</t>
  </si>
  <si>
    <t>CDACLOPX20</t>
  </si>
  <si>
    <t>CLOPROSTENOL X 20 ML</t>
  </si>
  <si>
    <t>CALIER</t>
  </si>
  <si>
    <t>20 ML</t>
  </si>
  <si>
    <t>MC 310</t>
  </si>
  <si>
    <t>COVBEES100</t>
  </si>
  <si>
    <t>BENZOATO ESTRADEOL 100 ML</t>
  </si>
  <si>
    <t>NORMAS GMP</t>
  </si>
  <si>
    <t>CAJA DE HERRAMIENTAS</t>
  </si>
  <si>
    <t>RIMAX</t>
  </si>
  <si>
    <t>EASY</t>
  </si>
  <si>
    <t>MC 614</t>
  </si>
  <si>
    <t>MC 312</t>
  </si>
  <si>
    <t>9 PRODUCTOS</t>
  </si>
  <si>
    <t>KIT DE INSEMINACIÓN COMPLETO</t>
  </si>
  <si>
    <t>MC 515</t>
  </si>
  <si>
    <t>MC 313</t>
  </si>
  <si>
    <t>G 5417</t>
  </si>
  <si>
    <t>GLICINA FARMAGRADE G 5417</t>
  </si>
  <si>
    <t>MC 314</t>
  </si>
  <si>
    <t>MG-4598441L</t>
  </si>
  <si>
    <t>ETHANOL 459844</t>
  </si>
  <si>
    <t>MC 355</t>
  </si>
  <si>
    <t>MC 315</t>
  </si>
  <si>
    <t>MG-P35325G</t>
  </si>
  <si>
    <t>PHENOL RED P 3532</t>
  </si>
  <si>
    <t>5 G</t>
  </si>
  <si>
    <t>MC 316</t>
  </si>
  <si>
    <t>B6-3255</t>
  </si>
  <si>
    <t>PISTOLA DE INSEMINACIÓN ARTIFICIAL UNIVERSAL METÁLICA, PARA 0,05CC- 0,25 CC</t>
  </si>
  <si>
    <t>MC 615</t>
  </si>
  <si>
    <t>MC 317</t>
  </si>
  <si>
    <t>S9</t>
  </si>
  <si>
    <t>ULTRASONIDO SCANNER MODELO: BESTSCAN S9, CON  TRANSDUCTOR RECTAL 4.0, MHZ 60 MM/ INCLUYE TABLET E INTRODUCER RECTAL</t>
  </si>
  <si>
    <t>MC 318</t>
  </si>
  <si>
    <t>KIT DE VAGINOSCOPIO OVINO</t>
  </si>
  <si>
    <t>MC 319</t>
  </si>
  <si>
    <t>ESPÉCULO KIT VAGINOSCOPIO</t>
  </si>
  <si>
    <t>CESAR</t>
  </si>
  <si>
    <t>MC 320</t>
  </si>
  <si>
    <t>FUNDAS KIT VAGINOSCOPIO</t>
  </si>
  <si>
    <t>PAQUETE</t>
  </si>
  <si>
    <t>MC 403</t>
  </si>
  <si>
    <t>MC 321</t>
  </si>
  <si>
    <t>LINTERNA  KIT VAGINOSCOPIO</t>
  </si>
  <si>
    <t>MC 322</t>
  </si>
  <si>
    <t>TERMÓMETRO   KIT VAGINOSCOPIO</t>
  </si>
  <si>
    <t>MC 617</t>
  </si>
  <si>
    <t>MC 323</t>
  </si>
  <si>
    <t>FUNDAS PARA ESPÉCULO KIT VAGINOSCOPIO</t>
  </si>
  <si>
    <t>MC 324</t>
  </si>
  <si>
    <t>CLAMBS KIT VAGINOSCOPIO</t>
  </si>
  <si>
    <t>MC 325</t>
  </si>
  <si>
    <t>CAJA DE HERRAMIENTAS  KIT VAGINOSCOPIO</t>
  </si>
  <si>
    <t xml:space="preserve">CESAR </t>
  </si>
  <si>
    <t>MC 429</t>
  </si>
  <si>
    <t>5563/99005</t>
  </si>
  <si>
    <t>MC 616</t>
  </si>
  <si>
    <t>FUNDAS DE TRANSFERENCIA AZUL PUNTA METÁLICA 21"</t>
  </si>
  <si>
    <t>TY</t>
  </si>
  <si>
    <t>TABS AMARILLOS</t>
  </si>
  <si>
    <t>GOBLET DE 13 MM AMARILLO</t>
  </si>
  <si>
    <t>ESCALERILLAS PARA GOBLETS DE 13 MM</t>
  </si>
  <si>
    <t>MC 618</t>
  </si>
  <si>
    <t>MC 331</t>
  </si>
  <si>
    <t>MICROPIPETA VOLUMEN VARIABLE 0,5- 10 UL TIPO PLUS</t>
  </si>
  <si>
    <t>DBL</t>
  </si>
  <si>
    <t>MC 619</t>
  </si>
  <si>
    <t>MC 332</t>
  </si>
  <si>
    <t>AGITADOR VORTEX TIPO MX-S VELOCIDAD VARIABLE</t>
  </si>
  <si>
    <t>DLAB- DRAGON LAB</t>
  </si>
  <si>
    <t>FILTRACIÓN Y ANÁLISIS SAS</t>
  </si>
  <si>
    <t>MC 333</t>
  </si>
  <si>
    <t>OOPW-AT 10</t>
  </si>
  <si>
    <t>TUBO OOSAFE ANDRLOGY</t>
  </si>
  <si>
    <t>OOSAFE</t>
  </si>
  <si>
    <t>DAXLEY DE COLOMBIA SAS</t>
  </si>
  <si>
    <t>PAQUETE x 10  UND</t>
  </si>
  <si>
    <t>MC 334</t>
  </si>
  <si>
    <t>4130-00S</t>
  </si>
  <si>
    <t xml:space="preserve">PUNTA BLANCA XL, 10 UL GRADUABLE </t>
  </si>
  <si>
    <t>SSIBIO++</t>
  </si>
  <si>
    <t>4220-00S</t>
  </si>
  <si>
    <t>PUNTA GRADUADA 200 UL TRANSPARENTE</t>
  </si>
  <si>
    <t>MC 336</t>
  </si>
  <si>
    <t>4330-015</t>
  </si>
  <si>
    <t>PUNTA 1000 UL</t>
  </si>
  <si>
    <t>MC 337</t>
  </si>
  <si>
    <t>JUEGO DE DADOS 3/8 (A-Z)</t>
  </si>
  <si>
    <t>MC 338</t>
  </si>
  <si>
    <t>JERINGA DES. 10 ML C/A 18 X 1 1/2</t>
  </si>
  <si>
    <t>MC 339</t>
  </si>
  <si>
    <t>JERINGA DES. 2 ML PARTES C/A 23G X 1</t>
  </si>
  <si>
    <t>MC 340</t>
  </si>
  <si>
    <t xml:space="preserve">TUBO VACUTAINER LILA 4 ML </t>
  </si>
  <si>
    <t>100 UND</t>
  </si>
  <si>
    <t>MC 341</t>
  </si>
  <si>
    <t xml:space="preserve">TUBO VACUTAINER ROJO 6 ML </t>
  </si>
  <si>
    <t>MC 342</t>
  </si>
  <si>
    <t>WUHAM VISBULL</t>
  </si>
  <si>
    <t>MC 620</t>
  </si>
  <si>
    <t>MC 343</t>
  </si>
  <si>
    <t>4-503-00-0</t>
  </si>
  <si>
    <t>CAJA VACÍA RACK PARA PUNTAS DE 1000 ul</t>
  </si>
  <si>
    <t>AHN BIOTECHNOLOGIE</t>
  </si>
  <si>
    <t>RACK X 100 UND</t>
  </si>
  <si>
    <t>MC 621</t>
  </si>
  <si>
    <t>MC 344</t>
  </si>
  <si>
    <t>51/ 360213</t>
  </si>
  <si>
    <t>AGUJA MULTIPLE 21G X 1 1/2 VERDE</t>
  </si>
  <si>
    <t>MC 622</t>
  </si>
  <si>
    <t>MC 345</t>
  </si>
  <si>
    <t>CO-194-CW</t>
  </si>
  <si>
    <t>CALENTADOR SUPERIOR EN ACERO INOXIDABLE</t>
  </si>
  <si>
    <t>COSORI</t>
  </si>
  <si>
    <t>MERCADO LIBRE</t>
  </si>
  <si>
    <t>MC 623</t>
  </si>
  <si>
    <t>MC 346</t>
  </si>
  <si>
    <t>V8</t>
  </si>
  <si>
    <t>ECÓGRAFO V8 CON SONDA LINEAL RECTAL</t>
  </si>
  <si>
    <t>HANDSCAN</t>
  </si>
  <si>
    <t>26237/ 25339</t>
  </si>
  <si>
    <t>TRANSPORTADORA DE EMBRIONES Y OOCITOS</t>
  </si>
  <si>
    <t>MC 348</t>
  </si>
  <si>
    <t>MC 624</t>
  </si>
  <si>
    <t>MC 349</t>
  </si>
  <si>
    <t>WED-3000V</t>
  </si>
  <si>
    <t>ECÓGRAFO WED-3000V CON SONDA RECTAL</t>
  </si>
  <si>
    <t>WUHAN VISBULL MACHINERY CO</t>
  </si>
  <si>
    <t>7240 PISTOLA DE TRANSFERENCIA BOVINA 0.25 ML</t>
  </si>
  <si>
    <t>MC 351</t>
  </si>
  <si>
    <t>PASTA TATUAR BLANCA</t>
  </si>
  <si>
    <t>MC 352</t>
  </si>
  <si>
    <t>19222/2000</t>
  </si>
  <si>
    <t>FILTRO DE MINITUBE FLUSH</t>
  </si>
  <si>
    <t>MC 353</t>
  </si>
  <si>
    <t>17209/1065N</t>
  </si>
  <si>
    <t>ESTILETE, ACERO INOXIDABLE PARA CATETER DE 65 CM</t>
  </si>
  <si>
    <t>TERMO DESCONGELADOR DE SEMEN DE EMBRIONES ROJO</t>
  </si>
  <si>
    <t>1751OE</t>
  </si>
  <si>
    <t>CAJA PETRI DESECHABLE ESTERIL 60X15 MM RAYADA</t>
  </si>
  <si>
    <t>MC 356</t>
  </si>
  <si>
    <t>BIO-EQ-001</t>
  </si>
  <si>
    <t>ESTEREOMICROSCOPIO ZOOM 645</t>
  </si>
  <si>
    <t>BIO INSTRUMENTS</t>
  </si>
  <si>
    <t>MC 357</t>
  </si>
  <si>
    <t>MGM7145100</t>
  </si>
  <si>
    <t xml:space="preserve">MEM Non-essential Amino Acid Solution (100) ,without L-glutamine,liquid, sterile-filtered, BioReag </t>
  </si>
  <si>
    <t>LUBRICANTE OB, NO ESPERMICIDA</t>
  </si>
  <si>
    <t>VET ONE</t>
  </si>
  <si>
    <t>5 OZ</t>
  </si>
  <si>
    <t>005/010</t>
  </si>
  <si>
    <t>CAJAS PETRI 4 POZOS</t>
  </si>
  <si>
    <t>MC 360</t>
  </si>
  <si>
    <t>CATÉTER FOLLEY DE SILICONA 20FR X 30CC, LARGO 56MM</t>
  </si>
  <si>
    <t>PETS</t>
  </si>
  <si>
    <t>SONDA EN "Y" CON VÁLVULA</t>
  </si>
  <si>
    <t>MC 362</t>
  </si>
  <si>
    <t>17214/2960</t>
  </si>
  <si>
    <t xml:space="preserve">CEPILLO DE CITOLOGÍA EQUINA, PARA RECOGIDA DE CÉLULAS DE ÚTERO DE MARES, ESTERILIZADO </t>
  </si>
  <si>
    <t>PISTOLA DE TRANSFERENCIA DE EQUINOS DE 0,5</t>
  </si>
  <si>
    <t>MC 364</t>
  </si>
  <si>
    <t>04-332-30</t>
  </si>
  <si>
    <t>TUBO TIPO EPPENDORF 0,5/0,65 ML</t>
  </si>
  <si>
    <t>NERBE PLUS</t>
  </si>
  <si>
    <t>BOLSA X 1000 UND</t>
  </si>
  <si>
    <t>MC 365</t>
  </si>
  <si>
    <t>PE1822-0028</t>
  </si>
  <si>
    <t>CATÉTER FOLLEY DE SILICONA 2 CAMINOS 28FR / 75CC</t>
  </si>
  <si>
    <t>MC 366</t>
  </si>
  <si>
    <t xml:space="preserve">ALCOHOL ANTISEPTICO AL 70% </t>
  </si>
  <si>
    <t>600 ML</t>
  </si>
  <si>
    <t>CONO COLECTOR PARA CANINOS</t>
  </si>
  <si>
    <t>REPRODUCTION PROVISIONS</t>
  </si>
  <si>
    <t>MC 368</t>
  </si>
  <si>
    <t>J0106SE</t>
  </si>
  <si>
    <t>TUBO ESTOMACAL PEQUEÑO EN PVC</t>
  </si>
  <si>
    <t>JORVET</t>
  </si>
  <si>
    <t>MC 369</t>
  </si>
  <si>
    <t>J0106ME</t>
  </si>
  <si>
    <t>TUBO ESTOMACAL MEDIANA EN PVC</t>
  </si>
  <si>
    <t>BOLSA WHIRL-PAK 4 oz</t>
  </si>
  <si>
    <t>MC 371</t>
  </si>
  <si>
    <t>LACRADOR CORTO AMARILLO</t>
  </si>
  <si>
    <t>MC 581</t>
  </si>
  <si>
    <t>FUNDA TÉRMICA / USO AGROPECUARIO</t>
  </si>
  <si>
    <t>IFT</t>
  </si>
  <si>
    <t>INT INSTRUMENTS SRL</t>
  </si>
  <si>
    <t>MC 625</t>
  </si>
  <si>
    <t>PIPETA EQUINA 65CM</t>
  </si>
  <si>
    <t>GENETICA &amp; SERVICIOS ABS SAS</t>
  </si>
  <si>
    <t>FUNDAS DE TRANSFERENCAI DE 0,5 PARA EQUINOS</t>
  </si>
  <si>
    <t>MC 376</t>
  </si>
  <si>
    <t>07-362-20</t>
  </si>
  <si>
    <t>PUNTA BLANCA 10 UL, GRADUADA BAJA RETENCIÓN, ESTERIL</t>
  </si>
  <si>
    <t>11110-00S</t>
  </si>
  <si>
    <t>MC 627</t>
  </si>
  <si>
    <t>MC 378</t>
  </si>
  <si>
    <t>227261B</t>
  </si>
  <si>
    <t xml:space="preserve">TUBO CENTRÍFUGA CELLSTAR 50 ML </t>
  </si>
  <si>
    <t>MC 628</t>
  </si>
  <si>
    <t>MQHEP-02</t>
  </si>
  <si>
    <t>FRAGMIN</t>
  </si>
  <si>
    <t>MC 626</t>
  </si>
  <si>
    <t>MC 380</t>
  </si>
  <si>
    <t>TUBO DE ENSAYO CON TAPA A PRESIÓN DE 12X75MMX25U</t>
  </si>
  <si>
    <t>CITOPLUS</t>
  </si>
  <si>
    <t>VITTRA SAS</t>
  </si>
  <si>
    <t>PAQUE X 25 UNIDADES</t>
  </si>
  <si>
    <t>MC 629</t>
  </si>
  <si>
    <t>MC 381</t>
  </si>
  <si>
    <t>4610-1878</t>
  </si>
  <si>
    <t>MC 503</t>
  </si>
  <si>
    <t>MC 382</t>
  </si>
  <si>
    <t>6906-25</t>
  </si>
  <si>
    <t>ELECTROJAC COMPLETE W/2,5" PROBE</t>
  </si>
  <si>
    <t>ELECTROJAC</t>
  </si>
  <si>
    <t>NEOGEN</t>
  </si>
  <si>
    <t>MC 383</t>
  </si>
  <si>
    <t>TS20</t>
  </si>
  <si>
    <t>SONDA RECTAL LINEAL PARA TS20</t>
  </si>
  <si>
    <t>MC 630</t>
  </si>
  <si>
    <t>MC 384</t>
  </si>
  <si>
    <t>D-2555-8</t>
  </si>
  <si>
    <t xml:space="preserve">CAJA PETRI GRANDE CUADRADA RAYADA </t>
  </si>
  <si>
    <t>MC 385</t>
  </si>
  <si>
    <t>PISTOLA PARA TRANSFERENCIA 0,25</t>
  </si>
  <si>
    <t>RAB GLOBAL</t>
  </si>
  <si>
    <t>MC 631</t>
  </si>
  <si>
    <t>MC 386</t>
  </si>
  <si>
    <t>EXP001686/0010-5057</t>
  </si>
  <si>
    <t>FLUIDO DE CO2  CON RANGO DE MEDICION 0-20%/ 60 (KIT 3 BOTELLAS)</t>
  </si>
  <si>
    <t>MC 633</t>
  </si>
  <si>
    <t>MC 387</t>
  </si>
  <si>
    <t>EXP001687/0010-5060</t>
  </si>
  <si>
    <t>FLUIDO DE CO2  CON RANGO DE MEDICION 0-21%/ 60</t>
  </si>
  <si>
    <t>MC 634</t>
  </si>
  <si>
    <t>MC 388</t>
  </si>
  <si>
    <t>CNLB-01</t>
  </si>
  <si>
    <t>LITHIUM ION BATTERY PACK/ 11.1V 37 Wh</t>
  </si>
  <si>
    <t>XUZHOU KAIXIN ELECTRONIC INSTRUMENT</t>
  </si>
  <si>
    <t>MC 635</t>
  </si>
  <si>
    <t>MC 389</t>
  </si>
  <si>
    <t>TERMO CRYOGENICO</t>
  </si>
  <si>
    <t>MC 636</t>
  </si>
  <si>
    <t>MC 390</t>
  </si>
  <si>
    <t>MC 637</t>
  </si>
  <si>
    <t>HISOPO DE CULTIVO UTERINO EQUINO. ESTÉRIL</t>
  </si>
  <si>
    <t>CONTINENTAL</t>
  </si>
  <si>
    <t>17007/0001</t>
  </si>
  <si>
    <t>FUNDA UNIVERSAL PARA I.A. RANURADA. PUNTA VERDE</t>
  </si>
  <si>
    <t>MC 393</t>
  </si>
  <si>
    <t>MANGA DE PALPACIÓN NARANJA</t>
  </si>
  <si>
    <t>BELSAGRO SAS</t>
  </si>
  <si>
    <t>2303-1060</t>
  </si>
  <si>
    <t>CAJA PETRI ESTERIL DESECHABLE 60X15MMX10</t>
  </si>
  <si>
    <t>CITOTEST</t>
  </si>
  <si>
    <t>MC 427</t>
  </si>
  <si>
    <t>MC 480</t>
  </si>
  <si>
    <t>MC 397</t>
  </si>
  <si>
    <t>PAJILLA MEDIANA 0,5 ML AZUL- TRANSPARENTE</t>
  </si>
  <si>
    <t>MC 638</t>
  </si>
  <si>
    <t>MC 398</t>
  </si>
  <si>
    <t>ZOOTRANQ10</t>
  </si>
  <si>
    <t>TRANQUILAN INY X 10 ML</t>
  </si>
  <si>
    <t>TRANQUILAN</t>
  </si>
  <si>
    <t>MC 639</t>
  </si>
  <si>
    <t>MC 399</t>
  </si>
  <si>
    <t>IVEJEDEXX5C</t>
  </si>
  <si>
    <t>JERINGA DESECHABLE X 5 ML</t>
  </si>
  <si>
    <t>IVE</t>
  </si>
  <si>
    <t>CAJAS PETRI CUADRARA RAYADA</t>
  </si>
  <si>
    <t>MC 401</t>
  </si>
  <si>
    <t>AIT8</t>
  </si>
  <si>
    <t>KIT PARA CONEJOS</t>
  </si>
  <si>
    <t>MC 640</t>
  </si>
  <si>
    <t>20032/ 23187</t>
  </si>
  <si>
    <t>BOMBA DE VACÍO BOVINO</t>
  </si>
  <si>
    <t>PENDIENTE</t>
  </si>
  <si>
    <t>MC 641</t>
  </si>
  <si>
    <t>ROLA METÁLICA PARA ASPIRACIÓN FOLICULAR</t>
  </si>
  <si>
    <t>PLATINA TERMICA COMPACTA</t>
  </si>
  <si>
    <t>MC 405</t>
  </si>
  <si>
    <t>CALENTADOR DE TUBOS  PORTÁTIL</t>
  </si>
  <si>
    <t>MC 406</t>
  </si>
  <si>
    <t>310-2000</t>
  </si>
  <si>
    <t>PUNTAS SIN FILTRO COLOR NATURAL 10 UL ARO CORTO</t>
  </si>
  <si>
    <t>BIOPONTE</t>
  </si>
  <si>
    <t>MC 642</t>
  </si>
  <si>
    <t>MC 407</t>
  </si>
  <si>
    <t>M50</t>
  </si>
  <si>
    <t>ECÓGRAFO PARA PORCINOS CON DOS SONAS SECTORIALES</t>
  </si>
  <si>
    <t>MC 643</t>
  </si>
  <si>
    <t>MC 408</t>
  </si>
  <si>
    <t>800-1</t>
  </si>
  <si>
    <t>MÁQUINA CENTRÍFUGA PROFESIONAL PLASMA</t>
  </si>
  <si>
    <t>800D</t>
  </si>
  <si>
    <t>MC 644</t>
  </si>
  <si>
    <t>MC 409</t>
  </si>
  <si>
    <t>MC 645</t>
  </si>
  <si>
    <t>MC 410</t>
  </si>
  <si>
    <t>MG-M7145100</t>
  </si>
  <si>
    <t>SAFC</t>
  </si>
  <si>
    <t>MC 646</t>
  </si>
  <si>
    <t>MC 411</t>
  </si>
  <si>
    <t>MG-H1384100</t>
  </si>
  <si>
    <t>MG-H1384100/HYPOTAURINE X 100MG</t>
  </si>
  <si>
    <t>100 MG</t>
  </si>
  <si>
    <t>MC 412</t>
  </si>
  <si>
    <t>MG-I663450G</t>
  </si>
  <si>
    <t>MG-I663450G INSULIN FROM BOVINE PANCREA</t>
  </si>
  <si>
    <t>50 G</t>
  </si>
  <si>
    <t>MC 647</t>
  </si>
  <si>
    <t>MC 413</t>
  </si>
  <si>
    <t>MG-H7006100G</t>
  </si>
  <si>
    <t>MG-H7006100G HEPES SODIUM X 100G</t>
  </si>
  <si>
    <t>MC 648</t>
  </si>
  <si>
    <t>MC 414</t>
  </si>
  <si>
    <t>MG-S938810ML</t>
  </si>
  <si>
    <t>MG-S938810ML SERUM REPLACEMENT 2 (50X)</t>
  </si>
  <si>
    <t>MC 415</t>
  </si>
  <si>
    <t>MG-P87835G</t>
  </si>
  <si>
    <t>MG-P87835G PROGESTERONE POWDER</t>
  </si>
  <si>
    <t>MC 416</t>
  </si>
  <si>
    <t>MG-537471G</t>
  </si>
  <si>
    <t>MG-537471G HYALURONIC ACID SODIUM SALT FROM STREPTO X 1G</t>
  </si>
  <si>
    <t>MC 417</t>
  </si>
  <si>
    <t xml:space="preserve">MICROTUBOS PARA CULTIVO CELULAR 1,2 ML. ESQUINAS REDONDEADAS </t>
  </si>
  <si>
    <t>MC 418</t>
  </si>
  <si>
    <t>CENTRIFUGA PROFESIONAL PARA PLASMA - * RPM 4000</t>
  </si>
  <si>
    <t>MAXI FILTRO</t>
  </si>
  <si>
    <t>537-671</t>
  </si>
  <si>
    <t>POLIVINYL (POLVO SELLADOR PARA PAJILLAS )</t>
  </si>
  <si>
    <t>ARS</t>
  </si>
  <si>
    <t>750 GRAMOS</t>
  </si>
  <si>
    <t>MC 421</t>
  </si>
  <si>
    <t>OPTIXCELL</t>
  </si>
  <si>
    <t>MC 422</t>
  </si>
  <si>
    <t>MC 649</t>
  </si>
  <si>
    <t>BLX-V50</t>
  </si>
  <si>
    <t>ECÓGRAFO BLX-V50</t>
  </si>
  <si>
    <t>DP 10 _LR</t>
  </si>
  <si>
    <t xml:space="preserve">ECÓGRAFO PORTÁTIL DP 10 CON BLANCO Y NEGRO CON SONDA </t>
  </si>
  <si>
    <t>MC 424</t>
  </si>
  <si>
    <t>BOTUSEMEN GOLD 8.5 GRAMOS</t>
  </si>
  <si>
    <t>ALEJANDRA</t>
  </si>
  <si>
    <t>8.5 GRAMOS</t>
  </si>
  <si>
    <t>MC 514</t>
  </si>
  <si>
    <t>MC 425</t>
  </si>
  <si>
    <t>BOTUCRIO (DILUYENTE PARA CONGELACIÓN DE SEMEN EQUINO)</t>
  </si>
  <si>
    <t>TERMO METÁLICO DESCONGELADOR</t>
  </si>
  <si>
    <t>CALENTADOR DE TUBOS MIXTO</t>
  </si>
  <si>
    <t>120-000076-00</t>
  </si>
  <si>
    <t>TRANSDUCTOR MICROCONVEX (DP-10, DP-20, DP-30, DP-50, DP-2200)</t>
  </si>
  <si>
    <t>PLATINA CALENTADORA ESTÁNDAR</t>
  </si>
  <si>
    <t>MC 430</t>
  </si>
  <si>
    <t>MC 431</t>
  </si>
  <si>
    <t>TUBO 5ML CON TAPÓN 75X12 MM, CON GRADUACIÓN ESTÉRIL PP</t>
  </si>
  <si>
    <t>QUIK</t>
  </si>
  <si>
    <t>MANGA DESECHABLE SUPER SENSITIVA</t>
  </si>
  <si>
    <t>LHAURA VET</t>
  </si>
  <si>
    <t>MC 650</t>
  </si>
  <si>
    <t>MC 433</t>
  </si>
  <si>
    <t>LEQ001/ LC-04R (800D)</t>
  </si>
  <si>
    <t>CENTRIFUGA PROFESIONAL 6 TUBOS</t>
  </si>
  <si>
    <t>INMEDIAT</t>
  </si>
  <si>
    <t>MC 434</t>
  </si>
  <si>
    <t>MPB-506</t>
  </si>
  <si>
    <t>BATERÍA PORTÁTIL PARA DISPOSITIVOS DIGITALES 5000mAh</t>
  </si>
  <si>
    <t>MOVISUN</t>
  </si>
  <si>
    <t>BIN COLOMBIA SAS</t>
  </si>
  <si>
    <t>CAMISA SANITARIA 21¨ ROLLO X 80</t>
  </si>
  <si>
    <t>MC 435</t>
  </si>
  <si>
    <t>AB847</t>
  </si>
  <si>
    <t>CARGADOR BATERÍA POWER BANK 10000 mAh, IFROGZ</t>
  </si>
  <si>
    <t xml:space="preserve"> IFROGZ</t>
  </si>
  <si>
    <t>MARKET</t>
  </si>
  <si>
    <t>MC 652</t>
  </si>
  <si>
    <t>MC 436</t>
  </si>
  <si>
    <t>CP-P1000V</t>
  </si>
  <si>
    <t>MICROPIPETA PREMIUM VOLUMEN VARIABLE 100- 1000 UL</t>
  </si>
  <si>
    <t>MC 437</t>
  </si>
  <si>
    <t>P10401-25</t>
  </si>
  <si>
    <t>TUBOS PARA CENTRIFUGA NO ESTÉRIL COTAPARA 15 ML</t>
  </si>
  <si>
    <t>ABDOS</t>
  </si>
  <si>
    <t>SALIDA</t>
  </si>
  <si>
    <t>MC 653</t>
  </si>
  <si>
    <t>MC 438</t>
  </si>
  <si>
    <t>P31205</t>
  </si>
  <si>
    <t>PIPETA PASTEUR 3 ML</t>
  </si>
  <si>
    <t>MC 440</t>
  </si>
  <si>
    <t>WRIGHT ALBOR REG INVIMA: 2006RD-0000221</t>
  </si>
  <si>
    <t>200 ML</t>
  </si>
  <si>
    <t>AGUJA PARA ASPIRACIÓN 20G</t>
  </si>
  <si>
    <t>MC 441</t>
  </si>
  <si>
    <t>GIEMSA- ALBOR REG INVIMA:  2006RD-0000221-R1</t>
  </si>
  <si>
    <t>MC 651</t>
  </si>
  <si>
    <t>DISPLAY OLED</t>
  </si>
  <si>
    <t>MC 442</t>
  </si>
  <si>
    <t>301002-1</t>
  </si>
  <si>
    <t>TUBO CONICO PP 15 ML GRADUADO AUTOCLAVABLE, ESTÉRIL LIBRE DNASE, RNASE, TAPA VERDE</t>
  </si>
  <si>
    <t>MC 632</t>
  </si>
  <si>
    <t>CL-2200</t>
  </si>
  <si>
    <t>MC 443</t>
  </si>
  <si>
    <t>EX</t>
  </si>
  <si>
    <t>ESTILETE EN ACERO INOXIDABLE</t>
  </si>
  <si>
    <t>INDUGANAVET</t>
  </si>
  <si>
    <t>TUBO CONICO PLUG, AUTOCLAVABLE ESTERIL TAPA ROSCA DE 50 ML</t>
  </si>
  <si>
    <t>MC 444</t>
  </si>
  <si>
    <t>CÁMARA DE MC MASTER</t>
  </si>
  <si>
    <t>FEC SOURCE</t>
  </si>
  <si>
    <t>602002-1</t>
  </si>
  <si>
    <t>MC 445</t>
  </si>
  <si>
    <t>REFRACTÓMETRO CON ATC</t>
  </si>
  <si>
    <t>BRIX</t>
  </si>
  <si>
    <t>MC 446</t>
  </si>
  <si>
    <t>CALOSTRÓMETRO</t>
  </si>
  <si>
    <t>MC 447</t>
  </si>
  <si>
    <t>CATÉTER FOLLEY DE SILICONA (ABT) 16FR. X 30CC X 22</t>
  </si>
  <si>
    <t>MC 478</t>
  </si>
  <si>
    <t>CATÉTER FOLLEY DE SILICONA (ABT) 18FR. X 30CC X 22</t>
  </si>
  <si>
    <t>MC 449</t>
  </si>
  <si>
    <t xml:space="preserve">VASO DE VIDRIO 150 </t>
  </si>
  <si>
    <t>BOECO</t>
  </si>
  <si>
    <t>NORQUIMICOS</t>
  </si>
  <si>
    <t>MC 450</t>
  </si>
  <si>
    <t xml:space="preserve">VASO DE PRECIPITADO DE 250mL FORMA BAJA </t>
  </si>
  <si>
    <t>MC 451</t>
  </si>
  <si>
    <t>BULL SAFE/ FUNDA TERMICA PARA VAGINA ARTIFICIAL BOVINA</t>
  </si>
  <si>
    <t>MC 452</t>
  </si>
  <si>
    <t>COLORANTE DE GIEMSA/ VENCE MARZ/23</t>
  </si>
  <si>
    <t>MC 453</t>
  </si>
  <si>
    <t>T-1000-B</t>
  </si>
  <si>
    <t>PUNTAS AZULES ESTERILES DE AJUSTE UNIVERSAL 1000 UL</t>
  </si>
  <si>
    <t>PAQUETE X 1000 UNIDADES</t>
  </si>
  <si>
    <t>MC 455</t>
  </si>
  <si>
    <t>VASO PRECIPITADO VIDRIO 50 ML</t>
  </si>
  <si>
    <t>PUNTAS TRANSPARENTES 2-200 UL</t>
  </si>
  <si>
    <t>BIOPOINTE</t>
  </si>
  <si>
    <t>PAQUETE X 5 UNIDADES</t>
  </si>
  <si>
    <t>MC 458</t>
  </si>
  <si>
    <t>FORRO DE CUERO PARA ECÓGRAFO CTS- 800</t>
  </si>
  <si>
    <t>MC 655</t>
  </si>
  <si>
    <t>MC 459</t>
  </si>
  <si>
    <t>BATERÍA PARA ECÓGRAFO CTS- 800</t>
  </si>
  <si>
    <t>EZ FILTRO DE EMBRIONES</t>
  </si>
  <si>
    <t>MC 461</t>
  </si>
  <si>
    <t>17207/1165</t>
  </si>
  <si>
    <t>PIPETA EQUINA CON INNER</t>
  </si>
  <si>
    <t>MC 462</t>
  </si>
  <si>
    <t>7016-05</t>
  </si>
  <si>
    <t>PARAFILM 38M X 10 CM</t>
  </si>
  <si>
    <t>ROLLO  38X10</t>
  </si>
  <si>
    <t>MC 656</t>
  </si>
  <si>
    <t>MC 463</t>
  </si>
  <si>
    <t>10541A</t>
  </si>
  <si>
    <t>AGUJA DESECHABLE 18X1/2</t>
  </si>
  <si>
    <t>AGH</t>
  </si>
  <si>
    <t>MC 464</t>
  </si>
  <si>
    <t>JERINGA DESECHABLE X 10 ML AGU21X11/2</t>
  </si>
  <si>
    <t>XAX MEDICALES</t>
  </si>
  <si>
    <t>TUBO TIPO  EPPENDORF 2 ML, GRADADO</t>
  </si>
  <si>
    <t>GEINER BIO ONE</t>
  </si>
  <si>
    <t>MC 657</t>
  </si>
  <si>
    <t>7101-CRAL</t>
  </si>
  <si>
    <t>LAMINA PORTA OBJETOS LISA EN VIDRIO 26X76MM, BORDE ESMERILADO</t>
  </si>
  <si>
    <t>BS022</t>
  </si>
  <si>
    <t>MICROTUBO EPPENDORF, 1.5 ML</t>
  </si>
  <si>
    <t>BIOSIGMA</t>
  </si>
  <si>
    <t>MC 658</t>
  </si>
  <si>
    <t>P22X22</t>
  </si>
  <si>
    <t>LAMINA CUBRE OBJETO EN VIDRIO 22X22</t>
  </si>
  <si>
    <t>MC 467</t>
  </si>
  <si>
    <t>COVPROCX10</t>
  </si>
  <si>
    <t>PROCGEST X 1200 X 10</t>
  </si>
  <si>
    <t>MC 659</t>
  </si>
  <si>
    <t>18260NM</t>
  </si>
  <si>
    <t>PUNTA AMARILLA PLASTICA 0-200 UL</t>
  </si>
  <si>
    <t>MC 468</t>
  </si>
  <si>
    <t>VME334</t>
  </si>
  <si>
    <t>CONTRACTYL X 50 ML</t>
  </si>
  <si>
    <t>WEIZUR COLOMBIA</t>
  </si>
  <si>
    <t>MC 469</t>
  </si>
  <si>
    <t>VME332</t>
  </si>
  <si>
    <t>BUTRAFINA X 50 ML</t>
  </si>
  <si>
    <t>51 ML</t>
  </si>
  <si>
    <t>MC 470</t>
  </si>
  <si>
    <t>VM34</t>
  </si>
  <si>
    <t>BENZATRIOL X 50 ML</t>
  </si>
  <si>
    <t>MC 513</t>
  </si>
  <si>
    <t>MC 471</t>
  </si>
  <si>
    <t>PUNTAS TRANSPARENTES 0.5-10 UL</t>
  </si>
  <si>
    <t>MC 472</t>
  </si>
  <si>
    <t>MG-A600310G</t>
  </si>
  <si>
    <t xml:space="preserve">10 GM </t>
  </si>
  <si>
    <t>P07</t>
  </si>
  <si>
    <t>PLATINA TÉRMICA LK-400P</t>
  </si>
  <si>
    <t>LABMAK</t>
  </si>
  <si>
    <t>LABMAK SAS</t>
  </si>
  <si>
    <t>ABT234</t>
  </si>
  <si>
    <t>ETHYLENE GLYCOL FREEZE WITH SUCROSE</t>
  </si>
  <si>
    <t>MC 474</t>
  </si>
  <si>
    <t>MC 660</t>
  </si>
  <si>
    <t xml:space="preserve">PISTOLA DE TRANSFERENCIA DE EMBRIONES 0,25 / BLOQUEO AUTOMÁTICO </t>
  </si>
  <si>
    <t>MC 661</t>
  </si>
  <si>
    <t>CARGADDOR PARA PULSATOR IV</t>
  </si>
  <si>
    <t>MC 476</t>
  </si>
  <si>
    <t>BOTUSEMEN SPECIAL</t>
  </si>
  <si>
    <t>MC 477</t>
  </si>
  <si>
    <t>VAGINA BOVINA INCLUYE CONO EN SILICONA</t>
  </si>
  <si>
    <t>CONO EN SILICONA PARA VAGINA BOVINA</t>
  </si>
  <si>
    <t>DIEGO ARMANDO MENDOZA GALEANO</t>
  </si>
  <si>
    <t>CONO EN SILICONA PARA VAGINA OVINA</t>
  </si>
  <si>
    <t>MC 662</t>
  </si>
  <si>
    <t>HISOPO DE CULTIVO DE TRANSPORTE</t>
  </si>
  <si>
    <t>MC 483</t>
  </si>
  <si>
    <t>AGUJA MULTIPLE 20G X 1 1/2 AMARILLA</t>
  </si>
  <si>
    <t>MC 484</t>
  </si>
  <si>
    <t>CAMISA VACUTAINER</t>
  </si>
  <si>
    <t>MC 485</t>
  </si>
  <si>
    <t>HS24306</t>
  </si>
  <si>
    <t>GRADILLA PARA 50 TUBOS CENTRIFUGA( 30 DE 15 ML Y 20 DE 50ML) NO AUTOCLAVABLE</t>
  </si>
  <si>
    <t>HEATHROW SCIENTIFIC</t>
  </si>
  <si>
    <t>LACRADOR REDONDO AMARILLO</t>
  </si>
  <si>
    <t>LACRADOR REDONDO BLANCO</t>
  </si>
  <si>
    <t>MC 488</t>
  </si>
  <si>
    <t>FILTROS PARA OPU</t>
  </si>
  <si>
    <t>CP-10V</t>
  </si>
  <si>
    <t>MICROPIPETA VOLUMEN VARIABLE 0,5 - 10 UL / CRAL</t>
  </si>
  <si>
    <t>MC 490</t>
  </si>
  <si>
    <t>27512 LAINER VAGINA ARTIFICIAL OVINA-CAPRINA</t>
  </si>
  <si>
    <t>5111 PROTECTOR VAGINA ARTIFICIAL OVINA-CAPRINA</t>
  </si>
  <si>
    <t>MC 492</t>
  </si>
  <si>
    <t>MICROSCOPIO VERTICAL MONOCULAR PARA CAMPO CLARO DE ILUMINACIÓN LED ECLIPSE EI/ MARCA: NIKON</t>
  </si>
  <si>
    <t>NIKON</t>
  </si>
  <si>
    <t>ZIVOT</t>
  </si>
  <si>
    <t>MC 663</t>
  </si>
  <si>
    <t>MC 493</t>
  </si>
  <si>
    <t>MÁQUINA AUTOMÁTICA PARA CONGELACIÓN DE SEMEN/ USO VETERINARIO</t>
  </si>
  <si>
    <t>NEOVET</t>
  </si>
  <si>
    <t>MC 494</t>
  </si>
  <si>
    <t>ELECTROJAC PROBE 1" (25mm)</t>
  </si>
  <si>
    <t>MC 495</t>
  </si>
  <si>
    <t xml:space="preserve">ECÓGRAFO PARA PORCINOS CON SONDA SECTORIAL. </t>
  </si>
  <si>
    <t>19271/0080</t>
  </si>
  <si>
    <t>MC 497</t>
  </si>
  <si>
    <t>MG-I752850G</t>
  </si>
  <si>
    <t xml:space="preserve">MYOINOSITOL BIOREAGENT SUITABLE </t>
  </si>
  <si>
    <t>FRASCOS PARA CULTIVO CELULAR X 75 CM PS, TAPA SIN FILTRO ESTERIL TRATADO</t>
  </si>
  <si>
    <t>MC 499</t>
  </si>
  <si>
    <t>KX5600</t>
  </si>
  <si>
    <t>SONDA CONVEXA 3.5 MHz MULTI FRECUENCIA</t>
  </si>
  <si>
    <t>MC 500</t>
  </si>
  <si>
    <t>LENTE ISPERM</t>
  </si>
  <si>
    <t>MC 501</t>
  </si>
  <si>
    <t>PUNTERA DE AGUJA GUÍA OPU WTA</t>
  </si>
  <si>
    <t>MC 664</t>
  </si>
  <si>
    <t>JARRO DE COLECCIÓN DE SEMEN PORCINO PLÁSTICO</t>
  </si>
  <si>
    <t>MC 502</t>
  </si>
  <si>
    <t>MANDRIL GUÍA OPU WTA</t>
  </si>
  <si>
    <t>ADBISP03</t>
  </si>
  <si>
    <t>BAT L60</t>
  </si>
  <si>
    <t>BATERÍA ECÓGRAFO L60</t>
  </si>
  <si>
    <t>MC 505</t>
  </si>
  <si>
    <t>MC 506</t>
  </si>
  <si>
    <t>CTB15</t>
  </si>
  <si>
    <t>LAPAROSCOPIO CON LENTE (5mm) 0 GRADOS</t>
  </si>
  <si>
    <t>HANVER</t>
  </si>
  <si>
    <t>HF6518.905.1</t>
  </si>
  <si>
    <t>KIT FUENTE DE LUZ PORTÁTIL</t>
  </si>
  <si>
    <t>HF6518.010.1</t>
  </si>
  <si>
    <t>TROCAR Y VAINA PRINCIPAL (INOX)</t>
  </si>
  <si>
    <t>TROCAR Y VAINA SECUNDARIA (INOX)</t>
  </si>
  <si>
    <t>MINI PISTOLA DE 0,25 ML OVINA- CAPRINA</t>
  </si>
  <si>
    <t>MC 665</t>
  </si>
  <si>
    <t>MICROPIPETA PLUS 1-10mL marca Eppendorf serie N14829L-N14948L</t>
  </si>
  <si>
    <t>MC 666</t>
  </si>
  <si>
    <t>MICROPIPETA PLUS 0.5-5mL marca Eppendorf , Lote N73902L</t>
  </si>
  <si>
    <t>PISTOLA DE TE 0,25 MARAC: IMV</t>
  </si>
  <si>
    <t>MC 667</t>
  </si>
  <si>
    <t>MICROPIPETA PLUS 20-200μL marca Eppendorf, lote 067316L</t>
  </si>
  <si>
    <t>MC 668</t>
  </si>
  <si>
    <t>MICROPIPETA PLUS 100-1000μL marca Eppendorf lote 032591L- 032745L</t>
  </si>
  <si>
    <t>IPAD MINI 7.9" PLATA 64 GB</t>
  </si>
  <si>
    <t>APPLE</t>
  </si>
  <si>
    <t>ALKOSTO</t>
  </si>
  <si>
    <t>MC 669</t>
  </si>
  <si>
    <t>MICROPIPETA PLUSs 2-20μL , marca Eppendorf lote P54448L, P54382L,P54385</t>
  </si>
  <si>
    <t>MC 516</t>
  </si>
  <si>
    <t>961-04</t>
  </si>
  <si>
    <t xml:space="preserve">PUNTA AZUL PLÁSTICA PARA PIPETA DE 100 A 1000 UL </t>
  </si>
  <si>
    <t>KARTELL</t>
  </si>
  <si>
    <t>LAMINILLAS CUBRE OBJETOS 22X22MM</t>
  </si>
  <si>
    <t>COLMEDICAL SOLUTIONS</t>
  </si>
  <si>
    <t>MC 670</t>
  </si>
  <si>
    <t>1152B-CTO-S01</t>
  </si>
  <si>
    <t>ECOGRAFO MINDRAY DP-50 Vet/ INCLUYE MALETÍN</t>
  </si>
  <si>
    <t>MC 518</t>
  </si>
  <si>
    <t>UPS INTERACTIVA 3000VA REF MICRONET 3000</t>
  </si>
  <si>
    <t>MICRONET</t>
  </si>
  <si>
    <t>ESTRATEGIAS TECNOLÓGICAS</t>
  </si>
  <si>
    <t xml:space="preserve">EVE MODULAR/ INCUBADORA DE EMBRIONES </t>
  </si>
  <si>
    <t>PLATINA TÉRMICA UNIVERSAL PARA ESTEREOMICROSCOPIO</t>
  </si>
  <si>
    <t>MC 521</t>
  </si>
  <si>
    <t>WESCO</t>
  </si>
  <si>
    <t>PINZA ALLYS 15.5 CM</t>
  </si>
  <si>
    <t>AMALGADEN</t>
  </si>
  <si>
    <t>HF6518.945</t>
  </si>
  <si>
    <t>CONECTOR LAPAROSCOPIO</t>
  </si>
  <si>
    <t>MC 524</t>
  </si>
  <si>
    <t>PINZA CAMPO BACKAUS 11 CM</t>
  </si>
  <si>
    <t>MC 671</t>
  </si>
  <si>
    <t>CAMISA SANITARIA ROLLO X 80</t>
  </si>
  <si>
    <t>PORTA AGUJAS MAYO  HEGAR 16 CM</t>
  </si>
  <si>
    <t>MC 672</t>
  </si>
  <si>
    <t>PAJUELA AMARILLA 0.25/ PAQUETE X 2000</t>
  </si>
  <si>
    <t>MC 526</t>
  </si>
  <si>
    <t>TOPIZADOR NORMAL MEDIANO</t>
  </si>
  <si>
    <t>OCHOA</t>
  </si>
  <si>
    <t>MC 527</t>
  </si>
  <si>
    <t>EQUIPO BÁSICO DE CIRUGÍA</t>
  </si>
  <si>
    <t>GUÍA OPU SONOSCAPE C612</t>
  </si>
  <si>
    <t>TC-633181</t>
  </si>
  <si>
    <t>CAJA PETRI DESECHABLE ESTERIL 94X16MM</t>
  </si>
  <si>
    <t>PASTILLA BROMOPOL</t>
  </si>
  <si>
    <t>BIOEASY</t>
  </si>
  <si>
    <t>PUNTAS BLANCAS UNIVERSALES, PLÁSTICAS, LIBRES DE DNASAS, RNASA Y PIROGENOS, RANGO DE 0.1 A 10UL. (CORTAS).</t>
  </si>
  <si>
    <t>EXP000587 150255</t>
  </si>
  <si>
    <t>CAJA PETRI DE 35 MM</t>
  </si>
  <si>
    <t>PUNTAS AMARILLAS, UNIVERSALES. PLASTICAS, NO ESTERIL. LIBRES DE RNASE, DNASE Y PYROGENOS. RANGO DE 1-200UL. BOLSA X1000UDS.</t>
  </si>
  <si>
    <t>TABS BLANCOS</t>
  </si>
  <si>
    <t>MC 673</t>
  </si>
  <si>
    <t>PUNTA AZULES UNIVERSALES 100- 1000 UL</t>
  </si>
  <si>
    <t>MG-P1644500ML</t>
  </si>
  <si>
    <t xml:space="preserve">MANGA LARGA SUPERSENSITIVA CON RESORTE </t>
  </si>
  <si>
    <t>13-374-10</t>
  </si>
  <si>
    <t>PAPEL PARAFILM EN ROLLO, LONGITUD 38 Mts, X 10CM. (4inX125ft) MARCA: PARAFILM M REF: 7016-05 (PM 996)</t>
  </si>
  <si>
    <t>PARAFILM</t>
  </si>
  <si>
    <t>01002201-03</t>
  </si>
  <si>
    <t>CLORURO DE SODIO AL 0.9% (SOLUCION SALINA AL 0.9%) X 100 ML</t>
  </si>
  <si>
    <t>KJ-814</t>
  </si>
  <si>
    <t>CAJA VACÍA RACK PARA PUNTAS AMARILLAS DE 200 ul</t>
  </si>
  <si>
    <t>CARPER LABS</t>
  </si>
  <si>
    <t>SERVICIOS E INVERSIONES AGROPECUARIAS EL TREBOL LTDA</t>
  </si>
  <si>
    <t>4330-0021-17</t>
  </si>
  <si>
    <t>PUNTAS AMARILLAS DE 200 UL</t>
  </si>
  <si>
    <t>PIPETTE TIP</t>
  </si>
  <si>
    <t>PAQUETE X 1000 UL</t>
  </si>
  <si>
    <t>DIEGO SANCHEZ</t>
  </si>
  <si>
    <t>CAJA PETRI 65 X15/ ESTÉRIL CLARIDAD</t>
  </si>
  <si>
    <t>LABEXCO</t>
  </si>
  <si>
    <t>BPL</t>
  </si>
  <si>
    <t>CTB50</t>
  </si>
  <si>
    <t>TUBO CÓNICO DE 50 mL, TAPA ROSCA, PRE ESTERILIZADO. RCF MAX: 10000xg, graduados, PCR puro.</t>
  </si>
  <si>
    <t>CAMISA SANITARIA IMV INSEMINACIÓN X 100</t>
  </si>
  <si>
    <t>MC 545</t>
  </si>
  <si>
    <t>LifeStraw PERSONAL</t>
  </si>
  <si>
    <t>LIFESTRAW</t>
  </si>
  <si>
    <t>IWANA GREEN</t>
  </si>
  <si>
    <t>MC 546</t>
  </si>
  <si>
    <t>LifeStraw GO</t>
  </si>
  <si>
    <t>MC 674</t>
  </si>
  <si>
    <t>CT0020</t>
  </si>
  <si>
    <t>LifeStraw FAMILY 2.0</t>
  </si>
  <si>
    <t>LifeStraw FAMILY 1.1</t>
  </si>
  <si>
    <t>MC 675</t>
  </si>
  <si>
    <t>81-0153</t>
  </si>
  <si>
    <t>MICROTUBO 1,5 ML PP AUTOCLAVABLE NO ESTERIL CONICO CON TAPAS TRANSPARENTES 81-0000 RANGO DE TEM -196 C - 121 C CAJA X 500 U - BIOLOGIX</t>
  </si>
  <si>
    <t>MC 549</t>
  </si>
  <si>
    <t>LifeStraw COMMUNITY</t>
  </si>
  <si>
    <t>MC 676</t>
  </si>
  <si>
    <t>21-0200</t>
  </si>
  <si>
    <t>PUNTAS COLOR AMARILLO ESTÁNDAR. GRADUADA 200 ul. PP ESTERIL LIBRES DE RNAsa, DNAsa Y PIROGENOS AUTOCLAVABLES CAJA 10 X 96 RACK - BIOLOGIX</t>
  </si>
  <si>
    <t>RSR066</t>
  </si>
  <si>
    <t>PUNTAS AMARILLAS, 0-200 ul</t>
  </si>
  <si>
    <t>06-365-2018</t>
  </si>
  <si>
    <t>PUNTAS 200 ul EN RACK SIN FILTRO</t>
  </si>
  <si>
    <t>ANDROSTAR PLUS 47G= 1 LITRO</t>
  </si>
  <si>
    <t>47 GRAMOS</t>
  </si>
  <si>
    <t>MC 677</t>
  </si>
  <si>
    <t>GOBLET DE 13 MM BLANCOS</t>
  </si>
  <si>
    <t>MG-A7469100G</t>
  </si>
  <si>
    <t>MG-A7469100G L-ALANINE, FROM NON-ANIMAL SOURCE, MEET, 100G</t>
  </si>
  <si>
    <t>MC 555</t>
  </si>
  <si>
    <t>MG-G854025G</t>
  </si>
  <si>
    <t>MG-G854025G/ LGLUTAMINE; NONANIMAL SOURCE; CELL CUL X 25G</t>
  </si>
  <si>
    <t>25G</t>
  </si>
  <si>
    <t>MG-P7794100M</t>
  </si>
  <si>
    <t>MG-P7794100M/ PENICILLIN G POTASSIUM SALT BIOREAGENT X 100MU</t>
  </si>
  <si>
    <t>100 MU</t>
  </si>
  <si>
    <t xml:space="preserve">MG-S913725G </t>
  </si>
  <si>
    <t>MG-S913725G /STREPTOMYCIN SULFATE SALT BIOREAGENT; S X 25G</t>
  </si>
  <si>
    <t>25 G</t>
  </si>
  <si>
    <t>MG-P528025G</t>
  </si>
  <si>
    <t>PYRUVIC ACID SODIUM CELL CULTURE TESTED X 25G</t>
  </si>
  <si>
    <t>MG-L438850G</t>
  </si>
  <si>
    <t>MG-L438850G/ CALCIUM L-LACTATE HYDRATE BIOREAGENT,  , 50G</t>
  </si>
  <si>
    <t>TORNILLOS Y DESTORNILLADOR PARA GUÍA OPU WTA</t>
  </si>
  <si>
    <t>RKU 10</t>
  </si>
  <si>
    <t>ECÓGRAFO PORTÁTIL RKU 10</t>
  </si>
  <si>
    <t>DISPOSITIVO ENTROMETRIX</t>
  </si>
  <si>
    <t>LINER DE LÁTEX PARA VAGINA ARTIFICIAL BOVINA</t>
  </si>
  <si>
    <t>C2430N</t>
  </si>
  <si>
    <t>DESCORNADOR 7/8" X 30 200WATTS</t>
  </si>
  <si>
    <t>SLIM</t>
  </si>
  <si>
    <t>SOPORTE LINEAL EN ACRÍLICO, PARA 6 MICROPIPETAS</t>
  </si>
  <si>
    <t>E&amp;Q</t>
  </si>
  <si>
    <t>PANTALLA LCD</t>
  </si>
  <si>
    <t>BAÑO SEROLÓGICO EN ACRÍLICO</t>
  </si>
  <si>
    <t>INDULAB</t>
  </si>
  <si>
    <t>PISTOLA DE INSEMINACIÓN UNIVERSAL (AUTOMATIC LOCK)</t>
  </si>
  <si>
    <t>7176 MINI PISTOLA 0.5 ML OVINA-CAPRINA</t>
  </si>
  <si>
    <t>6931 CATETER PARA PISTOLA OVINA-CAPRINA PQ X 40 UN</t>
  </si>
  <si>
    <t>PAQUETE X 40 UND</t>
  </si>
  <si>
    <t>6921 CATETER PISTOLA OVINA PQ X 40 UN IMV</t>
  </si>
  <si>
    <t>PIPETA ROBETSON, STANDARD, NO ESTERILIZADO</t>
  </si>
  <si>
    <t>S1</t>
  </si>
  <si>
    <t>ECÓGRAFO PORTATIL S1, PROBE RECTAL  Y PROTECTOR SOLAR</t>
  </si>
  <si>
    <t>DAWEI</t>
  </si>
  <si>
    <t>VAGINA ARTIFICIAL OVINA- CAPRINA</t>
  </si>
  <si>
    <t>LINER LISO PARA VAGINA ARTIFICIAL PEQUEÑOS RUMIANTES</t>
  </si>
  <si>
    <t>CUBIERTA PROTECTORA DE FIELTRO PARA TUBO COLECTOR</t>
  </si>
  <si>
    <t>17373/0000</t>
  </si>
  <si>
    <t xml:space="preserve">ESPECULO DE ACERO INOXIDABLE DE USO VETERINARIO </t>
  </si>
  <si>
    <t>PISTOLA DE INSEMINACIÓN 0,5 OVINOS Y CAPRINOS</t>
  </si>
  <si>
    <t>17373/001</t>
  </si>
  <si>
    <t>TUBOS DE PLÁSTICO TRANSPARENTE DE RECAMBIO PARA ESPÉCULO</t>
  </si>
  <si>
    <t>MG- H3393250K</t>
  </si>
  <si>
    <t>MG- H3393250K HEPARIN SODIUM SALT FROM PORCINE INTESTporcin, Grado IA, 180 unidades USP / mg</t>
  </si>
  <si>
    <t>250 KU</t>
  </si>
  <si>
    <t>CMOVINA</t>
  </si>
  <si>
    <t>CAMILLA OVINA HIDRÁULICA NACIONAL</t>
  </si>
  <si>
    <t>HF6518.039/ HF6518303/ HF6518.059</t>
  </si>
  <si>
    <t>PINZA PRESIÓN ÚTERO LAPAROSCOPIA EN OVINOS Y CAPRINOS</t>
  </si>
  <si>
    <t>22-2X</t>
  </si>
  <si>
    <t>PROBE 1 1/4" DE DIÁMETRO CON ADAPTACIÓN A CABLE</t>
  </si>
  <si>
    <t>LANE MANUFACTURING</t>
  </si>
  <si>
    <t>RACK DE CONGELACIÓN</t>
  </si>
  <si>
    <t>A33.1513</t>
  </si>
  <si>
    <t>MICROSCOPIO CON PANTALLA LCD DE 7", CON PLATINA TÉRMICA, ACROMÁTICO 10x20x40x</t>
  </si>
  <si>
    <t>OPTO-EDU</t>
  </si>
  <si>
    <t>A33.1512</t>
  </si>
  <si>
    <t>MICROSCOPIO CON PANTALLA LCD DE 7", 2,0 M, ACROMÁTICO 10x20x40x</t>
  </si>
  <si>
    <t>A11.1109-A</t>
  </si>
  <si>
    <t>MICROSCOPIO BIOLÓGICO, BINOCULAR, COLECTOR KHOLER</t>
  </si>
  <si>
    <t>A12.1502-AB</t>
  </si>
  <si>
    <t>MICROSCOPIO DE LABORATORIO BINOCULAR</t>
  </si>
  <si>
    <t>62.476.028X</t>
  </si>
  <si>
    <t>TUBO 5ML, 75X12MM PS</t>
  </si>
  <si>
    <t>SARSTEDT AG &amp; CO</t>
  </si>
  <si>
    <t>PAQUETE X 100 UNIDADES</t>
  </si>
  <si>
    <t>PISTOLA DE INSEMINACIÓN OVINO/CAPRINO PARA VAINAS MEDIANAS</t>
  </si>
  <si>
    <t>IMV TECHNOLOGIES</t>
  </si>
  <si>
    <t>VAINA MEDIANA OVINA/CAPRINA</t>
  </si>
  <si>
    <t>PISTOLA DE INSEMINACION OVINA/ CAPRINA PARA VAINAS MINI</t>
  </si>
  <si>
    <t>VAINA MINI OVINA/ CAPRINA COMPATIBLE CON PISTOLA 7176</t>
  </si>
  <si>
    <t xml:space="preserve">OPTIXCELL </t>
  </si>
  <si>
    <t>26-0</t>
  </si>
  <si>
    <t>ELECTRO PARA OVINO- CAPRINO/ PROBE 1 1/4" DE DIÁMETRO FUNCIONA CON 2 BATERIAS 9V</t>
  </si>
  <si>
    <t>TANQUE DE DIÓXIDO DE CARBONO DE 3 LITROS CON REGULADOR DE DIÓXIDO DE CARBONO</t>
  </si>
  <si>
    <t>HC-R069</t>
  </si>
  <si>
    <t>HAPPYCARE</t>
  </si>
  <si>
    <t>EM-N2</t>
  </si>
  <si>
    <t>EMPEROR</t>
  </si>
  <si>
    <t>ISPERM SOFTWARE INICIAL ( UNA APLICACIÓN)</t>
  </si>
  <si>
    <t>A3021</t>
  </si>
  <si>
    <t>PIPETA 0,5-10 UL</t>
  </si>
  <si>
    <t>ZENITHLAB</t>
  </si>
  <si>
    <t>44-0200</t>
  </si>
  <si>
    <t>POLVO SELLADOR DE PAJILLAS COLOR BLANCO, 750GR</t>
  </si>
  <si>
    <t>MC 606</t>
  </si>
  <si>
    <t>CAPACITACIÍN VIRTUAL</t>
  </si>
  <si>
    <t>22.4</t>
  </si>
  <si>
    <t>CABLE PARA ELECTRO</t>
  </si>
  <si>
    <t xml:space="preserve">TUBO CONICO. PLUG SEAL. PP 50 ML TAPA EN PE. GRADUADO AUTOCLAVABLE ESTERIL LIBRE DNase, RNase TAPA VERDE </t>
  </si>
  <si>
    <t xml:space="preserve">MICROPIPETA VOLUMEN VARIABLE 0,5- 10 UL </t>
  </si>
  <si>
    <t>MC 610</t>
  </si>
  <si>
    <t>MG-459844500</t>
  </si>
  <si>
    <t>MG-459844500/ ETHYL ALCOHOL; PURE; 200 PROOF; ACS X 500ML</t>
  </si>
  <si>
    <t>1111-QLS</t>
  </si>
  <si>
    <t>TUBO PARA CENTRÍFUGA TIPO FALCON DE 50 ML, FONDO CÓNICO, TAPA ROSCA COLOR VERDE</t>
  </si>
  <si>
    <t>ONELAB</t>
  </si>
  <si>
    <t>GOBLETS BLANCOS DE 13 MM</t>
  </si>
  <si>
    <t>PUNTAS BLANCAS CORTA DE 0,5X 10 (TIPO Gilson) fv(25/01/2025)</t>
  </si>
  <si>
    <t>PAQUETE X 1000</t>
  </si>
  <si>
    <t xml:space="preserve">CINTA PARA MEDICION ESCROTAL </t>
  </si>
  <si>
    <t>SISTEMA OPU 1,20 M</t>
  </si>
  <si>
    <t>TC-39/240</t>
  </si>
  <si>
    <t xml:space="preserve">CALENTADOR DE TUBOS 50 ML  </t>
  </si>
  <si>
    <t>TABS AZULES</t>
  </si>
  <si>
    <t>TABS ROSADOS</t>
  </si>
  <si>
    <t>CAMISAS SANITARIAS  DE INSEMINACIÓN 53 CM</t>
  </si>
  <si>
    <t>ABT247</t>
  </si>
  <si>
    <t>ONE STEP THAW/ 1M SUCROSE</t>
  </si>
  <si>
    <t>ABT 360</t>
  </si>
  <si>
    <t>ABT224</t>
  </si>
  <si>
    <t>HOLDING</t>
  </si>
  <si>
    <t>ANDREA LILIANA ALFONSO</t>
  </si>
  <si>
    <t>SONDA PROVETSCAN WIFI SR-2C/ WRPCCFB019</t>
  </si>
  <si>
    <t>PROVETSCAN</t>
  </si>
  <si>
    <t>NATURAL FERTILITY</t>
  </si>
  <si>
    <t>NATURAL VETERINARY</t>
  </si>
  <si>
    <t>1 KILOGRAMO</t>
  </si>
  <si>
    <t>SONDA CONVEXA</t>
  </si>
  <si>
    <t>SONDA MICRO CONVEXA</t>
  </si>
  <si>
    <t>CHIP CON 8 CURVAS CL2000</t>
  </si>
  <si>
    <t>TW20</t>
  </si>
  <si>
    <t>TERMO DE NITRÓGENO WORTHINGTON TW20/ BIOMEDICAL</t>
  </si>
  <si>
    <t>BIOMEDICAL</t>
  </si>
  <si>
    <t>CX100B-11M</t>
  </si>
  <si>
    <t>TERMO DRY SHIPPER CX100</t>
  </si>
  <si>
    <t>CONGELADORA DE SEMEN Y DE  EMBRIONES</t>
  </si>
  <si>
    <t>CRYOLOGIC</t>
  </si>
  <si>
    <t>PISTOLA DE TRANSFERENCIA DE BOVINOS</t>
  </si>
  <si>
    <t xml:space="preserve"> VAGINA ARTIFICIAL BOVINA</t>
  </si>
  <si>
    <t>CONO PARA VAGINA ARTIFICIAL BOVINA 27 CM</t>
  </si>
  <si>
    <t>19222/20000</t>
  </si>
  <si>
    <t>FILTRO MINI FLUSH</t>
  </si>
  <si>
    <t>VAGINA EQUINA COMPLETA INCLUYE LINER Y FORRO DE CUERO</t>
  </si>
  <si>
    <t>MISSOURI</t>
  </si>
  <si>
    <t>PAJILLA TRANSPARENTE VERDE 0,25</t>
  </si>
  <si>
    <t>EXP003186 431229</t>
  </si>
  <si>
    <t>FILTROS DE JERINGA CORNING® DE 28 MM 1 Cax50 395.200 19% 395.200 DE DIÁMETRO, MEMBRANA PES DE PORO DE 0,2 µm, ESTÉRILES 17221037 01/01/9999</t>
  </si>
  <si>
    <t>50 UNIDADES</t>
  </si>
  <si>
    <t>BSR064</t>
  </si>
  <si>
    <t xml:space="preserve">PUNTA BLANCA CORTA DE 0,5-10 (tipo Gilson) </t>
  </si>
  <si>
    <t>PIPETAS BASICA VL VARIABLE 1-10 ML SERIE L60599K</t>
  </si>
  <si>
    <t>PIPETA VOL VARIABLE 500-5000 UL SERIE K43202J</t>
  </si>
  <si>
    <t>PIPETA VOL. VARIABLE 20-200 EPPENDORF SERIE J10810H, J10759 H</t>
  </si>
  <si>
    <t>MICROPIPETA PLUS 100-1000 UL EPPENDORF SERIE J54860L</t>
  </si>
  <si>
    <t>CLIP PARA 15 PAJILLAS MEDIANAS</t>
  </si>
  <si>
    <t>BOQUILLA DE LLENADO CON SUCCIÓN 15 PIN 0.5 ML</t>
  </si>
  <si>
    <t>BOXERLY</t>
  </si>
  <si>
    <t>CORTAPAJILLAS TED</t>
  </si>
  <si>
    <t>OPTIDYL EXTENDEDOR DE SEMEN BOVINO</t>
  </si>
  <si>
    <t>MC 654</t>
  </si>
  <si>
    <t>C8166-25M</t>
  </si>
  <si>
    <t>C8166-25M/CARBOXYFLUORESCEIN DIACETATE</t>
  </si>
  <si>
    <t>25 MG</t>
  </si>
  <si>
    <t>MK7M3LZ/A</t>
  </si>
  <si>
    <t>IPAD MINI 6/ 64 GB</t>
  </si>
  <si>
    <t>IPAD</t>
  </si>
  <si>
    <t>ISHOP</t>
  </si>
  <si>
    <t>MINICENTRÍFUGA MINI SPIN</t>
  </si>
  <si>
    <t>RTL</t>
  </si>
  <si>
    <t>PRECISION GLASS</t>
  </si>
  <si>
    <t>90200.01</t>
  </si>
  <si>
    <t>CAMARA DE NEUBAUER PARA RECUENTO DE GLOBULOS BLANCOS Y ROJOS</t>
  </si>
  <si>
    <t>LABSCIENT</t>
  </si>
  <si>
    <t>CONTROLADOR DE TEMPERATURA</t>
  </si>
  <si>
    <t>NESTOR TOVIO</t>
  </si>
  <si>
    <t>MARQUETING NET</t>
  </si>
  <si>
    <t>HUMECO</t>
  </si>
  <si>
    <t xml:space="preserve">CRYOVIAL 2,0 ml </t>
  </si>
  <si>
    <t>GEN FOLLOWER</t>
  </si>
  <si>
    <t>DINAMÓMETRO ELÉCTRNIC CAPACIDAD 50 KG</t>
  </si>
  <si>
    <t>BBG</t>
  </si>
  <si>
    <t>PUNTAS AZULES 100- 1000 UL</t>
  </si>
  <si>
    <t>ADRIANA BERNAL</t>
  </si>
  <si>
    <t>RACK DE PUNTAS BLANCAS CAJA ROJA</t>
  </si>
  <si>
    <t>MAXIMUN RECOVERY AXIGEN</t>
  </si>
  <si>
    <t>TUBO CÓNICO DE 15 ML EN GRADILLA</t>
  </si>
  <si>
    <t>RACK DE PUNTAS BLANCAS 0,5 -10 UL CAJA NEGRA</t>
  </si>
  <si>
    <t xml:space="preserve">MAXIMUN RECOVERY </t>
  </si>
  <si>
    <t>GOBLET DE 10 MM AMARILLO</t>
  </si>
  <si>
    <t>ESCALERILLA METÁLICA PARA GLOBET DE 10 MM</t>
  </si>
  <si>
    <t>SEN 047</t>
  </si>
  <si>
    <t>ESFERAS SELLADORA DE  METAL DE PAJILLA DE 0,25 ML</t>
  </si>
  <si>
    <t>FRASCO X 1000 UND</t>
  </si>
  <si>
    <t>SEN 001</t>
  </si>
  <si>
    <t>CALIBRADOR DIGITAL PIE DE REY DIGITAL ACERO . INOX. 6 PULGADAS</t>
  </si>
  <si>
    <t>UBERMANN</t>
  </si>
  <si>
    <t>HOMECENTER</t>
  </si>
  <si>
    <t>SEN 085</t>
  </si>
  <si>
    <t xml:space="preserve">ESTETOSCOPIO VETERINARIO </t>
  </si>
  <si>
    <t>LITTMANN</t>
  </si>
  <si>
    <t>HEALTH COMPANY</t>
  </si>
  <si>
    <t xml:space="preserve">EMBUDO DE FILTRACION </t>
  </si>
  <si>
    <t>PINZAS DE MOHR</t>
  </si>
  <si>
    <t>SEN 010</t>
  </si>
  <si>
    <t>ARO METÁLICO CON NUEZ 60 MM DIÁMETRO</t>
  </si>
  <si>
    <t>SEN 013</t>
  </si>
  <si>
    <t>INSTRUMENTO PARA MEZCLAR (MORTERO Y PISTILO) EN CERÁMICA</t>
  </si>
  <si>
    <t>SEN 029</t>
  </si>
  <si>
    <t>ESCOBILLON DE LIMPIEZA O CHURRUSCO PARA TUBO DE ENSAYO PEQUEÑO</t>
  </si>
  <si>
    <t xml:space="preserve">GRADILLA EN ACERO INOXIDABLE </t>
  </si>
  <si>
    <t>SEN 081</t>
  </si>
  <si>
    <t xml:space="preserve">PROBETA GADUADA 1000 ML </t>
  </si>
  <si>
    <t>S-092</t>
  </si>
  <si>
    <t>SOPORTE UNIVERSAL</t>
  </si>
  <si>
    <t>AN- 11</t>
  </si>
  <si>
    <t xml:space="preserve">ARO METÁLICO CON NUEZ 100 MM DIÁMETRO </t>
  </si>
  <si>
    <t>GUANTES DE NITRILO TALLA L</t>
  </si>
  <si>
    <t>SEN 018</t>
  </si>
  <si>
    <t>VN369002</t>
  </si>
  <si>
    <t>METANOL (ALCOHOL METÍLICO)</t>
  </si>
  <si>
    <t>SOBRES O CAJAS PORTA-LAMINAS PORTAOBJETOS</t>
  </si>
  <si>
    <t>CRIOVIALES GRADUADOS ESTERILES 2.0 ML TUBO EPPENDORF</t>
  </si>
  <si>
    <t>SEN 030</t>
  </si>
  <si>
    <t>31019096B</t>
  </si>
  <si>
    <t xml:space="preserve">GRADILLA A PARA EPENDOR </t>
  </si>
  <si>
    <t>SEN 031</t>
  </si>
  <si>
    <t>34396200C</t>
  </si>
  <si>
    <t>CAJAS PARA ALINEAR O ALMACENAR PUNTAS AMARILLAS</t>
  </si>
  <si>
    <t>SEN 082</t>
  </si>
  <si>
    <t>PROBPH100</t>
  </si>
  <si>
    <t>PROBETAS EN VIDRIO - GRADUADA - 100 ML DIV 1,0 ML</t>
  </si>
  <si>
    <t>SEN 083</t>
  </si>
  <si>
    <t>137.202.04</t>
  </si>
  <si>
    <t xml:space="preserve">PROBETAS EN VIDRIO - GRADUADA - 50 ML DIV 1,0 MLL </t>
  </si>
  <si>
    <t>SEN 084</t>
  </si>
  <si>
    <t>137.202.02</t>
  </si>
  <si>
    <t xml:space="preserve">PROBETAS EN VIDRIO - GRADUADA - 10 ML DIV 0,2 ML </t>
  </si>
  <si>
    <t>SEN 040</t>
  </si>
  <si>
    <t>99-192-150</t>
  </si>
  <si>
    <t>PAPEL FILTRO CUALITATIVO 15 CMS</t>
  </si>
  <si>
    <t>SEN 080</t>
  </si>
  <si>
    <t>CAJA PARA HERRAMIENTA 50 CM INDUSTRIAL 20''</t>
  </si>
  <si>
    <t>VANIPLAST</t>
  </si>
  <si>
    <t>CENCOSUD</t>
  </si>
  <si>
    <t>SEN 002</t>
  </si>
  <si>
    <t>04405384-02</t>
  </si>
  <si>
    <t xml:space="preserve">CAPILARES ROJOS DE VIDRIO </t>
  </si>
  <si>
    <t>IMCOLMEDICA</t>
  </si>
  <si>
    <t>SEN 003</t>
  </si>
  <si>
    <t xml:space="preserve">FORMALDEHIDO SOLUCION 37 % (FORMOL) </t>
  </si>
  <si>
    <t>SEN 005</t>
  </si>
  <si>
    <t>GASA ABSORBENTE DE USO HOSPITALARIO 36" X 100 YARDAS</t>
  </si>
  <si>
    <t>SEN 037</t>
  </si>
  <si>
    <t>05010362-02</t>
  </si>
  <si>
    <t>LANCETAS DIMENSIONES: 40 MM LONG.</t>
  </si>
  <si>
    <t>SEN 039</t>
  </si>
  <si>
    <t>PAPEL PARA LIMPIAR LAS LENTES DEL MICROSCOPIO</t>
  </si>
  <si>
    <t>SEN 074</t>
  </si>
  <si>
    <t>HOJA DE BISTURI  24 #DESECHABLE PARA MANGO 4</t>
  </si>
  <si>
    <t>SEN 077</t>
  </si>
  <si>
    <t xml:space="preserve">TIJERA DE MAYO RECTA. PUNTA ROMA </t>
  </si>
  <si>
    <t>FREDY EDUARDO RAMIREZ BLANCO</t>
  </si>
  <si>
    <t>SEN 078</t>
  </si>
  <si>
    <t xml:space="preserve">GASA ESTERIL </t>
  </si>
  <si>
    <t>CAJA X 12 UNIDADES</t>
  </si>
  <si>
    <t>SEN 035</t>
  </si>
  <si>
    <t>JABÓN ANTIBACTERIAL CLORHEXIDINA</t>
  </si>
  <si>
    <t>SEN 021</t>
  </si>
  <si>
    <t>TUBOS VACUTAINER EDTA DE 5 ML</t>
  </si>
  <si>
    <t>01002202-02</t>
  </si>
  <si>
    <t>CLORURO DE SODIO 0,9%  SOLUCIÓN PARA PERFUSIÓN</t>
  </si>
  <si>
    <t>SEN 012</t>
  </si>
  <si>
    <t>CALENTADOR ELÉCTRICO PARA LABORATORIO,    1000 W</t>
  </si>
  <si>
    <t>PATRICK &amp; SANT SAS</t>
  </si>
  <si>
    <t>SEN 087</t>
  </si>
  <si>
    <t>DELANTAL INDUSTRIAL IMPERMEABLE</t>
  </si>
  <si>
    <t>DOTACIONES ONLINE COM SAS</t>
  </si>
  <si>
    <t>SEN 058</t>
  </si>
  <si>
    <t xml:space="preserve">DISPOSITIVO INTRAVAGINAL CONTENDO PROGESTERONA,  EN OVINOS Y CAPRINOS </t>
  </si>
  <si>
    <t xml:space="preserve">APLICADOR DISPOSITIVO INTRAVAGINAL OVINO CAPRINO </t>
  </si>
  <si>
    <t>TUBO DE LATEX PURO DE COLOR AMBAR</t>
  </si>
  <si>
    <t>REPRESENTACIONES INDUSTRIALES RDV LTDA</t>
  </si>
  <si>
    <t>CINTA PARA MEDICION ESCROTAL METÁLICA</t>
  </si>
  <si>
    <t>SEN 057</t>
  </si>
  <si>
    <t>DISPOSITIVO INTRAVAGINAL DIB 1 GR X 10 DOSIS</t>
  </si>
  <si>
    <t>SEN 061</t>
  </si>
  <si>
    <t>APLICADOR DISPOSITIVO INTRAVAGINAL BOVINO DIB</t>
  </si>
  <si>
    <t>L 25 V 08/23</t>
  </si>
  <si>
    <t>BUTROFINA X 50 ML</t>
  </si>
  <si>
    <t>L 09 V 05/22</t>
  </si>
  <si>
    <t>BENZOATO DE ESTRADIOL</t>
  </si>
  <si>
    <t>L50 V 02/23</t>
  </si>
  <si>
    <t xml:space="preserve">ANÁLOGO SINTÉTICO DE LA PROSTAGLANDINA F2 ALFA. </t>
  </si>
  <si>
    <t>SEN 023</t>
  </si>
  <si>
    <t>PUNTAS LTS RAININ 10 MICRAS</t>
  </si>
  <si>
    <t>RAININ</t>
  </si>
  <si>
    <t>1090001008532/1230001000006</t>
  </si>
  <si>
    <t>FRASCOS DE SPRAY 500 ML</t>
  </si>
  <si>
    <t>ENVASAR SAS</t>
  </si>
  <si>
    <t>UND X 500 CC</t>
  </si>
  <si>
    <t>V212L/ FG6</t>
  </si>
  <si>
    <t>FRASCO GOTERO EN VIDRIO 50ML</t>
  </si>
  <si>
    <t>DUQUE SALDARRIEGA</t>
  </si>
  <si>
    <t>UND X 50 CC</t>
  </si>
  <si>
    <t>CRONOMETRO DIGITAL CRONÓMETRO (1/100 SEG - 23 HORAS)</t>
  </si>
  <si>
    <t>LACTODAILY EN POLVO 100 GR.SOLUCIONES DE LIMPIEZA</t>
  </si>
  <si>
    <t>SOLUCIONES DE LABORATORIO SAS</t>
  </si>
  <si>
    <t>100 GRAMOS</t>
  </si>
  <si>
    <t>SOLUCIONES DE LIMPIEZA LACTOWEEKLY EN POLVO 100 GR.</t>
  </si>
  <si>
    <t>LACTOSCAN SCC KIT Х 400 TESTS</t>
  </si>
  <si>
    <t>AGUA BI DESTILADA</t>
  </si>
  <si>
    <t>1 GALÓN</t>
  </si>
  <si>
    <t>AGUJAS VACUTAINER</t>
  </si>
  <si>
    <t xml:space="preserve">JERINGA PARA TUBERCULINA 1 ML CON AGUJA DE 25 X 5/8 </t>
  </si>
  <si>
    <t xml:space="preserve">JERINGA HIPODERMICA DESECHABLE 3 ML DE TRES PARTES SIN AGUJA </t>
  </si>
  <si>
    <t>01003568-03</t>
  </si>
  <si>
    <t xml:space="preserve">JERINGA PLASTICA DE 5 ML </t>
  </si>
  <si>
    <t>GEL CONDUCTOR DE ULTRASONIDO</t>
  </si>
  <si>
    <t>ASPIC PARA PAJUELAS MINI (0,25)</t>
  </si>
  <si>
    <t>GEL REFRIGERANTE PARA CADENA DE FRÍO * 250 ML</t>
  </si>
  <si>
    <t>FARYODEX1G</t>
  </si>
  <si>
    <t xml:space="preserve">SOLUCION FORMULACIÓN ANTISÉPTICA Y DESINFECTANTE IODÓFORO DE AMPLIO ESPECTRO </t>
  </si>
  <si>
    <t>A12-000045</t>
  </si>
  <si>
    <t>LIMPADOR E -Z CLEANSER</t>
  </si>
  <si>
    <t>DISPROLAB SAS</t>
  </si>
  <si>
    <t>CRIOCAJAS PARA CRIOTUBOS 1.8 ML PARA 100 CRIOTUBOS</t>
  </si>
  <si>
    <t>CUBETA DESECHABLE DE POLIESTIRENO PARA FOTÓMETRO</t>
  </si>
  <si>
    <t>TERMÓMETRO DIGITAL INFRARROJO FRONTAL SIN CONTACTO</t>
  </si>
  <si>
    <t>PAOLA AGUIRRE</t>
  </si>
  <si>
    <t>KJ-411-2</t>
  </si>
  <si>
    <t>CAJAS PARA ALINEAR O ALMACENAR PUNTAS AZULES</t>
  </si>
  <si>
    <t>CAJAS PARA ALMACENAMIENTO DE CRIOVIALES Y MICRO TUBOS</t>
  </si>
  <si>
    <t>BIOWEB SAS</t>
  </si>
  <si>
    <t>FRASCOS  PP, PARA TOMA DE MUESTRAS, ESTÉRILES CUELLO ANCHO ( 50 ML) CON PASTILLA DE CONSERVANTE</t>
  </si>
  <si>
    <t>OR910606</t>
  </si>
  <si>
    <t>CAMARA MC MASTER</t>
  </si>
  <si>
    <t>PUNTAS LTS RAININ 1000 MICRAS</t>
  </si>
  <si>
    <t xml:space="preserve">PIPETAS DE INSEMINACIÓN PARA PEQUEÑOS RUMIANTES CON PUNTA EXCÉNTRICA PARA IA </t>
  </si>
  <si>
    <t>TRANSCAP OVINO CON GUÍA</t>
  </si>
  <si>
    <t>NAVAJA DE AFEITAR -ACCESORIO PROFESIONAL</t>
  </si>
  <si>
    <t>HOJA EN ACERO INOXIDABLE DE DOBLE FILO</t>
  </si>
  <si>
    <t>POLVO SELLADOR DE PAJILLAS, 750GR</t>
  </si>
  <si>
    <t>ESPÉCULO VAGINAL METÁLICO GRANDES ESPECIES</t>
  </si>
  <si>
    <t>0201950-02</t>
  </si>
  <si>
    <t>PINZA PRESIÓN ÚTERO LAPAROSCOPIA</t>
  </si>
  <si>
    <t>2810-30-47362</t>
  </si>
  <si>
    <t>KIT DE LIMPIADORES X 250 PRUEBAS PARA EQUIPO BC 2800 VET 8DILUYENTE 5,5 LTRS, RINSE 2,3 LTRS, LYSE 180 ML E INSERTOS) FV 22/12/2023</t>
  </si>
  <si>
    <t>VISION VETERINARIA</t>
  </si>
  <si>
    <t>JORGE EDUARDO CADAVID</t>
  </si>
  <si>
    <t>GANADERIA ALTA LUZ SAS</t>
  </si>
  <si>
    <t>JAIME ALBERTO GALINDO PUERTO</t>
  </si>
  <si>
    <t>HACIENDA EL VERGEL S A S</t>
  </si>
  <si>
    <t>EMBRIONES SAS</t>
  </si>
  <si>
    <t>TROPICAL EMBRYO SAS</t>
  </si>
  <si>
    <t>GIOVANNY RODRIGUEZ MENDEZ</t>
  </si>
  <si>
    <t>WENDY NATALIA PARADA BECERRA</t>
  </si>
  <si>
    <t>CONSULTA PECUARIA S.A.S.</t>
  </si>
  <si>
    <t>MARTHA ISABEL RAMIREZ ARTEAGA</t>
  </si>
  <si>
    <t>GRUPO SEMBRIOGAN SAS</t>
  </si>
  <si>
    <t xml:space="preserve">SALIDA </t>
  </si>
  <si>
    <t>BIOHORSE SAS</t>
  </si>
  <si>
    <t>ALBERTO URIBE ARANGO</t>
  </si>
  <si>
    <t>IVAN LIBARDO FRANCO</t>
  </si>
  <si>
    <t>VITRO LAB SAS</t>
  </si>
  <si>
    <t>VAGINA ARTIFICIAL BOVINA</t>
  </si>
  <si>
    <t>LIBARDO ALFONSO MORENO MUÑOZ</t>
  </si>
  <si>
    <t>EMILCE TRUJILLO RODRIGUEZ</t>
  </si>
  <si>
    <t>NUCLEOLAB</t>
  </si>
  <si>
    <t>JAUMER ANDRES OROZCO CLAVIJO</t>
  </si>
  <si>
    <t>GERARDO CORTES JARAMILLO</t>
  </si>
  <si>
    <t>DAVID ZAPATA</t>
  </si>
  <si>
    <t>DANIEL ESCOBAR MONTES</t>
  </si>
  <si>
    <t>RAFAEL MATTUTE</t>
  </si>
  <si>
    <t>LUIS CUADROS MORENO Y CIA SAS</t>
  </si>
  <si>
    <t xml:space="preserve">NOMBRE </t>
  </si>
  <si>
    <t>OBSERVACIÓN</t>
  </si>
  <si>
    <t>ENCARGADO</t>
  </si>
  <si>
    <t>UNITED SCOPE LLC</t>
  </si>
  <si>
    <t>MC 678</t>
  </si>
  <si>
    <t>MC 679</t>
  </si>
  <si>
    <t>CAMBIO</t>
  </si>
  <si>
    <t>NEOGEN CORPORATION</t>
  </si>
  <si>
    <t>MC 680</t>
  </si>
  <si>
    <t>MC 681</t>
  </si>
  <si>
    <t>PAOLA</t>
  </si>
  <si>
    <t>CONSULTOR LECHERO</t>
  </si>
  <si>
    <t>EQUIMED LTDA</t>
  </si>
  <si>
    <t>BELSAGRO</t>
  </si>
  <si>
    <t>MC 682</t>
  </si>
  <si>
    <t>MC 683</t>
  </si>
  <si>
    <t>MC 684</t>
  </si>
  <si>
    <t>MC 685</t>
  </si>
  <si>
    <t>MC 686</t>
  </si>
  <si>
    <t>DIEGO ALEJANDRO MOLANO VILLAMIL</t>
  </si>
  <si>
    <t>ANDINA PREMIER</t>
  </si>
  <si>
    <t>MC 688</t>
  </si>
  <si>
    <t>MC 687</t>
  </si>
  <si>
    <t>IVÁN LIBARDO FRANCO CASTRO</t>
  </si>
  <si>
    <t>MC 700</t>
  </si>
  <si>
    <t>MARIA ISABEL LEON SANTACRUZ</t>
  </si>
  <si>
    <t>MC 689</t>
  </si>
  <si>
    <t>MC 690</t>
  </si>
  <si>
    <t>MC 691</t>
  </si>
  <si>
    <t>DGC</t>
  </si>
  <si>
    <t>MC 692</t>
  </si>
  <si>
    <t>MC 705</t>
  </si>
  <si>
    <t>MC 694</t>
  </si>
  <si>
    <t>MC 695</t>
  </si>
  <si>
    <t>MC 696</t>
  </si>
  <si>
    <t>MC 697</t>
  </si>
  <si>
    <t>MC 698</t>
  </si>
  <si>
    <t>MC 699</t>
  </si>
  <si>
    <t>OCTAVIO ISAZA LONDOÑO</t>
  </si>
  <si>
    <t>MC 701</t>
  </si>
  <si>
    <t>MC 702</t>
  </si>
  <si>
    <t>MC 703</t>
  </si>
  <si>
    <t>MC 704</t>
  </si>
  <si>
    <t>AD002</t>
  </si>
  <si>
    <t>AD008</t>
  </si>
  <si>
    <t>AD009</t>
  </si>
  <si>
    <t>AD013</t>
  </si>
  <si>
    <t>AD015</t>
  </si>
  <si>
    <t>AD016</t>
  </si>
  <si>
    <t>GENÉTICA IN VITRO C.A</t>
  </si>
  <si>
    <t>AD017</t>
  </si>
  <si>
    <t>AD020</t>
  </si>
  <si>
    <t>AD021</t>
  </si>
  <si>
    <t>NE001</t>
  </si>
  <si>
    <t>NE002</t>
  </si>
  <si>
    <t>NE003</t>
  </si>
  <si>
    <t>NE004</t>
  </si>
  <si>
    <t>NE005</t>
  </si>
  <si>
    <t>NE006</t>
  </si>
  <si>
    <t>NE007</t>
  </si>
  <si>
    <t>NE008</t>
  </si>
  <si>
    <t>NE009</t>
  </si>
  <si>
    <t>NE010</t>
  </si>
  <si>
    <t>PEDRO ANTONIO ZARATE OTALORA</t>
  </si>
  <si>
    <t>NE011</t>
  </si>
  <si>
    <t>LA CORPORACION COLOMBIANA DE INVESTIGACION AGROPECUARIA - AGROSAVIA</t>
  </si>
  <si>
    <t>NE012</t>
  </si>
  <si>
    <t>NE013</t>
  </si>
  <si>
    <t>NE014</t>
  </si>
  <si>
    <t>NE015</t>
  </si>
  <si>
    <t>MC 706</t>
  </si>
  <si>
    <t>MC 707</t>
  </si>
  <si>
    <t>MC 708</t>
  </si>
  <si>
    <t>HENRY ALBERTO CASTELLANOS SUÁREZ</t>
  </si>
  <si>
    <t>MC 709</t>
  </si>
  <si>
    <t>MC 710</t>
  </si>
  <si>
    <t>EMBRIOVET SAS</t>
  </si>
  <si>
    <t>MC 713</t>
  </si>
  <si>
    <t>MC 714</t>
  </si>
  <si>
    <t>MC 715</t>
  </si>
  <si>
    <t>CORPORACION UNIVERSITARIA DEL HUILA</t>
  </si>
  <si>
    <t>ALBERTO ANGEL AZA ACOSTA</t>
  </si>
  <si>
    <t>MC 716</t>
  </si>
  <si>
    <t>MC 149</t>
  </si>
  <si>
    <t>FILTRO EM CON</t>
  </si>
  <si>
    <t>MC 717</t>
  </si>
  <si>
    <t>MC 693</t>
  </si>
  <si>
    <t>MC 712</t>
  </si>
  <si>
    <t>MC 711</t>
  </si>
  <si>
    <t>MC 797</t>
  </si>
  <si>
    <t>MC 718</t>
  </si>
  <si>
    <t>MC 719</t>
  </si>
  <si>
    <t>MC 720</t>
  </si>
  <si>
    <t>EMBRIOVEN CA</t>
  </si>
  <si>
    <t>MC 721</t>
  </si>
  <si>
    <t>MC 722</t>
  </si>
  <si>
    <t>MC 726</t>
  </si>
  <si>
    <t>MC 724</t>
  </si>
  <si>
    <t>MC 178</t>
  </si>
  <si>
    <t>MICROVIAL PARA CULTIVO CELULAR 1,2 ML</t>
  </si>
  <si>
    <t>MC 725</t>
  </si>
  <si>
    <t>MC 727</t>
  </si>
  <si>
    <t>MC 728</t>
  </si>
  <si>
    <t>MC 729</t>
  </si>
  <si>
    <t>AIDMICS BIOTECHNOLOGY CO., LTD</t>
  </si>
  <si>
    <t>MC 730</t>
  </si>
  <si>
    <t>MC 731</t>
  </si>
  <si>
    <t>MC 732</t>
  </si>
  <si>
    <t>MC 723</t>
  </si>
  <si>
    <t>MC 738</t>
  </si>
  <si>
    <t>NEW VETEC SL</t>
  </si>
  <si>
    <t>MC 734</t>
  </si>
  <si>
    <t>HAPPYCARE ELECTRONICS LIMITED</t>
  </si>
  <si>
    <t>MC 735</t>
  </si>
  <si>
    <t>VETERANDINA SAS</t>
  </si>
  <si>
    <t>MC 736</t>
  </si>
  <si>
    <t>MC 737</t>
  </si>
  <si>
    <t>MC 739</t>
  </si>
  <si>
    <t>MC 740</t>
  </si>
  <si>
    <t>MC 741</t>
  </si>
  <si>
    <t>MC 742</t>
  </si>
  <si>
    <t>MC 743</t>
  </si>
  <si>
    <t>MC 744</t>
  </si>
  <si>
    <t>MC 745</t>
  </si>
  <si>
    <t>MC 746</t>
  </si>
  <si>
    <t>URICACHA SAS</t>
  </si>
  <si>
    <t>INSEMINACION ARTIFICIAL S A S</t>
  </si>
  <si>
    <t>MC 229</t>
  </si>
  <si>
    <t>FVV03175</t>
  </si>
  <si>
    <t>INMUNODET NEUTRO GALÓN X 5 LT</t>
  </si>
  <si>
    <t>MC 230</t>
  </si>
  <si>
    <t>EXP000645</t>
  </si>
  <si>
    <t>CRIOVIALES 1,8ML NUNC</t>
  </si>
  <si>
    <t>THERMO SCIENTIFIC</t>
  </si>
  <si>
    <t>MC 231</t>
  </si>
  <si>
    <t>EXP000708</t>
  </si>
  <si>
    <t xml:space="preserve">TUBOS PARA MICROCENTRIFUGA 2,0ML </t>
  </si>
  <si>
    <t>MC 757</t>
  </si>
  <si>
    <t>ARIT GUSTAVO SOLARTE PALACIOS</t>
  </si>
  <si>
    <t>MC 748</t>
  </si>
  <si>
    <t>MARIO GERMAN RICO OSPINA</t>
  </si>
  <si>
    <t>MC 749</t>
  </si>
  <si>
    <t>MC 750</t>
  </si>
  <si>
    <t>MC 751</t>
  </si>
  <si>
    <t>MC 752</t>
  </si>
  <si>
    <t>PLAYCEL</t>
  </si>
  <si>
    <t>MC 755</t>
  </si>
  <si>
    <t>KITEASI1</t>
  </si>
  <si>
    <t>KITEASI2</t>
  </si>
  <si>
    <t>KITEASI3</t>
  </si>
  <si>
    <t>KITEASI4</t>
  </si>
  <si>
    <t>KITEASI5</t>
  </si>
  <si>
    <t>KITEASI6</t>
  </si>
  <si>
    <t>MC 756</t>
  </si>
  <si>
    <t>MAS CAMPO</t>
  </si>
  <si>
    <t>MC 758</t>
  </si>
  <si>
    <t>MC 733</t>
  </si>
  <si>
    <t>MC 759</t>
  </si>
  <si>
    <t>MC 760</t>
  </si>
  <si>
    <t>MC 761</t>
  </si>
  <si>
    <t>MC 762</t>
  </si>
  <si>
    <t>AMAURY FERNANDO VANEGAS GAZABON</t>
  </si>
  <si>
    <t>MC 763</t>
  </si>
  <si>
    <t>MC 764</t>
  </si>
  <si>
    <t>MC 765</t>
  </si>
  <si>
    <t>PROBOS CONSULTORIA GANADERA SAS</t>
  </si>
  <si>
    <t>ALEJANDRO ACOSTA URREA</t>
  </si>
  <si>
    <t>MC 766</t>
  </si>
  <si>
    <t>MC 768</t>
  </si>
  <si>
    <t>MC 769</t>
  </si>
  <si>
    <t>MC 770</t>
  </si>
  <si>
    <t>LABORATORIO TECNOLOGICO SAS</t>
  </si>
  <si>
    <t>MC 771</t>
  </si>
  <si>
    <t>MC 772</t>
  </si>
  <si>
    <t>DIEGO ALEXANDER SABOGAL RINCON</t>
  </si>
  <si>
    <t>SU TIENDA PRO SAS</t>
  </si>
  <si>
    <t>MC 775</t>
  </si>
  <si>
    <t>MC 780</t>
  </si>
  <si>
    <t>MC 777</t>
  </si>
  <si>
    <t>MC 778</t>
  </si>
  <si>
    <t>MC 779</t>
  </si>
  <si>
    <t>MC 372</t>
  </si>
  <si>
    <t>TUBO ENSAYO PLÁSTICO T/ROSCA 75MM</t>
  </si>
  <si>
    <t>MC 781</t>
  </si>
  <si>
    <t>MC 782</t>
  </si>
  <si>
    <t>MC 783</t>
  </si>
  <si>
    <t>ONE LAB</t>
  </si>
  <si>
    <t>MC 784</t>
  </si>
  <si>
    <t>MC 785</t>
  </si>
  <si>
    <t>MC 776</t>
  </si>
  <si>
    <t>MC 803</t>
  </si>
  <si>
    <t>MC 786</t>
  </si>
  <si>
    <t>MC 787</t>
  </si>
  <si>
    <t>BMV TECHNOLOGY CO. LTD.</t>
  </si>
  <si>
    <t>MC 774</t>
  </si>
  <si>
    <t>ALFONSO AURELIO ALBARRACIN SANCHEZ</t>
  </si>
  <si>
    <t>MC 788</t>
  </si>
  <si>
    <t xml:space="preserve">BATERÍA PORTÁTIL 10000 mAh </t>
  </si>
  <si>
    <t>MC 789</t>
  </si>
  <si>
    <t>MG-M7145100/ MEM Non-essential Amino Acid Solution (100) ,without L-glutamine, liquid, sterile-filt REFRIGERADO</t>
  </si>
  <si>
    <t>MC 790</t>
  </si>
  <si>
    <t>MC 791</t>
  </si>
  <si>
    <t>MC 808</t>
  </si>
  <si>
    <t>MC 792</t>
  </si>
  <si>
    <t>MC 793</t>
  </si>
  <si>
    <t>MC 794</t>
  </si>
  <si>
    <t>MC 795</t>
  </si>
  <si>
    <t>17656 / 29455</t>
  </si>
  <si>
    <t>MC 796</t>
  </si>
  <si>
    <t>MC 798</t>
  </si>
  <si>
    <t>MC 799</t>
  </si>
  <si>
    <t>GREY CAROLINA PABON CHACON</t>
  </si>
  <si>
    <t>MC 801</t>
  </si>
  <si>
    <t>MC 802</t>
  </si>
  <si>
    <t>MC 800</t>
  </si>
  <si>
    <t>MC 807</t>
  </si>
  <si>
    <t>MC 804</t>
  </si>
  <si>
    <t>MC 805</t>
  </si>
  <si>
    <t>BIOMEDICAL TECH SAS</t>
  </si>
  <si>
    <t>MC 806</t>
  </si>
  <si>
    <t>MC 454</t>
  </si>
  <si>
    <t>FILTROS PARA JERINGA ACRODISCOS PORO 0.2 UM DIAM 28 MM</t>
  </si>
  <si>
    <t>CARLOS ENRIQUE MARTINEZ SERRANO</t>
  </si>
  <si>
    <t>22413/ 29455</t>
  </si>
  <si>
    <t>CONGELADORA DE EMBRIONES ALLICE</t>
  </si>
  <si>
    <t>APLICACIÓN (SOFWARE)  ISPERM ADICIONAL</t>
  </si>
  <si>
    <t>EMBRIONES DEL SINU S.A.</t>
  </si>
  <si>
    <t>PAOLA ANDREA RODRIGUEZ FORERO</t>
  </si>
  <si>
    <t>WILFREDO PERDOMO TOVAR</t>
  </si>
  <si>
    <t>LIDERMAN SALAZAR CARDENAS</t>
  </si>
  <si>
    <t>PERCOLL(R), PH 8.5-9.5 (20 DEGREE C) REFRIGERADO</t>
  </si>
  <si>
    <t>TUBO CÓNICO DE 15 ML, TAPA ROSCA ESTÉRIL  RCF MAX: 10000xg, 
graduados, PCR puro. VENCE: 03/04/2028</t>
  </si>
  <si>
    <t>PEDRO FABIAN JIMENEZ CARO</t>
  </si>
  <si>
    <t>FABIAN CHONA</t>
  </si>
  <si>
    <t>ECÓGRAFO EMPEROR N2</t>
  </si>
  <si>
    <t>CGR BIOTECNOLOGIA REPRODUCTIVA SAS</t>
  </si>
  <si>
    <t>YAIR JESUS AMADO GOMEZ</t>
  </si>
  <si>
    <t>T-200</t>
  </si>
  <si>
    <t>PLATINA CALENTADORA PARA MICROSCOPIO T200</t>
  </si>
  <si>
    <t>REGLA PARA NITRÓGENO</t>
  </si>
  <si>
    <t>PLATINA TÉRMICA MA- BIO</t>
  </si>
  <si>
    <t>PURIFICADOR DE AIRE UPM/EC-31-F7+HEPA H14</t>
  </si>
  <si>
    <t>SODECA</t>
  </si>
  <si>
    <t>CONO RECOLECTOR</t>
  </si>
  <si>
    <t>100 UNIDADES</t>
  </si>
  <si>
    <t>PAJILLAS AMARILLAS 0,25</t>
  </si>
  <si>
    <t>21-0010</t>
  </si>
  <si>
    <t>PUNTAS COLOR NATURAL ESTANDAR GRADUADA 10 UL</t>
  </si>
  <si>
    <t>BIOLGIX</t>
  </si>
  <si>
    <t>ROLLO X 38 MTS</t>
  </si>
  <si>
    <t>CP-P100V</t>
  </si>
  <si>
    <t>MICROPIPETA PREMIUM VOLUMEN VARIABLE 10- 100 UL</t>
  </si>
  <si>
    <t>ESPÉCULO INOX PICO DE PATO OVINO</t>
  </si>
  <si>
    <t>602002-2</t>
  </si>
  <si>
    <t>TUBO CONICO. PLUG SEAL. PP 50 ML TAPA EN PE.
 GRADUADO AUTOCLAVABLE ESTERIL LIBRE Dnase,
 Rnase TAPA VERDE BOLSA X 50 UNI, MAX RCF (xg)
 12.000 - NEST</t>
  </si>
  <si>
    <t>SONDA CONVENXA ECÓGRAFO PT 50C</t>
  </si>
  <si>
    <t>PANTALLA L60</t>
  </si>
  <si>
    <t>00051076-02</t>
  </si>
  <si>
    <t>LIDOCAÍNA  HCL 2 % X 100 ML/ 2025-12-16</t>
  </si>
  <si>
    <t>PUNTAS TRANSPARENTES DE 5- 10 UL GRADUADAS LIBRE DE RNA SAS DNA SAS</t>
  </si>
  <si>
    <t>BATERÍA TRANSPORTADORA WTA</t>
  </si>
  <si>
    <t>GRADILLA PLÁSTICA EN PP PARA 60 TUBS TIPO FALCON 30X15 ML / 20X50 ML/ MARCA: CRALPLAST</t>
  </si>
  <si>
    <t>PISTOLA DE TE 0,25 MARCA IMV</t>
  </si>
  <si>
    <t>PISTOLA DE TE 0,5 / MARCA IMV</t>
  </si>
  <si>
    <t>OPTIXCELL 250 ML</t>
  </si>
  <si>
    <t>CAMISA SANITARIA CAJA X 100</t>
  </si>
  <si>
    <t>FORRO ECÓGRAFO L60</t>
  </si>
  <si>
    <t>FILTROS OPU 100 UM/ MARCA TED</t>
  </si>
  <si>
    <t>PAQUETE X 20 UNIDADES</t>
  </si>
  <si>
    <t>7BR528</t>
  </si>
  <si>
    <t>SEMEN GUS BRAHMAN IMPORTADO</t>
  </si>
  <si>
    <t>NITROGENO</t>
  </si>
  <si>
    <t>NITRÓGENO</t>
  </si>
  <si>
    <t>FORRO DE GOMITA PASA ECÓGRAFO S1</t>
  </si>
  <si>
    <t>FILTRO DE JERINGA ACRODISC, MEMBRANA SUPOR (PES), DIAM 25MM X 0,2 UM, ESTERIL POR GAMMA IRRADIACIÓN</t>
  </si>
  <si>
    <t>PALL</t>
  </si>
  <si>
    <t>FILTRO DE JERINGA ACRODISC, MEMBRANA SUPOR (PES), DIAM 25MM X 0,45 UM, ESTERIL POR GAMMA IRRADIACIÓN</t>
  </si>
  <si>
    <t>VAGINA ARTIFICIAL EQUINA NACIONAL</t>
  </si>
  <si>
    <t xml:space="preserve">NACIONAL </t>
  </si>
  <si>
    <t>ANDROLOGÍA Y REPRODUCCIÓN EQUINA</t>
  </si>
  <si>
    <t xml:space="preserve">MICROPIPETA PLUS 0.5- 10 UL / INCLUYE CAJA DE PUNTAS </t>
  </si>
  <si>
    <t>ESCALERILLAS METÁLICAS DE 10 MM</t>
  </si>
  <si>
    <t>CATÉTER FOLLEY 32 FR 75 CC/ 864 MM</t>
  </si>
  <si>
    <t>B00992</t>
  </si>
  <si>
    <t>BOLSA WHRIL-PAK 7 OZ</t>
  </si>
  <si>
    <t>PIPETA RESEARCH PLUS 0.1-2.5 UL SERIE R3388IL</t>
  </si>
  <si>
    <t>17845-ACK</t>
  </si>
  <si>
    <t>MINISART NY 25 X 0.2. ESTERIL, SERIE 220262103, FV 2025/02</t>
  </si>
  <si>
    <t>HIPPEX DILUYENTE DE SEMEN EQUINO</t>
  </si>
  <si>
    <t>HUVE SEARCH</t>
  </si>
  <si>
    <t>DISPOSITIVO INTRAVAGINAL PARA OVINOS Y CAPRINOS</t>
  </si>
  <si>
    <t>CDAVEGET50</t>
  </si>
  <si>
    <t>VETEGON ECG X5MIL UND</t>
  </si>
  <si>
    <t>5000 UND</t>
  </si>
  <si>
    <t>OVEGEST100</t>
  </si>
  <si>
    <t>GESTAR X 100 ML</t>
  </si>
  <si>
    <t xml:space="preserve">COVCICLX50 </t>
  </si>
  <si>
    <t xml:space="preserve">CICLAR X 50 ML </t>
  </si>
  <si>
    <t>GAFAS PARA ECÓGRAFO L60</t>
  </si>
  <si>
    <t>EMP-V8</t>
  </si>
  <si>
    <t>ECÓGRAFO EMPEROR V8</t>
  </si>
  <si>
    <t>EMP-G20</t>
  </si>
  <si>
    <t>ECÓGRAFO EMPEROR G20/ COLOR DOPPLER</t>
  </si>
  <si>
    <t>EMP-N2BAT</t>
  </si>
  <si>
    <t>BATERÍA ECÓGRAFO EMPEROR N2</t>
  </si>
  <si>
    <t>TERREROS SERVICIOS AGROPECUARIOS ZOMAC SAS</t>
  </si>
  <si>
    <t>EMP-6.5C12811-OPU</t>
  </si>
  <si>
    <t>GUÍA OPU EMPEROR/ PARA ECÓGRAFO G20</t>
  </si>
  <si>
    <t>MICROPUNTA NATURAL, 10 UL AUTOCLAVABLE</t>
  </si>
  <si>
    <t>SOCOREX</t>
  </si>
  <si>
    <t>MUNDIAL DE EQUIPOS</t>
  </si>
  <si>
    <t>7501-96R</t>
  </si>
  <si>
    <t>MICROPUNTA NATURAL, 10 UL CORTA</t>
  </si>
  <si>
    <t>SCIENTIFIC</t>
  </si>
  <si>
    <t>HP0012</t>
  </si>
  <si>
    <t>CAJA DE PETRI DESECHABLE ESTERIL 130X130 MM CUADRADA</t>
  </si>
  <si>
    <t>HD MEDICAL</t>
  </si>
  <si>
    <t>SGB003</t>
  </si>
  <si>
    <t>TUBOS MICROCENTRIFUGA (EPPENDOR ) 1.5 ML. PP. SAFE LOCK, AUTOCLAVABLE NO ESTERIL, LIBRES DE RNAsa, D</t>
  </si>
  <si>
    <t>BIO SEEN</t>
  </si>
  <si>
    <t>607180U</t>
  </si>
  <si>
    <t>PIPERA SEROLÓGICA ESTERIL 10 MLS/ CELLSTAR</t>
  </si>
  <si>
    <t>CELLSTAR</t>
  </si>
  <si>
    <t>MG-H403425G</t>
  </si>
  <si>
    <t>HEPES; BIOPERFORMANCE /CERTIFIED X 25G</t>
  </si>
  <si>
    <t>SONDA PROVETSCAN WIFI SU-3/ INCLUYE: CARGADOR GENÉRICO 2A, ARNES GENÉRICO, MALETA SU-3A</t>
  </si>
  <si>
    <t xml:space="preserve">HC-R069 </t>
  </si>
  <si>
    <t>CARGADOR MICROSCOPIO</t>
  </si>
  <si>
    <t>PLUSET 20 ML</t>
  </si>
  <si>
    <t>VETERANDINA</t>
  </si>
  <si>
    <t xml:space="preserve">MANGA OBSTET. DESECHABHE TIPO T SUPER SENSITIVA </t>
  </si>
  <si>
    <t>LHAURA</t>
  </si>
  <si>
    <t>REGLILLA NITRÓGENO</t>
  </si>
  <si>
    <t>GUARDIAN 1,50 L</t>
  </si>
  <si>
    <t>Dicpoplast</t>
  </si>
  <si>
    <t>TERMO NITRÓGEN ET-3</t>
  </si>
  <si>
    <t>MVE</t>
  </si>
  <si>
    <t>XCM-12K</t>
  </si>
  <si>
    <t>MINI CENTRÍFUGA</t>
  </si>
  <si>
    <t>SHANGHAI YOUDING INTERNATIONAL TRADE</t>
  </si>
  <si>
    <t>XH-2002</t>
  </si>
  <si>
    <t>PLATINA XH-2002</t>
  </si>
  <si>
    <t>SMP-24</t>
  </si>
  <si>
    <t>ESTEREOMICROSCOPIO 2X 4X LED</t>
  </si>
  <si>
    <t>SMZ-05</t>
  </si>
  <si>
    <t>ESTEREOMICROSCOPIO ZOOM</t>
  </si>
  <si>
    <t>SMZ-1.5</t>
  </si>
  <si>
    <t>OBJETIVO AUXILIAR 1.5X</t>
  </si>
  <si>
    <t>SMZ-2</t>
  </si>
  <si>
    <t>OBJETIVO AUXILIAR 2X</t>
  </si>
  <si>
    <t>MC 747</t>
  </si>
  <si>
    <t>MG-G126450M</t>
  </si>
  <si>
    <t>MG-G126450M / GENTAMICIN SULFATE SALT BIOREAGENT; SUIT X 50MG</t>
  </si>
  <si>
    <t>50 MG</t>
  </si>
  <si>
    <t>BALANZA ELECTRÓNICA DÍGITAL GRAMERA 40 KG RECARGABLE</t>
  </si>
  <si>
    <t>HC-B079E</t>
  </si>
  <si>
    <t>MINI MICROSCOPIO</t>
  </si>
  <si>
    <t>ADAPTADOR DE CELULAR PARA MICROSCOPIO</t>
  </si>
  <si>
    <t>FSF-101-KIT</t>
  </si>
  <si>
    <t>KIT PIPETA LLENADO PAJILLAS</t>
  </si>
  <si>
    <t>ARSALES</t>
  </si>
  <si>
    <t>MEDIO PARA CONGELACIÓN DE SEMEN CANINO</t>
  </si>
  <si>
    <t>CANIPLUS</t>
  </si>
  <si>
    <t>MC 753</t>
  </si>
  <si>
    <t>ESG- LINEAL</t>
  </si>
  <si>
    <t>ECÓGRAFO EASI SCAN GO LITE CON SONDA LINEAL KIT</t>
  </si>
  <si>
    <t>MC 754</t>
  </si>
  <si>
    <t>E- INTRODUCER -GO</t>
  </si>
  <si>
    <t>ALARGADR DE SONDA ESG CORTO</t>
  </si>
  <si>
    <t>CORTAPAJILLAS WTA</t>
  </si>
  <si>
    <t>PIPETA PLUS 0.1-2.5µL, UNIDAD - EPPENDORF</t>
  </si>
  <si>
    <t>13408/ 0010</t>
  </si>
  <si>
    <t>PAQUETE X 250 UNIDADES</t>
  </si>
  <si>
    <t>VICTOR JAVIER SANABRIA SEPULVEDA</t>
  </si>
  <si>
    <t>PIPETA EQUINA DE 65 CM</t>
  </si>
  <si>
    <t>CABLE PLATINA ISPERM</t>
  </si>
  <si>
    <t>GOBLET AMARILLO 10 MM</t>
  </si>
  <si>
    <t>REPRODUCTION PROVISION</t>
  </si>
  <si>
    <t>320-3000A</t>
  </si>
  <si>
    <t>PUNTA 10 UL LARGA LIBRES DNAsas, RNAasas, Y piR ESTACABLE</t>
  </si>
  <si>
    <t>BIO POINTE SCIENTIFIC</t>
  </si>
  <si>
    <t>96 UNIDADES</t>
  </si>
  <si>
    <t>AGUJA PARA ASPIRACIÓN 18G</t>
  </si>
  <si>
    <t>TERMO DE TRANSPORTE 1 LITRO</t>
  </si>
  <si>
    <t>AGUJA DE GUÍA BOVINA PARA OPU</t>
  </si>
  <si>
    <t>MC 767</t>
  </si>
  <si>
    <t>CR1A</t>
  </si>
  <si>
    <t xml:space="preserve">SONDA Wi-Fi PROVERSCAN CR1A
</t>
  </si>
  <si>
    <t>PROVERSCAN</t>
  </si>
  <si>
    <t xml:space="preserve"> 30-02560U</t>
  </si>
  <si>
    <t>ELECTRO EYACULADOR PULSATOR V COMPLETO</t>
  </si>
  <si>
    <t>25-60U</t>
  </si>
  <si>
    <t>TROBE VERTICAL DE 60MM PARA ELECTRO PULSATOR</t>
  </si>
  <si>
    <t>CABLE PARA ELECTRO PULSATOR IV</t>
  </si>
  <si>
    <t>CAMARA DE NEUBAUER IMPROVED LINEA ESTANDARD</t>
  </si>
  <si>
    <t>PUNTAS PARA MICROPIEPTA 2-20UL RACK X 96</t>
  </si>
  <si>
    <t>MC 773</t>
  </si>
  <si>
    <t xml:space="preserve"> 30-60U</t>
  </si>
  <si>
    <t>ELECTRO EYACULADOR PULSATOR V COMPLETO CON 2 ELECTRODOS</t>
  </si>
  <si>
    <t>PTC</t>
  </si>
  <si>
    <t>PISTOLA DE INSEMINACIÓN ARTIFICIAL CON CÁMARA</t>
  </si>
  <si>
    <t>V1</t>
  </si>
  <si>
    <t xml:space="preserve">        V1 KAIXIN ECOGRAFO PORTATL</t>
  </si>
  <si>
    <t>KAIXIM</t>
  </si>
  <si>
    <t>403/ 78153-003</t>
  </si>
  <si>
    <t>ESQUILADORA SHEAR MASTER OVINOS
1     00403
OSTER</t>
  </si>
  <si>
    <t>OSTER</t>
  </si>
  <si>
    <t>25-75U</t>
  </si>
  <si>
    <t>PROBE DE 75 MM 2 ELECTRODOS</t>
  </si>
  <si>
    <t>ELECTRO EYACULADOR LANE/ CON BATERIA</t>
  </si>
  <si>
    <t>APLICACIÓN ISPERM ADICIONAL X 2 ESPECIES</t>
  </si>
  <si>
    <t xml:space="preserve">FUNDAS DE TRANSFERENCIA AZUL PUNTA METÁLICA 21"                 </t>
  </si>
  <si>
    <t xml:space="preserve"> PAQUETE X 5 UND</t>
  </si>
  <si>
    <t xml:space="preserve"> FUNDAS DE TRANSFERENCAI DE 0,5 PARA EQUINOS        IMV
</t>
  </si>
  <si>
    <t>TERMO DESCONGELADOR DE SEMEN DE EMBRIONES ROSADO</t>
  </si>
  <si>
    <t>CINTA ESCROTAL METÁLICA</t>
  </si>
  <si>
    <t>TIJERA BALONADORA 30 CM RECTA</t>
  </si>
  <si>
    <t>BASCULA OVINA ELECTRONICA</t>
  </si>
  <si>
    <t>MICROTUBO EPPENDORF PLASTICO GRADUADO X 2 ML ESTERIL/ TAPA LLANA, BASE CÓNICA</t>
  </si>
  <si>
    <t>MICROTUBO EPPENDORF PLASTICO GRADUADO X 0,5 ML ESTERIL/, BASE CÓNICA</t>
  </si>
  <si>
    <t>TUBO PLÁSTICO PARA PISTOLA DE INSEMINACIÓN</t>
  </si>
  <si>
    <t>MAP-PROGES- ESPOV/ ESPONJA PARA OVINO- CAPRINO</t>
  </si>
  <si>
    <t>BS-3040B / BSZ-F35</t>
  </si>
  <si>
    <t>ESTÉREO MICROSCOPIO BINOCULAR BS-3040B con 10X
OCULAR/ SOPORTE BSZ-F35</t>
  </si>
  <si>
    <t>BETSCAN</t>
  </si>
  <si>
    <t>YARUMA S.A.S</t>
  </si>
  <si>
    <t>OCULAR 15X</t>
  </si>
  <si>
    <t>PAR</t>
  </si>
  <si>
    <t>OCULAR 20X</t>
  </si>
  <si>
    <t>PROTECTOR VAGINA ARTIFICIAL OVINO- CAPRINA</t>
  </si>
  <si>
    <t>JORGE TRUJILLO LONDOÑO</t>
  </si>
  <si>
    <t>PIPETA AUT VOL VARIABLE JOANLAB 0,5-10</t>
  </si>
  <si>
    <t>JOANLAB</t>
  </si>
  <si>
    <t>PIPETA AUT VOL VARIABLE JOANLAB 20-200</t>
  </si>
  <si>
    <t>GRADILLA PLASTICA EN PP PARA 96 MICROTUBOS 0,5/1,5/2,0ML AZUL X UNIDAD / CRALPLAST</t>
  </si>
  <si>
    <t>FOTOMETRO SMD 1 PARA SEMEN BOVINO</t>
  </si>
  <si>
    <t>MICROCUBETAS X 100 UNIDADES</t>
  </si>
  <si>
    <t>ELECTROJAC PROBE 2" (51mm)</t>
  </si>
  <si>
    <t xml:space="preserve">NEOGEN </t>
  </si>
  <si>
    <t>MONITOR INALÁMBRICO PARA V1</t>
  </si>
  <si>
    <t>ECÓGRAFO S0- VET</t>
  </si>
  <si>
    <t>MONITOR AM6100 SN AM3003090</t>
  </si>
  <si>
    <t>SONDA LINEAL RECTAL DAWEI</t>
  </si>
  <si>
    <t>SONDA LINEAL RECTAL L60 BMV</t>
  </si>
  <si>
    <t>DANIEL YEPES MESA</t>
  </si>
  <si>
    <t>4004-1007</t>
  </si>
  <si>
    <t>TUBO DE CULTIVO 5ML 12X7,5 MM</t>
  </si>
  <si>
    <t>CAJA PETRI DE 60 MM</t>
  </si>
  <si>
    <t>PAQUETE X 15 UND</t>
  </si>
  <si>
    <t>RUBEN DARIO MENDOZA GONZALEZ</t>
  </si>
  <si>
    <t>CATÉTER IA TALADRO PARA CERDOS</t>
  </si>
  <si>
    <t>NELSON</t>
  </si>
  <si>
    <t>DIEGO ENRIQUE VALBUENA TOVAR</t>
  </si>
  <si>
    <t>CATETER TALADROBLANCO 18"</t>
  </si>
  <si>
    <t>FILTRO DE ALTO FLUJO</t>
  </si>
  <si>
    <t xml:space="preserve">CATÉTER FOLLEY DE SILICONA 16FR. X 30CC </t>
  </si>
  <si>
    <t xml:space="preserve">CATÉTER FOLLEY DE SILICONA 18FR. X 30CC </t>
  </si>
  <si>
    <t>CATÉTER FOLLEY DE SILICONA 20FR X 30CC</t>
  </si>
  <si>
    <t>BISTURÍ # 15</t>
  </si>
  <si>
    <t>PARAMUNT</t>
  </si>
  <si>
    <t>EAGOLITLI</t>
  </si>
  <si>
    <t>EASI-SCAN GO-LITE-LINEAR</t>
  </si>
  <si>
    <t xml:space="preserve">	BCFCLSH640</t>
  </si>
  <si>
    <t>BCF CURVE AND LINEAR PROBE INTRODUCER - SHORT CONFIG (640 mm)</t>
  </si>
  <si>
    <t>ESGLITELICENCIE</t>
  </si>
  <si>
    <t xml:space="preserve">ESG Lite lifetime licence
</t>
  </si>
  <si>
    <t>BTTASS</t>
  </si>
  <si>
    <t>BATTERY ASSY</t>
  </si>
  <si>
    <t xml:space="preserve">BOXFOAMCIGARSILI	</t>
  </si>
  <si>
    <t>Box branded ESG Lite , Foam for the box, SILICONE WAIST BELT,Cigar Lead to 2.5mm Jack Cable - 2m,</t>
  </si>
  <si>
    <t xml:space="preserve">	EAGOCHA</t>
  </si>
  <si>
    <t xml:space="preserve">EASI-SCAN GO - CHARGER ( inc. power supply and adaptor))
</t>
  </si>
  <si>
    <t>JUAN JOSE GONZALEZ NAVARRO</t>
  </si>
  <si>
    <t>DAVID ALBERTO SANDOVAL MEDINA</t>
  </si>
  <si>
    <t>EDGAR JAVIER BRICEÑO CUSPOCA</t>
  </si>
  <si>
    <t>GENÉTICA IN VITRO C.A.</t>
  </si>
  <si>
    <t>ANDRES FELIPE RUIZ</t>
  </si>
  <si>
    <t>ALFONSO PALENCIA ALVAREZ</t>
  </si>
  <si>
    <t>JUAN CARLOS MASSO FUENTES</t>
  </si>
  <si>
    <t>SERVICIO TECNICO</t>
  </si>
  <si>
    <t>CR 36 SAS</t>
  </si>
  <si>
    <t>CHRISTIAN GERMAN CAICEDO ALVAREZ</t>
  </si>
  <si>
    <t>ALDEMAR CHAVEZ RODRIGUEZ</t>
  </si>
  <si>
    <t>HECTOR HERNAN GUERRERO GARCIA</t>
  </si>
  <si>
    <t>CENTRAL GENETICA EMBRIOBRA FIV S A S</t>
  </si>
  <si>
    <t>CARLOS AUGUSTO SANABRIA QUIROGA</t>
  </si>
  <si>
    <t>PEDRO JAIME SUAREZ</t>
  </si>
  <si>
    <t>GLOBAL BIOTECHNOLOGY CARIBE S.A.S.</t>
  </si>
  <si>
    <t>PROGENE SAS</t>
  </si>
  <si>
    <t>GUILLERMO ANDRES TORRES LEYVA</t>
  </si>
  <si>
    <t>CONSULTA PECUARIA S.A.S</t>
  </si>
  <si>
    <t>CREDITO 15 DIAS</t>
  </si>
  <si>
    <t>RED PECUARIA MG S A S</t>
  </si>
  <si>
    <t>CARLOS ANDRÉS VÁSQUEZ CARDENAS</t>
  </si>
  <si>
    <t>JULIAN CAMILO GOMEZ VASQUEZ - REPROHORSE SAS</t>
  </si>
  <si>
    <t>HECTOR GEOVANNY HERRERA ROMERO</t>
  </si>
  <si>
    <t>GIOVANNY MUÑOZ QUINTERO</t>
  </si>
  <si>
    <t>CARLOS ARTURO SURMAY GÁNDARA</t>
  </si>
  <si>
    <t>IVAN MAURICIO GONZÁLEZ FAJARDO</t>
  </si>
  <si>
    <t>HANZEL ALBERTO HORTUA</t>
  </si>
  <si>
    <t>INVERSIONES AGROPUNTO LA FINCA S A S</t>
  </si>
  <si>
    <t>AGROPECUARIA CHIQUIQUE S.A.S</t>
  </si>
  <si>
    <t>SOCIEDAD GANADERA LOS ALPES SAS</t>
  </si>
  <si>
    <t>CRISTIAN ANDRES CAMPOS</t>
  </si>
  <si>
    <t>DIANA SOFIA MONROY TORRES</t>
  </si>
  <si>
    <t>Diego Armando Vega Borda</t>
  </si>
  <si>
    <t>ESNEIDER VASQUEZ MOTTA</t>
  </si>
  <si>
    <t>BIOTECNOLOGIA Y AGROPECUARIA SF ZOMAC SAS</t>
  </si>
  <si>
    <t>ANDREA LILIANA ALFONSO RINCON</t>
  </si>
  <si>
    <t>VILLAO</t>
  </si>
  <si>
    <t>AGROPECUARIA EL DESTINO S A S</t>
  </si>
  <si>
    <t>LUIS HERNAN NUÑEZ FALLA</t>
  </si>
  <si>
    <t>JOSE ANTONIO NIÑO NIÑO</t>
  </si>
  <si>
    <t>DIEGO ARMANDO SANCHEZ HEREDIA</t>
  </si>
  <si>
    <t>TAMISUELOS SAS</t>
  </si>
  <si>
    <t>GRUPO LABSERVIS LTDA</t>
  </si>
  <si>
    <t>DEBE</t>
  </si>
  <si>
    <t>BIOTECNOLOGIA REPRODUCTIVA GANADERA SAS</t>
  </si>
  <si>
    <t>FLORENCIA</t>
  </si>
  <si>
    <t>MONTERIA</t>
  </si>
  <si>
    <t>EMPRESA GENETICA ESPECIAL LTDA</t>
  </si>
  <si>
    <t>ARMANDO ANGULO MACHACADO</t>
  </si>
  <si>
    <t>MC 809</t>
  </si>
  <si>
    <t>SONDA LINEAL RECTAL (L080-80F)4.0MHz~7.5MHz/ ECÓGRAFO V9</t>
  </si>
  <si>
    <t>13500/0250</t>
  </si>
  <si>
    <t>TRILADYL 250 ML</t>
  </si>
  <si>
    <t>ALTA VETERINARY</t>
  </si>
  <si>
    <t>KIT</t>
  </si>
  <si>
    <t>GENFOLLOWER</t>
  </si>
  <si>
    <t xml:space="preserve"> DIEGO ALEXANDER SABOGAL RINCON</t>
  </si>
  <si>
    <t>MC 810</t>
  </si>
  <si>
    <t>MONITOR PARA V1 WIRILESS</t>
  </si>
  <si>
    <t>JUAN FRANCISCO DAZA VAN-STRAHLEN</t>
  </si>
  <si>
    <t>IVAN DARIO CAMELO CIFUENTES</t>
  </si>
  <si>
    <t>ARQUIMEA</t>
  </si>
  <si>
    <t>MC 811</t>
  </si>
  <si>
    <t>TERMO DE RECOLECCIÓN DE SEMEN/ USO VETERINARIO</t>
  </si>
  <si>
    <t>MC 812</t>
  </si>
  <si>
    <t>MEDSINGLONG CO</t>
  </si>
  <si>
    <t>MSLDO05</t>
  </si>
  <si>
    <t>LUISA FERNANDA PORTILLO</t>
  </si>
  <si>
    <t>MC 813</t>
  </si>
  <si>
    <t>KIT PRUEBA DE PREÑEZ MICROESFERAS</t>
  </si>
  <si>
    <t>MUESTRAEOBOS</t>
  </si>
  <si>
    <t>DILUYENTE EOBOS PLUS 1 L</t>
  </si>
  <si>
    <t>DILUYENTE ACROMAX PLUS 1 LITRO</t>
  </si>
  <si>
    <t>MUESTRAACROMAX</t>
  </si>
  <si>
    <t>FABIAN CAMILO ALVARADO CHACON</t>
  </si>
  <si>
    <t>MC 814</t>
  </si>
  <si>
    <t xml:space="preserve"> DC85059</t>
  </si>
  <si>
    <t>DC90088</t>
  </si>
  <si>
    <t>DC22619</t>
  </si>
  <si>
    <t>MC 815</t>
  </si>
  <si>
    <t>MC 816</t>
  </si>
  <si>
    <t>MC 817</t>
  </si>
  <si>
    <t>MICROPIPETA AUTMÁTICA VOLUMEN VARIABLE 100 A 1000 UL</t>
  </si>
  <si>
    <t>MICROPIPETA AUTOMÁTICA VOLUMEN VARIABLE 2 A 10 ML</t>
  </si>
  <si>
    <t>MICROPIPETA AUTOMÁTICA VOLUMEN VARIABLE 20 A 200 UL</t>
  </si>
  <si>
    <t>MICROPIPETA AUTOMÁTICA VOLUMEN VARIABLE 0,5 A 10 UL</t>
  </si>
  <si>
    <t>DC65884</t>
  </si>
  <si>
    <t>DAWEI VETERINARY MEDICAL (JIANGSU) CO, LTD</t>
  </si>
  <si>
    <t>MC 818</t>
  </si>
  <si>
    <t>CULTIVOS SANKA SAS</t>
  </si>
  <si>
    <t>COL-BRA GENÉTICA SAS</t>
  </si>
  <si>
    <t>OSCAR MANUEL MENDEZ ROA</t>
  </si>
  <si>
    <t>CORPORACION DE CIENCIAS BIOTECNOLOGIAS - EMBRIOTECNO</t>
  </si>
  <si>
    <t>MC 819</t>
  </si>
  <si>
    <t>CO294-CW</t>
  </si>
  <si>
    <t>PLACA CALENTADORA DIGITAL, CON CONTROL DE TEMPERATURA</t>
  </si>
  <si>
    <t>AMAZON</t>
  </si>
  <si>
    <t>PAJILLAS 1/4 CC IRRADIADAS/ 0,25</t>
  </si>
  <si>
    <t>PAJILLAS 1/2  IRRADIADAS CC/ ,05</t>
  </si>
  <si>
    <t>PAJILLAS IRRADIADAS  1/4 CC/ 0,25</t>
  </si>
  <si>
    <t>ADRIANA MARIA URIBE CALLE</t>
  </si>
  <si>
    <t>PAQUETE X 50UND</t>
  </si>
  <si>
    <t>MC 820</t>
  </si>
  <si>
    <t>FILTROS DE JERINGA DE 28 MM DE DIAMETRO Y 0.2 MICRAS DE PORO, ESTERIL, MEMBRANAS (PES),
MATERIAL (AC). CAJA X 50 UNDS. MARCA: CORNING
Lote 21622041 (2.0)</t>
  </si>
  <si>
    <t>MC 821</t>
  </si>
  <si>
    <t>ARIEL IGNACIO MARTINEZ</t>
  </si>
  <si>
    <t>MC 822</t>
  </si>
  <si>
    <t>PT113</t>
  </si>
  <si>
    <t>NATURAL FERTILITY X 2 KL</t>
  </si>
  <si>
    <t>2 KL</t>
  </si>
  <si>
    <t>BIOGENETIC IN-VITRO SAS</t>
  </si>
  <si>
    <t>CATÉTER DE INSEMINACIÓN PUNTA VERDE 30" EQUINOS/ MARCA: REPRODUCTION PROVISION</t>
  </si>
  <si>
    <t>ELIANA NEIRA RIVERA</t>
  </si>
  <si>
    <t>PRESTAMO</t>
  </si>
  <si>
    <t>RAFAEL ANTONIO GOMEZ GOMEZ</t>
  </si>
  <si>
    <t>MC 823</t>
  </si>
  <si>
    <t>GOBLETS  DE BLANCOS 10 MM</t>
  </si>
  <si>
    <t>PAISAGRO SA</t>
  </si>
  <si>
    <t>MC 824</t>
  </si>
  <si>
    <t>PAJILLAS TRANSPARENTES 0,25</t>
  </si>
  <si>
    <t>MC 825</t>
  </si>
  <si>
    <t>MC 826</t>
  </si>
  <si>
    <t>CUBETA PLÁSTICA PARA MINI PAJILLAS P/25</t>
  </si>
  <si>
    <t>MC 827</t>
  </si>
  <si>
    <t>MC 828</t>
  </si>
  <si>
    <t>CONO VAGINA ARTIFICIAL BOVINA</t>
  </si>
  <si>
    <t>LINER MEMBRANA ESTRIADA LATEX BOVINA</t>
  </si>
  <si>
    <t>MC 829</t>
  </si>
  <si>
    <t>CARCASA ISPERM</t>
  </si>
  <si>
    <t>AGROPECUARIA EL CIMARRON S A S</t>
  </si>
  <si>
    <t>MC 830</t>
  </si>
  <si>
    <t>DALÍ DE COLOMBIA</t>
  </si>
  <si>
    <t>HECTOR</t>
  </si>
  <si>
    <t>MARTHA QUINTERO</t>
  </si>
  <si>
    <t>FORRO TERMO DE NITRÉGENO T3</t>
  </si>
  <si>
    <t>YOLANDA PATIÑO PEREZ</t>
  </si>
  <si>
    <t>JESÚS HERNÁN TULCAN TIMARAN</t>
  </si>
  <si>
    <t>WILLIAM ENRIQUE CRUZ FERNANDEZ</t>
  </si>
  <si>
    <t>MC 831</t>
  </si>
  <si>
    <t xml:space="preserve">PAQUETE X 100 UND </t>
  </si>
  <si>
    <t>MC 832</t>
  </si>
  <si>
    <t>PISTOLA QUICKLOCK CLASIC ANI</t>
  </si>
  <si>
    <t>MC 833</t>
  </si>
  <si>
    <t>7 ML</t>
  </si>
  <si>
    <t>MC 834</t>
  </si>
  <si>
    <t>RAFAEL RAMÓN ALEJANDRO RAMIREZ</t>
  </si>
  <si>
    <t>ESTILETE FLEXIBLE DE 65 CM</t>
  </si>
  <si>
    <t>17209/1065</t>
  </si>
  <si>
    <t>MC 835</t>
  </si>
  <si>
    <t xml:space="preserve"> MINITUBE</t>
  </si>
  <si>
    <t>MC 836</t>
  </si>
  <si>
    <t xml:space="preserve">T-300-R </t>
  </si>
  <si>
    <t>PUNTAS TRANSPARENTES ESTAN DAR, DE 0,5 A 10 UL. NO ESTÉRILES</t>
  </si>
  <si>
    <t>MC 837</t>
  </si>
  <si>
    <t>T-200-Y-R-S</t>
  </si>
  <si>
    <t>PUNTAS AMARILLAS ESTANDAR. DE 1 A 200 UL. ESTÉRILES</t>
  </si>
  <si>
    <t>MC 838</t>
  </si>
  <si>
    <t>PISTOLA DE INSEMINACIÓN DE 0,25 PARA NOVILLAS</t>
  </si>
  <si>
    <t>CERGAN ALFA S.A.S</t>
  </si>
  <si>
    <t>SANIDAD Y PRODUCCIÓN VETERINARIA S A S</t>
  </si>
  <si>
    <t>TUBO PARA CENTRÍFUGA TIPO FALCON DE 50 ML, FONDO CÓNICO, TAPA ROSCA COLOR AZUL</t>
  </si>
  <si>
    <t>HSJ GESTIÓN 360 SAS</t>
  </si>
  <si>
    <t>AGUA DESTILADA</t>
  </si>
  <si>
    <t>GERMAN DARIO VILLAMIZAR GUERRERO</t>
  </si>
  <si>
    <t>TERIOGEN S.A.S.</t>
  </si>
  <si>
    <t>JESÚS ARBEY HORTA TRUJILLO</t>
  </si>
  <si>
    <t>MC 839</t>
  </si>
  <si>
    <t>ECÓGRAFO N5/ CON SONDA LINEAL Y MICROCONVEXA</t>
  </si>
  <si>
    <t>MC 840</t>
  </si>
  <si>
    <t>PAQUETE X 150 UND</t>
  </si>
  <si>
    <t>SANITISU</t>
  </si>
  <si>
    <t>TOALLAS DE PAPEL EN Z/ 22,5 X22 CM CADA UNA</t>
  </si>
  <si>
    <t>DOLLAR CITY</t>
  </si>
  <si>
    <t>MC 841</t>
  </si>
  <si>
    <t>KROMIC SAS</t>
  </si>
  <si>
    <t>ALBERTO ENRIQUE CARRACEDO CASTRO</t>
  </si>
  <si>
    <t>CATALINA OCHOA</t>
  </si>
  <si>
    <t>MC 842</t>
  </si>
  <si>
    <t>BATERÍA PARA ECÓGRAFO DAWEI</t>
  </si>
  <si>
    <t>FUNDAS DE INSEMINACIÓN 3W/ 0,50</t>
  </si>
  <si>
    <t>LAWRENS YEPES PELÁEZ</t>
  </si>
  <si>
    <t>MC 843</t>
  </si>
  <si>
    <t>T0167-25G/ D(+)TREHALOSE DIHYDRATE CELL CULTURE &amp;/ MARCA: SIGMA/ TIEMPO DE ENTREGA: IMPORTACIÓN DE 90 A 120 DÍAS SALVO FABRICACIÓN Y VENTA PREVIA</t>
  </si>
  <si>
    <t>T0167-25G</t>
  </si>
  <si>
    <t>MC 844</t>
  </si>
  <si>
    <t>MC 845</t>
  </si>
  <si>
    <t>PISTOLA DE TRANSFERENCIA DE EMBRIONES 0,25 / BLOQUEO AUTOMÁTICO EN ALUMINIO</t>
  </si>
  <si>
    <t>WS7</t>
  </si>
  <si>
    <t>ESTEREOMICOSCOPIO WS7</t>
  </si>
  <si>
    <t>MC 846</t>
  </si>
  <si>
    <t>MC 847</t>
  </si>
  <si>
    <t>MC 848</t>
  </si>
  <si>
    <t>VAGINA ARTIFICIAL CON VALVULA OVINO</t>
  </si>
  <si>
    <t>CONO ESPECIAL VAGINA OVINO</t>
  </si>
  <si>
    <t>JUAN PABLO MONTOYA LOPERA</t>
  </si>
  <si>
    <t>HC-R069A</t>
  </si>
  <si>
    <t>MICROSCOPIO BINOCULAR CON PLATINA Y PANTALLA 7"</t>
  </si>
  <si>
    <t>MC 849</t>
  </si>
  <si>
    <t>JUAN CAMILO BENETIZ HERNANDEZ</t>
  </si>
  <si>
    <t>MC 850</t>
  </si>
  <si>
    <t>PAJILLAS TRANSPARENTES 0,50 MINITUBE</t>
  </si>
  <si>
    <t>HENAN</t>
  </si>
  <si>
    <t>13407/0010</t>
  </si>
  <si>
    <t>PAJILLAS TRANSPARENTES 0,25 MINITUBE</t>
  </si>
  <si>
    <t>17026/0000</t>
  </si>
  <si>
    <t>PISTOLA DE INSEMINACIÓN QUICKLOCK 2000 MINITUBE</t>
  </si>
  <si>
    <t>FUNDA RANURADA UNIVERSAL MINITUBE HEN</t>
  </si>
  <si>
    <t>TR 51/7</t>
  </si>
  <si>
    <t>AIG/2U</t>
  </si>
  <si>
    <t>MC 851</t>
  </si>
  <si>
    <t>MC 852</t>
  </si>
  <si>
    <t>MC 853</t>
  </si>
  <si>
    <t>MC 854</t>
  </si>
  <si>
    <t>MC 855</t>
  </si>
  <si>
    <t>MC 856</t>
  </si>
  <si>
    <t>PISTOLA DE INSEMINACIÓN ARTIFICIAL UNIVERSAL TIPO CIRCLIP</t>
  </si>
  <si>
    <t>AIGS/5</t>
  </si>
  <si>
    <t>TERMO DE NITRÓGENO DE 51 LITROS /125mm CUELLO/6 CANASTILLAS</t>
  </si>
  <si>
    <t>HEYI BIOTECH</t>
  </si>
  <si>
    <t>ENVIO</t>
  </si>
  <si>
    <t>MC 857</t>
  </si>
  <si>
    <t>29.32.65-50.43</t>
  </si>
  <si>
    <t>DRAMINSKI</t>
  </si>
  <si>
    <t>DETECTOR ULTRASÓNICO DE GESTACIÓN PARA CERDOS</t>
  </si>
  <si>
    <t>DILUYENTE EQUINO RF SPERM</t>
  </si>
  <si>
    <t>MC 858</t>
  </si>
  <si>
    <t>RF</t>
  </si>
  <si>
    <t>REPROFERT</t>
  </si>
  <si>
    <t>PUNTAS  DE 0,5 10 UL, SIN FILTRO, TRANSPARENTE, ESTERIL, RACK X 96 PUNTAS</t>
  </si>
  <si>
    <t>GENELITE S.A.S.</t>
  </si>
  <si>
    <t>PAJILLAS TRANSPARENTES 0,50</t>
  </si>
  <si>
    <t>OSCAR HUMBERTO GOYES UNIGARRO</t>
  </si>
  <si>
    <t>MC 859</t>
  </si>
  <si>
    <t>MOTO</t>
  </si>
  <si>
    <t>GENETICA SELECTA SA</t>
  </si>
  <si>
    <t>AGRÍCOLAS Y GANADERAS ROMERO LATORRE SAS</t>
  </si>
  <si>
    <t>MC 860</t>
  </si>
  <si>
    <t>KIT VAGINOSCOPIO</t>
  </si>
  <si>
    <t>LINER VAGINA ARTIFICIAL OVINO</t>
  </si>
  <si>
    <t>ESFERAS METALICAS 0.5 ML</t>
  </si>
  <si>
    <t>MC 861</t>
  </si>
  <si>
    <t>SE-01</t>
  </si>
  <si>
    <t>ENDOSCOPIO VETERINARIO PARA SISTEMA ANDRID Y IOS</t>
  </si>
  <si>
    <t>SHINECO</t>
  </si>
  <si>
    <t>SOPORTE PORTA BUBBLES/ CUBETA METALICO</t>
  </si>
  <si>
    <t xml:space="preserve"> IN VITRO COLOMBIA S A S</t>
  </si>
  <si>
    <t>DIEGO FERNANDO RAMIREZ BOHORQUEZ</t>
  </si>
  <si>
    <t>MC 862</t>
  </si>
  <si>
    <t>UT01</t>
  </si>
  <si>
    <t>MEDIDOR DE GRASA DORSAL UT01</t>
  </si>
  <si>
    <t>MC 863</t>
  </si>
  <si>
    <t>ESCROTIMETRO</t>
  </si>
  <si>
    <t>INALMET</t>
  </si>
  <si>
    <t>ALEJANDRA URREGO</t>
  </si>
  <si>
    <t>MC 864</t>
  </si>
  <si>
    <t>HEMACOLOR TINCION RAPIDA DE FROTIS SANGUINEO SOLUCION 2</t>
  </si>
  <si>
    <t>MERCK</t>
  </si>
  <si>
    <t>2,5 LITROS</t>
  </si>
  <si>
    <t>AGROPECUARIA LAS FLECHAS C.A.</t>
  </si>
  <si>
    <t>MC 865</t>
  </si>
  <si>
    <t>MICROPIPETA DE 10- 100 UL</t>
  </si>
  <si>
    <t>CUBETA PLÁSTICA MEDIANA PARA 0,50 P/25</t>
  </si>
  <si>
    <t>MC 867</t>
  </si>
  <si>
    <t xml:space="preserve"> DILUYENTE PARA CERDOS EOBOS PLUS 1L / 4-5 DÍAS</t>
  </si>
  <si>
    <t xml:space="preserve"> DILUYENTE PARA CERDOS ACROMAX PLUS 1L/ 7-8 DIAS</t>
  </si>
  <si>
    <t>SOBRE</t>
  </si>
  <si>
    <t>E24031/C01-26</t>
  </si>
  <si>
    <t>24030/C01-26</t>
  </si>
  <si>
    <t>MC 866</t>
  </si>
  <si>
    <t>MC 868</t>
  </si>
  <si>
    <t>RACK ALUMINIO 12 TUBOS/ 2 ML</t>
  </si>
  <si>
    <t>AGUA DESTILADA GARRAFA X 20 LITROS MARCA: NACIONAL</t>
  </si>
  <si>
    <t>20 LITROS</t>
  </si>
  <si>
    <t>MC 869</t>
  </si>
  <si>
    <t>OR510606</t>
  </si>
  <si>
    <t>AGROPECUARIA BERLIN DE LOS LLANOS SAS ZOMAC</t>
  </si>
  <si>
    <t>MIGUEL PERDOMO</t>
  </si>
  <si>
    <t>PAQUETE X 250 UND</t>
  </si>
  <si>
    <t>MC 870</t>
  </si>
  <si>
    <t>PAJILLAS DE 0,50 TRANSPARENTES MINITUBE</t>
  </si>
  <si>
    <t>Diego Grisolia</t>
  </si>
  <si>
    <t>MC 871</t>
  </si>
  <si>
    <t>CINTA DE MEDICIÓN PARA PESAR GANADO BOVINO/ NACIONAL</t>
  </si>
  <si>
    <t>MC 872</t>
  </si>
  <si>
    <t>CINTA DE MEDICIÓN PARA PESAR CABALLOS/ NACIONAL</t>
  </si>
  <si>
    <t>NEW VETEC</t>
  </si>
  <si>
    <t>MARIO MARCELO SERRANO CAMPAGNARO</t>
  </si>
  <si>
    <t>MC 873</t>
  </si>
  <si>
    <t xml:space="preserve">ESTILETE DE 24 SS PARA CATETER DE 16FR Y MAS GRANDE
</t>
  </si>
  <si>
    <t>MARIO LUIS CARPENA DYER</t>
  </si>
  <si>
    <t>FLOTA</t>
  </si>
  <si>
    <t>JORGE EDUARDO CADAVID GOMEZ</t>
  </si>
  <si>
    <t>VALENTINA</t>
  </si>
  <si>
    <t>INVERSIONES CELNAR SAS</t>
  </si>
  <si>
    <t>MC 874</t>
  </si>
  <si>
    <t>AGUJA DESECHABLE 20G X 1 1/2</t>
  </si>
  <si>
    <t>ENSAFE</t>
  </si>
  <si>
    <t>NOGA S.A.S.</t>
  </si>
  <si>
    <t>MC 875</t>
  </si>
  <si>
    <t>MC 876</t>
  </si>
  <si>
    <t>BOQUILLA DE LLENADO CON SUCCIÓN 20 PIN 0.25 ML</t>
  </si>
  <si>
    <t>MC 877</t>
  </si>
  <si>
    <t>SOPORTE PORTA CUBETAS/  METALICO</t>
  </si>
  <si>
    <t>SUJETADOR 15 PAJILLAS 0,5</t>
  </si>
  <si>
    <t>MC 878</t>
  </si>
  <si>
    <t>MC 879</t>
  </si>
  <si>
    <t>SUJETADOR 20 PAJILLAS 0,25</t>
  </si>
  <si>
    <t>MC 880</t>
  </si>
  <si>
    <t>CAUCHO RESPUESTO DE SUJETADOR 15 PAJILLAS 0,5</t>
  </si>
  <si>
    <t>CAUCHO RESPUESTO DE SUJETADOR 20 PAJILLAS 0,25</t>
  </si>
  <si>
    <t>MC 881</t>
  </si>
  <si>
    <t>MC 882</t>
  </si>
  <si>
    <t>MC 883</t>
  </si>
  <si>
    <t>MC 884</t>
  </si>
  <si>
    <t>MC 885</t>
  </si>
  <si>
    <t>TUBO LIGAZON BOMBA MRS3</t>
  </si>
  <si>
    <t>MC 886</t>
  </si>
  <si>
    <t>MC 887</t>
  </si>
  <si>
    <t>MC 888</t>
  </si>
  <si>
    <t>PISTOLA DE INSEMINACION OVINO- CAPRINO/  PARA VAINAS MINI</t>
  </si>
  <si>
    <t>PISTOLA DE INSEMINACIÓN OVINO 0,50/CAPRINO PARA VAINAS MEDIANAS</t>
  </si>
  <si>
    <t>MC 889</t>
  </si>
  <si>
    <t>MC 890</t>
  </si>
  <si>
    <t>MC 891</t>
  </si>
  <si>
    <t>MC 892</t>
  </si>
  <si>
    <t>MALETIN PARA MICROSCOPIO EN LONA</t>
  </si>
  <si>
    <t>MICROSCOPIOS Y EQUIPOS ESPECIALES</t>
  </si>
  <si>
    <t>RACK DE CONGELACIÓN 100  PAJILLAS 0,50 (14 x 58 cm)</t>
  </si>
  <si>
    <t>RACK DE CONGELACIÓN 58  PAJILLAS 0,50 (14 x 36.5 cm)</t>
  </si>
  <si>
    <t>RACK DE CONGELACIÓN 40  PAJILLAS 0,25 (14 X 25,3 cm)</t>
  </si>
  <si>
    <t>VETPEGAN SAS</t>
  </si>
  <si>
    <t>MC 893</t>
  </si>
  <si>
    <t>H003-B</t>
  </si>
  <si>
    <t>MC 894</t>
  </si>
  <si>
    <t>MCTB005</t>
  </si>
  <si>
    <t>MC 895</t>
  </si>
  <si>
    <t>MCTB020</t>
  </si>
  <si>
    <t>TUBO EPPENDORF DE 0,5 ML</t>
  </si>
  <si>
    <t>TUBO EPPENDORF DE 2,0 ML</t>
  </si>
  <si>
    <t>BOMBA DE VACIO DE 1000 ML</t>
  </si>
  <si>
    <t>INVERSIONES CARIBE SIGLO XXI SAS</t>
  </si>
  <si>
    <t>BOVINE SERUM ALBUMIN, LYPHILIZED POWDER,ESSENTIALLY FATTY ACID FREE 96% REFRIGERADO</t>
  </si>
  <si>
    <t>MC 896</t>
  </si>
  <si>
    <t>RACK DE ALUMINIO PARA 15 ML</t>
  </si>
  <si>
    <t>MC 897</t>
  </si>
  <si>
    <t>RACK DE ALUMINIO PARA CAJA PETRI DE 35 MM</t>
  </si>
  <si>
    <t>MC 898</t>
  </si>
  <si>
    <t>FUNDA CON BOLSA DE COLECTA PARA EQUINOS</t>
  </si>
  <si>
    <t>MC 899</t>
  </si>
  <si>
    <t>MC 900</t>
  </si>
  <si>
    <t>TABLET 11" SANSUNG A9+ 128 GB</t>
  </si>
  <si>
    <t>SANSUNG</t>
  </si>
  <si>
    <t>EDINSON VILLALOBOS</t>
  </si>
  <si>
    <t>HELBERT GIOVANNI RODRIGUEZ LOPEZ</t>
  </si>
  <si>
    <t>415500-0057-000</t>
  </si>
  <si>
    <t xml:space="preserve">PRIMOSTAR 3 BINOCULAR CON OBJETIVOS PARA CONTRASTE DE 1
FASES, MARCA ZEISS. SERIE No 3186005395 </t>
  </si>
  <si>
    <t>MC 901</t>
  </si>
  <si>
    <t>ZEISS</t>
  </si>
  <si>
    <t>DANNA BELLY MEJIA MORA</t>
  </si>
  <si>
    <t>GENPROTECH S.A.S.</t>
  </si>
  <si>
    <t>PAGO</t>
  </si>
  <si>
    <t>MC 902</t>
  </si>
  <si>
    <t>GOBLET DE 10 AZULES</t>
  </si>
  <si>
    <t>ASEPSIAS LABORATORIO</t>
  </si>
  <si>
    <t>MC 903</t>
  </si>
  <si>
    <t>AGUA BIDESTILADA TIPO IVBE ESPECIAL</t>
  </si>
  <si>
    <t>MG-A60035G</t>
  </si>
  <si>
    <t>MC 904</t>
  </si>
  <si>
    <t xml:space="preserve"> 5 G</t>
  </si>
  <si>
    <t>MG-A60035G/ BOVINE SERUM ALBUMIN; LYOPHILIZED POWDE , 5G</t>
  </si>
  <si>
    <t>MC 905</t>
  </si>
  <si>
    <t>PAJILLAS TRANSPARENTES 0,50 IMV</t>
  </si>
  <si>
    <t>MARIO L CARPENA</t>
  </si>
  <si>
    <t>CRIAS INNOVACION GENETICA SAS</t>
  </si>
  <si>
    <t>MC 906</t>
  </si>
  <si>
    <t>TERMO NITRÓGENO ET- 20</t>
  </si>
  <si>
    <t>Embriogenex SAS</t>
  </si>
  <si>
    <t>ANA KARINA VERGARA</t>
  </si>
  <si>
    <t>JULIO HUMBERTO VILLATE ZORRO</t>
  </si>
  <si>
    <t>SERGIO GONZALEZ CAMACHO</t>
  </si>
  <si>
    <t>CARLOS JULIO PERILLA CALDAS</t>
  </si>
  <si>
    <t>EMBRIONES DEL SINU S.A</t>
  </si>
  <si>
    <t>KERNIO RODRIGUEZ</t>
  </si>
  <si>
    <t>MARTHA LUCINDA GUTIERREZ Y CIA S. EN C</t>
  </si>
  <si>
    <t>MC 907</t>
  </si>
  <si>
    <t>AUTOJAC V3 ELECTROEYACUALADOR MANUAL Y AUTOMÁTICO</t>
  </si>
  <si>
    <t>MC 908</t>
  </si>
  <si>
    <t>TABLET GALAXY TAB A 9+ MARCA SANSUNG</t>
  </si>
  <si>
    <t>SAMSUNG</t>
  </si>
  <si>
    <t>KATRONIX</t>
  </si>
  <si>
    <t>MC 909</t>
  </si>
  <si>
    <t>CARCAZA CON ARNÉZ PARA TABLET GALAXY TAB A</t>
  </si>
  <si>
    <t>MC 910</t>
  </si>
  <si>
    <t>RECTAL PROBE INTRODUCER</t>
  </si>
  <si>
    <t>MC 911</t>
  </si>
  <si>
    <t>SONDA URINARIA PARA GATO CON AGUJA</t>
  </si>
  <si>
    <t>CAT CATHETER</t>
  </si>
  <si>
    <t>IMPORTAACIONES   VEETERINARIAS MATEUS</t>
  </si>
  <si>
    <t>MC 912</t>
  </si>
  <si>
    <t>SONDA URINARIA PARA GATO SIN GUIA</t>
  </si>
  <si>
    <t>MC 913</t>
  </si>
  <si>
    <t>CONO RECOLECTOR PAQUETE X 50 UND</t>
  </si>
  <si>
    <t>GORRA MAS CAMPO</t>
  </si>
  <si>
    <t>EL MUNDO DE LA CACHUCHA</t>
  </si>
  <si>
    <t>GORRAMC</t>
  </si>
  <si>
    <t>PLATINA DE MESA MA 3320/ MA 3322</t>
  </si>
  <si>
    <t>MC 914</t>
  </si>
  <si>
    <t>MC 915</t>
  </si>
  <si>
    <t>PLATINA TERMICA PARA MICROSCOPIO PT0805</t>
  </si>
  <si>
    <t>PLATINA CALENTADORA MT2535CTE NEOVET</t>
  </si>
  <si>
    <t>HECTOR GUILLERMO DORADO ENRIQUEZ</t>
  </si>
  <si>
    <t>FELIPE HELMAN MENDOZA CASTRO</t>
  </si>
  <si>
    <t>DAYRON DUBIEL NIÑO ARIZA</t>
  </si>
  <si>
    <t>MC 916</t>
  </si>
  <si>
    <t xml:space="preserve">BAÑO DE MARIA </t>
  </si>
  <si>
    <t>BLOSHISHAN</t>
  </si>
  <si>
    <t>MC 919</t>
  </si>
  <si>
    <t>13407/0144</t>
  </si>
  <si>
    <t>PAJILLA TRANSPPPARENTE NARANJA 0,25 MINITUBE  HEN</t>
  </si>
  <si>
    <t>MC 920</t>
  </si>
  <si>
    <t>13407/0064</t>
  </si>
  <si>
    <t>PAJILLA TRANSPARENTE 0,25 AZUL MINTUBE HEN</t>
  </si>
  <si>
    <t>MIIINITUBE</t>
  </si>
  <si>
    <t>Simijaca RE SAS</t>
  </si>
  <si>
    <t>0.00</t>
  </si>
  <si>
    <t>483,006.72</t>
  </si>
  <si>
    <t>25,000.00</t>
  </si>
  <si>
    <t>INVERSIONES CARGRAN S.A.S</t>
  </si>
  <si>
    <t>ELKIN NICOLAS LOPEZ GUERRERO</t>
  </si>
  <si>
    <t>CARLOS ERNESTO GONZÁLEZ ECHEVERRY</t>
  </si>
  <si>
    <t>COOPERATIVA COLANTA</t>
  </si>
  <si>
    <t>MC 921</t>
  </si>
  <si>
    <t>BHS 1000</t>
  </si>
  <si>
    <t>PLACA TERMICA PARA MICROSCOPIO</t>
  </si>
  <si>
    <t>BESTCOPE</t>
  </si>
  <si>
    <t>MC 922</t>
  </si>
  <si>
    <t>BS-2074B</t>
  </si>
  <si>
    <t xml:space="preserve">MICROSCOPIO BINOCULAR </t>
  </si>
  <si>
    <t>MC 923</t>
  </si>
  <si>
    <t>NIS61</t>
  </si>
  <si>
    <t>BS-2074B Optional</t>
  </si>
  <si>
    <t>BS-2074B
10× (N.A.:0.25, W.D.:10.2mm)
20× (N.A.:0.40, W.D.:4.0mm)
40× (N.A.:0.65, W.D.:1.5mm)
100× (Oil, N.A.:1.25, W.D.: 0.3mm)</t>
  </si>
  <si>
    <t>(Bright Field-Phase Contrast Plate (10x-40x),
Bright Field-Phase Contrast Plate (100x),
Bright Field-Dark Field Plate,
Simple Polarization Set,
Centering Telescop)</t>
  </si>
  <si>
    <t>MC 924</t>
  </si>
  <si>
    <t>FEDERACION COLOMBIANA DE PRODUCTORES DE PAPA "FEDEPAPA"</t>
  </si>
  <si>
    <t>FUNDACION GRUPO ARGOS</t>
  </si>
  <si>
    <t>NICOLAS RICARDO BERMUDEZ ANGEL</t>
  </si>
  <si>
    <t>FARID NAIZZIR MUÑOZ</t>
  </si>
  <si>
    <t>INVERQUIMICAS SAS</t>
  </si>
  <si>
    <t>MC 925</t>
  </si>
  <si>
    <t>TERMO RECOLECTOR DE SEMEN COLOR NEGRO</t>
  </si>
  <si>
    <t>MC 926</t>
  </si>
  <si>
    <t>PISTOLA DE TRANSFERENCIA DE EMBRIONES 0,25 DE MANGO DE ALUMINIO</t>
  </si>
  <si>
    <t xml:space="preserve">WTA </t>
  </si>
  <si>
    <t>MC 927</t>
  </si>
  <si>
    <t>SLIGHT</t>
  </si>
  <si>
    <t>MC 928</t>
  </si>
  <si>
    <t>ULTRAS</t>
  </si>
  <si>
    <t>ECOGRAFO ULTRAS SO</t>
  </si>
  <si>
    <t>JAIME ANDRES GARCIA</t>
  </si>
  <si>
    <t>MC 929</t>
  </si>
  <si>
    <t>MACROCUBAS FOTOMETRO</t>
  </si>
  <si>
    <t>COMITE DE GANADEROS DE LA HOYA DEL RIO SUAREZ</t>
  </si>
  <si>
    <t>MC 930</t>
  </si>
  <si>
    <t>ISPERM COLECTOR DE MUESTRAS</t>
  </si>
  <si>
    <t>MC 931</t>
  </si>
  <si>
    <t>MC 932</t>
  </si>
  <si>
    <t>UNIVERSIDAD CES</t>
  </si>
  <si>
    <t>BIOEMBRIO FIV S A S</t>
  </si>
  <si>
    <t>RUBEN DARIO SIERRA MORENO</t>
  </si>
  <si>
    <t>CARLOS ARTURO LOZANO</t>
  </si>
  <si>
    <t>SOCIEDAD AGROPECUARIA LA FLORIDA LTDA</t>
  </si>
  <si>
    <t>JUAN MANUEL SANTOS TAMAYO</t>
  </si>
  <si>
    <t>AGROPECUARIA LOS MANANTIALES S A S</t>
  </si>
  <si>
    <t>MC 933</t>
  </si>
  <si>
    <t xml:space="preserve">CAJA PETRI DESECHABLE ESTERIL 90X 15 </t>
  </si>
  <si>
    <t>LABORATORY PRODUCTS</t>
  </si>
  <si>
    <t>MC 934</t>
  </si>
  <si>
    <t>MCTB015</t>
  </si>
  <si>
    <t>MARIO JULIAN LOZANO</t>
  </si>
  <si>
    <t>G ALTAMIRA SAS</t>
  </si>
  <si>
    <t>Columna1</t>
  </si>
  <si>
    <t>MC 935</t>
  </si>
  <si>
    <t>PLACA CALENTADORA/ INCLUYE CABLE</t>
  </si>
  <si>
    <t>SEMEX COLOMBIA S.A.S.</t>
  </si>
  <si>
    <t>REPRODUCCIÓN ANIMAL SAS</t>
  </si>
  <si>
    <t>EIDER JAVIER SALAZAR AVILA</t>
  </si>
  <si>
    <t>WILFREDO LABRADOR</t>
  </si>
  <si>
    <t>DIEGO ARMANDO ROJAS PEÑA</t>
  </si>
  <si>
    <t>EMBRIONAJE LIFE MASAF S.A.S</t>
  </si>
  <si>
    <t>MC 936</t>
  </si>
  <si>
    <t>CAJA PLÁSTICA DE 22" DE TRANSPORTE</t>
  </si>
  <si>
    <t>NOVA HOLDING GROUP</t>
  </si>
  <si>
    <t>JUAN DIEGO GAONA ARIAS</t>
  </si>
  <si>
    <t>RACK DE CONGELACIÓN 70  PAJILLAS 0,25 (14 X 25,3)</t>
  </si>
  <si>
    <t>GOBLETS BLANCOS DE 10 MM</t>
  </si>
  <si>
    <t>JUAN DIEGO TRUJILLO URIBE</t>
  </si>
  <si>
    <t>iM5 MONITOR DE PACIENTES - VETERINARIO</t>
  </si>
  <si>
    <t>COMERCIALIZADORA  AYA HNOS SAS</t>
  </si>
  <si>
    <t>MC 937</t>
  </si>
  <si>
    <t>EDUARD ALMANZA ÁVILA</t>
  </si>
  <si>
    <t>CARLOS JAIRO GOMEZ TORRES</t>
  </si>
  <si>
    <t xml:space="preserve"> TAPA ESTÁNDAR PARA TERMO CRIOGÉNICO</t>
  </si>
  <si>
    <t>JINETH</t>
  </si>
  <si>
    <t>OSCAR MAURICIO BUITRAGO VARGAS</t>
  </si>
  <si>
    <t>DILUYENTE TRILADYL / V:31-08-2025/ 30-12-2025</t>
  </si>
  <si>
    <t>MC 938</t>
  </si>
  <si>
    <t>CAJA DE TRANSPORTE DE 24"</t>
  </si>
  <si>
    <t>JUAN DIEGO BERMUDEZ MOLINA</t>
  </si>
  <si>
    <t>PREMIER</t>
  </si>
  <si>
    <t>DANIELA GUERRERO MOSQUERA</t>
  </si>
  <si>
    <t>MC 939</t>
  </si>
  <si>
    <t>CABLE REPUESTO ECOGRAFO S5</t>
  </si>
  <si>
    <t>MC 940</t>
  </si>
  <si>
    <t>MC 941</t>
  </si>
  <si>
    <t>MC 942</t>
  </si>
  <si>
    <t>CAJAS DE PETRI DE 35 X 10MM, EN
POLYESTYRENO, ESTÉRILES, DESECHABLES, PARA
CULTIVO CELULAR</t>
  </si>
  <si>
    <t>MC140</t>
  </si>
  <si>
    <t>HECTOR ALFREDO ZULUAGA CRISANCHO</t>
  </si>
  <si>
    <t>S7</t>
  </si>
  <si>
    <t>MC 943</t>
  </si>
  <si>
    <t>SONDA S7 PLUS DOPPLER COLOR</t>
  </si>
  <si>
    <t>MC 944</t>
  </si>
  <si>
    <t>SONDA ADICIONAL S7 PLUS</t>
  </si>
  <si>
    <t>SONDA S7</t>
  </si>
  <si>
    <t>FUNDA UNIVERSAL PARA INSEMINACION HEYI</t>
  </si>
  <si>
    <t>ANDERSON FABIAN SOLANO VARELA</t>
  </si>
  <si>
    <t>LINER LISO BOVINO LATEX</t>
  </si>
  <si>
    <t>LINER ESTRIADO NEGRO BOVINO</t>
  </si>
  <si>
    <t>MEDSINGLONG</t>
  </si>
  <si>
    <t>COMERCIALIZADORA GANACOL SAS</t>
  </si>
  <si>
    <t>ECOGRAFO SLITES S 1</t>
  </si>
  <si>
    <t>MC 945</t>
  </si>
  <si>
    <t>CARGADOR DE BATERÍA DE TRANSPORTADORA WTA</t>
  </si>
  <si>
    <t>MC 946</t>
  </si>
  <si>
    <t>19221/ 12023</t>
  </si>
  <si>
    <t>CARGADOR WTA</t>
  </si>
  <si>
    <t>MC 947</t>
  </si>
  <si>
    <t xml:space="preserve">ECÓGRAFO WIRELESS INALAMBRICO DOPPLER COLOR NEO DAWEI </t>
  </si>
  <si>
    <t>LUIS FERNANDO BUSTAMANTE RAMÍREZ</t>
  </si>
  <si>
    <t>ERIKA PAOLA VERGARA SUAREZ</t>
  </si>
  <si>
    <t>MIGUEL MOLINA</t>
  </si>
  <si>
    <t>MC 948</t>
  </si>
  <si>
    <t>PIPETA AUTOMÁTICA VOLUMEN DE 0.5A 10UL</t>
  </si>
  <si>
    <t>JA3022</t>
  </si>
  <si>
    <t>CRISTIAN ARANDA AGUILAR</t>
  </si>
  <si>
    <t>MC 949</t>
  </si>
  <si>
    <t>1111-3800</t>
  </si>
  <si>
    <t>1111-3810</t>
  </si>
  <si>
    <t>1111-1800</t>
  </si>
  <si>
    <t>MC 950</t>
  </si>
  <si>
    <t>MC 951</t>
  </si>
  <si>
    <t>USA SCIENTIFIC</t>
  </si>
  <si>
    <t>RACK DE PUNTAS 200 UL NO ESTERIL/   LT M1355851</t>
  </si>
  <si>
    <t>RACK DE PUNTAS 10 UL ESTERIL/ VEN 2030-01-31</t>
  </si>
  <si>
    <t>RACK DE PUNTAS 10 UL NO ESTERIL/ LT N1394910O/ N139103M</t>
  </si>
  <si>
    <t>JOSE ANDRES HORTUA MARTINEZ</t>
  </si>
  <si>
    <t>MC 952</t>
  </si>
  <si>
    <t>KURDON INDUSTRIES</t>
  </si>
  <si>
    <t>KTRONIX</t>
  </si>
  <si>
    <t>RECOGEN</t>
  </si>
  <si>
    <t>ISABEL CATALINA VELEZ JARAMILLO</t>
  </si>
  <si>
    <t>JUAN CAMILO GIRALDO FLOREZ</t>
  </si>
  <si>
    <t>ESTEBAN ALDEMAR GOYES CEBALLOS</t>
  </si>
  <si>
    <t>BATERÍA PARA ECÓGRAFO L60</t>
  </si>
  <si>
    <t>AGROCOCOROLLO S.A.S</t>
  </si>
  <si>
    <t>LEOPOLDO FARIAS</t>
  </si>
  <si>
    <t>KITCRIORAMP</t>
  </si>
  <si>
    <t>DILUYENTE EN POLVO PARA CONGELACIÓN DE SEMEN EQUINO</t>
  </si>
  <si>
    <t>CRIO RAMP</t>
  </si>
  <si>
    <t>ELIZABETH JARAMILLO/ RAMON MUNERA</t>
  </si>
  <si>
    <t>KENNER MIGUÉL CAÑIZARES CAMARGO</t>
  </si>
  <si>
    <t>SUPLEVETT S A S</t>
  </si>
  <si>
    <t>MC 953</t>
  </si>
  <si>
    <t xml:space="preserve">TABLET 8.7" SAMSUNG A9 128GB </t>
  </si>
  <si>
    <t>MC 954</t>
  </si>
  <si>
    <t>KIT DE LLENADO DE PAJILLAS/ PARA 5 PAJILLAS</t>
  </si>
  <si>
    <t>FSF-101-KIT [FSF-101-
KIT]</t>
  </si>
  <si>
    <t>MC 955</t>
  </si>
  <si>
    <t>TECNICADENAS</t>
  </si>
  <si>
    <t>RACK METÁLICO NACIONAL A MEDIDAS</t>
  </si>
  <si>
    <t>RUBEN DARIO NEGRETTE RAMOS</t>
  </si>
  <si>
    <t>MC 956</t>
  </si>
  <si>
    <t>TERMO NITROGENO ET- 11</t>
  </si>
  <si>
    <t>MC 957</t>
  </si>
  <si>
    <t>DANIEL STIBEN ROMERO SUSA</t>
  </si>
  <si>
    <t>CONVEXA</t>
  </si>
  <si>
    <t>MC 958</t>
  </si>
  <si>
    <t>SGA001</t>
  </si>
  <si>
    <t>BIO-SEEN</t>
  </si>
  <si>
    <t>PUNTAS COLOR NATURAL SIN FILTRO, UNIVERSAL, 5-10UL. TRANSPARENTE, GRADUADA, NO ESTERIL LIBRES DE RNASA, DNASA Y PIROGENOS AUTOCLAVABLE LOTE: 20231026-SGA-001A</t>
  </si>
  <si>
    <t>MC 959</t>
  </si>
  <si>
    <t>SERGIO MAURICIO OREJARENA CASTELLANOS</t>
  </si>
  <si>
    <t>S7/B-W</t>
  </si>
  <si>
    <t>CARCASA TABLET BMV</t>
  </si>
  <si>
    <t>MC 960</t>
  </si>
  <si>
    <t>MC 961</t>
  </si>
  <si>
    <t>ECÓGRAFO BETSCAN S9 VET CON SONDA LINEAL</t>
  </si>
  <si>
    <t>MC 962</t>
  </si>
  <si>
    <t>MC 963</t>
  </si>
  <si>
    <t>GAFAS PARA ECÓGRAFOS S9 Y S10</t>
  </si>
  <si>
    <t>MC 964</t>
  </si>
  <si>
    <t>TABLET PARA ECÓGRAFOS BMV</t>
  </si>
  <si>
    <t>MV002</t>
  </si>
  <si>
    <t>BTL</t>
  </si>
  <si>
    <t>BLT-01 DISPOSITIVO LASER VETERINARIO PARA TERAPIA LÁSER</t>
  </si>
  <si>
    <t>MV001</t>
  </si>
  <si>
    <t>ECÓGRAFO BETSCAN S10 VET CON SONDA LINEAL/ COLOR DOPPLER</t>
  </si>
  <si>
    <t>SODAGAL SAS</t>
  </si>
  <si>
    <t>ECÓGRAFO S7 B/W ( BLANCO Y NEGRO) BMV - Plataforma BLANCO Y NEGRO CON BATERÍA</t>
  </si>
  <si>
    <t>MC 965</t>
  </si>
  <si>
    <t>ECÓGRAFO S7 B/W ( BLANCO Y NEGRO) BMV - Plataforma BLANCO Y NEGROSIN BATERÍA</t>
  </si>
  <si>
    <t>MC 966</t>
  </si>
  <si>
    <t>CAJA PETRI 4 POZOS / 3,026X3,026 CM</t>
  </si>
  <si>
    <t>FILTRO EZ</t>
  </si>
  <si>
    <t>SONDA EN "Y" CON VÁLVULA PARA BOVINOS</t>
  </si>
  <si>
    <t>MC 967</t>
  </si>
  <si>
    <t>MC 968</t>
  </si>
  <si>
    <t>MC 969</t>
  </si>
  <si>
    <t xml:space="preserve">PARCHE ESTROTECT </t>
  </si>
  <si>
    <t>MONITOR DE SIGNOS VITALES</t>
  </si>
  <si>
    <t>ELECTROCARDIOGRAMA VET</t>
  </si>
  <si>
    <t>MV003</t>
  </si>
  <si>
    <t>MV004</t>
  </si>
  <si>
    <t>Wuhan Union Bio-Medical Technology Co., Ltd</t>
  </si>
  <si>
    <t>URIYNCARE</t>
  </si>
  <si>
    <t>MC 970</t>
  </si>
  <si>
    <t>TERMO DESCONGELADOR DE SEMEN Y EMBRIONES DSE-480 SIN BATERÍA</t>
  </si>
  <si>
    <t>MC 971</t>
  </si>
  <si>
    <t>MC 972</t>
  </si>
  <si>
    <t>MICROFILTRO 0,75 uM</t>
  </si>
  <si>
    <t>MC 973</t>
  </si>
  <si>
    <t>MC 974</t>
  </si>
  <si>
    <t>LACRADOR LARGO GRIS</t>
  </si>
  <si>
    <t>MC 975</t>
  </si>
  <si>
    <t>LACRADOR LARGO ROJOS</t>
  </si>
  <si>
    <t>MC 976</t>
  </si>
  <si>
    <t>MC 977</t>
  </si>
  <si>
    <t>LACRADOR LARGO VERDE</t>
  </si>
  <si>
    <t>MC 978</t>
  </si>
  <si>
    <t>LACRADOR LARGO AZUL</t>
  </si>
  <si>
    <t>TUBO CONICO DE 1,5ml PRE ESTERILIZADO LIBRE DE Rnasa y Dnasa No pirogenico No DNA Humano Tapa a Presion</t>
  </si>
  <si>
    <t>VITRO BIOTECH FERTILIZACION IN VITRO SAS</t>
  </si>
  <si>
    <t>ANDREA LISORETH CARRERO MORENO</t>
  </si>
  <si>
    <t>MC 979</t>
  </si>
  <si>
    <t>MINI PIPETA ISPERM 50 UL</t>
  </si>
  <si>
    <t>LACRADOR LARGO PURPURA</t>
  </si>
  <si>
    <t>ASOCIACION DE GANADEROS AMBIENTALISTAS DE SAN VICENTE DEL CAGUÁN</t>
  </si>
  <si>
    <t>MC 980</t>
  </si>
  <si>
    <t>INTRODUCER KAIXIN PARA V1</t>
  </si>
  <si>
    <t>MC 981</t>
  </si>
  <si>
    <t>KIT X 3 FRACOS X 500 ML</t>
  </si>
  <si>
    <t>HEMACOLOR TINCION RAPIDA DE FROTIS SANGUINEOS KIT DE TINCION PARA MICROSCOPIA</t>
  </si>
  <si>
    <t>MC 982</t>
  </si>
  <si>
    <t>PISTOLA DE TRANSFERIA DE EMBRIONES DE 0,50</t>
  </si>
  <si>
    <t>MC 983</t>
  </si>
  <si>
    <t>ECÓGRAFO S7 PRO VET CON SONDA LINEAL RECTAL</t>
  </si>
  <si>
    <t>MC 984</t>
  </si>
  <si>
    <t>S7PRO</t>
  </si>
  <si>
    <t>BPU50B</t>
  </si>
  <si>
    <t>MC 985</t>
  </si>
  <si>
    <t>SONDBPU</t>
  </si>
  <si>
    <t>SONDA MICRO CONVEX BPU50B</t>
  </si>
  <si>
    <t>MC 986</t>
  </si>
  <si>
    <t>MC 987</t>
  </si>
  <si>
    <t>MX5C</t>
  </si>
  <si>
    <t>ECOGRAFO MX5C CON SONDA LINEAL RECTAL/DOPLLER COLOR</t>
  </si>
  <si>
    <t>ECÓGRAFO BPU 50B CON SONDA LINEAL Y MICROCONVEZA CON MALETIN DE TRANSPORTE</t>
  </si>
  <si>
    <t>S5B/W</t>
  </si>
  <si>
    <t>ECOGRAFO S5 BLANCO Y NEGRO CON SONDA LINELA RECTAL</t>
  </si>
  <si>
    <t>JESÚS DAVID CEGARRA COLMENARES</t>
  </si>
  <si>
    <t>CAJA DE PETRI DESECHABLE ESTERIL 60x15MM.</t>
  </si>
  <si>
    <t>MC 988</t>
  </si>
  <si>
    <t xml:space="preserve">DETECTOR DE MASTITIS 4X4 </t>
  </si>
  <si>
    <t>MC 989</t>
  </si>
  <si>
    <t>MANGA DE PROTECCIÓN PALPACIÓN MAS CAMPO</t>
  </si>
  <si>
    <t>MC 990</t>
  </si>
  <si>
    <t>MC 991</t>
  </si>
  <si>
    <t>4455/ 20005473</t>
  </si>
  <si>
    <t>TERMO NITROGENO DRY SHIPER YDH-3 TRANSPORTE</t>
  </si>
  <si>
    <t>YDH-3</t>
  </si>
  <si>
    <t>YOHANY SALAZAR PUENTES</t>
  </si>
  <si>
    <t>JHON ALBERTO TROCHEZ SAMBONI</t>
  </si>
  <si>
    <t>JUAN CAMILO RESTREPO TOBON</t>
  </si>
  <si>
    <t>MC 992</t>
  </si>
  <si>
    <t>MC 993</t>
  </si>
  <si>
    <t>TERMO DE 380 ML MAS CAMPO</t>
  </si>
  <si>
    <t>MAXSPEED</t>
  </si>
  <si>
    <t>LUIS MARIANO SOSA FLORES</t>
  </si>
  <si>
    <t>SEBASTIAN DIAZ MEJIA</t>
  </si>
  <si>
    <t>JUAN MARTÍN GIRALDO MEJIA</t>
  </si>
  <si>
    <t>MAGDIEL JAIMES BLANCO</t>
  </si>
  <si>
    <t>LAZARO FRANCISCO ORELLANA ALFARO</t>
  </si>
  <si>
    <t xml:space="preserve">BPL </t>
  </si>
  <si>
    <t>SERGIO PAULINO VELANDIA SUESCUN</t>
  </si>
  <si>
    <t>NINI JOHANNA HERNÁNDEZ SANDOVAL</t>
  </si>
  <si>
    <t>JORGE TRUJILLO NAVIA</t>
  </si>
  <si>
    <t>LUIS ENRIQUE NIÑO PEREZ</t>
  </si>
  <si>
    <t>CESAR IVAN GÓMEZ CIFUENTES</t>
  </si>
  <si>
    <t>DANIEL ARTUNDUAGA PUENTES</t>
  </si>
  <si>
    <t>MC 994</t>
  </si>
  <si>
    <t>PISTOLA DE INSEMINACIÓN QUICKLOCK UNIVERSAL MINITUBE</t>
  </si>
  <si>
    <t>MC 995</t>
  </si>
  <si>
    <t>PISTOLA DE INSEMINACION QUICKLOCK 2000 MINITUBE</t>
  </si>
  <si>
    <t>MC 996</t>
  </si>
  <si>
    <t>CORTAPAJILLAS MARCA MINITUBE</t>
  </si>
  <si>
    <t>MC 997</t>
  </si>
  <si>
    <t>MC 998</t>
  </si>
  <si>
    <t>MC 999</t>
  </si>
  <si>
    <t>ESFERAS METALICAS SELLADORAS  0.5 ML</t>
  </si>
  <si>
    <t>MC 1000</t>
  </si>
  <si>
    <t>ESFERAS METALICAS SELLADORAS  0.25 ML</t>
  </si>
  <si>
    <t>MC 1001</t>
  </si>
  <si>
    <t>FUNDA PARA INSEMINACIÓN RANURA MARCA MINITUBE</t>
  </si>
  <si>
    <t>MC 1002</t>
  </si>
  <si>
    <t>MC 1003</t>
  </si>
  <si>
    <t>17209/1057</t>
  </si>
  <si>
    <t>ESTILETE PARA PIPETA S DE IA EQUINA DE 57 CM</t>
  </si>
  <si>
    <t>INSEMINEMOS BIOTECNOLOGIA PORCINA S.A.S.</t>
  </si>
  <si>
    <t>SERGIO ARMANDO MOLINA PINTO</t>
  </si>
  <si>
    <t>AGROVAR SAS</t>
  </si>
  <si>
    <t>LAURA</t>
  </si>
  <si>
    <t>CHISON</t>
  </si>
  <si>
    <t>LUCELY SUAREZ ESCOBAR</t>
  </si>
  <si>
    <t>YULITZA RAMÍREZ ACEVEDO</t>
  </si>
  <si>
    <t>DANNY ANDRÉS NARVAEZ FLOREZ</t>
  </si>
  <si>
    <t>MC 1004</t>
  </si>
  <si>
    <t>FT2000AU/0,5</t>
  </si>
  <si>
    <t>EMPACADORA Y SELLADORA AUTOMATICA DE PAJILLAS 0.50</t>
  </si>
  <si>
    <t>VAINA MINI 0,25 OVINA  RANURADAS/ CAPRINA COMPATIBLE CON PISTOLA 7176</t>
  </si>
  <si>
    <t>VAINA 0,50 NO RANURADAS MEDIANA OVINA/CAPRINA</t>
  </si>
  <si>
    <t>LUIS GREGORIO ROJAS AYALA</t>
  </si>
  <si>
    <t>LEONARDO VELAZCO</t>
  </si>
  <si>
    <t>GRUPO EMPRESARIAL GENETICO S.A.S.</t>
  </si>
  <si>
    <t>DIANA PAOLA SANCHEZ ARAUJO</t>
  </si>
  <si>
    <t>RICARDO ANDRÉS TORRES CAMELO</t>
  </si>
  <si>
    <t>MC 1005</t>
  </si>
  <si>
    <t>PROTECTOR SOLAR ECÓGRAFO DAWEI S1</t>
  </si>
  <si>
    <t>MC 1006</t>
  </si>
  <si>
    <t>INTRODUCER DAWEI</t>
  </si>
  <si>
    <t>MC 1007</t>
  </si>
  <si>
    <t>MC 1008</t>
  </si>
  <si>
    <t>BK-S1</t>
  </si>
  <si>
    <t>BAÑO DE MARÍA DE 3 LITROS</t>
  </si>
  <si>
    <t>MC 1009</t>
  </si>
  <si>
    <t>BK-S2</t>
  </si>
  <si>
    <t>BAÑO DE MARÍA DE 5 LITROS</t>
  </si>
  <si>
    <t>AGUJAS PARA EMPACADORA SELLADORA</t>
  </si>
  <si>
    <t>JOHN JAIRO MUÑOZ ENRIQUEZ</t>
  </si>
  <si>
    <t>MC 1011</t>
  </si>
  <si>
    <t>M100</t>
  </si>
  <si>
    <t>MICROPIPETA AUTOMATICA VOLUMEN VARIABLE DE 100 - 1000</t>
  </si>
  <si>
    <t>GRUPO AGROBOX SAS ZOMAC</t>
  </si>
  <si>
    <t>MC 1012</t>
  </si>
  <si>
    <t>ACEITE DE INMERSION x 100ML Und. 250516-505 1 
(REAC) / CHEMI</t>
  </si>
  <si>
    <t>1000 ML</t>
  </si>
  <si>
    <t>CHEMI</t>
  </si>
  <si>
    <t>IPAD MINI 7.9" PLATA 128 GB</t>
  </si>
  <si>
    <t>MC 1013</t>
  </si>
  <si>
    <t>415501-0011-000</t>
  </si>
  <si>
    <t>415501-1625-000</t>
  </si>
  <si>
    <t>OBJETIVO IPLAN-ACHRAMAT 20X/0,45</t>
  </si>
  <si>
    <t xml:space="preserve">KAIKA </t>
  </si>
  <si>
    <t>MC 1014</t>
  </si>
  <si>
    <t>MICROSCOPIO MODELO PRIMOSTAR 3 TRIOCULAR/ SERIAL 3178002348</t>
  </si>
  <si>
    <t>MC 1015</t>
  </si>
  <si>
    <t>MC 1010</t>
  </si>
  <si>
    <t>MARIA JOSE QUINTERO DE LOS RIOS</t>
  </si>
  <si>
    <t>CARMELA GARCIA</t>
  </si>
  <si>
    <t>UNIVERSIDAD COOPERATIVA DE COLOMBIA</t>
  </si>
  <si>
    <t>EDUARDO LONDOÑO BURITICA</t>
  </si>
  <si>
    <t>REPUESTO ROSCA ECOGRAFO S7 PLUS, S7 PRO Y MX5</t>
  </si>
  <si>
    <t>MC 1016</t>
  </si>
  <si>
    <t>CENTRIFUGA CX-2000</t>
  </si>
  <si>
    <t>CX-2000</t>
  </si>
  <si>
    <t>MC 1017</t>
  </si>
  <si>
    <t>TABLET SANSUNG A9+ COLOR A DISPONIBILIDAD</t>
  </si>
  <si>
    <t>SM-X210NZAECOO</t>
  </si>
  <si>
    <t>MC 1018</t>
  </si>
  <si>
    <t>BOT.30.0003</t>
  </si>
  <si>
    <t>SUMINISTROS GLOBAL VETT SAS</t>
  </si>
  <si>
    <t>SOBRE 8.5 G</t>
  </si>
  <si>
    <t>BOTU SEMEN SPECIAL 8,5 G</t>
  </si>
  <si>
    <t>EMBRIOTEC SERVICIOS ESPECIALIZADOS EN BIOTECNOLOGÍA SAS</t>
  </si>
  <si>
    <t>TEÓFILO FRANCISCO HERAZO SUAREZ</t>
  </si>
  <si>
    <t>ECOGRAFO MX5C CON SONDA LINEAL RECTAL/ BLANCO Y NEGRO</t>
  </si>
  <si>
    <t>MC 1019</t>
  </si>
  <si>
    <t>MX5A</t>
  </si>
  <si>
    <t>MC 1020</t>
  </si>
  <si>
    <t xml:space="preserve"> TERMO NITROGENO ET-2</t>
  </si>
  <si>
    <t>04702/ 20672009</t>
  </si>
  <si>
    <t>INSTITUTO DE FORMACION AGRICOLA Y VETERINARIA - IFAV SAS</t>
  </si>
  <si>
    <t>OMAR ALEJANDRO GARCIA ALVARADO</t>
  </si>
  <si>
    <t>CARLOS FIDEL VILLAMIL RUIZ</t>
  </si>
  <si>
    <t>OSCAR DANIEL CARVAJAL GONZALEZ</t>
  </si>
  <si>
    <t>DAVID EMILIO ROJAS TABARES</t>
  </si>
  <si>
    <t>MC 1021</t>
  </si>
  <si>
    <t>PREG-TONE II PLUS RENCO</t>
  </si>
  <si>
    <t>RENCO</t>
  </si>
  <si>
    <t>MC 1022</t>
  </si>
  <si>
    <t>IMPRESORA DE PAJILLAS MINI PRINTER</t>
  </si>
  <si>
    <t>BRAYAN SNEIDER MANTILLA DELGADO</t>
  </si>
  <si>
    <t>ROBINSON LÓPEZ ROJAS</t>
  </si>
  <si>
    <t>MC 1023</t>
  </si>
  <si>
    <t>MC 1024</t>
  </si>
  <si>
    <t>FIROVET HORSE ORAL</t>
  </si>
  <si>
    <t>BOTUKILLER 90 ML</t>
  </si>
  <si>
    <t>MC 1025</t>
  </si>
  <si>
    <t>MANGO DE RECOLECCIÓN DE SEMEN</t>
  </si>
  <si>
    <t>MC 1026</t>
  </si>
  <si>
    <t>TUBO RIGIDO EQUINO BOTUPHARMA</t>
  </si>
  <si>
    <t>MC 1027</t>
  </si>
  <si>
    <t>MUCOSA DE LATEX EQUINA  BOTUPHARMA</t>
  </si>
  <si>
    <t>MC 1028</t>
  </si>
  <si>
    <t>MUCOSA DE PLÁSTICA EQUINA  BOTUPHARMA</t>
  </si>
  <si>
    <t>MC 1029</t>
  </si>
  <si>
    <t>VASO COLECTOR EQUINO BOTUPHARMA</t>
  </si>
  <si>
    <t>MC 1030</t>
  </si>
  <si>
    <t>CAMISA SANITARIA PARA VASO COLECTOR EQUINO BOTUPHARMA</t>
  </si>
  <si>
    <t xml:space="preserve">PAQUETE </t>
  </si>
  <si>
    <t>MC 1031</t>
  </si>
  <si>
    <t>ISCAN MINI ULTRASONIDO CON SONDA LINEAL RECTAL</t>
  </si>
  <si>
    <t>MC 1032</t>
  </si>
  <si>
    <t>PROTECTOR SOLAR DRAMINSKI</t>
  </si>
  <si>
    <t xml:space="preserve">CARGADOR ECÓGRAFO S5 BMV </t>
  </si>
  <si>
    <t>VÍCTOR MANUEL CASTAÑEDA PINEDA</t>
  </si>
  <si>
    <t>LUIS ZAMORA</t>
  </si>
  <si>
    <t>WILLIAN VEGA</t>
  </si>
  <si>
    <t>TIPO DE CLIENTE</t>
  </si>
  <si>
    <t>R</t>
  </si>
  <si>
    <t>N</t>
  </si>
  <si>
    <t>FILTRO DE GEL NYLON DESECHABLE, 3.5"</t>
  </si>
  <si>
    <t>PAQ. X 25 UNIDADES</t>
  </si>
  <si>
    <t>MC 1033</t>
  </si>
  <si>
    <t>MC 1034</t>
  </si>
  <si>
    <t>BOTELLA DE RECOLECCIÓN DE SEMEN EQUINO X 200 ML</t>
  </si>
  <si>
    <t>SAVF-102/25</t>
  </si>
  <si>
    <t>SCB-200/100</t>
  </si>
  <si>
    <t>FUNDA DE INSEMINACIÓN 3W 0,25</t>
  </si>
  <si>
    <t>MC 1035</t>
  </si>
  <si>
    <t>BOTU CRIO 25 ML</t>
  </si>
  <si>
    <t>25 ML</t>
  </si>
  <si>
    <t>DINAMIK SAS</t>
  </si>
  <si>
    <t>LUCAS LOZANO BORRERO</t>
  </si>
  <si>
    <t>MAURICIO GUILLERMO TORRES TORRES</t>
  </si>
  <si>
    <t>AGROPECUARIA NOBLEZA EQUINA S.A.S.</t>
  </si>
  <si>
    <t>OLGA LUCIA ORTIZ RAMIREZ</t>
  </si>
  <si>
    <t>LUIS MAURICIO TOUS GAVIRIA</t>
  </si>
  <si>
    <t>MC 1036</t>
  </si>
  <si>
    <t>REGLILLA PARA MEDIR NITRÓGENO</t>
  </si>
  <si>
    <t>AGROPECUARIA PALMAR DEL EDEN S.A.S</t>
  </si>
  <si>
    <t>VETERINARIA LA RED SAS</t>
  </si>
  <si>
    <t>SINCRODIOL X 50 ML</t>
  </si>
  <si>
    <t>MC 1037</t>
  </si>
  <si>
    <t>SINCROCIO X 50 ML</t>
  </si>
  <si>
    <t>MC 1038</t>
  </si>
  <si>
    <t>EUROFINO</t>
  </si>
  <si>
    <t>SINCROECG X 30 ML 6.000 UI</t>
  </si>
  <si>
    <t>MC 1039</t>
  </si>
  <si>
    <t>MC 1040</t>
  </si>
  <si>
    <t>SINCROCP X 50 ML</t>
  </si>
  <si>
    <t>MC 1041</t>
  </si>
  <si>
    <t>MC 1042</t>
  </si>
  <si>
    <t>SINCROGEST DISPOSITIVO 1GR BOLSA X 2 UNIDADES</t>
  </si>
  <si>
    <t>SINCROFORTE FRASCO 20ML</t>
  </si>
  <si>
    <t>KAIKA SAS</t>
  </si>
  <si>
    <t>MC 1043</t>
  </si>
  <si>
    <t>MC 1044</t>
  </si>
  <si>
    <t>MC 1045</t>
  </si>
  <si>
    <t>MC 1046</t>
  </si>
  <si>
    <t>MC 1047</t>
  </si>
  <si>
    <t>415501-1645-000</t>
  </si>
  <si>
    <t>415500-1826-000</t>
  </si>
  <si>
    <t>426570-9901-000</t>
  </si>
  <si>
    <t>415501-1811-000</t>
  </si>
  <si>
    <t>OBJETIVO IPLAN-ACHROMAT 100X/1.25 OIL PH3, PRIMOSTAR 3</t>
  </si>
  <si>
    <t>CORREDERA H, PH1, PH2, PH3 PARA PRIMO STAR.</t>
  </si>
  <si>
    <t>OBJETIVO IPLAN-ACHROMAT 100X/1.25 OIL PH3 PRIMOSTAR.</t>
  </si>
  <si>
    <t>AXIOCAM 212 COLOR MARCA ZEISS</t>
  </si>
  <si>
    <t>ADAPTADOR DE CAMARA P95 PARA PRIMO STAR 3</t>
  </si>
  <si>
    <t>MC 1048</t>
  </si>
  <si>
    <t>SONDA CONVEXA  ADICIONAL S7 PRO</t>
  </si>
  <si>
    <t>MC 1049</t>
  </si>
  <si>
    <t>SONDA MICRO CONVEXA  ADICIONAL S7 PRO</t>
  </si>
  <si>
    <t>MC 1050</t>
  </si>
  <si>
    <t>ECOGRAFO MX5C CON SONDA MICROCONVEXA CON DOPPLER COLOR</t>
  </si>
  <si>
    <t>MC 1051</t>
  </si>
  <si>
    <t>ECOGRAFO MX5C CON SONDA CONVEXA CON DOPPLER COLOR</t>
  </si>
  <si>
    <t>MC 1052</t>
  </si>
  <si>
    <t>ECOGRAFO MX5C CON SONDA LINEAL ABDOMEN CON DOPPLER COLOR</t>
  </si>
  <si>
    <t>RICARDO CARDENAS VARGAS</t>
  </si>
  <si>
    <t>DIEGO LEAL</t>
  </si>
  <si>
    <t>MC 1053</t>
  </si>
  <si>
    <t>BATERÍA PARA TRASNPORTADORA WTA</t>
  </si>
  <si>
    <t>MC 1054</t>
  </si>
  <si>
    <t>BOT.30.0018</t>
  </si>
  <si>
    <t>SPERM FIILTER</t>
  </si>
  <si>
    <t>SAGER</t>
  </si>
  <si>
    <t>GRUPO COMERCIAL EL TREBOL SAS</t>
  </si>
  <si>
    <t>AGROPECUARIA EL PALATINO SAS</t>
  </si>
  <si>
    <t>MC 1055</t>
  </si>
  <si>
    <t>ECÓGRAFO Y6 CON SONDA LINEAL RECTAL</t>
  </si>
  <si>
    <t>MC 1056</t>
  </si>
  <si>
    <t>MC 1057</t>
  </si>
  <si>
    <t>ECÓGRAFO SMART FASTSCAN CON SONDA LINEAL RECTAL DE 6,5 MhZ</t>
  </si>
  <si>
    <t>SONOWIN</t>
  </si>
  <si>
    <t>ECÓGRAFO SMART FASTSCAN CON SONDA CONVEXA DE 4,0 MhZ</t>
  </si>
  <si>
    <t>ANIMAL REPRODUCTION SYSTEMS ARS</t>
  </si>
  <si>
    <t>MC 1058</t>
  </si>
  <si>
    <t>ECOGRAFO AIRSCAN PRO CON SONDA LINEAL RECTAL</t>
  </si>
  <si>
    <t>MC 1059</t>
  </si>
  <si>
    <t>DETECTOR DE ESTRO PARA VACAS Y YEGUAS EDC2</t>
  </si>
  <si>
    <t xml:space="preserve">PAJILLA </t>
  </si>
  <si>
    <t>PAJILLAAGI</t>
  </si>
  <si>
    <t>PAJILLA HLA LA ARGENTINA ROMANO BERNARDO SIMBRAH 5/8 SMM 3/8 BR</t>
  </si>
  <si>
    <t>PAJILLA AGI POSEIDÒN 002 T.E SIMBRAH 5/8 SMM 3/8 BR</t>
  </si>
  <si>
    <t>AGROPECUARIA TRES CORONAS
S.A.S</t>
  </si>
  <si>
    <t>MC 1060</t>
  </si>
  <si>
    <t>JOSE DAVID BARRERA PERDOMO</t>
  </si>
  <si>
    <t>SAGER TECNOLOGIES</t>
  </si>
  <si>
    <t>UNIVERSIDAD NACIONAL DE COLOMBIA/ ODC 4 - 5061</t>
  </si>
  <si>
    <t>BS-2020B</t>
  </si>
  <si>
    <t>MICROSCOPIO BINOCULAR BIOLOGICO (Objetivo acromático finito 4×, 10×, 40×, 100× (aceite) y batería recargable.)</t>
  </si>
  <si>
    <t>MC 1061</t>
  </si>
  <si>
    <t>MICROSCOPIO BINOCULAR BIOLOGICO ( Objetivo acromático finito 4×, 10×, 40×, 100× (aceite)</t>
  </si>
  <si>
    <t>MC 1062</t>
  </si>
  <si>
    <t>BS-2020T</t>
  </si>
  <si>
    <t>MICROSCOPIO TRINOCULAR BIOLOGICO Objetivo acromático finito 4×, 10×, 40×, 100× (aceite) con adaptador de montura C 0,5X</t>
  </si>
  <si>
    <t>MC 1063</t>
  </si>
  <si>
    <t>BS-2052B</t>
  </si>
  <si>
    <t>MICROSCOPIO BINOCULAR Con objetivo semiplano infinito (4X, 10X, 40X, 100X)</t>
  </si>
  <si>
    <t>MC 1064</t>
  </si>
  <si>
    <t>BS-2025BT</t>
  </si>
  <si>
    <t>MC 1065</t>
  </si>
  <si>
    <t>BS-2074T</t>
  </si>
  <si>
    <t>MICROSCOPIO TRINOCULAR Con objetivo Infinite Semi-Plan 4X, 10X, 40X, 100X y adaptador de montura C 0,5X</t>
  </si>
  <si>
    <t>MICROSCOPIO TRINOCULAR Sistema óptico NIS60 Infinite, objetivo de 4X, 10X, 40X y 100X (aceite), montura C de 0,5X</t>
  </si>
  <si>
    <t>MC 1066</t>
  </si>
  <si>
    <t>BWHC1-4K8MPA</t>
  </si>
  <si>
    <t>CÁMARA CMOS PARA MICCROSCOPIO BESTCOPE con montura C (4K, 8 MP) con múltiples salidas HDMI/WIFI/USB 3.0</t>
  </si>
  <si>
    <t>13791/ 7677</t>
  </si>
  <si>
    <t>MC 1067</t>
  </si>
  <si>
    <t>PROVETSCAN SF-2 SONDA DE GRASA DORSAL PARA PORCINOS</t>
  </si>
  <si>
    <t>1104 - WFPCFJC003</t>
  </si>
  <si>
    <t>ABT PVA CONCENTRAD 20 ML VC ENERO 2027</t>
  </si>
  <si>
    <t>MC 1068</t>
  </si>
  <si>
    <t>CONO LÁTEX PARA MANGO COLECTOR DE ELECTRO</t>
  </si>
  <si>
    <t>MC 1069</t>
  </si>
  <si>
    <t>MC 1070</t>
  </si>
  <si>
    <t>PREMEX S.A.S</t>
  </si>
  <si>
    <t>INVENTARIO 2026</t>
  </si>
  <si>
    <t>SALIDAS 2026</t>
  </si>
  <si>
    <t>ENTRADAS 2026</t>
  </si>
  <si>
    <t>MES</t>
  </si>
  <si>
    <t>AGENDAMC</t>
  </si>
  <si>
    <t>AGENDA MAS CAMPO</t>
  </si>
  <si>
    <t>MALETINMC</t>
  </si>
  <si>
    <t>MALETIN CURSO MAS CAMPO</t>
  </si>
  <si>
    <t>ESFEROSMC</t>
  </si>
  <si>
    <t>ESFEROS MAS CAMPO</t>
  </si>
  <si>
    <t>DICIEMBRE</t>
  </si>
  <si>
    <t>FINCA DON PEDRO PMO S.A.S</t>
  </si>
  <si>
    <t>ENERO</t>
  </si>
  <si>
    <t>CARLOS MAURICIO VANEGAS AVILA</t>
  </si>
  <si>
    <t>CASABER SAS</t>
  </si>
  <si>
    <t>NOGA S.A.S./ OC OCP-119283</t>
  </si>
  <si>
    <t>FERNANDO PAZMIÑO</t>
  </si>
  <si>
    <t>13318/ 7690</t>
  </si>
  <si>
    <t>17209/1265</t>
  </si>
  <si>
    <t>PAJUELA TRANSPARENTE 0.25/ PAQ. X 2000 MARCA IMV</t>
  </si>
  <si>
    <t>MC 1071</t>
  </si>
  <si>
    <t>MC 1072</t>
  </si>
  <si>
    <t>MC 1073</t>
  </si>
  <si>
    <t>PAJUELA AZUL 0.25/ PAQ. X 2000 MARCA IMV</t>
  </si>
  <si>
    <t>PAJUELA ANARANJADA 0.25/ PAQ. X 2000 MARCA IMV</t>
  </si>
  <si>
    <t>PAJUELA PISTACHO 0.25/ PAQ. X 2000 MARCA IMV</t>
  </si>
  <si>
    <t>PAJUELA GRIS 0.25/ PAQ. X 2000 MARCA IMV</t>
  </si>
  <si>
    <t>PAJUELA TRANSPARENTES 0.50/ PAQ. X 2000 MARCA IMV</t>
  </si>
  <si>
    <t>PAJUELA ROJA 0.50/ PAQ. X 2000 MARCA IMV</t>
  </si>
  <si>
    <t>PAJUELA ANARANJADO 0.50/ PAQ. X 2000 MARCA IMV</t>
  </si>
  <si>
    <t>PAJUELA VERDE 0.50/ PAQ. X 2000 MARCA IMV</t>
  </si>
  <si>
    <t>13408-010</t>
  </si>
  <si>
    <t>13407-010</t>
  </si>
  <si>
    <t>PAJUELA TRANSPARENTES 0.25/ PAQ. X 2000 MARCA MINITUBE</t>
  </si>
  <si>
    <t>13407-044</t>
  </si>
  <si>
    <t>PAJUELA ROJA 0.25/ PAQ. X 2000 MARCA MINITUBE</t>
  </si>
  <si>
    <t>13407-054</t>
  </si>
  <si>
    <t>PAJUELA VERDE 0.25/ PAQ. X 2000 MARCA MINITUBE</t>
  </si>
  <si>
    <t>13407-064</t>
  </si>
  <si>
    <t>PAJUELA AZUL 0.25/ PAQ. X 2000 MARCA MINITUBE</t>
  </si>
  <si>
    <t>13407-094</t>
  </si>
  <si>
    <t>PAJUELA AMARILLA 0.25/ PAQ. X 2000 MARCA MINITUBE</t>
  </si>
  <si>
    <t>13407-144</t>
  </si>
  <si>
    <t>PAJUELA ANARANJADA 0.25/ PAQ. X 2000 MARCA MINITUBE</t>
  </si>
  <si>
    <t>13408-044</t>
  </si>
  <si>
    <t>13408-054</t>
  </si>
  <si>
    <t>PAJUELA VERDE 0.50/ PAQ. X 2500 MARCA MINITUBE</t>
  </si>
  <si>
    <t>PAJUELA ROJA 0.50/ PAQ. X 2500 MARCA MINITUBE</t>
  </si>
  <si>
    <t>PAJUELA TRANSPARENTE 0.50/ PAQ. X 2500 MARCA MINITUBE</t>
  </si>
  <si>
    <t>PAJUELA GRIS 0.50/ PAQ. X 2500 MARCA MINITUBE</t>
  </si>
  <si>
    <t>13408-074</t>
  </si>
  <si>
    <t>13408-094</t>
  </si>
  <si>
    <t>PAJUELA AMARILLA 0.50/ PAQ. X 2500 MARCA MINITUBE</t>
  </si>
  <si>
    <t>13408-130</t>
  </si>
  <si>
    <t>PAJUELA TURQUESA 0.50/ PAQ. X 2500 MARCA MINITUBE</t>
  </si>
  <si>
    <t>13408-064</t>
  </si>
  <si>
    <t>PAJUELA AZUL 0.50/ PAQ. X 2500 MARCA MINITUBE</t>
  </si>
  <si>
    <t>MC 1074</t>
  </si>
  <si>
    <t>MC 1075</t>
  </si>
  <si>
    <t>MC 1076</t>
  </si>
  <si>
    <t>MC 1077</t>
  </si>
  <si>
    <t>MC 1078</t>
  </si>
  <si>
    <t>MC 1079</t>
  </si>
  <si>
    <t>MC 1080</t>
  </si>
  <si>
    <t>MC 1081</t>
  </si>
  <si>
    <t>MC 1082</t>
  </si>
  <si>
    <t>MC 1083</t>
  </si>
  <si>
    <t>MC 1084</t>
  </si>
  <si>
    <t>MC 1085</t>
  </si>
  <si>
    <t>MC 1086</t>
  </si>
  <si>
    <t>MC 1087</t>
  </si>
  <si>
    <t>MC 1088</t>
  </si>
  <si>
    <t>MC 1089</t>
  </si>
  <si>
    <t>MC 1090</t>
  </si>
  <si>
    <t>MC 1091</t>
  </si>
  <si>
    <t>LUIS EDUARDO PANTOJA ENRIQUEZ</t>
  </si>
  <si>
    <t>13837/ 7691</t>
  </si>
  <si>
    <t>13831/ 7692</t>
  </si>
  <si>
    <t>13922/ 7693</t>
  </si>
  <si>
    <t>GLORIA INES PAREJA</t>
  </si>
  <si>
    <t>13665/ 7694</t>
  </si>
  <si>
    <t>13932/ 7695</t>
  </si>
  <si>
    <t>13919/ 7696</t>
  </si>
  <si>
    <t>13930/ 7697</t>
  </si>
  <si>
    <t xml:space="preserve"> PLAY 1524</t>
  </si>
  <si>
    <t>13920/ 7698</t>
  </si>
  <si>
    <t>13944/ 7699</t>
  </si>
  <si>
    <t>13947/ 7700</t>
  </si>
  <si>
    <t>13940/ 7701</t>
  </si>
  <si>
    <t>13936/7702</t>
  </si>
  <si>
    <t>CENTRO DE ESPECIALISTAS EN SANIDAD, PRODUCCION Y REPRODUCCION VETERINARIA S.A.S</t>
  </si>
  <si>
    <t>INMEDIATO</t>
  </si>
  <si>
    <t>13916/ 7703</t>
  </si>
  <si>
    <t>ISLA-61638</t>
  </si>
  <si>
    <t>SUMINISTROS CLÍNICOS ISLA SAS</t>
  </si>
  <si>
    <t>DWHST251211MC-CO</t>
  </si>
  <si>
    <t>NEW VETEC S.L.</t>
  </si>
  <si>
    <t>#EX25035</t>
  </si>
  <si>
    <t>FSAS 286155</t>
  </si>
  <si>
    <t>LHAURA VET SAS</t>
  </si>
  <si>
    <t>CONSORCIO MERCANTIL DE HUESCA S.L</t>
  </si>
  <si>
    <t>25/CR006842</t>
  </si>
  <si>
    <t>FAC 3866</t>
  </si>
  <si>
    <t>MGR MULTIGRAFICAS RINCON SAS</t>
  </si>
  <si>
    <t>FEDR 15591</t>
  </si>
  <si>
    <t>DUARTE S S A S</t>
  </si>
  <si>
    <t>MANUEL MARQUEZ GUTIERREZ</t>
  </si>
  <si>
    <t>SEBASTIAN ROPERO</t>
  </si>
  <si>
    <t>EDY DISENO Y PUBLICIDAD SAS</t>
  </si>
  <si>
    <t>FE 1462</t>
  </si>
  <si>
    <t>EDY</t>
  </si>
  <si>
    <t>MC 1092</t>
  </si>
  <si>
    <t>SONDA CONVEXA ECOGRAFO S1 DAWEI</t>
  </si>
  <si>
    <t>MEDICINA EQUINA S.A.S</t>
  </si>
  <si>
    <t>13941/ 7704</t>
  </si>
  <si>
    <t>13933/ 7705</t>
  </si>
  <si>
    <t>JHON ALEXANDER BARRIOS PEDRAZA (FINCAGRO BERLIN)</t>
  </si>
  <si>
    <t>13945/ 7706</t>
  </si>
  <si>
    <t>RODRIGO GUARIN</t>
  </si>
  <si>
    <t>13925/ 7707</t>
  </si>
  <si>
    <t>13959/ 7708</t>
  </si>
  <si>
    <t>13961/ 7709</t>
  </si>
  <si>
    <t>13971/ 7710</t>
  </si>
  <si>
    <t>13915/ 7711</t>
  </si>
  <si>
    <t>13923/ 7712</t>
  </si>
  <si>
    <t>13960/ 7713</t>
  </si>
  <si>
    <t>13942/ 7714</t>
  </si>
  <si>
    <t>13970/ 7715</t>
  </si>
  <si>
    <t>13976/ 7716</t>
  </si>
  <si>
    <t>AGROVETERINARIA EL FINQUERO JJ S.A.S</t>
  </si>
  <si>
    <t>13972/ 7718</t>
  </si>
  <si>
    <t>13950/ 7717</t>
  </si>
  <si>
    <t>13979/ 7719</t>
  </si>
  <si>
    <t>REM 458</t>
  </si>
  <si>
    <t>GAITAN MARROQUIN CRISTIAN ANDRES</t>
  </si>
  <si>
    <t>13973/ 7720</t>
  </si>
  <si>
    <t>1601/2026</t>
  </si>
  <si>
    <t>13977/ 7721</t>
  </si>
  <si>
    <t>13952/ 7722</t>
  </si>
  <si>
    <t>13983/ 7723</t>
  </si>
  <si>
    <t>12290/ 7724</t>
  </si>
  <si>
    <t>13918/ 7725</t>
  </si>
  <si>
    <t>13921/ 7726</t>
  </si>
  <si>
    <t xml:space="preserve"> MOTO</t>
  </si>
  <si>
    <t>211125B</t>
  </si>
  <si>
    <t>NEOVET INDUSTRIA COMERCIO</t>
  </si>
  <si>
    <t>251125E 091225A 221125D 221125J</t>
  </si>
  <si>
    <t>PAOLA ANDREA RODRIGUEZ</t>
  </si>
  <si>
    <t>AGROPECUARIA BAMBUSA SAS</t>
  </si>
  <si>
    <t>ROSA MARIA QUITORA MENDOZA</t>
  </si>
  <si>
    <t>MC 1093</t>
  </si>
  <si>
    <t>TABLET 11" HONOR PAD X8A 128 GB</t>
  </si>
  <si>
    <t>HONOR</t>
  </si>
  <si>
    <t>Z0532524117</t>
  </si>
  <si>
    <t>KTRONIX COLOMBIANA DE COMERCIO</t>
  </si>
  <si>
    <t>FUNDACION GRUPO ARGOS/ N°.PMO 6000048188</t>
  </si>
  <si>
    <t>REM 459</t>
  </si>
  <si>
    <t>14011/ 7727</t>
  </si>
  <si>
    <t>14010/7728</t>
  </si>
  <si>
    <t>14007/ 7729</t>
  </si>
  <si>
    <t>13949/ 7730</t>
  </si>
  <si>
    <t>13996/ 7731</t>
  </si>
  <si>
    <t>13707/ 7732</t>
  </si>
  <si>
    <t>13951/ 7733</t>
  </si>
  <si>
    <t>13906/ 7734</t>
  </si>
  <si>
    <t>13937/ 7735</t>
  </si>
  <si>
    <t>FEV 107980</t>
  </si>
  <si>
    <t>INSMEVET SAS</t>
  </si>
  <si>
    <t>FEV 6652</t>
  </si>
  <si>
    <t>COLINSTRUVET SAS</t>
  </si>
  <si>
    <t>14020/ 7736</t>
  </si>
  <si>
    <t>X258 - 2552995</t>
  </si>
  <si>
    <t>14012/ 7737</t>
  </si>
  <si>
    <t>14021/ 7738</t>
  </si>
  <si>
    <t>JORGE LUIS LOZANO SUAREZ</t>
  </si>
  <si>
    <t>FRANCISCO ISAEL CASTRO GONZALEZ</t>
  </si>
  <si>
    <t>74 RECOGIERON efectivo $4.350.000</t>
  </si>
  <si>
    <t>14023/ 7739</t>
  </si>
  <si>
    <t>14016/ 7740</t>
  </si>
  <si>
    <t>SEPTIEMBRE</t>
  </si>
  <si>
    <t>13939/ 7741</t>
  </si>
  <si>
    <t>ROGER AMADOR MARTINEZ RODRIGUEZ</t>
  </si>
  <si>
    <t>FVT715293</t>
  </si>
  <si>
    <t>GERARDO ERNESTO DURAN</t>
  </si>
  <si>
    <t>21/01/026</t>
  </si>
  <si>
    <t>EE 13873</t>
  </si>
  <si>
    <t>NATURAL VETERINARY SAS</t>
  </si>
  <si>
    <t>BIOAGRARIUS S.A.S</t>
  </si>
  <si>
    <t>PISTOLA DE INSEMINACIÓN 0,50</t>
  </si>
  <si>
    <t>GVM CORPORATION GLOBAL VETERINARY MEDICINE SAS</t>
  </si>
  <si>
    <t>INVERSIONES MONTAÑO/ KARLA ROAS</t>
  </si>
  <si>
    <t>X2672553280</t>
  </si>
  <si>
    <t>MC 1094</t>
  </si>
  <si>
    <t xml:space="preserve">TABLET 11" REDMI PAD2 4 / 128 GB </t>
  </si>
  <si>
    <t>REDMI</t>
  </si>
  <si>
    <t>14026/ 7742/ 53</t>
  </si>
  <si>
    <t xml:space="preserve">
JOAN SEBASTIAN RAMIREZ BARBOSA</t>
  </si>
  <si>
    <t>SAMUEL FUENTES GARRIDO</t>
  </si>
  <si>
    <t>DEICY BRAVO JOJOA</t>
  </si>
  <si>
    <t>PAQ. X 5 UND</t>
  </si>
  <si>
    <t>HERSAL SALDARRIAGA</t>
  </si>
  <si>
    <t>BALA ELECTRO</t>
  </si>
  <si>
    <t>REM 461</t>
  </si>
  <si>
    <t>INSMEVET S SAS</t>
  </si>
  <si>
    <t>OSCAR MANUEL MENDEZ MORA</t>
  </si>
  <si>
    <t>MARLON ADOLFO GUTIERREZ/ Diego Armando Vega Borda</t>
  </si>
  <si>
    <t>14027/ 7743/ 54</t>
  </si>
  <si>
    <t>14030/ 7745/ 7746/ 55</t>
  </si>
  <si>
    <t>14034/ 7747/ 56</t>
  </si>
  <si>
    <t>14035/ 7748/ 57</t>
  </si>
  <si>
    <t>14033/ 7749/ 58</t>
  </si>
  <si>
    <t>AEROPUERTO EFECTIVO DÓLAR 103</t>
  </si>
  <si>
    <t>14036/ REM 461/ 59</t>
  </si>
  <si>
    <t>14018/ 7750/ 60</t>
  </si>
  <si>
    <t>14022/ 7751/ 61</t>
  </si>
  <si>
    <t>14040/ 7752/ 62</t>
  </si>
  <si>
    <t>14048/ 7754/ 63</t>
  </si>
  <si>
    <t>460/ 64</t>
  </si>
  <si>
    <t>14053/ 7756/ 14074/ 7759/ 65</t>
  </si>
  <si>
    <t>MOTO/ 95</t>
  </si>
  <si>
    <t>14059/ 7761/ 66</t>
  </si>
  <si>
    <t>13624/ 7753/ 67</t>
  </si>
  <si>
    <t>14061/ 7755/ 68</t>
  </si>
  <si>
    <t>14015/ 7758/ 69</t>
  </si>
  <si>
    <t>14060/ 7757/ 70</t>
  </si>
  <si>
    <t>14054/ 7762/ 71</t>
  </si>
  <si>
    <t>REM 463/ 72</t>
  </si>
  <si>
    <t>13927/ 7763/ 73</t>
  </si>
  <si>
    <t>14050/ 7764/ 74</t>
  </si>
  <si>
    <t>13599/ 7765/ 75</t>
  </si>
  <si>
    <t>WRPCFHD002/ 122</t>
  </si>
  <si>
    <t>14014/ 7766/ 76</t>
  </si>
  <si>
    <t>14052/ 7773/ 77</t>
  </si>
  <si>
    <t>14070/ 7767/ 78</t>
  </si>
  <si>
    <t>13108/ 7768/ 79</t>
  </si>
  <si>
    <t>14069/ 7769/ 80</t>
  </si>
  <si>
    <t>13953/ 7770/ 82</t>
  </si>
  <si>
    <t>RECOGEN/ 129</t>
  </si>
  <si>
    <t>14076/ 7772/ 83</t>
  </si>
  <si>
    <t>REM 464/ 84</t>
  </si>
  <si>
    <t>14080/ 7775/ 84</t>
  </si>
  <si>
    <t>13808/ 7774/ 7776/ 86</t>
  </si>
  <si>
    <t>14066/ 7771/ 88</t>
  </si>
  <si>
    <t>FEQ33415</t>
  </si>
  <si>
    <t>JAIRO ARIZA SERRANO</t>
  </si>
  <si>
    <t>X3522543918</t>
  </si>
  <si>
    <t>TED EQUPAMENTOS</t>
  </si>
  <si>
    <t>TERMO DESCONGELADOR DE SEMEN Y EMBRIONES DSE-480 CON BATERÍA BLUE/GRAY</t>
  </si>
  <si>
    <t>MC 1095</t>
  </si>
  <si>
    <t>MC 1096</t>
  </si>
  <si>
    <t>MC 1097</t>
  </si>
  <si>
    <t>CARGADOR TED 12.8V 5A</t>
  </si>
  <si>
    <t>ROLLO LINEA PARA OPU 100 M MARCA TED</t>
  </si>
  <si>
    <t>AGRO REPROGEN DEL VALLE</t>
  </si>
  <si>
    <t>MADIAGRO SAS</t>
  </si>
  <si>
    <t>14028/ 7744/ 89</t>
  </si>
  <si>
    <t>14086/ 7777/ 90</t>
  </si>
  <si>
    <t>14065/ 7778/ 91</t>
  </si>
  <si>
    <t>14083/ 7779/ 92</t>
  </si>
  <si>
    <t>14092/ 7780/ 93</t>
  </si>
  <si>
    <t>14095/ 7781/ 94</t>
  </si>
  <si>
    <t>14090/ 7783/ 95</t>
  </si>
  <si>
    <t>14103/ 7782/ 96</t>
  </si>
  <si>
    <t>13718/ 7784/ 97</t>
  </si>
  <si>
    <t>SOLICITAR PRODUCTO/ 153</t>
  </si>
  <si>
    <t>BIOEMBRIO FIV SAS</t>
  </si>
  <si>
    <t>PORCICOLA EN NORAL SAS</t>
  </si>
  <si>
    <t>EDGAR FABIÁN GUTIERREZ PABON</t>
  </si>
  <si>
    <t>BELLANIRA ROJAS RUBIO</t>
  </si>
  <si>
    <t>FEQ33484</t>
  </si>
  <si>
    <t>INVERSIONES &amp; SUMINISTROS GMTC SAS</t>
  </si>
  <si>
    <t>TERMO DESCONGELADOR DE EMBRIONES Y SEMEN DSE-400 SIN BATERÍA BLACK/GRAY</t>
  </si>
  <si>
    <t>TERMO DESCONGELADOR DE SEMEN Y EMBRIONES DSEB-400 SIN BATERÍA BLUE/WHITE</t>
  </si>
  <si>
    <t>DIEGO ARMANDO BERNAL RIVERA</t>
  </si>
  <si>
    <t>ANDINA DE TECNOLOGIAS</t>
  </si>
  <si>
    <t>14100/ 7787/ 98</t>
  </si>
  <si>
    <t>14106/ 7788/ 99</t>
  </si>
  <si>
    <t>14079/ 7789/ 100</t>
  </si>
  <si>
    <t>14111/ 7793/ 101</t>
  </si>
  <si>
    <t>ANA CAROLINA GUION MOJICA</t>
  </si>
  <si>
    <t>WOMPI/ 158</t>
  </si>
  <si>
    <t>14031/ 7796/ 102</t>
  </si>
  <si>
    <t>14122/ 7794/ 103</t>
  </si>
  <si>
    <t>AGRARIO/ 161</t>
  </si>
  <si>
    <t>RECOGEN / 162</t>
  </si>
  <si>
    <t>14129/ 7595/ 104</t>
  </si>
  <si>
    <t>14125/ 7799/ 105</t>
  </si>
  <si>
    <t>INGENIERIA E INVERSIONES EL SANTUARIO ACR S.A.S</t>
  </si>
  <si>
    <t>MC 1098</t>
  </si>
  <si>
    <t>BOTUSEMEN 8 GM</t>
  </si>
  <si>
    <t>FEBRERO</t>
  </si>
  <si>
    <t>FMF6421</t>
  </si>
  <si>
    <t>LABORATORIO MEDIFARMA SAS</t>
  </si>
  <si>
    <t>FAIBER EDUARDO BURGOS /ALEJANDRO OLAYA HERNÁNDEZ</t>
  </si>
  <si>
    <t>ALEXANDER VINASCO
CASTRO</t>
  </si>
  <si>
    <t>14099/ 7805/ 106</t>
  </si>
  <si>
    <t>14119/ 7792/ 107</t>
  </si>
  <si>
    <t>14098/ 7785/ 108</t>
  </si>
  <si>
    <t>14084/ 7801/ 109</t>
  </si>
  <si>
    <t>13994/ 7797/ 110</t>
  </si>
  <si>
    <t>14073/ 7798/ 111</t>
  </si>
  <si>
    <t>14056/ 7790/ 112</t>
  </si>
  <si>
    <t>FERIA MALOCAS 175</t>
  </si>
  <si>
    <t>14134/ 7800/ 113</t>
  </si>
  <si>
    <t>14135/ 7802/ 114</t>
  </si>
  <si>
    <t>14136/ 7803/ 115</t>
  </si>
  <si>
    <t>FERIA MALOCAS BOLD/ 178</t>
  </si>
  <si>
    <t>14137/ 7806/ 116</t>
  </si>
  <si>
    <t>14130/14147 / 7807/ 117</t>
  </si>
  <si>
    <t>MOTO/ CREDITO 15 DIAS/ 180</t>
  </si>
  <si>
    <t>14140/ 7808/ 118</t>
  </si>
  <si>
    <t>14146/ 7809/ 119</t>
  </si>
  <si>
    <t>14143/ 7810/ 120</t>
  </si>
  <si>
    <t>14123/ 7811/ 121</t>
  </si>
  <si>
    <t>14150/ 7812/ 122</t>
  </si>
  <si>
    <t>13843/ 7760/ 123</t>
  </si>
  <si>
    <t>FERIA MALOCAS/ BOLD 176</t>
  </si>
  <si>
    <t>FERIA MALOCAS/ EFECTIVO Y TRANSFERENCIA/ 177</t>
  </si>
  <si>
    <t>14109/ 7813</t>
  </si>
  <si>
    <t>14025/ 7818/ 124</t>
  </si>
  <si>
    <t>14151/ 7814/ 126</t>
  </si>
  <si>
    <t>14097/ 7815/ 127</t>
  </si>
  <si>
    <t>14154/ 7816/ 128</t>
  </si>
  <si>
    <t>14155/ 7817/ 129</t>
  </si>
  <si>
    <t>14131/ 7819/ 130</t>
  </si>
  <si>
    <t>14160/ 7820/ 131</t>
  </si>
  <si>
    <t>VILLAO/ 196</t>
  </si>
  <si>
    <t>ADTG5934</t>
  </si>
  <si>
    <t>AGRÍCOLA LA FINCA S.A.S</t>
  </si>
  <si>
    <t>SUMINISTROS GLOBAL VET</t>
  </si>
  <si>
    <t>14159/ 7821/ 132</t>
  </si>
  <si>
    <t>MARGREGORY CASTRO</t>
  </si>
  <si>
    <t>14133/ 7830/ 133</t>
  </si>
  <si>
    <t>14078/ 7831/ 134</t>
  </si>
  <si>
    <t>13989/ 7833/ 135</t>
  </si>
  <si>
    <t>CREDITO 15 DIAS/ 199</t>
  </si>
  <si>
    <t>14161/ 7822/ 136</t>
  </si>
  <si>
    <t>14126/ 7823/ 137</t>
  </si>
  <si>
    <t>14164/ 7824/ 138</t>
  </si>
  <si>
    <t>MOTO/ 203</t>
  </si>
  <si>
    <t>14168/ 7825/ 139</t>
  </si>
  <si>
    <t>CREDITO 15 DIAS/ 204</t>
  </si>
  <si>
    <t>14169/ 7826/ 140</t>
  </si>
  <si>
    <t>MOTO/ 205</t>
  </si>
  <si>
    <t>14172/ 7827/ 141</t>
  </si>
  <si>
    <t>14170/ 7828/ 142</t>
  </si>
  <si>
    <t>14163/ 7829/ 143</t>
  </si>
  <si>
    <t>13931/ 7834</t>
  </si>
  <si>
    <t>PAISAGRO SAS</t>
  </si>
  <si>
    <t>BM-9.2-26-1C927</t>
  </si>
  <si>
    <t>LUIS FERNANDO MONSALVE</t>
  </si>
  <si>
    <t>14179/ 7835/ 144</t>
  </si>
  <si>
    <t>14171/ 7836/ 145</t>
  </si>
  <si>
    <t>14185/ 7837/ 146</t>
  </si>
  <si>
    <t>ANDRES RIVERA CASTRILLON</t>
  </si>
  <si>
    <t>JOSE WILLIAM PRADA APARICIO</t>
  </si>
  <si>
    <t>RAUL SULPICIO SARMIENTO CELY /HENNIS DIAZ</t>
  </si>
  <si>
    <t>COMERCIALIZADORA SERLE.COM SAS</t>
  </si>
  <si>
    <t>MOTO/ 211</t>
  </si>
  <si>
    <t>14190/ 7839/ 148</t>
  </si>
  <si>
    <t>14167/ 14201/ 7840/ 149</t>
  </si>
  <si>
    <t>GUSTAVO MONZON</t>
  </si>
  <si>
    <t>14195/ 7841/ 150</t>
  </si>
  <si>
    <t>GRANJA LA SIERRA LTDA</t>
  </si>
  <si>
    <t>CITAG S A S CENTRO INTERNACIONAL DE TRAZABILIDAD AGROPECUARIA</t>
  </si>
  <si>
    <t>6/02/206</t>
  </si>
  <si>
    <t>14196/ 7842/ 151</t>
  </si>
  <si>
    <t>14202/ 7843/ 152</t>
  </si>
  <si>
    <t>14204/ 7844/ 153</t>
  </si>
  <si>
    <t>14192/ 7845/ 154</t>
  </si>
  <si>
    <t>14203/ 7846/ 155</t>
  </si>
  <si>
    <t>FLOTA/ 223</t>
  </si>
  <si>
    <t>14206/ 7849/ 156</t>
  </si>
  <si>
    <t>13986/ 7850/ 157</t>
  </si>
  <si>
    <t>14211/ 7847/ 158</t>
  </si>
  <si>
    <t>14187/ 7848/ 159</t>
  </si>
  <si>
    <t>FER 26711</t>
  </si>
  <si>
    <t>COMERCIALIZADORA AYA &amp; HERMANOS SAS</t>
  </si>
  <si>
    <t>14107/ 7852</t>
  </si>
  <si>
    <t>MONTERIA/ 226</t>
  </si>
  <si>
    <t>14107/ 7852/ 160</t>
  </si>
  <si>
    <t>LIGIA CHAPARRO</t>
  </si>
  <si>
    <t>OCTUBRE</t>
  </si>
  <si>
    <t>13437/ 7853/ 161</t>
  </si>
  <si>
    <t>13990/ 7791/ 162</t>
  </si>
  <si>
    <t>ABONO 19/01 $2.000.000/ 148</t>
  </si>
  <si>
    <t>12233/ 7804/ 163</t>
  </si>
  <si>
    <t>14184/ 7838/ 147</t>
  </si>
  <si>
    <t>AGRO INVERSIONES JAMAX SAS</t>
  </si>
  <si>
    <t>UNIVERSIDAD DE CALDAS /ODC 343</t>
  </si>
  <si>
    <t>MC 1099</t>
  </si>
  <si>
    <t>SPERMLIDE420</t>
  </si>
  <si>
    <t>Sperm Analysis Technologies SL</t>
  </si>
  <si>
    <t>GLOV 1558</t>
  </si>
  <si>
    <t xml:space="preserve">SPERM ANALYSIS TECHNOLOGIES SL  </t>
  </si>
  <si>
    <t>INV/2026/0001</t>
  </si>
  <si>
    <t>CÁMARA DE RECUENTO CELULAR SPERMLIDE420/ 4 cámaras de recuento por porta, 20 micras de profundidad.</t>
  </si>
  <si>
    <t>GRUPO EMPRESARIAL LIZAYA S.A.S.</t>
  </si>
  <si>
    <t>14222/ 7854/ 164</t>
  </si>
  <si>
    <t>14227/ 7855/ 165</t>
  </si>
  <si>
    <t>14228/ 7856/ 166</t>
  </si>
  <si>
    <t>14229/ 7857/ 167</t>
  </si>
  <si>
    <t>14234/ 7858/ 168</t>
  </si>
  <si>
    <t>DEMOSTRACIÓN MX5</t>
  </si>
  <si>
    <t>SANDRA CAROLINA CHACON CASTRO</t>
  </si>
  <si>
    <t>14221/ 7851/ 169</t>
  </si>
  <si>
    <t>14153/ 7859/ 170</t>
  </si>
  <si>
    <t>14226/ 7860/ 171</t>
  </si>
  <si>
    <t>14239/ REM 466/ 172</t>
  </si>
  <si>
    <t>14246/ REM 467/ 173</t>
  </si>
  <si>
    <t>JORGE LUIS RAMIREZ CORREA</t>
  </si>
  <si>
    <t>LA CORPORACION COLOMBIANA DE INVESTIGACION AGROPECUARIA - AGROSAVIA No.667252</t>
  </si>
  <si>
    <t>DANIEL SANTIAGO CHAPARRO URETE</t>
  </si>
  <si>
    <t>13796/ 7863/ 174</t>
  </si>
  <si>
    <t>14251/ 7861/ 175</t>
  </si>
  <si>
    <t>14236/ 7862/ 176</t>
  </si>
  <si>
    <t>MOTO/ 251</t>
  </si>
  <si>
    <t>MARIA ROCIO OSORIO LONDOÑO</t>
  </si>
  <si>
    <t>14249/ 7864/ 177</t>
  </si>
  <si>
    <t>14253/ 7865/ 178</t>
  </si>
  <si>
    <t>14174/ 7866/ 179</t>
  </si>
  <si>
    <t>14219/ 7867/ 180</t>
  </si>
  <si>
    <t>14257/ 7868/ 181</t>
  </si>
  <si>
    <t>14261/ 7869/ 182</t>
  </si>
  <si>
    <t>14252/ 7870/ 183</t>
  </si>
  <si>
    <t>14266/ 7871/ 184</t>
  </si>
  <si>
    <t>14258/ REM 468/ 185</t>
  </si>
  <si>
    <t>REM 469</t>
  </si>
  <si>
    <t>14237/ REM 469/ 186</t>
  </si>
  <si>
    <t>JAIME SUÁREZ</t>
  </si>
  <si>
    <t>14270/ 7872</t>
  </si>
  <si>
    <t>VICTOR DAIRO PEÑA CASTRO</t>
  </si>
  <si>
    <t>14235/ 7874/ 187</t>
  </si>
  <si>
    <t>14272/ 7875/ 188</t>
  </si>
  <si>
    <t>MAICITO S. A.</t>
  </si>
  <si>
    <t>PORCICOLA EL NORAL SAS</t>
  </si>
  <si>
    <t>LANE MANOFACTURING</t>
  </si>
  <si>
    <t>14046/ 7877/ 189</t>
  </si>
  <si>
    <t>PRISCILA CEDEÑO MARTINEZ</t>
  </si>
  <si>
    <t>EIBAR JOSÉ CALDERÓN</t>
  </si>
  <si>
    <t>MEXICO/ 267</t>
  </si>
  <si>
    <t>13993/ 7832/ 190</t>
  </si>
  <si>
    <t>DEBE $6.050.000/ 68</t>
  </si>
  <si>
    <t>CREDITO 30 DÍAS/ 11</t>
  </si>
  <si>
    <t>WOMPI/ 63</t>
  </si>
  <si>
    <t xml:space="preserve">KAREN </t>
  </si>
  <si>
    <t>HUMBERT ALEJANDRO DURAN SANDOVAL</t>
  </si>
  <si>
    <t>13885/ 7883/ 191</t>
  </si>
  <si>
    <t>14273/ 7873/ 192</t>
  </si>
  <si>
    <t>14165/ 7884/ 193</t>
  </si>
  <si>
    <t>14271/ 7879/ 194</t>
  </si>
  <si>
    <t>14197/ 7880/ 195</t>
  </si>
  <si>
    <t>14289/ 7881/ 196</t>
  </si>
  <si>
    <t>14287/ 7882/ 197</t>
  </si>
  <si>
    <t>FABIO ANDRES GUEVARA GUEVARA</t>
  </si>
  <si>
    <t>JAIRO ENRIQUE LÓPEZ MALDONADO</t>
  </si>
  <si>
    <t>JAVIER VIRGÜEZ</t>
  </si>
  <si>
    <t>14286/ 7885/ 198</t>
  </si>
  <si>
    <t>14300/ 7886/ 199</t>
  </si>
  <si>
    <t>14297/ 7887/ 200</t>
  </si>
  <si>
    <t>14280/ 7888/ 201</t>
  </si>
  <si>
    <t>13194/ 7889/ 202</t>
  </si>
  <si>
    <t>11070/ 7890/ 203</t>
  </si>
  <si>
    <t>14191/ 7891/ 204</t>
  </si>
  <si>
    <t>14291/ 7892/ 205</t>
  </si>
  <si>
    <t>CARLOS ALFREDO VEGA VERA</t>
  </si>
  <si>
    <t>14299/ 7893/ 206</t>
  </si>
  <si>
    <t>14307/ 7894/ 207</t>
  </si>
  <si>
    <t>14309/ 7895/208</t>
  </si>
  <si>
    <t>14303/ 7896/ 209</t>
  </si>
  <si>
    <t>14312/ 7897/ 210</t>
  </si>
  <si>
    <t>JUAN CAMILO CASTRILLÓN OTÁLVARO</t>
  </si>
  <si>
    <t>XUZHOU KAIXIN ELECTRONIC INSTRUMENT CO.LTD</t>
  </si>
  <si>
    <t>14087/ 7899</t>
  </si>
  <si>
    <t>14087/ 7899/ 211</t>
  </si>
  <si>
    <t>OBSEQUIO/ 212</t>
  </si>
  <si>
    <t>GUILLERMO ALFREDO VIVAS GIRALDO</t>
  </si>
  <si>
    <t>LUIS FERNANDO DE JOSE AMARILES</t>
  </si>
  <si>
    <t>14290/ 7898/ 213</t>
  </si>
  <si>
    <t>14317/ 7900/ 214</t>
  </si>
  <si>
    <t>14324/ 470/ 215</t>
  </si>
  <si>
    <t>GRANJA PORCICOLA LA ESPAÑOLA S.A.S</t>
  </si>
  <si>
    <t>14283/ 7901/ 216</t>
  </si>
  <si>
    <t>14325/ 7902/ 217</t>
  </si>
  <si>
    <t>JOSE MANUEL AMAYA ARDILA</t>
  </si>
  <si>
    <t>14113/ 7903/ 218</t>
  </si>
  <si>
    <t>14327/ 7904/ 219</t>
  </si>
  <si>
    <t>14326/ 7905/ 220</t>
  </si>
  <si>
    <t>14328/7906/ 221</t>
  </si>
  <si>
    <t>14321/ 7907/ 222</t>
  </si>
  <si>
    <t>13827/ 7908/ 223</t>
  </si>
  <si>
    <t>14304/ 7909/ 224</t>
  </si>
  <si>
    <t>14329/ 7910/ 225</t>
  </si>
  <si>
    <t>JAIME SUÁREZ/ GANADERIA EL MILAGRO</t>
  </si>
  <si>
    <t>REM 471</t>
  </si>
  <si>
    <t>14333/ REM 471/ 226</t>
  </si>
  <si>
    <t>CAMILO ANDRÉS OICATÁ VARGAS</t>
  </si>
  <si>
    <t>LLEGÓ DE CHINA REPUESTO</t>
  </si>
  <si>
    <t>26/CR000480</t>
  </si>
  <si>
    <t>MC 1100</t>
  </si>
  <si>
    <t>BA002020260119/ BA002020260119-1</t>
  </si>
  <si>
    <t>BA002020260119/ BA002020260119-2</t>
  </si>
  <si>
    <t>BA002020260119/ BA002020260119-4</t>
  </si>
  <si>
    <t>BA002020260119/ BA002020260119-5</t>
  </si>
  <si>
    <t>BA002020260119/ BA002020260119-6</t>
  </si>
  <si>
    <t>BA002020260119/ BA002020260119-7</t>
  </si>
  <si>
    <t>KX-O20260130</t>
  </si>
  <si>
    <t>13995/ 7912/ 227</t>
  </si>
  <si>
    <t>14338/ 7913/ 228</t>
  </si>
  <si>
    <t>14349/ 7916/ 232</t>
  </si>
  <si>
    <t>CENTRO MEDICO VETERINARIO FELIVET SAS</t>
  </si>
  <si>
    <t>14355/ 7917/ 233</t>
  </si>
  <si>
    <t>14356/ 7918/ 234</t>
  </si>
  <si>
    <t>JOSE DANIEL TULCANAZA ROSERO</t>
  </si>
  <si>
    <t>FEV 109059</t>
  </si>
  <si>
    <t>SIMUNISTROS CLINICOS ISLAS SAS</t>
  </si>
  <si>
    <t>13974/ REM 462/ 7921/ 235</t>
  </si>
  <si>
    <t>PERU/ 311</t>
  </si>
  <si>
    <t>14044/ 7920/ 236</t>
  </si>
  <si>
    <t>IVAN ELIECER MENDEZ SANCHEZ</t>
  </si>
  <si>
    <t>13574/ 7919/ 237</t>
  </si>
  <si>
    <t>CENTRO GANADERO CHAVEZ/ NORBERTO</t>
  </si>
  <si>
    <t>14275/ 7922/ 238</t>
  </si>
  <si>
    <t>CURSO EL MILAGRO</t>
  </si>
  <si>
    <t>7922/ 239</t>
  </si>
  <si>
    <t>14341/ 7923/ 240</t>
  </si>
  <si>
    <t>13601/ REM 465/ 7878/ 242</t>
  </si>
  <si>
    <t>14365/ 7926/ 244</t>
  </si>
  <si>
    <t>14364/ 7927/ 245</t>
  </si>
  <si>
    <t>14366/ 7928/ 246</t>
  </si>
  <si>
    <t>14371/ 7929/ 247</t>
  </si>
  <si>
    <t>14375/ 7930/ 248</t>
  </si>
  <si>
    <t>ADTG6021</t>
  </si>
  <si>
    <t>EMPRESA GENETICA ESPECIAL LTDA/ IDEO+SOLUCIONES S.A.S</t>
  </si>
  <si>
    <t>14362/ 7924/ 241/ 14381/ 7931</t>
  </si>
  <si>
    <t>VALENTINA MORALES SÁNCHEZ</t>
  </si>
  <si>
    <t>TOMÁS AGUILAR</t>
  </si>
  <si>
    <t>ACCEORIOS DRAMINSKI</t>
  </si>
  <si>
    <t>ANDRES CAMILO SANTACOLOMA BARRERA</t>
  </si>
  <si>
    <t>BIOHOUS</t>
  </si>
  <si>
    <t>KEVIN ANDRÉS MARTINEZ MOLANO</t>
  </si>
  <si>
    <t>14383/ 7932/ 250</t>
  </si>
  <si>
    <t>14382/ 7933/ 251</t>
  </si>
  <si>
    <t>14385/ 7934/ 252</t>
  </si>
  <si>
    <t>14370/ 7935/ 253</t>
  </si>
  <si>
    <t>14384/ 7936/ 254</t>
  </si>
  <si>
    <t>14373/ 7937/ 255</t>
  </si>
  <si>
    <t>14394/ 7939/ 256</t>
  </si>
  <si>
    <t>14395/ 7940/ 257</t>
  </si>
  <si>
    <t>14389/ 7941/ 258</t>
  </si>
  <si>
    <t>14363/ 7942/ 259</t>
  </si>
  <si>
    <t>13935/ 7944/ 260</t>
  </si>
  <si>
    <t>HC260109ET01</t>
  </si>
  <si>
    <t xml:space="preserve">DICORLAB </t>
  </si>
  <si>
    <t>INVERSIONES AGROGANADERA S.A.S</t>
  </si>
  <si>
    <t>14386/ 7945/ 261</t>
  </si>
  <si>
    <t>14400/ 7946/ 262</t>
  </si>
  <si>
    <t>14402/ 7948/ 263</t>
  </si>
  <si>
    <t>14409/ 7949/ 264</t>
  </si>
  <si>
    <t>14269/ 7938/ 265</t>
  </si>
  <si>
    <t>14396/ 7943/ 266</t>
  </si>
  <si>
    <t>14398/ 7947/ 267</t>
  </si>
  <si>
    <t>14411/ 7950</t>
  </si>
  <si>
    <t>MOTO/ 342</t>
  </si>
  <si>
    <t>14413/ 7951/ 268</t>
  </si>
  <si>
    <t>FV-2-425</t>
  </si>
  <si>
    <t>14416/ 7952/ 269</t>
  </si>
  <si>
    <t>NOGA S.A.S</t>
  </si>
  <si>
    <t>CREDITO 30 DIAS/ 344</t>
  </si>
  <si>
    <t>DWHST260204MC-CO</t>
  </si>
  <si>
    <t>SHANTOU INSTITUTE OF ULTRASONIC INSTRUMENTS (HK) CO LTD (SIUI)</t>
  </si>
  <si>
    <t>PI-B260128</t>
  </si>
  <si>
    <t>PALHER HOLDING GROUP S.A.S</t>
  </si>
  <si>
    <t>14426/ 7953/ 270</t>
  </si>
  <si>
    <t>14407/ 7954/ 271</t>
  </si>
  <si>
    <t>13388/ 7955/ 272</t>
  </si>
  <si>
    <t>VA001</t>
  </si>
  <si>
    <t>MICROPIPETA 05- 10 UL</t>
  </si>
  <si>
    <t>YM219AN0002623</t>
  </si>
  <si>
    <t>MICROPIPETA 10- 100 UL</t>
  </si>
  <si>
    <t>YM221AQ0007652</t>
  </si>
  <si>
    <t>MICROPIPETA 100 - 1000 UL</t>
  </si>
  <si>
    <t>YM224AR0018536</t>
  </si>
  <si>
    <t>MICROPIPETA 20 - 200 UL</t>
  </si>
  <si>
    <t>YM222AQ0013700</t>
  </si>
  <si>
    <t>VA002</t>
  </si>
  <si>
    <t>VA003</t>
  </si>
  <si>
    <t>VA004</t>
  </si>
  <si>
    <t>14414/ 7956/ 273</t>
  </si>
  <si>
    <t>14388/ 7957/ 274</t>
  </si>
  <si>
    <t>14432/ 7958/ 275</t>
  </si>
  <si>
    <t>ANDRÉS CASTAÑEDA SOSA</t>
  </si>
  <si>
    <t>14422/ 7959/ 277</t>
  </si>
  <si>
    <t>MOTO/ 352</t>
  </si>
  <si>
    <t>MOTO/ 353</t>
  </si>
  <si>
    <t>14434/ 7960/ 278</t>
  </si>
  <si>
    <t>14443/ 7961/ 279</t>
  </si>
  <si>
    <t>FLOTA/ 355</t>
  </si>
  <si>
    <t>14284/ 7962/ 280</t>
  </si>
  <si>
    <t>14445/ 7963/ 281</t>
  </si>
  <si>
    <t>ERSON GEOVANNY PINZON ARENAS</t>
  </si>
  <si>
    <t>14433/ 7965/ 282</t>
  </si>
  <si>
    <t>VITA IVF LAB SAS/ OC-1-10085</t>
  </si>
  <si>
    <t>14387/ 7967/ 283</t>
  </si>
  <si>
    <t>14448/ 7969/ 284</t>
  </si>
  <si>
    <t>14449/ 7970/ 285</t>
  </si>
  <si>
    <t>14429/ 7968/ 286</t>
  </si>
  <si>
    <t>INVERSIONES CJR COLOMBIA SAS</t>
  </si>
  <si>
    <t>DAN KEYL PUPO HOYOS</t>
  </si>
  <si>
    <t>MARZO</t>
  </si>
  <si>
    <t>OSCAR ORLANDO OCHOA VALDERRAMA</t>
  </si>
  <si>
    <t>BM-9.2-26-1C928</t>
  </si>
  <si>
    <t>MC 1101</t>
  </si>
  <si>
    <t>MC 1102</t>
  </si>
  <si>
    <t>TUBO 0.25 PARA PISTOLA DE INSEMINACIÓN CON CÁMARA BMV</t>
  </si>
  <si>
    <t>TUBO 0.50 PARA PISTOLA DE INSEMINACIÓN CON CÁMARA BMV</t>
  </si>
  <si>
    <t>FE 10347</t>
  </si>
  <si>
    <t>LABORATORIO TECNOLOGICO LAB INSUMOS</t>
  </si>
  <si>
    <t>OCV001</t>
  </si>
  <si>
    <t>14438 REM 432/ 287</t>
  </si>
  <si>
    <t>14105/ 7971/ 288</t>
  </si>
  <si>
    <t>14454/ 7974/ 289</t>
  </si>
  <si>
    <t>14452/ 7975/ 290</t>
  </si>
  <si>
    <t>14458/ 7976/ 291</t>
  </si>
  <si>
    <t>14431/ 7964/ 292</t>
  </si>
  <si>
    <t>MOTO/ 368</t>
  </si>
  <si>
    <t>14461/ 7977/ 293</t>
  </si>
  <si>
    <t>14462/ 7978/ 294</t>
  </si>
  <si>
    <t>PABLO LEIDIKER ROJAS GARCIA</t>
  </si>
  <si>
    <t>MARIA ALEJANDRA PARRA VARGAS</t>
  </si>
  <si>
    <t>INVERSIONES SAN JOSÉ</t>
  </si>
  <si>
    <t>ALBERT COLMENARES</t>
  </si>
  <si>
    <t>14471/ 7980/ 295</t>
  </si>
  <si>
    <t>14470/ 7979/ 296</t>
  </si>
  <si>
    <t>RECOGEN/ 372</t>
  </si>
  <si>
    <t>14472/ 7981/ 297</t>
  </si>
  <si>
    <t>14456/ 7982/ 298</t>
  </si>
  <si>
    <t>14466/ 7983/ 299</t>
  </si>
  <si>
    <t>14478/ 7984/ 300</t>
  </si>
  <si>
    <t>14405/ 7985/ 301</t>
  </si>
  <si>
    <t>JOSÉ VICENTE OROZCO</t>
  </si>
  <si>
    <t>EFECTIVO/ 373</t>
  </si>
  <si>
    <t>EFECTIVO/ 378</t>
  </si>
  <si>
    <t>14419/ 7973/ 302</t>
  </si>
  <si>
    <t>14418/ 7972/ 303</t>
  </si>
  <si>
    <t>14442/ 7986/ 304</t>
  </si>
  <si>
    <t>RECOGEN/ 380</t>
  </si>
  <si>
    <t>14483/ 7987/ 305</t>
  </si>
  <si>
    <t>14481/ 7988/ 307</t>
  </si>
  <si>
    <t>14482/ 7989/ 308</t>
  </si>
  <si>
    <t>14218/ 7991/ 309</t>
  </si>
  <si>
    <t>14488/ 7990/ 310</t>
  </si>
  <si>
    <t>SUTI 994</t>
  </si>
  <si>
    <t>SU TIENDA</t>
  </si>
  <si>
    <t>JAQUELINE MARGARITA BURBANO MUÑOZ</t>
  </si>
  <si>
    <t>COMERCIAL MAS CAMPO BIOTECNOLOGÍA ANIMAL SAS</t>
  </si>
  <si>
    <t>YIYI MOCHUELO</t>
  </si>
  <si>
    <t>14503/ REM 473</t>
  </si>
  <si>
    <t>RAÚL JAVIER VETENCOURT MONTOYA</t>
  </si>
  <si>
    <t>FUNDACION GRUPO ARGOS/ N°.PMO 6000048566</t>
  </si>
  <si>
    <t>14339/ 7993/ 312</t>
  </si>
  <si>
    <t>14498/ 7994/ 313</t>
  </si>
  <si>
    <t>14494/ 7995/ 314</t>
  </si>
  <si>
    <t>14496/ 7996/ 315</t>
  </si>
  <si>
    <t>14502/ 7997/ 316</t>
  </si>
  <si>
    <t>14497/ 7998/ 317</t>
  </si>
  <si>
    <t>RECOGEN /395</t>
  </si>
  <si>
    <t>14512/ 7999/ 318</t>
  </si>
  <si>
    <t>EDWIN ALFONSO HENAO SUAREZ</t>
  </si>
  <si>
    <t>14514/ 8000/ 319</t>
  </si>
  <si>
    <t>14515/ 8002/ 320</t>
  </si>
  <si>
    <t>14517/ 8003/ 321</t>
  </si>
  <si>
    <t>HSJ GESTIÓN 360 SAS / OC 1536</t>
  </si>
  <si>
    <t>AGROPECUARIA BAMBUSA SAS/ OC 7948</t>
  </si>
  <si>
    <t>14521/ 8004/ 322</t>
  </si>
  <si>
    <t>14524/ 8005/ 323</t>
  </si>
  <si>
    <t>CAMILO ANDRES ORTIZ NIÑO</t>
  </si>
  <si>
    <t>14520/ 8006/ 324</t>
  </si>
  <si>
    <t>ALEXANDER VINASCO CASTRO/ CRIAS INNOVACION GENETICA SAS</t>
  </si>
  <si>
    <t>14529/ 8007/ 325</t>
  </si>
  <si>
    <t>retencion a favor $50.354/ 405</t>
  </si>
  <si>
    <t>JOSE DARIEL VALENCIA MEJIA</t>
  </si>
  <si>
    <t>COMITE DEPARTAMENTAL DE GANADEROS Y AGRICULTORES DE CALDAS</t>
  </si>
  <si>
    <t>14532/ 8008/ 326</t>
  </si>
  <si>
    <t>SOLUCIONES DE LABORATORIO E INDUSTRIA S A S</t>
  </si>
  <si>
    <t>ALEX DARIO QUINTERO ARCINIEGAS</t>
  </si>
  <si>
    <t>SOLUCIONES DE LABORATORIO E INDUSTRIA S A S/ DAVID AVENDAÑO</t>
  </si>
  <si>
    <t>14467/ 8009/ 327</t>
  </si>
  <si>
    <t>14531/ 8010/ 328</t>
  </si>
  <si>
    <t>GPB2025130227</t>
  </si>
  <si>
    <t>14533/ 8011/ 329</t>
  </si>
  <si>
    <t>13031/ 7925/ 243/ 7931</t>
  </si>
  <si>
    <t>6/03/20226</t>
  </si>
  <si>
    <t>14541/ 8013/330</t>
  </si>
  <si>
    <t>a favor $7.083</t>
  </si>
  <si>
    <t>FEQ33574</t>
  </si>
  <si>
    <t>ADTG6048</t>
  </si>
  <si>
    <t>14542/ 8014/ 331</t>
  </si>
  <si>
    <t>14549/ 8015/ 332</t>
  </si>
  <si>
    <t>VILLAO/ 397 $34.700</t>
  </si>
  <si>
    <t>FLORENCIA/ 396 $43.700</t>
  </si>
  <si>
    <t>14550/ 8016/ 333</t>
  </si>
  <si>
    <t>14506/ 8017/ 334</t>
  </si>
  <si>
    <t>14508/ 8018/ 335</t>
  </si>
  <si>
    <t>MONTERIA/ 415 $61.700</t>
  </si>
  <si>
    <t>14509/ 8019/ 336</t>
  </si>
  <si>
    <t>14551/ 8020/ 337</t>
  </si>
  <si>
    <t>14518/ 8001/ 338</t>
  </si>
  <si>
    <t>RECOGIERON/ 418</t>
  </si>
  <si>
    <t>14539/ 8012/ 339</t>
  </si>
  <si>
    <t>14554/ 8021/ 340</t>
  </si>
  <si>
    <t>14556/ 8022/ 341</t>
  </si>
  <si>
    <t>14455/ 8023/ 342</t>
  </si>
  <si>
    <t>LUIS EDUARDO ARBOLEDA VANEGAS</t>
  </si>
  <si>
    <t>EDGAR ALFONSO NARVAEZ MARTINEZ</t>
  </si>
  <si>
    <t>HECTOR ANIBAL CABRERA TOVAR</t>
  </si>
  <si>
    <t>INVERSIONES CASA VERDE DHD SAS</t>
  </si>
  <si>
    <t>14493/ 8025/ 343</t>
  </si>
  <si>
    <t>14565/ 8026/ 344</t>
  </si>
  <si>
    <t>14486/ 8027/ 345</t>
  </si>
  <si>
    <t>14552/ 8030/ 346</t>
  </si>
  <si>
    <t>14553/ 8031/ 347</t>
  </si>
  <si>
    <t>14545/ 8024/ 348</t>
  </si>
  <si>
    <t>14516/ 8032/ 349</t>
  </si>
  <si>
    <t>RAFAEL DARIO TRUJILLO PERDOMO</t>
  </si>
  <si>
    <t>14573/ 8033/ 350</t>
  </si>
  <si>
    <t>MOTO/ 429</t>
  </si>
  <si>
    <t>14571/ 8034/ 352</t>
  </si>
  <si>
    <t>RECOGIERON / 430</t>
  </si>
  <si>
    <t>14567/ 8028/ 353</t>
  </si>
  <si>
    <t>UNIVERSIDAD COOPERATIVA DE COLOMBIA/ 03BUC - 0000012478</t>
  </si>
  <si>
    <t>KX-O20260224</t>
  </si>
  <si>
    <t>XUZHOU KAIXIN ELECTRONIC INSTRUMENT CO.，LTD</t>
  </si>
  <si>
    <t>13044/ 8035/ 354</t>
  </si>
  <si>
    <t>GANADERIA LA BARRERA S.A.S.</t>
  </si>
  <si>
    <t>LA CAPRICHOSA CRIADERO S.A.S</t>
  </si>
  <si>
    <t>MALETA N2</t>
  </si>
  <si>
    <t>14581/ 8037/ 355</t>
  </si>
  <si>
    <t>COMERCIALIZADORA EL ZARZAL SAS</t>
  </si>
  <si>
    <t>14582/ 8038/ 356</t>
  </si>
  <si>
    <t>431/ TERMINAL</t>
  </si>
  <si>
    <t>14588/ 8039</t>
  </si>
  <si>
    <t>POR TRANSMILLAS/ 433</t>
  </si>
  <si>
    <t>14588/ 8039/ 357</t>
  </si>
  <si>
    <t>14590/ 8040/ 358</t>
  </si>
  <si>
    <t>MC 1103</t>
  </si>
  <si>
    <t>CAJA PETRI DESECHABLE ESTERIL 60X15MM MARCA: NEST</t>
  </si>
  <si>
    <t>YILBERT ESTEBAN MORALES CELIS</t>
  </si>
  <si>
    <t>D&amp;D TRANSPORTES &amp; SERVICIOS S.A.S</t>
  </si>
  <si>
    <t>14594/8042/ 356</t>
  </si>
  <si>
    <t>14596/ 8043/ 360</t>
  </si>
  <si>
    <t>PAOLA ANDREA JIMENEZ VELASQUEZ</t>
  </si>
  <si>
    <t>14597/ 8044/ 361</t>
  </si>
  <si>
    <t>BLX-S100</t>
  </si>
  <si>
    <t>51/ 54</t>
  </si>
  <si>
    <t>12/03/206</t>
  </si>
  <si>
    <t>14599/ 8046/ 362</t>
  </si>
  <si>
    <t>14427/ 8047/ 363</t>
  </si>
  <si>
    <t>RIGOBERTO ANTONIO SALGADO CORTES</t>
  </si>
  <si>
    <t>14603/ 8048/ 364</t>
  </si>
  <si>
    <t>14579/ 8049/ 365</t>
  </si>
  <si>
    <t>MC 1104</t>
  </si>
  <si>
    <t>PAJILLA TRANSPARENTE DE 0.5 IMV PAQ.X 200 UND</t>
  </si>
  <si>
    <t>14611/ 8051/ 367</t>
  </si>
  <si>
    <t>14544/ 8052/ 368</t>
  </si>
  <si>
    <t>14615/ 8053/ 369</t>
  </si>
  <si>
    <t>MONTERIA/ 447</t>
  </si>
  <si>
    <t>14616/ 8054/ 370</t>
  </si>
  <si>
    <t>14572/ 8050/ 371</t>
  </si>
  <si>
    <t>14619/ 8055/ 372</t>
  </si>
  <si>
    <t>14600/ 8045/ 373</t>
  </si>
  <si>
    <t>CREDITO 15 DIAS/ 451</t>
  </si>
  <si>
    <t>14621/ 8056/ 374</t>
  </si>
  <si>
    <t>14587/ 8041/ 375</t>
  </si>
  <si>
    <t>FEQ33679</t>
  </si>
  <si>
    <t>25-1168</t>
  </si>
  <si>
    <t>MC 1105</t>
  </si>
  <si>
    <t>INSUTECH INSUMOS &amp; TECNOLOGIAS S.A.S.</t>
  </si>
  <si>
    <t>INVERSIONES QUINTERO R Y CIA SAS</t>
  </si>
  <si>
    <t>a favor $41.308 retención y envio/ 452</t>
  </si>
  <si>
    <t>14606/ 8057/ 376</t>
  </si>
  <si>
    <t>14624/ 8058/ 377</t>
  </si>
  <si>
    <t>14612/ 8059/ 378</t>
  </si>
  <si>
    <t>FLOTA/ 455</t>
  </si>
  <si>
    <t>14604/ 8060/ 379</t>
  </si>
  <si>
    <t>14637/ 8062/ 380</t>
  </si>
  <si>
    <t>14614/ 8064/ 381</t>
  </si>
  <si>
    <t>14511/ 8065/ 382</t>
  </si>
  <si>
    <t>MOTO/ 460</t>
  </si>
  <si>
    <t>14642/ 8066/ 383</t>
  </si>
  <si>
    <t>14640/ 8067/ 384</t>
  </si>
  <si>
    <t>14608/ 8068/ 385</t>
  </si>
  <si>
    <t>462/ a favor $28.149 retención</t>
  </si>
  <si>
    <t>14631/ 8061/ 386</t>
  </si>
  <si>
    <t>MC 1106</t>
  </si>
  <si>
    <t>VETMOTL</t>
  </si>
  <si>
    <t>14644/ 8069/ 387</t>
  </si>
  <si>
    <t>14645/ 8070/ 388</t>
  </si>
  <si>
    <t>DISPOSITIVO DE SEPARACIÓN DE ESPERMA BOVINO VETMOTL</t>
  </si>
  <si>
    <t>MUESTRAVETMOTLBOV</t>
  </si>
  <si>
    <t>MUESTRA DISPOSITIVO DE SEPACIÓN DE ESPERMA PARA BOVINOS</t>
  </si>
  <si>
    <t>MUESTRAVETMOTLEQUIN3</t>
  </si>
  <si>
    <t>MUESTRAVETMOTLEQUIN850</t>
  </si>
  <si>
    <t>MUESTRA DISPOSITIVO DE SEPACIÓN DE ESPERMA PARA EQUINOS 850 UL</t>
  </si>
  <si>
    <t>MUESTRA DISPOSITIVO DE SEPACIÓN DE ESPERMA PARA EQUINOS 3 UL</t>
  </si>
  <si>
    <t>DISPOSITIVO DE SEPARACIÓN DE ESPERMA EQUINO VETMOTL 3 ML</t>
  </si>
  <si>
    <t>MC 1107</t>
  </si>
  <si>
    <t>DISPOSITIVO DE SEPARACIÓN DE ESPERMA EQUINO VETMOTL 850 UL</t>
  </si>
  <si>
    <t>JOSE ARIEL MARIN CORREA MARIN CORREA</t>
  </si>
  <si>
    <t>LABORATORIO GEMALAB SAS</t>
  </si>
  <si>
    <t>MC 1108</t>
  </si>
  <si>
    <t>PLATINA CALENTADORA SMZ REDONDA WTA</t>
  </si>
  <si>
    <t>14647/ 8072/ 389</t>
  </si>
  <si>
    <t>14646/ 8073/ 390</t>
  </si>
  <si>
    <t>14651/ 8074/ 391</t>
  </si>
  <si>
    <t>14649/ 8075/ 392</t>
  </si>
  <si>
    <t>14598/ 8076/ 393</t>
  </si>
  <si>
    <t>304/ Agrario</t>
  </si>
  <si>
    <t>14656/ 8077/ 395</t>
  </si>
  <si>
    <t>14657/ 8078/ 396</t>
  </si>
  <si>
    <t>JUAN DIEGO CASALLAS ARÉVALO</t>
  </si>
  <si>
    <t>14660/ 8079/ 397</t>
  </si>
  <si>
    <t>NARCES SERRATO POMAR</t>
  </si>
  <si>
    <t>DEICY SEPULVEDA</t>
  </si>
  <si>
    <t>14664/ 8080/ 398</t>
  </si>
  <si>
    <t>14032/ 7911/ 394/ 399</t>
  </si>
  <si>
    <t>AGROPECUARIA EL INGENIO SAS</t>
  </si>
  <si>
    <t>CONSORCIO MATERIALES DE FORMACION SENA 2025</t>
  </si>
  <si>
    <t>REPRESENTACIONES GANADERAS LIMITADA REPREGAN LTDA</t>
  </si>
  <si>
    <t>MC 1109</t>
  </si>
  <si>
    <t>SCN-101-/100</t>
  </si>
  <si>
    <t>MC 1110</t>
  </si>
  <si>
    <t>CAP-102/100</t>
  </si>
  <si>
    <t>TUERCA DE ACOPLAMIENTO DE FILTRO PARA FRASCO COLECTOR DE SEMEN EQUINO</t>
  </si>
  <si>
    <t>TAPA DE FRASCO DE RECOLECCION DE SEMEN EQUINO</t>
  </si>
  <si>
    <t>MC 1111</t>
  </si>
  <si>
    <t>VETMOTL INC</t>
  </si>
  <si>
    <t>MOTO/ 478</t>
  </si>
  <si>
    <t>14663/ 8081/ 400</t>
  </si>
  <si>
    <t>14650/ 8082/ 401</t>
  </si>
  <si>
    <t>RECOGEN/ 481</t>
  </si>
  <si>
    <t>14666/ 8083/ 402</t>
  </si>
  <si>
    <t>SONDA EN "Y" CON VÁLVULA PARA EQUINOS</t>
  </si>
  <si>
    <t>14667/ REM 474/ 403</t>
  </si>
  <si>
    <t>SPI INC</t>
  </si>
  <si>
    <t>ADTG6097</t>
  </si>
  <si>
    <t>14671/ 8084/ 404</t>
  </si>
  <si>
    <t>14674/ 8085/ 405</t>
  </si>
  <si>
    <t>falta pago termo</t>
  </si>
  <si>
    <t>14436/ 7966/ 406</t>
  </si>
  <si>
    <t>INVERSIONES CASA VERDE DHD SAS/ MILTON GARCIA</t>
  </si>
  <si>
    <t>14562/ 8086/ 407</t>
  </si>
  <si>
    <t>CAMILO CASTRO</t>
  </si>
  <si>
    <t>14678/ 8087/ 408</t>
  </si>
  <si>
    <t>14597/8044/ 14686/ REM 475/ 409</t>
  </si>
  <si>
    <t>14681/ 8089/ 410</t>
  </si>
  <si>
    <t>14679/ 8088/ 411</t>
  </si>
  <si>
    <t>24/03/206</t>
  </si>
  <si>
    <t>WILLIAN FABIAN ROSERO CHAMORRO</t>
  </si>
  <si>
    <t>AGROPECUARIA ALIAR S /PEDIDO DE COMPRAS
Nro. 45002 02154</t>
  </si>
  <si>
    <t>DAVID ALMANZA</t>
  </si>
  <si>
    <t>14665/ 8092/ 412</t>
  </si>
  <si>
    <t>CREDITO 30 DIAS/ FACTURA ENVIO APARTE/ 490</t>
  </si>
  <si>
    <t>14406/ 8090/ 413</t>
  </si>
  <si>
    <t>14568/ 8094/414</t>
  </si>
  <si>
    <t>MOTO/ 492</t>
  </si>
  <si>
    <t>PRESTAMO s5 plus</t>
  </si>
  <si>
    <t>14689/ 8096/ 415</t>
  </si>
  <si>
    <t>X2702559489</t>
  </si>
  <si>
    <t>X2812559532</t>
  </si>
  <si>
    <t>14561/ 8071/ 417</t>
  </si>
  <si>
    <t>ABONO 4/03/ 497</t>
  </si>
  <si>
    <t>14555/ 8091/ 418</t>
  </si>
  <si>
    <t>14213/ 8093/ 419</t>
  </si>
  <si>
    <t>14690/ 8095/ 420</t>
  </si>
  <si>
    <t>14704/ 8098/ 423</t>
  </si>
  <si>
    <t>14707/ 8099/ 424</t>
  </si>
  <si>
    <t>14709/ 8100/ 425</t>
  </si>
  <si>
    <t>PEDRO JOSÉ FAJARDO CRUZ</t>
  </si>
  <si>
    <t>14322/ 8101/ 426</t>
  </si>
  <si>
    <t>RECOGEN/ 503</t>
  </si>
  <si>
    <t>14705/ 8102/ 427</t>
  </si>
  <si>
    <t>JOSÉ JULIÁN CEBALLOS CARVAJAL</t>
  </si>
  <si>
    <t>14716/ 8103/ 428</t>
  </si>
  <si>
    <t>14717/ 8104/ 429</t>
  </si>
  <si>
    <t>14720/ 8105/ 430</t>
  </si>
  <si>
    <t>MOTO/ 507</t>
  </si>
  <si>
    <t>14724/ 8106/ 431</t>
  </si>
  <si>
    <t>14623/ 8108/ 433</t>
  </si>
  <si>
    <t>14702/ 8097/ 422/ 14743/ 8111</t>
  </si>
  <si>
    <t>14463/ 8109/ 434</t>
  </si>
  <si>
    <t>14661/ 432/ 8113</t>
  </si>
  <si>
    <t>14710/ 8110/ 435</t>
  </si>
  <si>
    <t>CREDITO 15 DIAS/ 511</t>
  </si>
  <si>
    <t>14728/ 8114/ 436</t>
  </si>
  <si>
    <t>14722/ 8112/ 437</t>
  </si>
  <si>
    <t>14732/ 8115/ 438</t>
  </si>
  <si>
    <t>14735/ 8116/ 439</t>
  </si>
  <si>
    <t>14741/ 8117/ 440</t>
  </si>
  <si>
    <t>14736/ 8118/ 441</t>
  </si>
  <si>
    <t>14733/ 8119/ 442</t>
  </si>
  <si>
    <t>debe $29.753 del ICA/ 518</t>
  </si>
  <si>
    <t>14714/ 8120/ 443</t>
  </si>
  <si>
    <t>CREDITO 15 días/ 519</t>
  </si>
  <si>
    <t>14744/ 8121/ 444</t>
  </si>
  <si>
    <t>MC 1112</t>
  </si>
  <si>
    <t>RACK DE ALUMINIO WTA 12 X 1.5 ML PARA TUBOS CONICOS</t>
  </si>
  <si>
    <t>MOTO/ 399 A FAVOR $13.000</t>
  </si>
  <si>
    <t>JHON SEBASTIAN VILLAMIL</t>
  </si>
  <si>
    <t>LUZ DARY OME GOMEZ</t>
  </si>
  <si>
    <t>SEBASTIÁN CASAS SÁNCHEZ</t>
  </si>
  <si>
    <t>YENY CELIS</t>
  </si>
  <si>
    <t>ATLAS INNOVACION S.A.S</t>
  </si>
  <si>
    <t>BIOGENETIC IN VITRO SAS</t>
  </si>
  <si>
    <t>14756/ 8123/ 445</t>
  </si>
  <si>
    <t>14758/ 8124/ 446</t>
  </si>
  <si>
    <t>14754/ 8125/ 447</t>
  </si>
  <si>
    <t>14757/ 8126/ 448</t>
  </si>
  <si>
    <t>SANTIAGO ENRIQUE UBAQUE CONTRERAS</t>
  </si>
  <si>
    <t>14763/ 8127/ 450</t>
  </si>
  <si>
    <t>RECOGEN/ EFECTIVO $1.000.000/ 524</t>
  </si>
  <si>
    <t>14745/ 8129/ 451</t>
  </si>
  <si>
    <t>14769/ 8128/ 449</t>
  </si>
  <si>
    <t>14761/ 8130/ 452</t>
  </si>
  <si>
    <t>MOTO/ 528</t>
  </si>
  <si>
    <t>14759/ 8131/ 453</t>
  </si>
  <si>
    <t>MOTO/ 529</t>
  </si>
  <si>
    <t>14766/ 8132/ 454</t>
  </si>
  <si>
    <t>L 60</t>
  </si>
  <si>
    <t>14490/ 7992/ 311</t>
  </si>
  <si>
    <t>EFECTIVO/ 530</t>
  </si>
  <si>
    <t>14749/ 8122/ 455</t>
  </si>
  <si>
    <t>FVT721062</t>
  </si>
  <si>
    <t>MC 1113</t>
  </si>
  <si>
    <t>PISTOLA DE INSEMINACIÓN UNIVERSAL (AUTOMATIC LOCK) ALUMINIO</t>
  </si>
  <si>
    <t>CREDITO 30 DIAS / 531</t>
  </si>
  <si>
    <t>14540/ 8063/ 456</t>
  </si>
  <si>
    <t>ABRIL</t>
  </si>
  <si>
    <t>PABLO LEON PEREZ JARAMILLO</t>
  </si>
  <si>
    <t>CARLOS MARTINEZ</t>
  </si>
  <si>
    <t>WILMER ORLANDO MURCIA GABANZO</t>
  </si>
  <si>
    <t>14775/ 8133/ 457</t>
  </si>
  <si>
    <t>14776/ 8134/ 458</t>
  </si>
  <si>
    <t>DEBEMOS 9 UNIDADES</t>
  </si>
  <si>
    <t>devolver retención/ 536</t>
  </si>
  <si>
    <t>14786/ 8135/ 460</t>
  </si>
  <si>
    <t>14764/ 8136/ 461</t>
  </si>
  <si>
    <t>14789/ 8137/ 462</t>
  </si>
  <si>
    <t>14796/ 8138/ 463</t>
  </si>
  <si>
    <t>14711/ 8139/ 464</t>
  </si>
  <si>
    <t>14794/ 8140/ 465</t>
  </si>
  <si>
    <t>MOTO/ 543</t>
  </si>
  <si>
    <t>14783/ 8141/ 466</t>
  </si>
  <si>
    <t>14243/ 8036/ 467</t>
  </si>
  <si>
    <t>14799/ 8142/ 468</t>
  </si>
  <si>
    <t>14802/ 8143/ 469</t>
  </si>
  <si>
    <t>ANGELA MARIA STEPA</t>
  </si>
  <si>
    <t>INVERSIONES YMT SAS</t>
  </si>
  <si>
    <t>TE SOLUCIONAMOS MG S.A.S</t>
  </si>
  <si>
    <t>14499/ REM 476/ 421/ 8146</t>
  </si>
  <si>
    <t>502/ CREDITO 30 DIAS</t>
  </si>
  <si>
    <t>ROSA ANGELA NIÑO ALVARADO</t>
  </si>
  <si>
    <t>MOTO/ 548</t>
  </si>
  <si>
    <t>14817/ 8147</t>
  </si>
  <si>
    <t>efectivo / 549</t>
  </si>
  <si>
    <t>14797/ 8144/ 470</t>
  </si>
  <si>
    <t>14760/ 8145/ 471</t>
  </si>
  <si>
    <t>14800/ 8148/ 472</t>
  </si>
  <si>
    <t>14798/8149/ 473</t>
  </si>
  <si>
    <t>14810/ 8150/ 474</t>
  </si>
  <si>
    <t>14811/ 8151/ 474</t>
  </si>
  <si>
    <t>14804/ 8152/ 476</t>
  </si>
  <si>
    <t xml:space="preserve"> A FAVOR RETENCIÓN $19.185/ 556</t>
  </si>
  <si>
    <t>14792/ 8153/ 477</t>
  </si>
  <si>
    <t>14813/ 8154/ 478</t>
  </si>
  <si>
    <t>MOTO/ 558</t>
  </si>
  <si>
    <t>14815/ 8155/ 479</t>
  </si>
  <si>
    <t>14816/ 8156/ 480</t>
  </si>
  <si>
    <t>14805/ 8157/ 481</t>
  </si>
  <si>
    <t>7/04/20262</t>
  </si>
  <si>
    <t>FSAS 292225</t>
  </si>
  <si>
    <t>MUESTRA VIDEO MOCHUELO</t>
  </si>
  <si>
    <t>SALIDA/ 482</t>
  </si>
  <si>
    <t>ANDRES CLEVES ROSAS</t>
  </si>
  <si>
    <t>FEQ33739</t>
  </si>
  <si>
    <t>EX/81/2026</t>
  </si>
  <si>
    <t>MC 1114</t>
  </si>
  <si>
    <t>HOLDER PARA PROBE DRAMINSKI</t>
  </si>
  <si>
    <t>FEQ33506</t>
  </si>
  <si>
    <t>KEVIN JOSE PICON WILCHES</t>
  </si>
  <si>
    <t>CORREA DRAMISNKI</t>
  </si>
  <si>
    <t>HERNÁN ANDRÉS GAVILANES RIVADENEIRA</t>
  </si>
  <si>
    <t>SANIC IMPORT SAS</t>
  </si>
  <si>
    <t>MC 1115</t>
  </si>
  <si>
    <t xml:space="preserve">PRUEBA DE PREÑEZ TEMPRANA EN RUMIANTES </t>
  </si>
  <si>
    <t>SURTIVEL</t>
  </si>
  <si>
    <t>14772/ 8159/ 483</t>
  </si>
  <si>
    <t>14830/ 8160/ 484</t>
  </si>
  <si>
    <t>14306/ 8162/ 485</t>
  </si>
  <si>
    <t>14795/ 8163/ 486</t>
  </si>
  <si>
    <t>14823/ 8158/ 487</t>
  </si>
  <si>
    <t>14832/ 8164/ 488</t>
  </si>
  <si>
    <t>8164/ 489</t>
  </si>
  <si>
    <t>14834/ 8165</t>
  </si>
  <si>
    <t>14838/ 8166/ 490</t>
  </si>
  <si>
    <t>VILLAO/ 570</t>
  </si>
  <si>
    <t>14820/ 8167/ 491</t>
  </si>
  <si>
    <t>FLORENCIA / 571</t>
  </si>
  <si>
    <t>14821/ 8168/ 492</t>
  </si>
  <si>
    <t>MONTERIA/ 572</t>
  </si>
  <si>
    <t>14822/ 8169/ 493</t>
  </si>
  <si>
    <t>14833/ 8161/ 494</t>
  </si>
  <si>
    <t>MC 1116</t>
  </si>
  <si>
    <t>GENES DIFUSION SAS</t>
  </si>
  <si>
    <t>DILUYENTE DE SEMEN PORCINO ELIXIR 1 LITRO</t>
  </si>
  <si>
    <t>ALLIÉ GROUP S.A.S</t>
  </si>
  <si>
    <t>JOSE ISAAC SEPULVEDA ARANGO</t>
  </si>
  <si>
    <t>X2722561664</t>
  </si>
  <si>
    <t xml:space="preserve"> X2842561480</t>
  </si>
  <si>
    <t>X2742561477</t>
  </si>
  <si>
    <t>SALIDA EQUIPOS MAS CAMPO</t>
  </si>
  <si>
    <t>14840/ 8172/ 497</t>
  </si>
  <si>
    <t>14852/ 8171/ 498</t>
  </si>
  <si>
    <t>14682/ 8173/ 499</t>
  </si>
  <si>
    <t>14845/ 8174/ 500</t>
  </si>
  <si>
    <t>14784/ 8175/ 501</t>
  </si>
  <si>
    <t>14846/ 8176/ 502</t>
  </si>
  <si>
    <t>MAS CAMPO CURSO ECOGRAFIA ZIPA Y EVENTO TUNJA</t>
  </si>
  <si>
    <t>SALIDA / REM 477/ 495</t>
  </si>
  <si>
    <t>SALIDA/ 477</t>
  </si>
  <si>
    <t>FEQ33755</t>
  </si>
  <si>
    <t>FEQ33753</t>
  </si>
  <si>
    <t>FEQ33754</t>
  </si>
  <si>
    <t>14849/ 8177/ 503</t>
  </si>
  <si>
    <t>MOTO/ 584</t>
  </si>
  <si>
    <t>14841/ 8178/ 504</t>
  </si>
  <si>
    <t>CREDITO 15 DÍAS / 585</t>
  </si>
  <si>
    <t>14857/ 8179/ 505</t>
  </si>
  <si>
    <t>14848/ 8180/ 506</t>
  </si>
  <si>
    <t>14860/ 8181/ 507</t>
  </si>
  <si>
    <t>14864/ 8182/ 508</t>
  </si>
  <si>
    <t>GENES DFFUSION SAS</t>
  </si>
  <si>
    <t>LUIS ALBERTO DELGADO</t>
  </si>
  <si>
    <t>14862/ 8183/ 509</t>
  </si>
  <si>
    <t>14863/ 8184/ 510</t>
  </si>
  <si>
    <t>VILLAO / 591</t>
  </si>
  <si>
    <t>14869/ 8185/ 511</t>
  </si>
  <si>
    <t>MONTERIA  / 592</t>
  </si>
  <si>
    <t>14870/ 8186/ 512</t>
  </si>
  <si>
    <t>FLORENCIA/ 593</t>
  </si>
  <si>
    <t>14871/ 8187/ 513</t>
  </si>
  <si>
    <t>RECOGEN/ 594</t>
  </si>
  <si>
    <t>JULIO CESAR MORANTES RINCON</t>
  </si>
  <si>
    <t>14578/ 8188/ 514</t>
  </si>
  <si>
    <t>14853/ 8189/ 515</t>
  </si>
  <si>
    <t>JUAN PABLO JURADO</t>
  </si>
  <si>
    <t xml:space="preserve"> AGROPECUARIA BAJOGRANDE S.A.</t>
  </si>
  <si>
    <t>r</t>
  </si>
  <si>
    <t>JULY DISTRIBUCIONES AGROPECUARIAS S.A.S.</t>
  </si>
  <si>
    <t>14868/ 8192/ 516</t>
  </si>
  <si>
    <t>14887/ REM 478/ 517</t>
  </si>
  <si>
    <t>SOCIEDAD AGRICOLA Y GANADERA MARACAIBO S.A.S</t>
  </si>
  <si>
    <t>LUIS ALEJANDRO RUIZ FINO</t>
  </si>
  <si>
    <t>HECTOR ARIEL MACIAS TAMAYO</t>
  </si>
  <si>
    <t>FRANCISCO JAVIER CANO BETANCUR</t>
  </si>
  <si>
    <t>14345/ 7915</t>
  </si>
  <si>
    <t>14344/ 7914/230</t>
  </si>
  <si>
    <t>14101/ 7786/ 518</t>
  </si>
  <si>
    <t>CARLOS ARTURO ZAPATA GIL</t>
  </si>
  <si>
    <t>14/04/026</t>
  </si>
  <si>
    <t>A35199AAWM9X5A054830</t>
  </si>
  <si>
    <t>14875 / 8190/ 519</t>
  </si>
  <si>
    <t>14877/ 8191/520</t>
  </si>
  <si>
    <t>14847/ 8193/ 521</t>
  </si>
  <si>
    <t>6998.95 A FAVOR/ 600</t>
  </si>
  <si>
    <t>14888/ 8194/ 522</t>
  </si>
  <si>
    <t>14889/ 8195/ 523</t>
  </si>
  <si>
    <t>14879/ 8196</t>
  </si>
  <si>
    <t>14886/ 8197/ 524</t>
  </si>
  <si>
    <t>14893/ 8198/ 525</t>
  </si>
  <si>
    <t>14890/ 8199/ 526</t>
  </si>
  <si>
    <t>14897/ 8200/527</t>
  </si>
  <si>
    <t>$43.042 A FAVOR/ 609</t>
  </si>
  <si>
    <t>14899/ 8201/ 528</t>
  </si>
  <si>
    <t>14664/ 8202/ 529</t>
  </si>
  <si>
    <t>AURO INVERSIONES SAS</t>
  </si>
  <si>
    <t>E 6348</t>
  </si>
  <si>
    <t>BRAYAN STEVEN CUADROS ARIAS</t>
  </si>
  <si>
    <t>MOTO/ 612</t>
  </si>
  <si>
    <t>14900/ 8204/ 530</t>
  </si>
  <si>
    <t>FALTA PAGO PUNTAS</t>
  </si>
  <si>
    <t>14909/ 8205/ 531</t>
  </si>
  <si>
    <t>14876/ 8206/ 532</t>
  </si>
  <si>
    <t>DANIEL ARTUNDUAGA PUENTES/ DANYELY DANIELA ARTUNDUAGA MUÑOZ</t>
  </si>
  <si>
    <t xml:space="preserve"> DANIEL ARTUNDUAGA PUENTES/ DANYELY DANIELA ARTUNDUAGA MUÑOZ</t>
  </si>
  <si>
    <t>14902/ 8207/ 533</t>
  </si>
  <si>
    <t>DEVOLVIO S5/ 616</t>
  </si>
  <si>
    <t>14919/ 8208/ 534</t>
  </si>
  <si>
    <t>14917/ 8209/ 535</t>
  </si>
  <si>
    <t>COMERCIAL MAS CAMPO BIOTECNOLOGÍA ANIMAL SAS/ CURSO PEREIRA</t>
  </si>
  <si>
    <t>SALIDA 14921 REM 479/ 537</t>
  </si>
  <si>
    <t>MC 1117</t>
  </si>
  <si>
    <t>ECOGRAFO BLX-S100 CON TABLET</t>
  </si>
  <si>
    <t>SALIDA/14854/ REM 480/ 538</t>
  </si>
  <si>
    <t>MC 1118</t>
  </si>
  <si>
    <t>415501-0101-003</t>
  </si>
  <si>
    <t>PRIMOSTAR 1 FIX BINOCULAR ABBE 0.93W MARCA: ZEISS</t>
  </si>
  <si>
    <t>00KK18017</t>
  </si>
  <si>
    <t>CAMILA ANDREA CASTRO</t>
  </si>
  <si>
    <t>14920/ 8211/ 539</t>
  </si>
  <si>
    <t>14898/ 8212/ 540</t>
  </si>
  <si>
    <t>14801/ 8213/ 541</t>
  </si>
  <si>
    <t>14812/ 8214/ 542</t>
  </si>
  <si>
    <t>14912/ 8215/ 543</t>
  </si>
  <si>
    <t>14895/ 8216/ 544</t>
  </si>
  <si>
    <t>14896/ 8217/ 545</t>
  </si>
  <si>
    <t>14928/ 8218/ 546</t>
  </si>
  <si>
    <t>JESÚS ANTONIO BUSTILLO MEDINA</t>
  </si>
  <si>
    <t>14891/ 8219/ 547</t>
  </si>
  <si>
    <t>14932/8220/ 548</t>
  </si>
  <si>
    <t>14913/ 8221/ 549</t>
  </si>
  <si>
    <t>16/04/206</t>
  </si>
  <si>
    <t>14935/ 8222/ 550</t>
  </si>
  <si>
    <t>14807/ 8170/ 496</t>
  </si>
  <si>
    <t>14901/ 8210/ 536/ 551</t>
  </si>
  <si>
    <t>JAVIER ANDRÉS SUAREZ FUENTES</t>
  </si>
  <si>
    <t>14936/ 8223/ 553</t>
  </si>
  <si>
    <t>MC 1119</t>
  </si>
  <si>
    <t>BLX-V10 III</t>
  </si>
  <si>
    <t>ECOGRAFO BLX-V10 III MARCA: BOXERLY</t>
  </si>
  <si>
    <t>BXL2026031301</t>
  </si>
  <si>
    <t>MC 1120</t>
  </si>
  <si>
    <t>FUNDA TERMICA PARA CALENTAR PISTOLAS  BA-10400 MARCA:TED</t>
  </si>
  <si>
    <t>MC 1121</t>
  </si>
  <si>
    <t>FUNDA PARA TRANSFERENCIA DE 0.5 EQUNINOS  MARCA: WTA</t>
  </si>
  <si>
    <t>14931/ 8224/ 553</t>
  </si>
  <si>
    <t>14926/ 8225/ 554</t>
  </si>
  <si>
    <t>14944/ 8226/ 555</t>
  </si>
  <si>
    <t>BIBIANA CAROLINA RAMIREZ LEÓN</t>
  </si>
  <si>
    <t>RICARDO ZABALA</t>
  </si>
  <si>
    <t>B 436</t>
  </si>
  <si>
    <t>COOPERATIVA COLANTA/ OC A02-COC-326920</t>
  </si>
  <si>
    <t>HACIENDA CENTENARIO</t>
  </si>
  <si>
    <t>FUNDACION GRUPO ARGOS/ N°.PMO 6000048951</t>
  </si>
  <si>
    <t>FUNDACION GRUPO ARGOS 6000049033</t>
  </si>
  <si>
    <t>13793/ 8227/ 556</t>
  </si>
  <si>
    <t>recibidas</t>
  </si>
  <si>
    <t>MARIO BRAVO</t>
  </si>
  <si>
    <t>14954/ 8228/ 557</t>
  </si>
  <si>
    <t>20/0482026</t>
  </si>
  <si>
    <t>14947/ 8229/ 558</t>
  </si>
  <si>
    <t>HACIENDA CASANARE/ 640</t>
  </si>
  <si>
    <t>EXPONOVILLAS/ 641</t>
  </si>
  <si>
    <t>14950/ 8230/ 560</t>
  </si>
  <si>
    <t>EXPONOVILLAS EFECTIVO/ 642</t>
  </si>
  <si>
    <t>14953/ 8231/ 562</t>
  </si>
  <si>
    <t>CRED 45 DIAS/ 643</t>
  </si>
  <si>
    <t>14865/ 8232/ 563</t>
  </si>
  <si>
    <t>14962/ 8233/ 564</t>
  </si>
  <si>
    <t>CRED 30 ABRIL /MOTO/ 644</t>
  </si>
  <si>
    <t>14591/ 8234/ 565</t>
  </si>
  <si>
    <t>21/04/206</t>
  </si>
  <si>
    <t>BYRON RODRIGO CHUGÁ</t>
  </si>
  <si>
    <t>14946/ 8236/ 567</t>
  </si>
  <si>
    <t>INR INVERSIONES REINOSO Y CIA SAS</t>
  </si>
  <si>
    <t>14971/ 8237/ 568</t>
  </si>
  <si>
    <t>14975/ 8239/ 570</t>
  </si>
  <si>
    <t>14974/ 8238/ 569</t>
  </si>
  <si>
    <t>DARIO MARULANDA ANGEL Y SUCESORES S.A.S.</t>
  </si>
  <si>
    <t>REPOSICION REM 484/14979/ 571</t>
  </si>
  <si>
    <t>14882/ 8240/ 572</t>
  </si>
  <si>
    <t>652/ a favor $12.458</t>
  </si>
  <si>
    <t>14982/ 8241/ 573</t>
  </si>
  <si>
    <t>653/  A FAVOR $15.199</t>
  </si>
  <si>
    <t>14984/ 8242/ 574</t>
  </si>
  <si>
    <t>MOTO/ 655</t>
  </si>
  <si>
    <t>14985/ 8243/ 575</t>
  </si>
  <si>
    <t>14987/ 8244/ 576</t>
  </si>
  <si>
    <t>JUAN FERNANDO LOZANO ARROYO</t>
  </si>
  <si>
    <t>14561/ 8071</t>
  </si>
  <si>
    <t>CARLOS FERNANDO VARGAS GIRON</t>
  </si>
  <si>
    <t>14961/ 8245/ 577</t>
  </si>
  <si>
    <t>14836/ 8246/ 578</t>
  </si>
  <si>
    <t>618/ 632 dinero a favor $33.239</t>
  </si>
  <si>
    <t>14977/ 8247/ 579</t>
  </si>
  <si>
    <t>610 DEVOLVIERON</t>
  </si>
  <si>
    <t>14999/ 8248/ 580</t>
  </si>
  <si>
    <t>14991/ 8249/ 581</t>
  </si>
  <si>
    <t>14998/ 8250/ 582</t>
  </si>
  <si>
    <t>15000/ 8251/ 583</t>
  </si>
  <si>
    <t>15001/ 8252/ 584</t>
  </si>
  <si>
    <t>15002/ 8253/ 585</t>
  </si>
  <si>
    <t>665/ MOTO</t>
  </si>
  <si>
    <t>ADTG-6185</t>
  </si>
  <si>
    <t>JUAN PABLO MEJIA LEON</t>
  </si>
  <si>
    <t>14990/ 8254/ 586</t>
  </si>
  <si>
    <t>2304/2026</t>
  </si>
  <si>
    <t>CATALINA GARCIA</t>
  </si>
  <si>
    <t>15005/ 8255/ 587</t>
  </si>
  <si>
    <t>14986 / 8256/ 588</t>
  </si>
  <si>
    <t>CREDITO 15 DÍAS/ 669</t>
  </si>
  <si>
    <t>15009/ 8257/ 589</t>
  </si>
  <si>
    <t>14910/ 8258/ 590</t>
  </si>
  <si>
    <t>15011/ 8259/ 591</t>
  </si>
  <si>
    <t>15017/ 8260/ 592</t>
  </si>
  <si>
    <t>15016/ 8261/ 593</t>
  </si>
  <si>
    <t>CONVENCION BUFALERA/ 674</t>
  </si>
  <si>
    <t>15018/ 8262/ 594</t>
  </si>
  <si>
    <t>DEVOLUCION 91/ 117 DE 20 Y 9 DE 18</t>
  </si>
  <si>
    <t>Devolución 92</t>
  </si>
  <si>
    <t>INVERSIONES J.V. S.A.S /OC 67088</t>
  </si>
  <si>
    <t>FUNDACION UNIVERSITARIA AGRARIA DE COLOMBIA (UNIAGRARIA)</t>
  </si>
  <si>
    <t>15020/ 8264/ 595</t>
  </si>
  <si>
    <t>15023/ 8265/ 596</t>
  </si>
  <si>
    <t>14922/ 8266/ 597</t>
  </si>
  <si>
    <t>15019/ 8267/ 598</t>
  </si>
  <si>
    <t>CREDITO 30 DIAS/ 679</t>
  </si>
  <si>
    <t>15015/ 8260/ 599</t>
  </si>
  <si>
    <t>14450/ 8269/ 600</t>
  </si>
  <si>
    <t>15024/ 8270/ 601</t>
  </si>
  <si>
    <t>DANIEL ALBEIRO DIAZ CAVIEDES</t>
  </si>
  <si>
    <t>JAIRO ANDRES GONZALEZ AGUDELO</t>
  </si>
  <si>
    <t>180226A</t>
  </si>
  <si>
    <t>EX26004</t>
  </si>
  <si>
    <t>MC 1122</t>
  </si>
  <si>
    <t>IMPRESORA DE PAJILLAS AUTOMÁTICA NEOPRINTER</t>
  </si>
  <si>
    <t>DANIEL ARTUNDUAGA PUENTES INGRESO DEVOLUCIÓN/ CAMBIO S7</t>
  </si>
  <si>
    <t>DEV 6838</t>
  </si>
  <si>
    <t>ECUADOR/ 682</t>
  </si>
  <si>
    <t>14791/ 8271/ 602</t>
  </si>
  <si>
    <t>ADTG6195</t>
  </si>
  <si>
    <t>DEVUELTO RECIBIDO 27 ABRIL</t>
  </si>
  <si>
    <t>14972/ 8272/ 603</t>
  </si>
  <si>
    <t>15026/ 8273/ 604</t>
  </si>
  <si>
    <t>15035/ 8274/ 605</t>
  </si>
  <si>
    <t>JOAN ANDRES LISCANO MORALES</t>
  </si>
  <si>
    <t>14915/ 8275 / REM 481/559</t>
  </si>
  <si>
    <t>15030/ 8276/ 608</t>
  </si>
  <si>
    <t>DANIELA PARRA</t>
  </si>
  <si>
    <t>LISANDRO SILVA APARICIO</t>
  </si>
  <si>
    <t>14819/ 8277/ 609</t>
  </si>
  <si>
    <t>15036/ 8278/ 610</t>
  </si>
  <si>
    <t>15037/ 8279/ 611</t>
  </si>
  <si>
    <t>15044/ 8280/ 612</t>
  </si>
  <si>
    <t>15040/ 8281/ 613</t>
  </si>
  <si>
    <t>HATO VERDE SAS</t>
  </si>
  <si>
    <t>15048/ 8282/ 614</t>
  </si>
  <si>
    <t>15053/ 8283/ 615</t>
  </si>
  <si>
    <t>RECOGEN/ 696</t>
  </si>
  <si>
    <t>15047/ 8284/ 617</t>
  </si>
  <si>
    <t>1906.14 28/04 ZELLE/ 698</t>
  </si>
  <si>
    <t>14914/ 8285/ 618</t>
  </si>
  <si>
    <t>CLAUDIO EFRAIN PILATAXI MIÑARCAJA</t>
  </si>
  <si>
    <t>15052/ 8286/ 619</t>
  </si>
  <si>
    <t>JESÚS SUÁREZ MENENDEZ</t>
  </si>
  <si>
    <t>CAMBIO/ 100</t>
  </si>
  <si>
    <t>VIVIANA PATIÑO</t>
  </si>
  <si>
    <t>PROSPERO ANTONIO DURAN RODRÍGUEZ</t>
  </si>
  <si>
    <t>AUGUSTO MARTINEZ VISBAL</t>
  </si>
  <si>
    <t>INVERSIONES AGROINDUSTRIALES TRES MONTES SAS</t>
  </si>
  <si>
    <t>15059/ 8287/ 620</t>
  </si>
  <si>
    <t>15042/ 8288/ 621</t>
  </si>
  <si>
    <t>15060/ 8289/ 622</t>
  </si>
  <si>
    <t>15061/ REM 485/ 623</t>
  </si>
  <si>
    <t>IVAN DARIO CAMELO CIFUENTES/ RAFAEL MATTUTE</t>
  </si>
  <si>
    <t>15062/ 8290/ 624</t>
  </si>
  <si>
    <t xml:space="preserve">DEV  </t>
  </si>
  <si>
    <t>DEV</t>
  </si>
  <si>
    <t>BM-9.2-26-3C931</t>
  </si>
  <si>
    <t>CARLOS FERNEY RUEDA GUANARO</t>
  </si>
  <si>
    <t>15072/ 8291/ 625</t>
  </si>
  <si>
    <t>PRESTAMO  NUEVO</t>
  </si>
  <si>
    <t>LUIS FERNANDO CARVAJAL GIL</t>
  </si>
  <si>
    <t>14294/ 8292/ 626</t>
  </si>
  <si>
    <t>15073/ 8293/ 627</t>
  </si>
  <si>
    <t>30/04/206</t>
  </si>
  <si>
    <t>15075/ 8294/ 628</t>
  </si>
  <si>
    <t>15014/ 8295/ 629</t>
  </si>
  <si>
    <t>15076/ 8296/ 630</t>
  </si>
  <si>
    <t>CREDITO 30 DIAS/ 712</t>
  </si>
  <si>
    <t>15065/ 8297/ 631</t>
  </si>
  <si>
    <t>MAYO</t>
  </si>
  <si>
    <t>FERNEY ALBERTO ZARATE SIERRA</t>
  </si>
  <si>
    <t>14939/ 8235/ 566/ 8299</t>
  </si>
  <si>
    <t>14357/ 8300/ 632</t>
  </si>
  <si>
    <t>14358/ 8301/ 633</t>
  </si>
  <si>
    <t>14861/ 8263/ 634</t>
  </si>
  <si>
    <t>15074/ 8302/ 635</t>
  </si>
  <si>
    <t>14264/ 8298/ 636</t>
  </si>
  <si>
    <t>RECOGEN /719</t>
  </si>
  <si>
    <t>14958/ 8303/ 637</t>
  </si>
  <si>
    <t>15008/ 8304/ 638</t>
  </si>
  <si>
    <t>AGRARIO / 722</t>
  </si>
  <si>
    <t>14746/ 8305/ 639</t>
  </si>
  <si>
    <t>4/05/20266</t>
  </si>
  <si>
    <t>15087/ 8307/ 640</t>
  </si>
  <si>
    <t>15067/ 8308/ 641</t>
  </si>
  <si>
    <t>15094/ 8309/ 642</t>
  </si>
  <si>
    <t>15092/ 8310/ 643</t>
  </si>
  <si>
    <t>NICOLÁS MANUEL SIERRA ZÁRATE</t>
  </si>
  <si>
    <t>PRODUCTOS E INSUMOS AGROPECUARIOS COMPAÑIA SAS</t>
  </si>
  <si>
    <t>RAUL SULPICIO SARMIENTO CELY</t>
  </si>
  <si>
    <t>FUNDACION GRUPO ARGOS/ N°.PMO 6000048566/ Migo 5000156688</t>
  </si>
  <si>
    <t>14354/ REM 483/ 607/ 8311</t>
  </si>
  <si>
    <t>FUNDACION GRUPO ARGOS/ N°.PMO 6000048951/ Migo 5000156688</t>
  </si>
  <si>
    <t>14737/ REM 482/ 606/ 8312</t>
  </si>
  <si>
    <t>HACIENDA CENTENARIO/ 686</t>
  </si>
  <si>
    <t>HACIENDA CENTENARIO/ 687</t>
  </si>
  <si>
    <t>LA CORPORACION COLOMBIANA DE INVESTIGACION AGROPECUARIA - AGROSAVIA NO 674374</t>
  </si>
  <si>
    <t>ESTEBAN DANILO CUAICAL CUAICAL</t>
  </si>
  <si>
    <t>LENIKER ELÍAS RUÍZ GARRIDO</t>
  </si>
  <si>
    <t>15096/ 8313/ 644</t>
  </si>
  <si>
    <t>15101/ 8314/ 645</t>
  </si>
  <si>
    <t>15103/ 8315/ 646</t>
  </si>
  <si>
    <t>15081/ 8316/ 647</t>
  </si>
  <si>
    <t>15100/ 8317/ 648</t>
  </si>
  <si>
    <t>15104/ 8318/ 649</t>
  </si>
  <si>
    <t xml:space="preserve">LA CORPORACION COLOMBIANA DE INVESTIGACION AGROPECUARIA - AGROSAVIA No.674433
</t>
  </si>
  <si>
    <t>15098/ 8319/ 650</t>
  </si>
  <si>
    <t>CREDITO 15 DIAS/ 734</t>
  </si>
  <si>
    <t>15107/ 8320/ 651</t>
  </si>
  <si>
    <t>CRISTIAN FABIAN LEMUS TORRES</t>
  </si>
  <si>
    <t>15105/ 8321/ 652</t>
  </si>
  <si>
    <t>15034/ 8322/ 653</t>
  </si>
  <si>
    <t>CR30D/ 737</t>
  </si>
  <si>
    <t>15083/8323/ 654</t>
  </si>
  <si>
    <t>SERGIO VELA CALDERON</t>
  </si>
  <si>
    <t>MUESTRA IBAGUÉ / 738</t>
  </si>
  <si>
    <t>REM 486/ 655</t>
  </si>
  <si>
    <t>DEVOLUCION  5 mayo</t>
  </si>
  <si>
    <t>LUIS GABRIEL DIAZ</t>
  </si>
  <si>
    <t>6/05/026</t>
  </si>
  <si>
    <t>6/05/027</t>
  </si>
  <si>
    <t>NICOLÁS EDUARDO BECERA GARZÓN</t>
  </si>
  <si>
    <t>15091/ 8325/ 656</t>
  </si>
  <si>
    <t>15082/ 8326/ 657</t>
  </si>
  <si>
    <t>15112/ 8327/ 658</t>
  </si>
  <si>
    <t>HECTOR EDUARDO FUENTES QUINBAYA</t>
  </si>
  <si>
    <t>ESTIVEN RANGEL</t>
  </si>
  <si>
    <t>15120/ 8328/ 659</t>
  </si>
  <si>
    <t>15127/ 8329/ 660</t>
  </si>
  <si>
    <t>15121/ 8330/ 661</t>
  </si>
  <si>
    <t>15124/ 8324/ 662</t>
  </si>
  <si>
    <t>VILLAO/ 746</t>
  </si>
  <si>
    <t>15113/ 8331/ 663</t>
  </si>
  <si>
    <t>FLORENCIA/ 748</t>
  </si>
  <si>
    <t>15114/ 8332/ 664</t>
  </si>
  <si>
    <t>MONTERIA/ 749</t>
  </si>
  <si>
    <t>15116/ 8333/ 665</t>
  </si>
  <si>
    <t>CD30D/ 753</t>
  </si>
  <si>
    <t>JUAN CARLOS SUAREZ SALAZAR</t>
  </si>
  <si>
    <t xml:space="preserve">593.750 a favor </t>
  </si>
  <si>
    <t>15063/ 8306/ 666</t>
  </si>
  <si>
    <t>15130/8334/ 667</t>
  </si>
  <si>
    <t>319.20 zelle/ 751</t>
  </si>
  <si>
    <t>15129/ 8335/ 668</t>
  </si>
  <si>
    <t>15131/ 8336/ 669</t>
  </si>
  <si>
    <t>15135/ 8337/ 670</t>
  </si>
  <si>
    <t>15140/ 8338/ 671</t>
  </si>
  <si>
    <t>15142/ 8339/ 672</t>
  </si>
  <si>
    <t>15123/ 8340/ 673</t>
  </si>
  <si>
    <t>486/ DEV 103</t>
  </si>
  <si>
    <t>15146/ 8341/ 674</t>
  </si>
  <si>
    <t>X2822563829</t>
  </si>
  <si>
    <t>Z2902563774</t>
  </si>
  <si>
    <t>X2762563549</t>
  </si>
  <si>
    <t>X2812564729</t>
  </si>
  <si>
    <t>Z2902564704</t>
  </si>
  <si>
    <t>1 USADA</t>
  </si>
  <si>
    <t>ZULY TATIANA RAMIREZ SANCHEZ</t>
  </si>
  <si>
    <t>JORGE EDUARDO ESPITIA TORRES</t>
  </si>
  <si>
    <t>15145/ 8342/ 675</t>
  </si>
  <si>
    <t>15148/ 8343/ 676</t>
  </si>
  <si>
    <t>15147/ 8344/ 677</t>
  </si>
  <si>
    <t>15157/ 8345/ 678</t>
  </si>
  <si>
    <t>14978/ 8346/ 679</t>
  </si>
  <si>
    <t>LUIS ERNESTO GOYENECHE GOYENECHE</t>
  </si>
  <si>
    <t>ROBER HADRIEL MONTAÑA PEREZ</t>
  </si>
  <si>
    <t>15166/ 8347/ 680</t>
  </si>
  <si>
    <t>15165/ 8348/ 681</t>
  </si>
  <si>
    <t>15167/ 8349/ 682</t>
  </si>
  <si>
    <t>MANUEL LEONARDO BARRANTES AVELLANEDA</t>
  </si>
  <si>
    <t>INVERSIONES BOTICAMPO SAS</t>
  </si>
  <si>
    <t>COOPERATIVA DE REPRODUCTORES DE ELCHE DE GUATAVITA</t>
  </si>
  <si>
    <t>15170/ 8350/ 683</t>
  </si>
  <si>
    <t>15169/ 8351/ 684</t>
  </si>
  <si>
    <t>15168/ 8352/ 685</t>
  </si>
  <si>
    <t>15173/ 8353/ 686</t>
  </si>
  <si>
    <t>773/ CR 15D</t>
  </si>
  <si>
    <t>645/ NC 252</t>
  </si>
  <si>
    <t>JUAN CARLOS LOPEZ GOMEZ</t>
  </si>
  <si>
    <t>RUBEN DARIO SIERRA ARRIETA</t>
  </si>
  <si>
    <t>15164/ 8355/ 687</t>
  </si>
  <si>
    <t>15180/ 8356/ 688</t>
  </si>
  <si>
    <t>15171/ 8364/ 689</t>
  </si>
  <si>
    <t>778/ a favor $1.841</t>
  </si>
  <si>
    <t>15143/ 8357/ 690</t>
  </si>
  <si>
    <t>MANUEL LUCIO GONZALEZ CHAMORRO</t>
  </si>
  <si>
    <t>BA002020260416</t>
  </si>
  <si>
    <t>HC260407ET01</t>
  </si>
  <si>
    <t>15158/ 8358/ 691</t>
  </si>
  <si>
    <t>LUIGGI GAFARO QUINTERO</t>
  </si>
  <si>
    <t>JOSE MIGUEL GIRALDO LOPEZ</t>
  </si>
  <si>
    <t>15172/ 8359/ 692</t>
  </si>
  <si>
    <t>15186/ 8663</t>
  </si>
  <si>
    <t>15188/ 86361</t>
  </si>
  <si>
    <t>15178/ 8361</t>
  </si>
  <si>
    <t>15185/ 8362</t>
  </si>
  <si>
    <t>SERV</t>
  </si>
  <si>
    <t>15185/ 8360</t>
  </si>
  <si>
    <t>14752/ 8441</t>
  </si>
  <si>
    <t>14861/8261/634</t>
  </si>
  <si>
    <t>15176/ 8365</t>
  </si>
  <si>
    <t>15181/ 8369</t>
  </si>
  <si>
    <t>15194/ 8368</t>
  </si>
  <si>
    <t>MIGUEL ANGEL MOTTA SILVA</t>
  </si>
  <si>
    <t>15195/ 8371</t>
  </si>
  <si>
    <t>15207/ 8378</t>
  </si>
  <si>
    <t>REENVIO MAL ESTADO</t>
  </si>
  <si>
    <t>R&amp;G REPRODUCCIÓN BOVINA SAS</t>
  </si>
  <si>
    <t>15211/ 8380</t>
  </si>
  <si>
    <t>JESÚS VALENTIN VALENZUELA CÓDOBA</t>
  </si>
  <si>
    <t>15212/ 8379</t>
  </si>
  <si>
    <t>15214/ 8392</t>
  </si>
  <si>
    <t>JUAN FELIPE HOYOS PELAEZ</t>
  </si>
  <si>
    <t>15128/ 8385</t>
  </si>
  <si>
    <t>14919/8208/534</t>
  </si>
  <si>
    <t>15252/ 8422</t>
  </si>
  <si>
    <t>15221/8404</t>
  </si>
  <si>
    <t>15268/8420/738</t>
  </si>
  <si>
    <t>JULIO</t>
  </si>
  <si>
    <t>14629/ 8682/ 1008</t>
  </si>
  <si>
    <t>15712/ 8683/ 1009</t>
  </si>
  <si>
    <t>SE DEBEN 42 UND</t>
  </si>
  <si>
    <t>CD15/ 1122</t>
  </si>
  <si>
    <t>15461/ 8684/ 1010</t>
  </si>
  <si>
    <t>15653/ 8685/ 1011</t>
  </si>
  <si>
    <t>15657/ 8686/ 1012</t>
  </si>
  <si>
    <t>MILER ARVEY ZUÑIGA BAEZ</t>
  </si>
  <si>
    <t>15707/8679</t>
  </si>
  <si>
    <t>IDELFONSO GONZALEZ PAEZ</t>
  </si>
  <si>
    <t>EFECTIVO 1.400.000/ RECOGEN/ 1116</t>
  </si>
  <si>
    <t>MC 1139</t>
  </si>
  <si>
    <t>15706/ 8674</t>
  </si>
  <si>
    <t>15691/ 8680</t>
  </si>
  <si>
    <t>CD30/ 1114</t>
  </si>
  <si>
    <t>15690/ 8678</t>
  </si>
  <si>
    <t>EDER GARCIANO CÉSPEDES PEREZ</t>
  </si>
  <si>
    <t>15699/ 8676</t>
  </si>
  <si>
    <t>15646/ 8672</t>
  </si>
  <si>
    <t>15683/ 8671</t>
  </si>
  <si>
    <t>15668/ 8673</t>
  </si>
  <si>
    <t>15703/ 8677</t>
  </si>
  <si>
    <t>15676/ 8670</t>
  </si>
  <si>
    <t xml:space="preserve"> TE SOLUCIONAMOS MG S.A.S</t>
  </si>
  <si>
    <t>15696/ 8675</t>
  </si>
  <si>
    <t>MONTERIA /</t>
  </si>
  <si>
    <t>MC 1135</t>
  </si>
  <si>
    <t xml:space="preserve"> FJMH S A S</t>
  </si>
  <si>
    <t>15688/ 8669</t>
  </si>
  <si>
    <t>15689/ 8668</t>
  </si>
  <si>
    <t>15667/ 8667</t>
  </si>
  <si>
    <t>15586/ 8666</t>
  </si>
  <si>
    <t>UNIVERSIDAD CES/ OC 4500059723</t>
  </si>
  <si>
    <t>15659/ 8665</t>
  </si>
  <si>
    <t>15686/ 8664</t>
  </si>
  <si>
    <t>GENÉTICA TRICOLOR SAS</t>
  </si>
  <si>
    <t>15259/ 8663</t>
  </si>
  <si>
    <t>MC 1137</t>
  </si>
  <si>
    <t>15604/8627/950</t>
  </si>
  <si>
    <t>15661/ 8661</t>
  </si>
  <si>
    <t>15662/ 8662</t>
  </si>
  <si>
    <t>MC 1123</t>
  </si>
  <si>
    <t>MC 1124</t>
  </si>
  <si>
    <t>MC 1125</t>
  </si>
  <si>
    <t>MC 1126</t>
  </si>
  <si>
    <t>MC 1127</t>
  </si>
  <si>
    <t>MC 1128</t>
  </si>
  <si>
    <t>MC 1129</t>
  </si>
  <si>
    <t>MC 1130</t>
  </si>
  <si>
    <t>MC 1131</t>
  </si>
  <si>
    <t>MC 1132</t>
  </si>
  <si>
    <t>MC 1133</t>
  </si>
  <si>
    <t>MC 1134</t>
  </si>
  <si>
    <t>MC 1136</t>
  </si>
  <si>
    <t>MC 1138</t>
  </si>
  <si>
    <t>MC 1140</t>
  </si>
  <si>
    <t>MC 1141</t>
  </si>
  <si>
    <t>MC 1142</t>
  </si>
  <si>
    <t>MICROPIPETA AUTOMATICA VOLUMEN VARIABLE DE 20 - 200 UL MARCA: JOAN LAB</t>
  </si>
  <si>
    <t>TABLET SANSUNG GALAXY TAB A11+ MARCA: SANSUNG COLOR SEGUN DISPONIBILIDAD</t>
  </si>
  <si>
    <t xml:space="preserve">ECOGRAFO DAWEI L30i-VET </t>
  </si>
  <si>
    <t xml:space="preserve">BOTHUSEMEN GOLD (Caseina + Colesterol)  Sobre x 8,5 g </t>
  </si>
  <si>
    <t>BOTU FLEX/ BOTUPHARMA</t>
  </si>
  <si>
    <t>Botupharma- Botumix Garahnao Plus Fco x 1,5 Lt</t>
  </si>
  <si>
    <t>RACK DE CONGELACIÓN 90 PAJILLAS 0.25- 0.50 ML MARCA: MINITUBE</t>
  </si>
  <si>
    <t>PAJILLAS ANARANJADAS 0.5 PAQ. X 2000 UND MRCA: IMV</t>
  </si>
  <si>
    <t>PAJILLAS AMARILLAS DE 0.5 PAQ. X 2000 UND MARCA IMV</t>
  </si>
  <si>
    <t>PAQ. X 2000 UND</t>
  </si>
  <si>
    <t>PAJILLAS AMARILLAS DE 0.25 PAQ. 2000 UND/ MARCA: MINITUBE</t>
  </si>
  <si>
    <t>MICROFILTRO 0,90 UM  PAQ. X 20 UND MARCA: TED</t>
  </si>
  <si>
    <t>PAQ. X 20 UND</t>
  </si>
  <si>
    <t>FUNDA DE TRANSFERENCIA DE EMBRIONES 0.25 PUNTA PLÁSTICA MARCA TED</t>
  </si>
  <si>
    <t>GAFAS PARA ECOGRAFO  Y6 MARCA: DAWEI</t>
  </si>
  <si>
    <t>ECOGRAFO DP10 MINDRAY BLANCO Y NEGRO SONDA LINELA RECTAL</t>
  </si>
  <si>
    <t>GRADILLA DE ALUMINIO MICROTUBOS WTA /Rack para 16 Microtubos 1,2mL
SKU: 14416
16 microtubos WTA 1,2mL</t>
  </si>
  <si>
    <t>TABLET SANSUNG GALAXY TAB A11+</t>
  </si>
  <si>
    <t>LINEAS PARA OPU WTA 1.20</t>
  </si>
  <si>
    <t>CAJA DE PETRI PLASTICA  DESECHABLE ESTERIL DE 90x15MM. BIO SEEN PAQ. X 20 UND</t>
  </si>
  <si>
    <t>FILTRO PARA COLETA DE SEMEN - REDONDO - 25CM DIAMETRO/ PAQ. X 100 UND</t>
  </si>
  <si>
    <t>15090/ 8425</t>
  </si>
  <si>
    <t>15156/ 8514</t>
  </si>
  <si>
    <t>15085/ 8509</t>
  </si>
  <si>
    <t>LA CORPORACION COLOMBIANA DE INVESTIGACION AGROPECUARIA - AGROSAVIA/ OC 679784</t>
  </si>
  <si>
    <t>15633/ 8660</t>
  </si>
  <si>
    <t>15670/ 8659</t>
  </si>
  <si>
    <t>CD15/ 1095</t>
  </si>
  <si>
    <t>15621/ 8658</t>
  </si>
  <si>
    <t>MUNDIAL/ 1093</t>
  </si>
  <si>
    <t>15618/ 8657</t>
  </si>
  <si>
    <t>MUNDIAL/ 1092</t>
  </si>
  <si>
    <t>CARLOS ALBERTO JULIO PACHECO</t>
  </si>
  <si>
    <t>15665/ 8656</t>
  </si>
  <si>
    <t>15663/ 8655</t>
  </si>
  <si>
    <t>SANTIAGO MEJÍA RESTREPO</t>
  </si>
  <si>
    <t>15658/ 8654</t>
  </si>
  <si>
    <t>15638/ 8645</t>
  </si>
  <si>
    <t>15632/ 8653</t>
  </si>
  <si>
    <t>MONTERIA/ 1088</t>
  </si>
  <si>
    <t>FLOERENCIA/ 1087</t>
  </si>
  <si>
    <t>15631/ 8652</t>
  </si>
  <si>
    <t>15629/ 8651</t>
  </si>
  <si>
    <t>VILLAO/  1086</t>
  </si>
  <si>
    <t>15654/ 8650</t>
  </si>
  <si>
    <t>15064/8594/916</t>
  </si>
  <si>
    <t xml:space="preserve"> LUCIO ALBERTO ANDRADE MEDINA</t>
  </si>
  <si>
    <t>MOTO/ 1097</t>
  </si>
  <si>
    <t>15652/ 8649</t>
  </si>
  <si>
    <t>MIGUEL ANGEL CARRILLO</t>
  </si>
  <si>
    <t>15640/ 8648</t>
  </si>
  <si>
    <t>15355/ 8647</t>
  </si>
  <si>
    <t>IVAN FERNANDO SANABRIA</t>
  </si>
  <si>
    <t>15645/ 86465</t>
  </si>
  <si>
    <t>15625/ 8644</t>
  </si>
  <si>
    <t>15617/ 8643</t>
  </si>
  <si>
    <t>15639/ 8640</t>
  </si>
  <si>
    <t>15636/ 8641</t>
  </si>
  <si>
    <t>MUNDIAL/ 1075</t>
  </si>
  <si>
    <t>ALBEIRO LOPEZ</t>
  </si>
  <si>
    <t>15627/ 8639</t>
  </si>
  <si>
    <t>15637/ 8638</t>
  </si>
  <si>
    <t>LAURA POSADA CARVAJAL</t>
  </si>
  <si>
    <t>15622/ 8637</t>
  </si>
  <si>
    <t>MOTO/ 1070</t>
  </si>
  <si>
    <t>15626/ 8636</t>
  </si>
  <si>
    <t>15620/ 8635</t>
  </si>
  <si>
    <t>15611/ 8633</t>
  </si>
  <si>
    <t>SISTECOL S.A.S</t>
  </si>
  <si>
    <t>15041/ 8632</t>
  </si>
  <si>
    <t>MARTIN WARNER LOPEZ CASTAÑO</t>
  </si>
  <si>
    <t>15613/ 8630</t>
  </si>
  <si>
    <t>15616/ 8631</t>
  </si>
  <si>
    <t>CD15/ 1059</t>
  </si>
  <si>
    <t>AGROPECUARIA PINZON ESTEVEZ S.A.S.</t>
  </si>
  <si>
    <t>15606/ 8626</t>
  </si>
  <si>
    <t>15595/ 8628</t>
  </si>
  <si>
    <t>15608/ 8629</t>
  </si>
  <si>
    <t>15592/ 8625</t>
  </si>
  <si>
    <t>15512/ 8624</t>
  </si>
  <si>
    <t>15543/ 8623</t>
  </si>
  <si>
    <t>15597/ 8622</t>
  </si>
  <si>
    <t>15582/ 8620</t>
  </si>
  <si>
    <t>JUNIO</t>
  </si>
  <si>
    <t>15585/ 8617</t>
  </si>
  <si>
    <t>15391/ 8619</t>
  </si>
  <si>
    <t>AUDREY DAYANA VACCA JIMENEZ</t>
  </si>
  <si>
    <t>15583 / 8618</t>
  </si>
  <si>
    <t>LEIDY VANESSA RAMÍREZ SOLER</t>
  </si>
  <si>
    <t>15580/ 8616</t>
  </si>
  <si>
    <t>15578/ 8615</t>
  </si>
  <si>
    <t>14842/ 8614</t>
  </si>
  <si>
    <t>YARIGUI SAS</t>
  </si>
  <si>
    <t>15513/ 8613</t>
  </si>
  <si>
    <t>MARIA CAROLINA HERRERA PALACIO</t>
  </si>
  <si>
    <t>15541/ 8612</t>
  </si>
  <si>
    <t>LAURA FERNANDA GARZÓN PÉREZ</t>
  </si>
  <si>
    <t>15559/ 8611</t>
  </si>
  <si>
    <t>GENETICA BIOS S.A.S</t>
  </si>
  <si>
    <t>15715/ 8642</t>
  </si>
  <si>
    <t>CARLOS ARTURO LOZAN</t>
  </si>
  <si>
    <t>15560/ 8610</t>
  </si>
  <si>
    <t>14697/ 8609</t>
  </si>
  <si>
    <t>15241/8608</t>
  </si>
  <si>
    <t>PRODUCTORA DE INSUMOS AGROPECUARIOS, SOMEX S.A.S</t>
  </si>
  <si>
    <t>ALEJANDRA GONZALEZ</t>
  </si>
  <si>
    <t>15555/ 8607</t>
  </si>
  <si>
    <t>15540/ 8606</t>
  </si>
  <si>
    <t>15545/ 8595</t>
  </si>
  <si>
    <t>COOPERATIVA INDIGENA MULTIACTIVA DE ZUMBICO</t>
  </si>
  <si>
    <t>15525/ 8603</t>
  </si>
  <si>
    <t>15548/ 8602</t>
  </si>
  <si>
    <t>15536/ 8601</t>
  </si>
  <si>
    <t>15546/ 8595</t>
  </si>
  <si>
    <t>15436 / 8595</t>
  </si>
  <si>
    <t>FELIPE SANTIAGO NEIRA RIVERA</t>
  </si>
  <si>
    <t>15547/8599</t>
  </si>
  <si>
    <t>WILMER ANDRES MELO PARRA</t>
  </si>
  <si>
    <t>14904/ 8600</t>
  </si>
  <si>
    <t>AG VETERINARIA GUADALUPE SAS</t>
  </si>
  <si>
    <t>15544/ 8596</t>
  </si>
  <si>
    <t>14002/8591</t>
  </si>
  <si>
    <t>TIC BIOMEDICS SAS</t>
  </si>
  <si>
    <t>15539/ 8590</t>
  </si>
  <si>
    <t>15535/ 8589</t>
  </si>
  <si>
    <t>14937/ 8634</t>
  </si>
  <si>
    <t>UNIVERSIDAD CES/ OC 4100002956</t>
  </si>
  <si>
    <t>15529/ 8586</t>
  </si>
  <si>
    <t>CD15/ 1016</t>
  </si>
  <si>
    <t>15526/ 8583</t>
  </si>
  <si>
    <t>15505/ 8593</t>
  </si>
  <si>
    <t>LINA GABRIELA GARCIA MORENO</t>
  </si>
  <si>
    <t>15503/ 8584</t>
  </si>
  <si>
    <t>15518/ 8582</t>
  </si>
  <si>
    <t>15473/ 8580</t>
  </si>
  <si>
    <t>15523/ 8581</t>
  </si>
  <si>
    <t>15472/ 8578</t>
  </si>
  <si>
    <t>15511/ 8577</t>
  </si>
  <si>
    <t>DOMINGO ANTONIO GÓMEZ</t>
  </si>
  <si>
    <t>15506/ 8576</t>
  </si>
  <si>
    <t>15510 8574</t>
  </si>
  <si>
    <t>RECOGEN /1004</t>
  </si>
  <si>
    <t>15499/ 8575</t>
  </si>
  <si>
    <t>15456/ 8570</t>
  </si>
  <si>
    <t>15509/8564</t>
  </si>
  <si>
    <t>MAYCKOL SVANNERTH ABRIL ANGARITA</t>
  </si>
  <si>
    <t>15507/ 8579</t>
  </si>
  <si>
    <t>15504/ 8569</t>
  </si>
  <si>
    <t>15508/ 8567</t>
  </si>
  <si>
    <t>RECOGEN/ 996</t>
  </si>
  <si>
    <t>15500/ 8565</t>
  </si>
  <si>
    <t>15501/ 8565</t>
  </si>
  <si>
    <t>15496/ 8563</t>
  </si>
  <si>
    <t>15495/ 8562</t>
  </si>
  <si>
    <t>15275/ 8561</t>
  </si>
  <si>
    <t>FERRETERIA NICHOLSON S.A.S</t>
  </si>
  <si>
    <t>15459/ 8534</t>
  </si>
  <si>
    <t>FENIX</t>
  </si>
  <si>
    <t>15489/ 8557</t>
  </si>
  <si>
    <t>15161/8556/881</t>
  </si>
  <si>
    <t>ANA MARIA ORTIZ ORTIZ</t>
  </si>
  <si>
    <t>14883/ 8555</t>
  </si>
  <si>
    <t>EMERSON HUERTAS PEREZ</t>
  </si>
  <si>
    <t>15488/ 8554</t>
  </si>
  <si>
    <t>15443/ 8553</t>
  </si>
  <si>
    <t>15467/ 8552</t>
  </si>
  <si>
    <t>15487/8551/ 876</t>
  </si>
  <si>
    <t>15484/ 8549</t>
  </si>
  <si>
    <t>15483/ 8548</t>
  </si>
  <si>
    <t>15481/ 8547</t>
  </si>
  <si>
    <t>SERVIENTREGA/ 978</t>
  </si>
  <si>
    <t>15452/ 8546</t>
  </si>
  <si>
    <t>15031/ 8543</t>
  </si>
  <si>
    <t>15352/ 8545</t>
  </si>
  <si>
    <t>15475/ 8592</t>
  </si>
  <si>
    <t>15476/ 8544</t>
  </si>
  <si>
    <t>VILLAO/ 970</t>
  </si>
  <si>
    <t>15405/ 8541</t>
  </si>
  <si>
    <t>15406/ 8541</t>
  </si>
  <si>
    <t>FLORENCIA/ 969</t>
  </si>
  <si>
    <t>15407/ 8541</t>
  </si>
  <si>
    <t>MONTERIA/ 968</t>
  </si>
  <si>
    <t>15471/8538/863</t>
  </si>
  <si>
    <t>SEBASTIAN ANDRES DIAZ GARZON</t>
  </si>
  <si>
    <t>14988/ 8537</t>
  </si>
  <si>
    <t>EMBRIONES AMAZONAS S.A.S</t>
  </si>
  <si>
    <t>15403/8536</t>
  </si>
  <si>
    <t>15463/ 8535</t>
  </si>
  <si>
    <t>963/ 991</t>
  </si>
  <si>
    <t>ALBERTO ALEJANDRO NIÑO BUITRAGO</t>
  </si>
  <si>
    <t>15425/ 8533</t>
  </si>
  <si>
    <t>15462/ 8532</t>
  </si>
  <si>
    <t>15460/ 8531</t>
  </si>
  <si>
    <t>15458/ 8530</t>
  </si>
  <si>
    <t>15455/ 8529</t>
  </si>
  <si>
    <t>14451/ 8528</t>
  </si>
  <si>
    <t>15449/ 8527</t>
  </si>
  <si>
    <t>CD15/ 954</t>
  </si>
  <si>
    <t>15447/ 8526</t>
  </si>
  <si>
    <t>MICHAELL CENTENO GUERRERO</t>
  </si>
  <si>
    <t>15445/ 8525</t>
  </si>
  <si>
    <t>15402/ 8524</t>
  </si>
  <si>
    <t>4/06/206</t>
  </si>
  <si>
    <t>15426/ 8523</t>
  </si>
  <si>
    <t>MARIA CRISTINA VELASQUEZ</t>
  </si>
  <si>
    <t>15379/ 8520</t>
  </si>
  <si>
    <t>15431/ 8518</t>
  </si>
  <si>
    <t>15160/ 8517</t>
  </si>
  <si>
    <t>15430/ 8516</t>
  </si>
  <si>
    <t>15428/ 8515</t>
  </si>
  <si>
    <t xml:space="preserve"> GRUPÓ EMPRESARIAL HTM S.A.S.</t>
  </si>
  <si>
    <t>15427/ 8519</t>
  </si>
  <si>
    <t>14948/ 8512</t>
  </si>
  <si>
    <t>15418/ 8510</t>
  </si>
  <si>
    <t>15055/ 8508</t>
  </si>
  <si>
    <t>15386/ 8507</t>
  </si>
  <si>
    <t>15411/ 8506</t>
  </si>
  <si>
    <t>15414/ 8505</t>
  </si>
  <si>
    <t>12622/ 6995 REPOSICION</t>
  </si>
  <si>
    <t>JUAN DAVID GARCIA CALDERON</t>
  </si>
  <si>
    <t>15394/ 8504</t>
  </si>
  <si>
    <t>SALIDA EQUIPOS USO EMPRESA</t>
  </si>
  <si>
    <t>NELSON YOBANNY VANEAS CASTAÑEDA</t>
  </si>
  <si>
    <t>15408/8502/821</t>
  </si>
  <si>
    <t>CURSO GNEMIN /EFECTIVO / 924</t>
  </si>
  <si>
    <t>REPOSICION 15261/ 8446/ 764</t>
  </si>
  <si>
    <t>COOPERATIVA COLANTA OC A02-COC 326920</t>
  </si>
  <si>
    <t>15409/ REM 493/ 819</t>
  </si>
  <si>
    <t>15337/8491/806</t>
  </si>
  <si>
    <t xml:space="preserve"> MIGUEL DELGADO</t>
  </si>
  <si>
    <t>15365/ 8472/ 789</t>
  </si>
  <si>
    <t>RODRIGO DAVID MADRIS ZOMETA</t>
  </si>
  <si>
    <t>15385/ 8485/ 801</t>
  </si>
  <si>
    <t>15415/8511/836</t>
  </si>
  <si>
    <t>15400/8494/811</t>
  </si>
  <si>
    <t>CURSO DR GENEMIN  EF DOLR 2780 Y 520BANCO/940</t>
  </si>
  <si>
    <t xml:space="preserve"> GLADYS YOLANDA BERMUDEZ DE GARCÍA</t>
  </si>
  <si>
    <t>EFECTIVO /CURSO DR GNEMIN/ 912</t>
  </si>
  <si>
    <t>15399/8493/810</t>
  </si>
  <si>
    <t>EFECTIVO/ CURSO DR GNEMEI 911</t>
  </si>
  <si>
    <t xml:space="preserve"> RICARDO DAVID CHAVEZ MONTENEGRO</t>
  </si>
  <si>
    <t>15378/8492/809</t>
  </si>
  <si>
    <t>CURSO GENEMIN ZELLE 179 USD/ 909</t>
  </si>
  <si>
    <t xml:space="preserve"> GABRIELA DEL MAR PEREZ RONDON</t>
  </si>
  <si>
    <t>15377/8490/808</t>
  </si>
  <si>
    <t xml:space="preserve"> ALEJANDRO AURELIO REZA CORDERO</t>
  </si>
  <si>
    <t>CRSO GNEMIN/ EFECTIVO/907</t>
  </si>
  <si>
    <t>15373/8479/795</t>
  </si>
  <si>
    <t>CURSO GNEMIN/ 892</t>
  </si>
  <si>
    <t>FALTA 1 UNIDAD</t>
  </si>
  <si>
    <t>15251/ 8521</t>
  </si>
  <si>
    <t>MARIA JOSÉ RODRÍGUEZ</t>
  </si>
  <si>
    <t>15398/ 8501</t>
  </si>
  <si>
    <t>15329/ 8500</t>
  </si>
  <si>
    <t>ALEJANDRO JARAMILLO JARAMILLO</t>
  </si>
  <si>
    <t>15208/ 8499</t>
  </si>
  <si>
    <t>15396/ 8498</t>
  </si>
  <si>
    <t>CRISTHIAM FARFÁN CASTILLO</t>
  </si>
  <si>
    <t>15384/ 8497</t>
  </si>
  <si>
    <t>JUAN SEBASTIAN LOAIZA MELLIZO</t>
  </si>
  <si>
    <t>15387 /8496</t>
  </si>
  <si>
    <t>EDY SANTIAGO MILLÁN MONTENEGRO</t>
  </si>
  <si>
    <t>15296/ 8495</t>
  </si>
  <si>
    <t>CURSO DR GNEMIN/ 906</t>
  </si>
  <si>
    <t>15390/ 8487</t>
  </si>
  <si>
    <t>MATERIAL CURSO GNEMIN /900</t>
  </si>
  <si>
    <t>MAS CAMPO/ MATERIAL CURSO GNEMIN</t>
  </si>
  <si>
    <t>CURSO DR GNEMIN/ 899</t>
  </si>
  <si>
    <t>15383/ 8484</t>
  </si>
  <si>
    <t>15380/ 8483</t>
  </si>
  <si>
    <t>CRISTIAN FERNANDO MILLAN HERNANDEZ</t>
  </si>
  <si>
    <t>15274/ 8482</t>
  </si>
  <si>
    <t>DEVOLUCIÓN/ 895</t>
  </si>
  <si>
    <t>15322/ 8480</t>
  </si>
  <si>
    <t>15372/ 8478</t>
  </si>
  <si>
    <t>15366/ 8478</t>
  </si>
  <si>
    <t>14685/ 8477</t>
  </si>
  <si>
    <t>15361/ 8476</t>
  </si>
  <si>
    <t>PAULA OLARTE</t>
  </si>
  <si>
    <t>15364/ 8473</t>
  </si>
  <si>
    <t>CURSO DR GNEMIN/ 885</t>
  </si>
  <si>
    <t>MIGUEL DELGADO</t>
  </si>
  <si>
    <t>15347/ 8470</t>
  </si>
  <si>
    <t>14881/ 8469</t>
  </si>
  <si>
    <t>15356/ 8468</t>
  </si>
  <si>
    <t>15351/ 8447</t>
  </si>
  <si>
    <t>JUAN CARLOS CRUZ</t>
  </si>
  <si>
    <t>15348/ 8466</t>
  </si>
  <si>
    <t>15350/ 8465</t>
  </si>
  <si>
    <t>15338-15349/ 8489</t>
  </si>
  <si>
    <t>15345/ 8462</t>
  </si>
  <si>
    <t>15333/ 8461</t>
  </si>
  <si>
    <t>15344/ 8460</t>
  </si>
  <si>
    <t>15342/ 8459</t>
  </si>
  <si>
    <t>15334/ 8457</t>
  </si>
  <si>
    <t>FJMH S A S</t>
  </si>
  <si>
    <t>15325/ 8455</t>
  </si>
  <si>
    <t>15331/ 8453</t>
  </si>
  <si>
    <t>CONSTRUCOLDI S.A.S</t>
  </si>
  <si>
    <t>15271 8452</t>
  </si>
  <si>
    <t>AGROPECUARIA BAJOGRANDE S.A.</t>
  </si>
  <si>
    <t>DISTRIBUCIONES AGROALIANZA SAS</t>
  </si>
  <si>
    <t>15313/ 8450</t>
  </si>
  <si>
    <t>15321/ 8451</t>
  </si>
  <si>
    <t>ENUAR MANTILLA</t>
  </si>
  <si>
    <t>15284/ 8449</t>
  </si>
  <si>
    <t>PABLO GERARDO REYNOSO DONIS</t>
  </si>
  <si>
    <t>ISMAEL EDUARDO CASTAÑEDA RAFIÑA</t>
  </si>
  <si>
    <t>15310/ 8447</t>
  </si>
  <si>
    <t>15312/ 8448</t>
  </si>
  <si>
    <t>15261/ 8446</t>
  </si>
  <si>
    <t>15304/ 8445</t>
  </si>
  <si>
    <t>15306/ 8444</t>
  </si>
  <si>
    <t>RECOGEN/ 857</t>
  </si>
  <si>
    <t>15222/ 8443</t>
  </si>
  <si>
    <t>DISTRIBUCIONES Y SOLUCIONES S.A.S DISOCO</t>
  </si>
  <si>
    <t>15293/ 8442</t>
  </si>
  <si>
    <t>15270/ 8439</t>
  </si>
  <si>
    <t>15290/ 8440</t>
  </si>
  <si>
    <t>15295/8438</t>
  </si>
  <si>
    <t>15266/ 8436</t>
  </si>
  <si>
    <t>YOEL JOAQUIN OCHOA DIAZ</t>
  </si>
  <si>
    <t>CARLOS SANCHEZ</t>
  </si>
  <si>
    <t>15287/ 8434</t>
  </si>
  <si>
    <t>14849/ 8177</t>
  </si>
  <si>
    <t>15282/ 8433</t>
  </si>
  <si>
    <t>BRAYAN SNEIDER CASTIBLANCO CASTIBLANCO</t>
  </si>
  <si>
    <t>15281/ 8432</t>
  </si>
  <si>
    <t xml:space="preserve"> AGROPECUARIA EL PORFIN Y COMPAÑIA S EN C</t>
  </si>
  <si>
    <t>15273/ 8431</t>
  </si>
  <si>
    <t>15278/ 8430</t>
  </si>
  <si>
    <t>15276/ 8428</t>
  </si>
  <si>
    <t>MARTIN JARAMILLO HURTADO</t>
  </si>
  <si>
    <t>15264/ 8426</t>
  </si>
  <si>
    <t>15230/ 8429</t>
  </si>
  <si>
    <t>14818/ 8424</t>
  </si>
  <si>
    <t>15272/ 8423</t>
  </si>
  <si>
    <t>DEMED SAS</t>
  </si>
  <si>
    <t>HIPERGENETICA SAS</t>
  </si>
  <si>
    <t>15263/ 8421</t>
  </si>
  <si>
    <t>CD15/  831</t>
  </si>
  <si>
    <t>15267/ 8419</t>
  </si>
  <si>
    <t>15265/ 8418</t>
  </si>
  <si>
    <t>15262/ 8415</t>
  </si>
  <si>
    <t>14557/ 8414</t>
  </si>
  <si>
    <t>PAOLA ANDREA RODRIGUEZ FORERO/ R&amp;G REPRODUCCIÓN BOVINA SAS</t>
  </si>
  <si>
    <t>15260/ 8412</t>
  </si>
  <si>
    <t>FREDY LEONARDO SANTAMARIA MEDINA</t>
  </si>
  <si>
    <t>15255/ 8410</t>
  </si>
  <si>
    <t>15256/ 8408</t>
  </si>
  <si>
    <t>15249/ 8407</t>
  </si>
  <si>
    <t>FELIPE JARAMILLO MONDALVE</t>
  </si>
  <si>
    <t>15250/ 8406</t>
  </si>
  <si>
    <t>MAS CAMPO/ CURSO</t>
  </si>
  <si>
    <t>JHON CASTAÑEDA SANTA</t>
  </si>
  <si>
    <t>15248/ 8405</t>
  </si>
  <si>
    <t>15219/ 8409</t>
  </si>
  <si>
    <t>14814/ 8411</t>
  </si>
  <si>
    <t>15236/ 8401</t>
  </si>
  <si>
    <t>15244/ 8400</t>
  </si>
  <si>
    <t>15237/ 8396</t>
  </si>
  <si>
    <t>15227/ 8395</t>
  </si>
  <si>
    <t>CR30D/ 807</t>
  </si>
  <si>
    <t>14992/ 8393</t>
  </si>
  <si>
    <t>15111/ 8389</t>
  </si>
  <si>
    <t>14938/ 8390</t>
  </si>
  <si>
    <t>15217/ 8387</t>
  </si>
  <si>
    <t>15224/ 8386</t>
  </si>
  <si>
    <t>10000000 BANCO AGRARIO/ 905</t>
  </si>
  <si>
    <t>15084/ 8488</t>
  </si>
  <si>
    <t>SONDA EMP</t>
  </si>
  <si>
    <t>15246/ 8416</t>
  </si>
  <si>
    <t>8463 REM 489</t>
  </si>
  <si>
    <t>MARE LIMITADA</t>
  </si>
  <si>
    <t>15202/ 8397</t>
  </si>
  <si>
    <t>15216/ 8391</t>
  </si>
  <si>
    <t>JUAN JIMENEZ</t>
  </si>
  <si>
    <t>15132/8362</t>
  </si>
  <si>
    <t>0/06/2026</t>
  </si>
  <si>
    <t>DOTACIONES Y EQUIPOS INDUSTRIALES DE COLOMBIA DOTAEQUIP LTDA</t>
  </si>
  <si>
    <t>NEOCRIO</t>
  </si>
  <si>
    <t>14643/ 8481</t>
  </si>
  <si>
    <t>AGRARIO /966</t>
  </si>
  <si>
    <t>DEIBIS ANDRES BUITRAGO</t>
  </si>
  <si>
    <t>FVE 111256</t>
  </si>
  <si>
    <t>Z0532131884</t>
  </si>
  <si>
    <t>FEQ33963</t>
  </si>
  <si>
    <t>EB34662</t>
  </si>
  <si>
    <t>FE-2-449</t>
  </si>
  <si>
    <t>S46396</t>
  </si>
  <si>
    <t>X2772567647</t>
  </si>
  <si>
    <t>Z2732567778</t>
  </si>
  <si>
    <t>BM-9.2-26-4C930</t>
  </si>
  <si>
    <t>20/CR002703</t>
  </si>
  <si>
    <t>DEVOLUCIÓN DUVAN</t>
  </si>
  <si>
    <t>DWHST260327MC-CO</t>
  </si>
  <si>
    <t>X498-2548257</t>
  </si>
  <si>
    <t>DWHST-260514MC-CO</t>
  </si>
  <si>
    <t>NORQUMICOS</t>
  </si>
  <si>
    <t>NOR15953</t>
  </si>
  <si>
    <t>SESD6490519</t>
  </si>
  <si>
    <t>RECOGE IVAN FRANCO</t>
  </si>
  <si>
    <t>DOBLE FACTURA NUEVO INGRESO</t>
  </si>
  <si>
    <t>ADTG6421</t>
  </si>
  <si>
    <t>RECOGEN/ 1125</t>
  </si>
  <si>
    <t>15714/ 8687/ 1013</t>
  </si>
  <si>
    <t>15720/ 8688/ 1014</t>
  </si>
  <si>
    <t>JUAN CAMILO RESTREPO OSORIO</t>
  </si>
  <si>
    <t>15722/ 8689/ 1015</t>
  </si>
  <si>
    <t>15721/ 8690/ 1016</t>
  </si>
  <si>
    <t>CARLOS WALTER CHAVARRO GARZON</t>
  </si>
  <si>
    <t>CD30/ MOTO/ 1129</t>
  </si>
  <si>
    <t>15727/ 8691/ 1017</t>
  </si>
  <si>
    <t>15716/ 8692/ 1018</t>
  </si>
  <si>
    <t>15717/ 8693/ 1019</t>
  </si>
  <si>
    <t>FALTA DEVOLVER</t>
  </si>
  <si>
    <t>CD15/1133</t>
  </si>
  <si>
    <t>15737/ 8694/ 1020</t>
  </si>
  <si>
    <t>15725/ 8695/ 1021</t>
  </si>
  <si>
    <t>15738/ 8696/ 1022</t>
  </si>
  <si>
    <t>HOSPCOM</t>
  </si>
  <si>
    <t>HOSPCOM EQUIPOS HOSPITALARIOS SAS</t>
  </si>
  <si>
    <t>NC2063</t>
  </si>
  <si>
    <t>NICOLAS FELIPE LEON ROLDAN</t>
  </si>
  <si>
    <t>CD15/1136</t>
  </si>
  <si>
    <t>15742/ 8697/ 1023</t>
  </si>
  <si>
    <t>15745/ 8698/ 1024</t>
  </si>
  <si>
    <t>CAMILO SIERRA</t>
  </si>
  <si>
    <t>INSUGAN 2024 CA</t>
  </si>
  <si>
    <t>EDER CARCAMO</t>
  </si>
  <si>
    <t>INVERSIONES BARBOSA Y MEDOZA Y CIA S. EN C.</t>
  </si>
  <si>
    <t>SHANGHAI YOUDING INTERNATIONAL TRADE CO. LTD.</t>
  </si>
  <si>
    <t>YDD060526</t>
  </si>
  <si>
    <t>15746/ 8699/ 1025</t>
  </si>
  <si>
    <t>15432/ 8700/ 1026</t>
  </si>
  <si>
    <t>SERVIENTREGA / 1140</t>
  </si>
  <si>
    <t>ALEXANDER CASALLAS VEGA</t>
  </si>
  <si>
    <t>ARENAS ROMERO ASOCIADOS Y CIA S EN C</t>
  </si>
  <si>
    <t>15752/ 8701/ 1027</t>
  </si>
  <si>
    <t>15755/ 8702/ 1028</t>
  </si>
  <si>
    <t>15756/ 8703/ 1029</t>
  </si>
  <si>
    <t>CD15 VILLAO/1143</t>
  </si>
  <si>
    <t>15743/ 8704/ 1030</t>
  </si>
  <si>
    <t>15749/ 8705/ 1031</t>
  </si>
  <si>
    <t>15758/ 8706/ 1032</t>
  </si>
  <si>
    <t>15054/ 14054</t>
  </si>
  <si>
    <t>15277/ REM 491/ 8464</t>
  </si>
  <si>
    <t>15757/ 8707/ 1033</t>
  </si>
  <si>
    <t>8217/ 1034</t>
  </si>
  <si>
    <t>15718/ 8718/ 1035</t>
  </si>
  <si>
    <t>15744/ 8709/ 1036</t>
  </si>
  <si>
    <t>SERV ELECTRO</t>
  </si>
  <si>
    <t>DEYBER ARLES VIZCAYA MARTINEZ</t>
  </si>
  <si>
    <t>RECOGEN/ 1153</t>
  </si>
  <si>
    <t>15783/ 8710/ 1037</t>
  </si>
  <si>
    <t>UNIVERSIDAD DE SANTANDER</t>
  </si>
  <si>
    <t>UNIVERSIDAD DE SANTANDER/ OC 35090</t>
  </si>
  <si>
    <t>UNIVERSIDAD DE SANTANDER/ OC16429</t>
  </si>
  <si>
    <t>JOAHN ALEXANDER MORA SANTOS</t>
  </si>
  <si>
    <t>HERNAN RENE FORIAS FIERRO</t>
  </si>
  <si>
    <t>CD15D/ 1154</t>
  </si>
  <si>
    <t>CD15D/ 1155</t>
  </si>
  <si>
    <t>15588/ REM 499/ 1039/ 8711</t>
  </si>
  <si>
    <t>CD15/1156</t>
  </si>
  <si>
    <t>15787/ 8712/ 1040</t>
  </si>
  <si>
    <t>15789/ 8713/ 1041</t>
  </si>
  <si>
    <t>15770/ 8714/ 1042</t>
  </si>
  <si>
    <t>EFECTIVO/ 1159</t>
  </si>
  <si>
    <t>15794/ 8715/ 1043</t>
  </si>
  <si>
    <t>MUNDIAL/1160</t>
  </si>
  <si>
    <t>15723/ 8716/ 1044</t>
  </si>
  <si>
    <t>INDUGANAVET SAS</t>
  </si>
  <si>
    <t>15561/ REM 500/ 1038/ 8717</t>
  </si>
  <si>
    <t>OOLAB S.A.S</t>
  </si>
  <si>
    <t>15724/ 8718/ 1045</t>
  </si>
  <si>
    <t>22/07/026</t>
  </si>
  <si>
    <t>22/07/027</t>
  </si>
  <si>
    <t>15590/ 8719/ 1046</t>
  </si>
  <si>
    <t>JADAMIR PEREZ CRUZ</t>
  </si>
  <si>
    <t>KAROL XIMENA MAYORGA CONTRERAS</t>
  </si>
  <si>
    <t>K</t>
  </si>
  <si>
    <t>CD15/1163</t>
  </si>
  <si>
    <t>15776/ 8720/ 1047</t>
  </si>
  <si>
    <t>15797/ 8721/ 1048</t>
  </si>
  <si>
    <t>Agricapital/ 1166</t>
  </si>
  <si>
    <t>15803/ 8722/ 1049</t>
  </si>
  <si>
    <t>15805/8723/ 1050</t>
  </si>
  <si>
    <t>ANGELA VALBUENA GUERRERO</t>
  </si>
  <si>
    <t>MC 1143</t>
  </si>
  <si>
    <t>GAFAS ECOGRAFO CTS 800</t>
  </si>
  <si>
    <t>15804/ 8724/ 1051</t>
  </si>
  <si>
    <t>MUNDIAL /1168</t>
  </si>
  <si>
    <t>LA CORPORACION COLOMBIANA DE INVESTIGACION AGROPECUARIA - AGROSAVIA/ OC No.681114</t>
  </si>
  <si>
    <t>15806/ 8725/ 1052</t>
  </si>
  <si>
    <t>PI-B260704</t>
  </si>
  <si>
    <t>EDUARD ALMANZA AVILA</t>
  </si>
  <si>
    <t>BUK 2405</t>
  </si>
  <si>
    <t>Tonglu Hengfeng Medical Instrument Co.,Ltd HANVER</t>
  </si>
  <si>
    <t>OE793DFPFSY</t>
  </si>
  <si>
    <t>221/</t>
  </si>
  <si>
    <t>COLANTA/ OC A002-COC-345793</t>
  </si>
  <si>
    <t>MUNICIPIO DE GUALMATAN</t>
  </si>
  <si>
    <t>15675/ 8726/ 1054</t>
  </si>
  <si>
    <t>MUNDIAL /1171</t>
  </si>
  <si>
    <t>15664/ 8727/ 1055</t>
  </si>
  <si>
    <t>15767/ 8728/ 1056</t>
  </si>
  <si>
    <t>CD30/1173</t>
  </si>
  <si>
    <t>15709/ 8729/ 1057</t>
  </si>
  <si>
    <t>15798/ 8730/ 1058</t>
  </si>
  <si>
    <t>moto/1175</t>
  </si>
  <si>
    <t>15816/ 8731/ 1059</t>
  </si>
  <si>
    <t>NC 259/ 1176</t>
  </si>
  <si>
    <t>15807/ 8732/ 1060</t>
  </si>
  <si>
    <t>CD15/1117</t>
  </si>
  <si>
    <t>15817/ 8733/ 1061</t>
  </si>
  <si>
    <t>15815/ 8734/ 1062</t>
  </si>
  <si>
    <t>GANADERIA EL DANUBIO S.A.S</t>
  </si>
  <si>
    <t>15820/ 8735/ 1063</t>
  </si>
  <si>
    <t>15802/ 8736/ 1064</t>
  </si>
  <si>
    <t>MOTO/1182</t>
  </si>
  <si>
    <t>CAICEDO ORDOÑEZ Y CIA S EN C</t>
  </si>
  <si>
    <t>CORPORACION UNIVERSITARIA DEL HUILA/ OC 8932</t>
  </si>
  <si>
    <t>CD30/1184</t>
  </si>
  <si>
    <t>15694/ 8738/ 1065</t>
  </si>
  <si>
    <t>15711/ 8737/ 1066</t>
  </si>
  <si>
    <t>WALTER IVAN GUTIERREZ SANCHE</t>
  </si>
  <si>
    <t>15810/ 8739/ 1067</t>
  </si>
  <si>
    <t>MUNDIAL/ 1181</t>
  </si>
  <si>
    <t>15790/ 8740/ 1068</t>
  </si>
  <si>
    <t>15824/ 8741/ 1069</t>
  </si>
  <si>
    <t>SUMINISTROS AGROPECUARIOS DE COLOMBIA F&amp;M SAS/ YORMAN</t>
  </si>
  <si>
    <t>15822/ 8742/ 1070</t>
  </si>
  <si>
    <t>15823/ 8743/ 1071</t>
  </si>
  <si>
    <t>MC 1144</t>
  </si>
  <si>
    <t>MC 1145</t>
  </si>
  <si>
    <t>SONDA GRASA DORSAL PARA ECOGRAFO BMV S7</t>
  </si>
  <si>
    <t>tablet</t>
  </si>
  <si>
    <t>MC 1146</t>
  </si>
  <si>
    <t>ECOGRAFO INALAMBRICO SONO EYE/ INCLUYE TABLET</t>
  </si>
  <si>
    <t>CO-26060400015 V1</t>
  </si>
  <si>
    <t>CHISON MEDICAL TECHNOLOGIES CO.,LTD.</t>
  </si>
  <si>
    <t>FIV-DT BIOTECNOLOGIA, C.A</t>
  </si>
  <si>
    <t>JULIAN FELIPE DUSSAN RODRIGUEZ</t>
  </si>
  <si>
    <t>15765/ 8745/ 1072</t>
  </si>
  <si>
    <t>1190/ A FAVOR $111.141</t>
  </si>
  <si>
    <t>15829/ 8746/ 1073</t>
  </si>
  <si>
    <t>15832/8747/ 1074</t>
  </si>
  <si>
    <t>MUNDIAL /1192</t>
  </si>
  <si>
    <t>mc 671</t>
  </si>
  <si>
    <t>RECOGEN/ 1193</t>
  </si>
  <si>
    <t>15834/ 8748/ 1075</t>
  </si>
  <si>
    <t>EFECTIVO/ 1064</t>
  </si>
  <si>
    <t>15844/ 8749/ 1076</t>
  </si>
  <si>
    <t>15845/ 8750/ 1077</t>
  </si>
  <si>
    <t>AGRARIO27/07</t>
  </si>
  <si>
    <t>15837/ 8744/ 1078</t>
  </si>
  <si>
    <t>15813/ 8751/ 1079</t>
  </si>
  <si>
    <t>14966/ 8542</t>
  </si>
  <si>
    <t>15751/ 8752/ 1080</t>
  </si>
  <si>
    <t>FV-2-19544</t>
  </si>
  <si>
    <t>TS ONLINE SAS</t>
  </si>
  <si>
    <t>15800/ 1081</t>
  </si>
  <si>
    <t>8753/ 1082</t>
  </si>
  <si>
    <t>15828/ 8754/ 1083</t>
  </si>
  <si>
    <t>15848/ 8755/ 1084</t>
  </si>
  <si>
    <t>UNIVERSIDAD DE CIENCIAS APLICADAS Y AMBIENTALES U.D.C.A.</t>
  </si>
  <si>
    <t>UNIVERSIDAD DE CIENCIAS APLICADAS Y AMBIENTALES U.D.C.A./ OC 1052</t>
  </si>
  <si>
    <t>15642/ 8756/ 1085</t>
  </si>
  <si>
    <t>15788/ 8757/ 1086</t>
  </si>
  <si>
    <t>15739/ 8758/ 1087</t>
  </si>
  <si>
    <t>15833/ 8759/ 1088</t>
  </si>
  <si>
    <t>FV-2-462</t>
  </si>
  <si>
    <t>FSAS 299724</t>
  </si>
  <si>
    <t>HUMBERTO CONCHA</t>
  </si>
  <si>
    <t>MANNOSERA S.A.S ZOMAC</t>
  </si>
  <si>
    <t>CAMAGUEY S.A / OC 54081</t>
  </si>
  <si>
    <t>ROYER DANEY BURGOS DÍAZ</t>
  </si>
  <si>
    <t>usd 590 Zelle/ $1,899,800 1197</t>
  </si>
  <si>
    <t>15865/ 8760/ 1089</t>
  </si>
  <si>
    <t>15840/ 8762/ 1091</t>
  </si>
  <si>
    <t>15839/ 8763/ 1092</t>
  </si>
  <si>
    <t>15863/ 8764/ 1093</t>
  </si>
  <si>
    <t>15853/ 8765/ 1094</t>
  </si>
  <si>
    <t>DARWIN GAVIRIA BERMUDEZ /MILTON GARCIA</t>
  </si>
  <si>
    <t>15831/ 8766/ 1095</t>
  </si>
  <si>
    <t>15870/ 8767/ 1093</t>
  </si>
  <si>
    <t>PRIETO GUAPACHA FRANCISCO JAVIER</t>
  </si>
  <si>
    <t>15871/ 8768/ 1097</t>
  </si>
  <si>
    <t xml:space="preserve"> O0616010</t>
  </si>
  <si>
    <t>HENAN HEYI BIOTECH CO., LTD</t>
  </si>
  <si>
    <t>A266MC2</t>
  </si>
  <si>
    <t>15836/ 8769/ 1098</t>
  </si>
  <si>
    <t>YAIRSIÑO PARRA MUÑOZ</t>
  </si>
  <si>
    <t>665,7 ZELLE/ 1216</t>
  </si>
  <si>
    <t>15811/ 8770/ 1099</t>
  </si>
  <si>
    <t>15875/ 8871/ 1100</t>
  </si>
  <si>
    <t>15827/ 8772/ 1101</t>
  </si>
  <si>
    <t>FABIO AISLANT MORENO</t>
  </si>
  <si>
    <t>MUNDIAL /</t>
  </si>
  <si>
    <t xml:space="preserve"> BLX2026052701</t>
  </si>
  <si>
    <t xml:space="preserve"> BM-9.2-26-6C905</t>
  </si>
  <si>
    <t>MC 1147</t>
  </si>
  <si>
    <t>ECOGRAFO BMV MX9 DOPPLER 1 SENSOR</t>
  </si>
  <si>
    <t>ECOGRAFO BMV MX9 DOPPLER 2 SENSORES</t>
  </si>
  <si>
    <t>15849/ 8773/ 1102</t>
  </si>
  <si>
    <t>FEQ34197</t>
  </si>
  <si>
    <t>26-1216</t>
  </si>
  <si>
    <t>COLANTA / A02-COC-346125</t>
  </si>
  <si>
    <t>784/8784/ 1103</t>
  </si>
  <si>
    <t>15881/ 8775/ 1104</t>
  </si>
  <si>
    <t>LUIS GERMÁN NÚÑEZ MESTRE</t>
  </si>
  <si>
    <t>15891/ 8776/ 1106</t>
  </si>
  <si>
    <t>SERVICIOS TECNICOS AGROPECUARIOS.STA</t>
  </si>
  <si>
    <t>MOTO/ 1226</t>
  </si>
  <si>
    <t>15893/ 8777/ 1107</t>
  </si>
  <si>
    <t>EDUARD JOHANY EUGENIO BAUTISTA</t>
  </si>
  <si>
    <t>15892/ 878/1008</t>
  </si>
  <si>
    <t>UNIVERSIDAD COOPERATIVA DE COLOMBIA/ 10VIL - 0000014212</t>
  </si>
  <si>
    <t>UNIVERSIDAD COOPERATIVA DE COLOMBIA/ 10VIL - 0000012385</t>
  </si>
  <si>
    <t>CD30/ IBAGUE</t>
  </si>
  <si>
    <t>CD30/ VIILAO</t>
  </si>
  <si>
    <t>OJO DE RIO GANADERIA SAS/ KENNER</t>
  </si>
  <si>
    <t>PLATINA EXTENDIDA</t>
  </si>
  <si>
    <t>AGOSTO</t>
  </si>
  <si>
    <t>DIEGO ALEJANDRO TRIANA GARZON</t>
  </si>
  <si>
    <t>15888/ 8779/ 1110</t>
  </si>
  <si>
    <t>15760/ REM 502/ 1105/ 8780</t>
  </si>
  <si>
    <t>CD45/ 1223</t>
  </si>
  <si>
    <t>CD45/1229</t>
  </si>
  <si>
    <t>15814/ 8781/ 1111</t>
  </si>
  <si>
    <t>PARQUE ACUÁTICO Y DE CONSERVACIÓN PISCILAGO DE COLSUBSIDIO/  ORDEN DE COMPRA N° 4200390798</t>
  </si>
  <si>
    <t>PARQUE ACUÁTICO Y DE CONSERVACIÓN PISCILAGO DE COLSUBSIDIO /ORDEN DE COMPRA N°4200402249</t>
  </si>
  <si>
    <t>JESUS DAVID GORDILLO</t>
  </si>
  <si>
    <t>14713/ REM 498/ 8782/ 1112</t>
  </si>
  <si>
    <t>15607/ 8783/ 1113</t>
  </si>
  <si>
    <t>INMONOVA SAS/ TATIANA BLANCO/SOMAK S.A.S</t>
  </si>
  <si>
    <t>INMONOVA SAS/ SOMAK S.A.S</t>
  </si>
  <si>
    <t>15576/ 15903/ 8784/ 1114</t>
  </si>
  <si>
    <t>MUNDIAL/1232</t>
  </si>
  <si>
    <t>15866/ 8687/ 1116</t>
  </si>
  <si>
    <t>15900/ 8787/ 1117</t>
  </si>
  <si>
    <t>15902/ 8788/ 1118</t>
  </si>
  <si>
    <t>15901/ 8789/ 1119</t>
  </si>
  <si>
    <t>SEBASTIAN PEÑA MONTOYA</t>
  </si>
  <si>
    <t>INSUTECH INSUMOS &amp; TECNOLOGIAS S.A.S. /IT29</t>
  </si>
  <si>
    <t>15850/ 8790/ 1120</t>
  </si>
  <si>
    <t>15877/ 8791/ 1122</t>
  </si>
  <si>
    <t>15910/ 8792/ 1123</t>
  </si>
  <si>
    <t>HERMOGENES MANUEL MALDONADO ARRIETA</t>
  </si>
  <si>
    <t>15880/ 8793/ 1124</t>
  </si>
  <si>
    <t>15905/ 8794/ 1125</t>
  </si>
  <si>
    <t>15735/ 8795/ 1126</t>
  </si>
  <si>
    <t>MUNDIAL/1245</t>
  </si>
  <si>
    <t>15862/ 8796/ 1127</t>
  </si>
  <si>
    <t>15906/ 8797/ 1128</t>
  </si>
  <si>
    <t>SERGIO JAVIER AREVALO RAMOS</t>
  </si>
  <si>
    <t>ADTG6486</t>
  </si>
  <si>
    <t>15771/ 8798/ 1129</t>
  </si>
  <si>
    <t>15890/ 8799/ 1130</t>
  </si>
  <si>
    <t>15869/ 8800/ 1131</t>
  </si>
  <si>
    <t>15860/ 8801/ 1132</t>
  </si>
  <si>
    <t>15847/ 8802/ 1133</t>
  </si>
  <si>
    <t>MEDICINA Y REPRODUCCION BOVINA S.A.S</t>
  </si>
  <si>
    <t>15920/ 8803/ 1135</t>
  </si>
  <si>
    <t>15923/ 8804/ 1136</t>
  </si>
  <si>
    <t>CD15/1254</t>
  </si>
  <si>
    <t>15330/ 15926/ 8805/ 1137</t>
  </si>
  <si>
    <t>15928/ 8806/ 1138</t>
  </si>
  <si>
    <t>CARLOS ANDRES CARDENAS BUITRAGO</t>
  </si>
  <si>
    <t>14968/ 8572</t>
  </si>
  <si>
    <t>15759/ 8785/ 1115</t>
  </si>
  <si>
    <t>MUNDIAL/ AGRARIO- EFECTIVO / 1162</t>
  </si>
  <si>
    <t>WILMAR ALEJANDRO OSSA HERNANDEZ</t>
  </si>
  <si>
    <t>15930/ 8807/ 1139</t>
  </si>
  <si>
    <t>15925/ 8808/ 1140</t>
  </si>
  <si>
    <t>15897/ 1141</t>
  </si>
  <si>
    <t>ISLA63674</t>
  </si>
  <si>
    <t>MC 1148</t>
  </si>
  <si>
    <t>1110-1800</t>
  </si>
  <si>
    <t>RACK DE PUNTAS 200 UL NO ESTERIL/   BISELAS</t>
  </si>
  <si>
    <t>ANA SILVIA CUVIDES LOPEZ</t>
  </si>
  <si>
    <t>CARLOS STEVEN MEDINA QUINTERO</t>
  </si>
  <si>
    <t>FELIPE AMAYA GOMEZ</t>
  </si>
  <si>
    <t>15935/ 8809/ 1142</t>
  </si>
  <si>
    <t>15914/ 8810/ 1143</t>
  </si>
  <si>
    <t>AGRARIO/ 1262</t>
  </si>
  <si>
    <t>15393/ 8811/ 1144</t>
  </si>
  <si>
    <t>15936/ 8812/ 1145</t>
  </si>
  <si>
    <t>15842/ 8813</t>
  </si>
  <si>
    <t>15904/ 8814</t>
  </si>
  <si>
    <t>15927/ 8815/1146</t>
  </si>
  <si>
    <t>ROJOS/ 1265</t>
  </si>
  <si>
    <t>15937/ 8816/ 1147</t>
  </si>
  <si>
    <t>15941/ 8817/ 1148</t>
  </si>
  <si>
    <t>14835/ 8761/ 1090/ 15951</t>
  </si>
  <si>
    <t>9.450.000 + 2,000,000 + 1,000,000/ 1207/ NC 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</si>
</sst>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;[Red]\-&quot;$&quot;#,##0"/>
    <numFmt numFmtId="166" formatCode="_-&quot;$&quot;* #,##0_-;\-&quot;$&quot;* #,##0_-;_-&quot;$&quot;* &quot;-&quot;_-;_-@_-"/>
  </numFmts>
  <fonts count="2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C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rgb="FF000000"/>
      <name val="Arial"/>
      <family val="2"/>
    </font>
    <font>
      <sz val="7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4">
    <xf numFmtId="0" fontId="0" fillId="0" borderId="0"/>
    <xf numFmtId="0" fontId="52" fillId="0" borderId="1"/>
    <xf numFmtId="166" fontId="52" fillId="0" borderId="1" applyFont="0" applyFill="0" applyBorder="0" applyAlignment="0" applyProtection="0"/>
    <xf numFmtId="9" fontId="52" fillId="0" borderId="1" applyFont="0" applyFill="0" applyBorder="0" applyAlignment="0" applyProtection="0"/>
  </cellStyleXfs>
  <cellXfs count="42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4" fillId="0" borderId="0" xfId="0" applyFont="1" applyAlignment="1">
      <alignment horizontal="center" vertical="center" wrapText="1"/>
    </xf>
    <xf numFmtId="0" fontId="194" fillId="0" borderId="0" xfId="0" applyFont="1" applyAlignment="1">
      <alignment horizontal="center" vertical="center"/>
    </xf>
    <xf numFmtId="0" fontId="195" fillId="0" borderId="0" xfId="0" applyFont="1" applyAlignment="1">
      <alignment horizontal="center"/>
    </xf>
    <xf numFmtId="0" fontId="195" fillId="0" borderId="0" xfId="0" applyFont="1" applyAlignment="1">
      <alignment horizontal="center" vertical="center"/>
    </xf>
    <xf numFmtId="0" fontId="0" fillId="3" borderId="0" xfId="0" applyFill="1"/>
    <xf numFmtId="0" fontId="195" fillId="0" borderId="0" xfId="0" applyFont="1" applyAlignment="1">
      <alignment horizontal="center" vertical="center" wrapText="1"/>
    </xf>
    <xf numFmtId="0" fontId="197" fillId="0" borderId="0" xfId="0" applyFont="1" applyAlignment="1">
      <alignment horizontal="center" vertical="center"/>
    </xf>
    <xf numFmtId="0" fontId="198" fillId="0" borderId="0" xfId="0" applyFont="1" applyAlignment="1">
      <alignment horizontal="center" vertical="center" wrapText="1"/>
    </xf>
    <xf numFmtId="0" fontId="199" fillId="0" borderId="0" xfId="0" applyFont="1" applyAlignment="1">
      <alignment horizontal="center" vertical="center"/>
    </xf>
    <xf numFmtId="0" fontId="200" fillId="0" borderId="0" xfId="0" applyFont="1" applyAlignment="1">
      <alignment horizontal="center" vertical="center"/>
    </xf>
    <xf numFmtId="0" fontId="201" fillId="0" borderId="0" xfId="0" applyFont="1" applyAlignment="1">
      <alignment horizontal="center" vertical="center" wrapText="1"/>
    </xf>
    <xf numFmtId="0" fontId="202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93" fillId="0" borderId="0" xfId="0" applyFont="1" applyAlignment="1">
      <alignment horizontal="center" vertical="center"/>
    </xf>
    <xf numFmtId="0" fontId="193" fillId="0" borderId="0" xfId="0" applyFont="1" applyAlignment="1">
      <alignment horizontal="center" vertical="center" wrapText="1"/>
    </xf>
    <xf numFmtId="0" fontId="192" fillId="0" borderId="0" xfId="0" applyFont="1" applyAlignment="1">
      <alignment horizontal="center" vertical="center"/>
    </xf>
    <xf numFmtId="0" fontId="192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191" fillId="0" borderId="0" xfId="0" applyFont="1" applyAlignment="1">
      <alignment horizontal="center" vertical="center"/>
    </xf>
    <xf numFmtId="0" fontId="190" fillId="0" borderId="0" xfId="0" applyFont="1" applyAlignment="1">
      <alignment horizontal="center" vertical="center" wrapText="1"/>
    </xf>
    <xf numFmtId="0" fontId="189" fillId="0" borderId="0" xfId="0" applyFont="1" applyAlignment="1">
      <alignment horizontal="center" vertical="center"/>
    </xf>
    <xf numFmtId="0" fontId="189" fillId="0" borderId="0" xfId="0" applyFont="1" applyAlignment="1">
      <alignment horizontal="center" vertical="center" wrapText="1"/>
    </xf>
    <xf numFmtId="0" fontId="188" fillId="0" borderId="0" xfId="0" applyFont="1" applyAlignment="1">
      <alignment horizontal="center" vertical="center"/>
    </xf>
    <xf numFmtId="0" fontId="187" fillId="0" borderId="0" xfId="0" applyFont="1" applyAlignment="1">
      <alignment horizontal="center" vertical="center" wrapText="1"/>
    </xf>
    <xf numFmtId="0" fontId="186" fillId="0" borderId="0" xfId="0" applyFont="1" applyAlignment="1">
      <alignment horizontal="center" vertical="center"/>
    </xf>
    <xf numFmtId="0" fontId="186" fillId="0" borderId="0" xfId="0" applyFont="1" applyAlignment="1">
      <alignment horizontal="center" vertical="center" wrapText="1"/>
    </xf>
    <xf numFmtId="0" fontId="185" fillId="0" borderId="0" xfId="0" applyFont="1" applyAlignment="1">
      <alignment horizontal="center" vertical="center"/>
    </xf>
    <xf numFmtId="0" fontId="203" fillId="0" borderId="0" xfId="0" applyFont="1" applyAlignment="1">
      <alignment horizontal="center" vertical="center"/>
    </xf>
    <xf numFmtId="0" fontId="184" fillId="0" borderId="0" xfId="0" applyFont="1" applyAlignment="1">
      <alignment horizontal="center" vertical="center"/>
    </xf>
    <xf numFmtId="0" fontId="184" fillId="0" borderId="0" xfId="0" applyFont="1" applyAlignment="1">
      <alignment horizontal="center" vertical="center" wrapText="1"/>
    </xf>
    <xf numFmtId="0" fontId="183" fillId="0" borderId="0" xfId="0" applyFont="1" applyAlignment="1">
      <alignment horizontal="center" vertical="center"/>
    </xf>
    <xf numFmtId="0" fontId="182" fillId="0" borderId="0" xfId="0" applyFont="1" applyAlignment="1">
      <alignment horizontal="center" vertical="center"/>
    </xf>
    <xf numFmtId="0" fontId="181" fillId="0" borderId="0" xfId="0" applyFont="1" applyAlignment="1">
      <alignment horizontal="center" vertical="center" wrapText="1"/>
    </xf>
    <xf numFmtId="0" fontId="181" fillId="0" borderId="0" xfId="0" applyFont="1" applyAlignment="1">
      <alignment horizontal="center" vertical="center"/>
    </xf>
    <xf numFmtId="0" fontId="180" fillId="0" borderId="0" xfId="0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179" fillId="0" borderId="0" xfId="0" applyFont="1" applyAlignment="1">
      <alignment horizontal="center" vertical="center" wrapText="1"/>
    </xf>
    <xf numFmtId="0" fontId="179" fillId="0" borderId="0" xfId="0" applyFont="1" applyAlignment="1">
      <alignment horizontal="center" vertical="center"/>
    </xf>
    <xf numFmtId="0" fontId="178" fillId="0" borderId="0" xfId="0" applyFont="1" applyAlignment="1">
      <alignment horizontal="center" vertical="center"/>
    </xf>
    <xf numFmtId="0" fontId="177" fillId="0" borderId="0" xfId="0" applyFont="1" applyAlignment="1">
      <alignment horizontal="center" vertical="center"/>
    </xf>
    <xf numFmtId="0" fontId="176" fillId="0" borderId="0" xfId="0" applyFont="1" applyAlignment="1">
      <alignment horizontal="center" vertical="center" wrapText="1"/>
    </xf>
    <xf numFmtId="14" fontId="0" fillId="6" borderId="0" xfId="0" applyNumberFormat="1" applyFill="1" applyAlignment="1">
      <alignment horizontal="center" vertical="center"/>
    </xf>
    <xf numFmtId="0" fontId="175" fillId="0" borderId="0" xfId="0" applyFont="1" applyAlignment="1">
      <alignment horizontal="center" vertical="center" wrapText="1"/>
    </xf>
    <xf numFmtId="0" fontId="175" fillId="0" borderId="0" xfId="0" applyFont="1" applyAlignment="1">
      <alignment horizontal="center" vertical="center"/>
    </xf>
    <xf numFmtId="0" fontId="174" fillId="0" borderId="0" xfId="0" applyFont="1" applyAlignment="1">
      <alignment horizontal="center" vertical="center" wrapText="1"/>
    </xf>
    <xf numFmtId="0" fontId="17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3" fillId="0" borderId="0" xfId="0" applyFont="1" applyAlignment="1">
      <alignment horizontal="center" vertical="center"/>
    </xf>
    <xf numFmtId="0" fontId="172" fillId="0" borderId="0" xfId="0" applyFont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172" fillId="0" borderId="0" xfId="0" applyFont="1" applyAlignment="1">
      <alignment horizontal="center" vertical="center"/>
    </xf>
    <xf numFmtId="0" fontId="171" fillId="0" borderId="0" xfId="0" applyFont="1" applyAlignment="1">
      <alignment horizontal="center" vertical="center"/>
    </xf>
    <xf numFmtId="0" fontId="171" fillId="0" borderId="0" xfId="0" applyFont="1" applyAlignment="1">
      <alignment horizontal="center" vertical="center" wrapText="1"/>
    </xf>
    <xf numFmtId="0" fontId="170" fillId="0" borderId="0" xfId="0" applyFont="1" applyAlignment="1">
      <alignment horizontal="center" vertical="center"/>
    </xf>
    <xf numFmtId="0" fontId="170" fillId="0" borderId="0" xfId="0" applyFont="1" applyAlignment="1">
      <alignment horizontal="center" vertical="center" wrapText="1"/>
    </xf>
    <xf numFmtId="0" fontId="169" fillId="0" borderId="0" xfId="0" applyFont="1" applyAlignment="1">
      <alignment horizontal="center" vertical="center"/>
    </xf>
    <xf numFmtId="0" fontId="169" fillId="0" borderId="0" xfId="0" applyFont="1" applyAlignment="1">
      <alignment horizontal="center" vertical="center" wrapText="1"/>
    </xf>
    <xf numFmtId="0" fontId="168" fillId="0" borderId="0" xfId="0" applyFont="1" applyAlignment="1">
      <alignment horizontal="center" vertical="center"/>
    </xf>
    <xf numFmtId="0" fontId="168" fillId="0" borderId="0" xfId="0" applyFont="1" applyAlignment="1">
      <alignment horizontal="center" vertical="center" wrapText="1"/>
    </xf>
    <xf numFmtId="0" fontId="167" fillId="0" borderId="0" xfId="0" applyFont="1" applyAlignment="1">
      <alignment horizontal="center" vertical="center"/>
    </xf>
    <xf numFmtId="0" fontId="167" fillId="0" borderId="0" xfId="0" applyFont="1" applyAlignment="1">
      <alignment horizontal="center" vertical="center" wrapText="1"/>
    </xf>
    <xf numFmtId="0" fontId="166" fillId="0" borderId="0" xfId="0" applyFont="1" applyAlignment="1">
      <alignment horizontal="center" vertical="center" wrapText="1"/>
    </xf>
    <xf numFmtId="0" fontId="165" fillId="0" borderId="0" xfId="0" applyFont="1" applyAlignment="1">
      <alignment horizontal="center" vertical="center"/>
    </xf>
    <xf numFmtId="0" fontId="165" fillId="0" borderId="0" xfId="0" applyFont="1" applyAlignment="1">
      <alignment horizontal="center" vertical="center" wrapText="1"/>
    </xf>
    <xf numFmtId="0" fontId="164" fillId="0" borderId="0" xfId="0" applyFont="1" applyAlignment="1">
      <alignment horizontal="center" vertical="center"/>
    </xf>
    <xf numFmtId="0" fontId="164" fillId="0" borderId="0" xfId="0" applyFont="1" applyAlignment="1">
      <alignment horizontal="center" vertical="center" wrapText="1"/>
    </xf>
    <xf numFmtId="0" fontId="163" fillId="0" borderId="0" xfId="0" applyFont="1" applyAlignment="1">
      <alignment horizontal="center" vertical="center"/>
    </xf>
    <xf numFmtId="0" fontId="162" fillId="0" borderId="0" xfId="0" applyFont="1" applyAlignment="1">
      <alignment horizontal="center" vertical="center"/>
    </xf>
    <xf numFmtId="0" fontId="162" fillId="0" borderId="0" xfId="0" applyFont="1" applyAlignment="1">
      <alignment horizontal="center" vertical="center" wrapText="1"/>
    </xf>
    <xf numFmtId="0" fontId="161" fillId="0" borderId="0" xfId="0" applyFont="1" applyAlignment="1">
      <alignment horizontal="center" vertical="center" wrapText="1"/>
    </xf>
    <xf numFmtId="0" fontId="161" fillId="0" borderId="0" xfId="0" applyFont="1" applyAlignment="1">
      <alignment horizontal="center" vertical="center"/>
    </xf>
    <xf numFmtId="0" fontId="160" fillId="0" borderId="0" xfId="0" applyFont="1" applyAlignment="1">
      <alignment horizontal="center" vertical="center"/>
    </xf>
    <xf numFmtId="0" fontId="159" fillId="0" borderId="0" xfId="0" applyFont="1" applyAlignment="1">
      <alignment horizontal="center" vertical="center"/>
    </xf>
    <xf numFmtId="0" fontId="159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wrapText="1"/>
    </xf>
    <xf numFmtId="0" fontId="157" fillId="0" borderId="0" xfId="0" applyFont="1" applyAlignment="1">
      <alignment horizontal="center" vertical="center"/>
    </xf>
    <xf numFmtId="0" fontId="156" fillId="0" borderId="0" xfId="0" applyFont="1" applyAlignment="1">
      <alignment horizontal="center" vertical="center" wrapText="1"/>
    </xf>
    <xf numFmtId="0" fontId="156" fillId="0" borderId="0" xfId="0" applyFont="1" applyAlignment="1">
      <alignment horizontal="center" vertical="center"/>
    </xf>
    <xf numFmtId="0" fontId="155" fillId="0" borderId="0" xfId="0" applyFont="1" applyAlignment="1">
      <alignment horizontal="center" vertical="center"/>
    </xf>
    <xf numFmtId="0" fontId="154" fillId="0" borderId="0" xfId="0" applyFont="1" applyAlignment="1">
      <alignment horizontal="center" vertical="center"/>
    </xf>
    <xf numFmtId="0" fontId="154" fillId="0" borderId="0" xfId="0" applyFont="1" applyAlignment="1">
      <alignment horizontal="center" vertical="center" wrapText="1"/>
    </xf>
    <xf numFmtId="0" fontId="153" fillId="0" borderId="0" xfId="0" applyFont="1" applyAlignment="1">
      <alignment horizontal="center" vertical="center"/>
    </xf>
    <xf numFmtId="0" fontId="153" fillId="0" borderId="0" xfId="0" applyFont="1" applyAlignment="1">
      <alignment horizontal="center" vertical="center" wrapText="1"/>
    </xf>
    <xf numFmtId="0" fontId="152" fillId="0" borderId="0" xfId="0" applyFont="1" applyAlignment="1">
      <alignment horizontal="center" vertical="center"/>
    </xf>
    <xf numFmtId="0" fontId="152" fillId="0" borderId="0" xfId="0" applyFont="1" applyAlignment="1">
      <alignment horizontal="center" vertical="center" wrapText="1"/>
    </xf>
    <xf numFmtId="0" fontId="151" fillId="0" borderId="0" xfId="0" applyFont="1" applyAlignment="1">
      <alignment horizontal="center" vertical="center"/>
    </xf>
    <xf numFmtId="0" fontId="151" fillId="0" borderId="0" xfId="0" applyFont="1" applyAlignment="1">
      <alignment horizontal="center" vertical="center" wrapText="1"/>
    </xf>
    <xf numFmtId="0" fontId="150" fillId="0" borderId="0" xfId="0" applyFont="1" applyAlignment="1">
      <alignment horizontal="center" vertical="center" wrapText="1"/>
    </xf>
    <xf numFmtId="0" fontId="149" fillId="0" borderId="0" xfId="0" applyFont="1" applyAlignment="1">
      <alignment horizontal="center" vertical="center" wrapText="1"/>
    </xf>
    <xf numFmtId="0" fontId="149" fillId="0" borderId="0" xfId="0" applyFont="1" applyAlignment="1">
      <alignment horizontal="center" vertical="center"/>
    </xf>
    <xf numFmtId="0" fontId="148" fillId="0" borderId="0" xfId="0" applyFont="1" applyAlignment="1">
      <alignment horizontal="center" vertical="center"/>
    </xf>
    <xf numFmtId="0" fontId="148" fillId="0" borderId="0" xfId="0" applyFont="1" applyAlignment="1">
      <alignment horizontal="center" vertical="center" wrapText="1"/>
    </xf>
    <xf numFmtId="0" fontId="147" fillId="0" borderId="0" xfId="0" applyFont="1" applyAlignment="1">
      <alignment horizontal="center" vertical="center"/>
    </xf>
    <xf numFmtId="0" fontId="147" fillId="0" borderId="0" xfId="0" applyFont="1" applyAlignment="1">
      <alignment horizontal="center" vertical="center" wrapText="1"/>
    </xf>
    <xf numFmtId="0" fontId="146" fillId="0" borderId="0" xfId="0" applyFont="1" applyAlignment="1">
      <alignment horizontal="center" vertical="center"/>
    </xf>
    <xf numFmtId="0" fontId="146" fillId="0" borderId="0" xfId="0" applyFont="1" applyAlignment="1">
      <alignment horizontal="center" vertical="center" wrapText="1"/>
    </xf>
    <xf numFmtId="0" fontId="145" fillId="0" borderId="0" xfId="0" applyFont="1" applyAlignment="1">
      <alignment horizontal="center" vertical="center" wrapText="1"/>
    </xf>
    <xf numFmtId="0" fontId="145" fillId="0" borderId="0" xfId="0" applyFont="1" applyAlignment="1">
      <alignment horizontal="center" vertical="center"/>
    </xf>
    <xf numFmtId="0" fontId="144" fillId="0" borderId="0" xfId="0" applyFont="1" applyAlignment="1">
      <alignment horizontal="center" vertical="center"/>
    </xf>
    <xf numFmtId="0" fontId="144" fillId="0" borderId="0" xfId="0" applyFont="1" applyAlignment="1">
      <alignment horizontal="center" vertical="center" wrapText="1"/>
    </xf>
    <xf numFmtId="0" fontId="204" fillId="0" borderId="0" xfId="0" applyFont="1" applyAlignment="1">
      <alignment horizontal="center" vertical="center"/>
    </xf>
    <xf numFmtId="0" fontId="143" fillId="0" borderId="0" xfId="0" applyFont="1" applyAlignment="1">
      <alignment horizontal="center" vertical="center" wrapText="1"/>
    </xf>
    <xf numFmtId="0" fontId="143" fillId="0" borderId="0" xfId="0" applyFont="1" applyAlignment="1">
      <alignment horizontal="center" vertical="center"/>
    </xf>
    <xf numFmtId="0" fontId="204" fillId="0" borderId="0" xfId="0" applyFont="1" applyAlignment="1">
      <alignment horizontal="center" vertical="center" wrapText="1"/>
    </xf>
    <xf numFmtId="0" fontId="142" fillId="0" borderId="0" xfId="0" applyFont="1" applyAlignment="1">
      <alignment horizontal="center" vertical="center"/>
    </xf>
    <xf numFmtId="0" fontId="142" fillId="0" borderId="0" xfId="0" applyFont="1" applyAlignment="1">
      <alignment horizontal="center" vertical="center" wrapText="1"/>
    </xf>
    <xf numFmtId="0" fontId="141" fillId="0" borderId="0" xfId="0" applyFont="1" applyAlignment="1">
      <alignment horizontal="center" vertical="center"/>
    </xf>
    <xf numFmtId="0" fontId="141" fillId="0" borderId="0" xfId="0" applyFont="1" applyAlignment="1">
      <alignment horizontal="center" vertical="center" wrapText="1"/>
    </xf>
    <xf numFmtId="0" fontId="140" fillId="0" borderId="0" xfId="0" applyFont="1" applyAlignment="1">
      <alignment horizontal="center" vertical="center"/>
    </xf>
    <xf numFmtId="0" fontId="139" fillId="0" borderId="0" xfId="0" applyFont="1" applyAlignment="1">
      <alignment horizontal="center" vertical="center"/>
    </xf>
    <xf numFmtId="0" fontId="139" fillId="0" borderId="0" xfId="0" applyFont="1" applyAlignment="1">
      <alignment horizontal="center" vertical="center" wrapText="1"/>
    </xf>
    <xf numFmtId="0" fontId="138" fillId="0" borderId="0" xfId="0" applyFont="1" applyAlignment="1">
      <alignment horizontal="center" vertical="center"/>
    </xf>
    <xf numFmtId="0" fontId="138" fillId="0" borderId="0" xfId="0" applyFont="1" applyAlignment="1">
      <alignment horizontal="center" vertical="center" wrapText="1"/>
    </xf>
    <xf numFmtId="0" fontId="137" fillId="0" borderId="0" xfId="0" applyFont="1" applyAlignment="1">
      <alignment horizontal="center" vertical="center"/>
    </xf>
    <xf numFmtId="0" fontId="137" fillId="0" borderId="0" xfId="0" applyFont="1" applyAlignment="1">
      <alignment horizontal="center" vertical="center" wrapText="1"/>
    </xf>
    <xf numFmtId="0" fontId="136" fillId="0" borderId="0" xfId="0" applyFont="1" applyAlignment="1">
      <alignment horizontal="center" vertical="center" wrapText="1"/>
    </xf>
    <xf numFmtId="0" fontId="136" fillId="0" borderId="0" xfId="0" applyFont="1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134" fillId="0" borderId="0" xfId="0" applyFont="1" applyAlignment="1">
      <alignment horizontal="center" vertical="center"/>
    </xf>
    <xf numFmtId="0" fontId="134" fillId="0" borderId="0" xfId="0" applyFont="1" applyAlignment="1">
      <alignment horizontal="center" vertical="center" wrapText="1"/>
    </xf>
    <xf numFmtId="0" fontId="133" fillId="0" borderId="0" xfId="0" applyFont="1" applyAlignment="1">
      <alignment horizontal="center" vertical="center"/>
    </xf>
    <xf numFmtId="0" fontId="133" fillId="0" borderId="0" xfId="0" applyFont="1" applyAlignment="1">
      <alignment horizontal="center" vertical="center" wrapText="1"/>
    </xf>
    <xf numFmtId="0" fontId="132" fillId="0" borderId="0" xfId="0" applyFont="1" applyAlignment="1">
      <alignment horizontal="center" vertical="center"/>
    </xf>
    <xf numFmtId="0" fontId="131" fillId="0" borderId="0" xfId="0" applyFont="1" applyAlignment="1">
      <alignment horizontal="center" vertical="center"/>
    </xf>
    <xf numFmtId="0" fontId="131" fillId="0" borderId="0" xfId="0" applyFont="1" applyAlignment="1">
      <alignment horizontal="center" vertical="center" wrapText="1"/>
    </xf>
    <xf numFmtId="0" fontId="130" fillId="0" borderId="0" xfId="0" applyFont="1" applyAlignment="1">
      <alignment horizontal="center" vertical="center"/>
    </xf>
    <xf numFmtId="0" fontId="130" fillId="0" borderId="0" xfId="0" applyFont="1" applyAlignment="1">
      <alignment horizontal="center" vertical="center" wrapText="1"/>
    </xf>
    <xf numFmtId="0" fontId="129" fillId="0" borderId="0" xfId="0" applyFont="1" applyAlignment="1">
      <alignment horizontal="center" vertical="center"/>
    </xf>
    <xf numFmtId="0" fontId="128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 wrapText="1"/>
    </xf>
    <xf numFmtId="0" fontId="127" fillId="0" borderId="0" xfId="0" applyFont="1" applyAlignment="1">
      <alignment horizontal="center" vertical="center"/>
    </xf>
    <xf numFmtId="0" fontId="126" fillId="0" borderId="0" xfId="0" applyFont="1" applyAlignment="1">
      <alignment horizontal="center" vertical="center"/>
    </xf>
    <xf numFmtId="0" fontId="125" fillId="0" borderId="0" xfId="0" applyFont="1" applyAlignment="1">
      <alignment horizontal="center" vertical="center"/>
    </xf>
    <xf numFmtId="0" fontId="125" fillId="0" borderId="0" xfId="0" applyFont="1" applyAlignment="1">
      <alignment horizontal="center" vertical="center" wrapText="1"/>
    </xf>
    <xf numFmtId="13" fontId="0" fillId="0" borderId="0" xfId="0" applyNumberFormat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0" fontId="207" fillId="0" borderId="4" xfId="0" applyFont="1" applyBorder="1" applyAlignment="1">
      <alignment vertical="center" wrapText="1"/>
    </xf>
    <xf numFmtId="0" fontId="207" fillId="0" borderId="3" xfId="0" applyFont="1" applyBorder="1" applyAlignment="1">
      <alignment horizontal="right" vertical="center"/>
    </xf>
    <xf numFmtId="9" fontId="206" fillId="0" borderId="3" xfId="0" applyNumberFormat="1" applyFont="1" applyBorder="1" applyAlignment="1">
      <alignment horizontal="right" vertical="center" wrapText="1"/>
    </xf>
    <xf numFmtId="9" fontId="206" fillId="9" borderId="3" xfId="0" applyNumberFormat="1" applyFont="1" applyFill="1" applyBorder="1" applyAlignment="1">
      <alignment horizontal="right" vertical="center" wrapText="1"/>
    </xf>
    <xf numFmtId="0" fontId="123" fillId="0" borderId="0" xfId="0" applyFont="1" applyAlignment="1">
      <alignment horizontal="center" vertical="center" wrapText="1"/>
    </xf>
    <xf numFmtId="0" fontId="122" fillId="0" borderId="0" xfId="0" applyFont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203" fillId="0" borderId="0" xfId="0" applyFont="1" applyAlignment="1">
      <alignment horizontal="center" vertical="center" wrapText="1"/>
    </xf>
    <xf numFmtId="0" fontId="173" fillId="0" borderId="1" xfId="0" applyFont="1" applyBorder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 wrapText="1"/>
    </xf>
    <xf numFmtId="0" fontId="119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 wrapText="1"/>
    </xf>
    <xf numFmtId="0" fontId="118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16" fillId="0" borderId="0" xfId="0" applyFont="1" applyAlignment="1">
      <alignment horizontal="center" vertical="center"/>
    </xf>
    <xf numFmtId="0" fontId="115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112" fillId="0" borderId="0" xfId="0" applyFont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09" fillId="0" borderId="0" xfId="0" applyFont="1" applyAlignment="1">
      <alignment horizontal="center" vertical="center"/>
    </xf>
    <xf numFmtId="14" fontId="109" fillId="0" borderId="2" xfId="0" applyNumberFormat="1" applyFont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6" fillId="0" borderId="0" xfId="0" applyFont="1" applyAlignment="1">
      <alignment horizontal="center" vertical="center"/>
    </xf>
    <xf numFmtId="0" fontId="105" fillId="0" borderId="0" xfId="0" applyFont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4" fillId="0" borderId="0" xfId="0" applyFont="1" applyAlignment="1">
      <alignment horizontal="center" vertical="center" wrapText="1"/>
    </xf>
    <xf numFmtId="0" fontId="103" fillId="0" borderId="0" xfId="0" applyFont="1" applyAlignment="1">
      <alignment horizontal="center" vertical="center" wrapText="1"/>
    </xf>
    <xf numFmtId="0" fontId="103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 wrapText="1"/>
    </xf>
    <xf numFmtId="0" fontId="101" fillId="0" borderId="0" xfId="0" applyFont="1" applyAlignment="1">
      <alignment horizontal="center" vertical="center" wrapText="1"/>
    </xf>
    <xf numFmtId="0" fontId="101" fillId="0" borderId="0" xfId="0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99" fillId="0" borderId="0" xfId="0" applyFont="1" applyAlignment="1">
      <alignment horizontal="center" vertical="center" wrapText="1"/>
    </xf>
    <xf numFmtId="0" fontId="98" fillId="0" borderId="0" xfId="0" applyFont="1" applyAlignment="1">
      <alignment horizontal="center" vertical="center" wrapText="1"/>
    </xf>
    <xf numFmtId="0" fontId="97" fillId="0" borderId="0" xfId="0" applyFont="1" applyAlignment="1">
      <alignment horizontal="center" vertical="center"/>
    </xf>
    <xf numFmtId="0" fontId="97" fillId="0" borderId="0" xfId="0" applyFont="1" applyAlignment="1">
      <alignment horizontal="center" vertical="center" wrapText="1"/>
    </xf>
    <xf numFmtId="0" fontId="96" fillId="0" borderId="0" xfId="0" applyFont="1" applyAlignment="1">
      <alignment horizontal="center" vertical="center" wrapText="1"/>
    </xf>
    <xf numFmtId="0" fontId="95" fillId="0" borderId="0" xfId="0" applyFont="1" applyAlignment="1">
      <alignment horizontal="center" vertical="center" wrapText="1"/>
    </xf>
    <xf numFmtId="0" fontId="94" fillId="0" borderId="0" xfId="0" applyFont="1" applyAlignment="1">
      <alignment horizontal="center" vertical="center"/>
    </xf>
    <xf numFmtId="0" fontId="93" fillId="0" borderId="0" xfId="0" applyFont="1" applyAlignment="1">
      <alignment horizontal="center" vertical="center" wrapText="1"/>
    </xf>
    <xf numFmtId="0" fontId="92" fillId="0" borderId="0" xfId="0" applyFont="1" applyAlignment="1">
      <alignment horizontal="center" vertical="center" wrapText="1"/>
    </xf>
    <xf numFmtId="0" fontId="92" fillId="0" borderId="0" xfId="0" applyFont="1" applyAlignment="1">
      <alignment horizontal="center" vertical="center"/>
    </xf>
    <xf numFmtId="0" fontId="91" fillId="0" borderId="0" xfId="0" applyFont="1" applyAlignment="1">
      <alignment horizontal="center" vertical="center" wrapText="1"/>
    </xf>
    <xf numFmtId="0" fontId="91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0" xfId="0" applyFont="1" applyAlignment="1">
      <alignment horizontal="center" vertical="center"/>
    </xf>
    <xf numFmtId="0" fontId="88" fillId="0" borderId="0" xfId="0" applyFont="1" applyAlignment="1">
      <alignment horizontal="center" vertical="center" wrapText="1"/>
    </xf>
    <xf numFmtId="0" fontId="88" fillId="0" borderId="0" xfId="0" applyFont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87" fillId="0" borderId="0" xfId="0" applyFont="1" applyAlignment="1">
      <alignment horizontal="center" vertical="center" wrapText="1"/>
    </xf>
    <xf numFmtId="0" fontId="86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167" fillId="8" borderId="0" xfId="0" applyFont="1" applyFill="1" applyAlignment="1">
      <alignment horizontal="center" vertical="center"/>
    </xf>
    <xf numFmtId="0" fontId="158" fillId="8" borderId="0" xfId="0" applyFont="1" applyFill="1" applyAlignment="1">
      <alignment horizontal="center" vertical="center"/>
    </xf>
    <xf numFmtId="0" fontId="130" fillId="8" borderId="0" xfId="0" applyFont="1" applyFill="1" applyAlignment="1">
      <alignment horizontal="center" vertical="center"/>
    </xf>
    <xf numFmtId="0" fontId="104" fillId="8" borderId="0" xfId="0" applyFont="1" applyFill="1" applyAlignment="1">
      <alignment horizontal="center" vertical="center"/>
    </xf>
    <xf numFmtId="0" fontId="93" fillId="8" borderId="0" xfId="0" applyFont="1" applyFill="1" applyAlignment="1">
      <alignment horizontal="center" vertical="center"/>
    </xf>
    <xf numFmtId="0" fontId="91" fillId="8" borderId="0" xfId="0" applyFont="1" applyFill="1" applyAlignment="1">
      <alignment horizontal="center" vertical="center"/>
    </xf>
    <xf numFmtId="0" fontId="85" fillId="8" borderId="0" xfId="0" applyFont="1" applyFill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4" fillId="0" borderId="0" xfId="0" applyFont="1" applyAlignment="1">
      <alignment horizontal="center" vertical="center" wrapText="1"/>
    </xf>
    <xf numFmtId="0" fontId="83" fillId="0" borderId="0" xfId="0" applyFont="1" applyAlignment="1">
      <alignment horizontal="center" vertical="center"/>
    </xf>
    <xf numFmtId="0" fontId="83" fillId="0" borderId="0" xfId="0" applyFont="1" applyAlignment="1">
      <alignment horizontal="center" vertical="center" wrapText="1"/>
    </xf>
    <xf numFmtId="0" fontId="208" fillId="0" borderId="0" xfId="0" applyFont="1" applyAlignment="1">
      <alignment horizontal="center" vertical="center" wrapText="1"/>
    </xf>
    <xf numFmtId="0" fontId="82" fillId="0" borderId="0" xfId="0" applyFont="1" applyAlignment="1">
      <alignment horizontal="center" vertical="center" wrapText="1"/>
    </xf>
    <xf numFmtId="0" fontId="82" fillId="0" borderId="0" xfId="0" applyFont="1" applyAlignment="1">
      <alignment horizontal="center" vertical="center"/>
    </xf>
    <xf numFmtId="3" fontId="84" fillId="0" borderId="0" xfId="0" applyNumberFormat="1" applyFont="1" applyAlignment="1">
      <alignment horizontal="center" vertical="center" wrapText="1"/>
    </xf>
    <xf numFmtId="0" fontId="81" fillId="0" borderId="0" xfId="0" applyFont="1" applyAlignment="1">
      <alignment horizontal="center" vertical="center"/>
    </xf>
    <xf numFmtId="0" fontId="81" fillId="0" borderId="0" xfId="0" applyFont="1" applyAlignment="1">
      <alignment horizontal="center" vertical="center" wrapText="1"/>
    </xf>
    <xf numFmtId="0" fontId="80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 wrapText="1"/>
    </xf>
    <xf numFmtId="0" fontId="79" fillId="0" borderId="0" xfId="0" applyFont="1" applyAlignment="1">
      <alignment horizontal="center" vertical="center"/>
    </xf>
    <xf numFmtId="0" fontId="79" fillId="0" borderId="0" xfId="0" applyFont="1" applyAlignment="1">
      <alignment horizontal="center" vertical="center" wrapText="1"/>
    </xf>
    <xf numFmtId="0" fontId="78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 wrapText="1"/>
    </xf>
    <xf numFmtId="0" fontId="77" fillId="0" borderId="0" xfId="0" applyFont="1" applyAlignment="1">
      <alignment horizontal="center" vertical="center" wrapText="1"/>
    </xf>
    <xf numFmtId="0" fontId="77" fillId="0" borderId="0" xfId="0" applyFont="1" applyAlignment="1">
      <alignment horizontal="center" vertical="center"/>
    </xf>
    <xf numFmtId="0" fontId="76" fillId="0" borderId="0" xfId="0" applyFont="1" applyAlignment="1">
      <alignment horizontal="center" vertical="center" wrapText="1"/>
    </xf>
    <xf numFmtId="0" fontId="76" fillId="0" borderId="0" xfId="0" applyFont="1" applyAlignment="1">
      <alignment horizontal="center" vertical="center"/>
    </xf>
    <xf numFmtId="0" fontId="75" fillId="0" borderId="0" xfId="0" applyFont="1" applyAlignment="1">
      <alignment horizontal="center" vertical="center" wrapText="1"/>
    </xf>
    <xf numFmtId="0" fontId="75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3" fillId="0" borderId="0" xfId="0" applyFont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72" fillId="0" borderId="0" xfId="0" applyFont="1" applyAlignment="1">
      <alignment horizontal="center" vertical="center" wrapText="1"/>
    </xf>
    <xf numFmtId="0" fontId="71" fillId="0" borderId="0" xfId="0" applyFont="1" applyAlignment="1">
      <alignment horizontal="center" vertical="center" wrapText="1"/>
    </xf>
    <xf numFmtId="0" fontId="70" fillId="0" borderId="0" xfId="0" applyFont="1" applyAlignment="1">
      <alignment horizontal="center" vertical="center" wrapText="1"/>
    </xf>
    <xf numFmtId="0" fontId="70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 wrapText="1"/>
    </xf>
    <xf numFmtId="0" fontId="68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 wrapText="1"/>
    </xf>
    <xf numFmtId="0" fontId="62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 wrapText="1"/>
    </xf>
    <xf numFmtId="0" fontId="196" fillId="0" borderId="0" xfId="0" applyFont="1" applyAlignment="1">
      <alignment vertical="center"/>
    </xf>
    <xf numFmtId="0" fontId="59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 wrapText="1"/>
    </xf>
    <xf numFmtId="0" fontId="52" fillId="0" borderId="1" xfId="1" applyAlignment="1">
      <alignment horizontal="center" vertical="center"/>
    </xf>
    <xf numFmtId="0" fontId="52" fillId="0" borderId="1" xfId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51" fillId="0" borderId="1" xfId="1" applyFont="1" applyAlignment="1">
      <alignment horizontal="center" vertical="center"/>
    </xf>
    <xf numFmtId="14" fontId="51" fillId="0" borderId="0" xfId="0" applyNumberFormat="1" applyFont="1" applyAlignment="1">
      <alignment horizontal="center" vertical="center"/>
    </xf>
    <xf numFmtId="0" fontId="51" fillId="7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 wrapText="1"/>
    </xf>
    <xf numFmtId="14" fontId="204" fillId="0" borderId="0" xfId="0" applyNumberFormat="1" applyFont="1" applyAlignment="1">
      <alignment horizontal="center" vertical="center"/>
    </xf>
    <xf numFmtId="14" fontId="49" fillId="0" borderId="0" xfId="0" applyNumberFormat="1" applyFont="1" applyAlignment="1">
      <alignment horizontal="center" vertical="center"/>
    </xf>
    <xf numFmtId="17" fontId="49" fillId="0" borderId="0" xfId="0" applyNumberFormat="1" applyFont="1" applyAlignment="1">
      <alignment horizontal="center" vertical="center"/>
    </xf>
    <xf numFmtId="0" fontId="49" fillId="5" borderId="0" xfId="0" applyFont="1" applyFill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0" fontId="48" fillId="6" borderId="0" xfId="0" applyFont="1" applyFill="1" applyAlignment="1">
      <alignment horizontal="center" vertical="center" wrapText="1"/>
    </xf>
    <xf numFmtId="14" fontId="48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43" fillId="6" borderId="0" xfId="0" applyFont="1" applyFill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4" fontId="42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43" fillId="6" borderId="0" xfId="0" applyFont="1" applyFill="1" applyAlignment="1">
      <alignment horizontal="center" vertical="center" wrapText="1"/>
    </xf>
    <xf numFmtId="14" fontId="38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36" fillId="6" borderId="0" xfId="0" applyFont="1" applyFill="1" applyAlignment="1">
      <alignment horizontal="center" vertical="center"/>
    </xf>
    <xf numFmtId="0" fontId="36" fillId="6" borderId="0" xfId="0" applyFont="1" applyFill="1" applyAlignment="1">
      <alignment horizontal="center" vertical="center" wrapText="1"/>
    </xf>
    <xf numFmtId="0" fontId="36" fillId="7" borderId="0" xfId="0" applyFont="1" applyFill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14" fontId="34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3" fillId="7" borderId="0" xfId="0" applyFont="1" applyFill="1" applyAlignment="1">
      <alignment horizontal="center" vertical="center"/>
    </xf>
    <xf numFmtId="0" fontId="33" fillId="7" borderId="0" xfId="0" applyFont="1" applyFill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205" fillId="0" borderId="0" xfId="0" applyFont="1" applyAlignment="1">
      <alignment horizontal="center" vertical="center"/>
    </xf>
    <xf numFmtId="4" fontId="210" fillId="0" borderId="0" xfId="0" applyNumberFormat="1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0" fillId="7" borderId="0" xfId="0" applyFont="1" applyFill="1" applyAlignment="1">
      <alignment horizontal="center" vertical="center" wrapText="1"/>
    </xf>
    <xf numFmtId="14" fontId="31" fillId="0" borderId="0" xfId="0" applyNumberFormat="1" applyFont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14" fontId="29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7" fillId="6" borderId="0" xfId="0" applyFont="1" applyFill="1" applyAlignment="1">
      <alignment horizontal="center" vertical="center" wrapText="1"/>
    </xf>
    <xf numFmtId="0" fontId="27" fillId="6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5" borderId="0" xfId="0" applyFont="1" applyFill="1" applyAlignment="1">
      <alignment horizontal="center" vertical="center" wrapText="1"/>
    </xf>
    <xf numFmtId="0" fontId="43" fillId="5" borderId="0" xfId="0" applyFont="1" applyFill="1" applyAlignment="1">
      <alignment horizontal="center" vertical="center" wrapText="1"/>
    </xf>
    <xf numFmtId="14" fontId="24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16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95" fillId="2" borderId="0" xfId="0" applyFont="1" applyFill="1" applyAlignment="1">
      <alignment horizontal="center"/>
    </xf>
    <xf numFmtId="0" fontId="197" fillId="4" borderId="0" xfId="0" applyFont="1" applyFill="1" applyAlignment="1">
      <alignment horizontal="center"/>
    </xf>
    <xf numFmtId="0" fontId="196" fillId="4" borderId="1" xfId="0" applyFont="1" applyFill="1" applyBorder="1" applyAlignment="1">
      <alignment horizontal="center" vertical="center"/>
    </xf>
  </cellXfs>
  <cellStyles count="4">
    <cellStyle name="Moneda [0] 2" xfId="2" xr:uid="{D827F7FA-64C6-4191-A3CF-A54C822DB957}"/>
    <cellStyle name="Normal" xfId="0" builtinId="0"/>
    <cellStyle name="Normal 2" xfId="1" xr:uid="{2C01BF1F-4852-4787-A3A0-E8841079AA1F}"/>
    <cellStyle name="Porcentaje 2" xfId="3" xr:uid="{1E60417B-BC52-403D-8C67-E0935728D44A}"/>
  </cellStyles>
  <dxfs count="17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rgb="FF00B050"/>
        <name val="Calibri"/>
        <scheme val="minor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  <scheme val="minor"/>
      </font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LT-style" pivot="0" count="3" xr9:uid="{00000000-0011-0000-FFFF-FFFF00000000}">
      <tableStyleElement type="headerRow" dxfId="174"/>
      <tableStyleElement type="firstRowStripe" dxfId="173"/>
      <tableStyleElement type="secondRowStripe" dxfId="172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CAF42F2-706A-4FE5-A642-ECBB9D49D0E0}" name="PRODUCTOS31316" displayName="PRODUCTOS31316" ref="A5:J1302" totalsRowShown="0" headerRowDxfId="171">
  <autoFilter ref="A5:J1302" xr:uid="{ECAF42F2-706A-4FE5-A642-ECBB9D49D0E0}"/>
  <tableColumns count="10">
    <tableColumn id="1" xr3:uid="{D1930CA5-510D-4830-ABA8-03DA94573878}" name="CÓDIGO" dataDxfId="170"/>
    <tableColumn id="2" xr3:uid="{996F18F7-59BC-485E-93B9-F778BE040740}" name="REFERENCIA" dataDxfId="169"/>
    <tableColumn id="3" xr3:uid="{AC2A5FA5-0A3F-4455-BE83-B16578659D0F}" name="NOMBRE " dataDxfId="168"/>
    <tableColumn id="4" xr3:uid="{AE70FBF5-16FF-4155-9B0E-63777BC19FF0}" name="MARCA" dataDxfId="167"/>
    <tableColumn id="5" xr3:uid="{02416C83-3DFC-42EF-A19C-D609D238949E}" name="PROVEEDOR" dataDxfId="166"/>
    <tableColumn id="6" xr3:uid="{4629BFEB-2446-4BB6-9C7D-428809137670}" name="UNIDAD DE VENTA" dataDxfId="165"/>
    <tableColumn id="7" xr3:uid="{6C269F54-9FBE-4EF0-8A71-40C4E2D914D2}" name="EXISTENCIAS" dataDxfId="164"/>
    <tableColumn id="8" xr3:uid="{6214E6FF-9FDE-4907-8536-DF2E2B81342C}" name="ENTRADAS" dataDxfId="163">
      <calculatedColumnFormula>SUMIF(#REF!,PRODUCTOS31316[[#This Row],[CÓDIGO]],#REF!)</calculatedColumnFormula>
    </tableColumn>
    <tableColumn id="9" xr3:uid="{8A151F93-61D8-423F-B161-2A43E04CAC3F}" name="SALIDAS" dataDxfId="162">
      <calculatedColumnFormula>SUMIF(#REF!,PRODUCTOS31316[[#This Row],[CÓDIGO]],#REF!)</calculatedColumnFormula>
    </tableColumn>
    <tableColumn id="10" xr3:uid="{CD3E4FC6-A082-4F73-8622-4E466094405B}" name="STOCK" dataDxfId="161">
      <calculatedColumnFormula>PRODUCTOS31316[[#This Row],[EXISTENCIAS]]+PRODUCTOS31316[[#This Row],[ENTRADAS]]-PRODUCTOS31316[[#This Row],[SALIDAS]]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3F0285E-072D-4B44-82C7-3D4CC048B12D}" name="ENTRADAS71417" displayName="ENTRADAS71417" ref="Z5:AH396" totalsRowShown="0" headerRowDxfId="160">
  <autoFilter ref="Z5:AH396" xr:uid="{23F0285E-072D-4B44-82C7-3D4CC048B12D}"/>
  <tableColumns count="9">
    <tableColumn id="1" xr3:uid="{332F181D-7CF0-4D06-A58C-DA35670D8565}" name="# FACTURA" dataDxfId="159"/>
    <tableColumn id="2" xr3:uid="{4F406DD7-52E2-46FF-8CA1-7F19B5A3F64D}" name="PROVEEDOR" dataDxfId="158" totalsRowDxfId="157"/>
    <tableColumn id="3" xr3:uid="{A198B2EB-CE76-4977-836D-112438E7D842}" name="FECHA" dataDxfId="156" totalsRowDxfId="155"/>
    <tableColumn id="4" xr3:uid="{F2467CAF-38B3-4DC2-95FF-9808ABF2D702}" name="CÓDIGO" dataDxfId="154" totalsRowDxfId="153"/>
    <tableColumn id="5" xr3:uid="{4EC0758A-E5D7-435A-B5CF-FFC8D575F3B5}" name="REFERENCIA" dataDxfId="152" totalsRowDxfId="151">
      <calculatedColumnFormula>VLOOKUP(ENTRADAS71417[[#This Row],[CÓDIGO]],PRODUCTOS31316[],2,FALSE)</calculatedColumnFormula>
    </tableColumn>
    <tableColumn id="6" xr3:uid="{7F427678-E8D2-4AD1-B572-A754BE70B649}" name="NOMBRE" dataDxfId="150" totalsRowDxfId="149">
      <calculatedColumnFormula>VLOOKUP(ENTRADAS71417[[#This Row],[CÓDIGO]],PRODUCTOS31316[],3,FALSE)</calculatedColumnFormula>
    </tableColumn>
    <tableColumn id="7" xr3:uid="{7B518F7A-D0D4-42F4-8618-E6E1D3DADEBE}" name="CANTIDAD" dataDxfId="148" totalsRowDxfId="147"/>
    <tableColumn id="8" xr3:uid="{D1F9A133-6B5B-418D-B4E3-7B9D0A607E09}" name="TRANSITO" dataDxfId="146" totalsRowDxfId="145"/>
    <tableColumn id="9" xr3:uid="{861E3EA5-75F9-4AC6-BF18-5C26C76E6D7F}" name="Columna1" dataDxfId="144" totalsRowDxfId="143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82F845F-FD03-48C7-A75D-02FFCF75630A}" name="SALIDAS111518" displayName="SALIDAS111518" ref="L5:W2956" headerRowDxfId="142" dataDxfId="141" totalsRowDxfId="140">
  <autoFilter ref="L5:W2956" xr:uid="{982F845F-FD03-48C7-A75D-02FFCF75630A}"/>
  <sortState xmlns:xlrd2="http://schemas.microsoft.com/office/spreadsheetml/2017/richdata2" ref="L5:W6">
    <sortCondition ref="O5"/>
  </sortState>
  <tableColumns count="12">
    <tableColumn id="10" xr3:uid="{257F85A3-1D95-409B-B9B2-D2CF3BA1E353}" name="TIPO DE CLIENTE" totalsRowLabel="Total" dataDxfId="139" totalsRowDxfId="138"/>
    <tableColumn id="11" xr3:uid="{602363E4-A38A-4360-AD68-55B00523A98E}" name="MES" dataDxfId="137" totalsRowDxfId="136"/>
    <tableColumn id="1" xr3:uid="{A311204F-F9F1-4165-BBD7-B61CADC470AE}" name="# FACTURA" dataDxfId="135" totalsRowDxfId="134"/>
    <tableColumn id="2" xr3:uid="{A0A7C0C7-BBD2-4217-A758-2A1E13AA08A9}" name="CLIENTE" dataDxfId="133" totalsRowDxfId="132"/>
    <tableColumn id="3" xr3:uid="{CA4F5984-B5DB-4351-BD3D-737032C4B49C}" name="FECHA" dataDxfId="131" totalsRowDxfId="130"/>
    <tableColumn id="4" xr3:uid="{DB26D527-60AF-4DE1-9C26-D4C555372D5C}" name="CÓDIGO" dataDxfId="129" totalsRowDxfId="128"/>
    <tableColumn id="5" xr3:uid="{0FB32E96-E65E-4568-9541-A391FE46D89B}" name="REFERENCIA" dataDxfId="127" totalsRowDxfId="126">
      <calculatedColumnFormula>VLOOKUP(SALIDAS111518[[#This Row],[CÓDIGO]],PRODUCTOS31316[],2,FALSE)</calculatedColumnFormula>
    </tableColumn>
    <tableColumn id="6" xr3:uid="{90653F1A-AA51-4F2E-937A-5977D4E25A82}" name="NOMBRE" dataDxfId="125" totalsRowDxfId="124">
      <calculatedColumnFormula>VLOOKUP(SALIDAS111518[[#This Row],[CÓDIGO]],PRODUCTOS31316[],3,FALSE)</calculatedColumnFormula>
    </tableColumn>
    <tableColumn id="7" xr3:uid="{42240716-5091-4268-BFCD-9E1E091BEA8F}" name="CANTIDAD" dataDxfId="123" totalsRowDxfId="122"/>
    <tableColumn id="9" xr3:uid="{E61E6A0D-0630-4636-970F-39548D8EA5E1}" name="PAGO" dataDxfId="121" totalsRowDxfId="120"/>
    <tableColumn id="14" xr3:uid="{79DC8C92-0912-4F7E-B72D-AC0A04386150}" name="OBSERVACIÓN" dataDxfId="119" totalsRowDxfId="118"/>
    <tableColumn id="8" xr3:uid="{192EA7DE-5B81-4F32-9E80-3E58BF119D3E}" name="ENCARGADO" totalsRowFunction="count" dataDxfId="117" totalsRowDxfId="116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E9FB-53C3-48FD-A9E8-E903FF51D39F}">
  <dimension ref="A3:AH7895"/>
  <sheetViews>
    <sheetView tabSelected="1" zoomScale="86" zoomScaleNormal="86" workbookViewId="0">
      <selection activeCell="O10" sqref="O10"/>
    </sheetView>
  </sheetViews>
  <sheetFormatPr baseColWidth="10" defaultColWidth="11.44140625" defaultRowHeight="18" x14ac:dyDescent="0.3"/>
  <cols>
    <col min="1" max="1" width="11.44140625" style="2"/>
    <col min="2" max="2" width="16.5546875" style="1" customWidth="1"/>
    <col min="3" max="3" width="46.88671875" style="1" customWidth="1"/>
    <col min="4" max="4" width="17" style="1" customWidth="1"/>
    <col min="5" max="5" width="15.88671875" style="1" customWidth="1"/>
    <col min="6" max="6" width="18.6640625" style="1" customWidth="1"/>
    <col min="7" max="7" width="14.88671875" customWidth="1"/>
    <col min="8" max="8" width="12" style="14" customWidth="1"/>
    <col min="9" max="9" width="11.44140625" style="11"/>
    <col min="10" max="10" width="11.44140625" style="6"/>
    <col min="11" max="11" width="5.33203125" style="7" customWidth="1"/>
    <col min="12" max="12" width="10.33203125" customWidth="1"/>
    <col min="13" max="13" width="10.44140625" customWidth="1"/>
    <col min="14" max="14" width="11.77734375" customWidth="1"/>
    <col min="15" max="15" width="29.77734375" customWidth="1"/>
    <col min="16" max="16" width="13.33203125" customWidth="1"/>
    <col min="17" max="17" width="12.21875" customWidth="1"/>
    <col min="18" max="18" width="21.44140625" style="1" customWidth="1"/>
    <col min="19" max="19" width="33.109375" customWidth="1"/>
    <col min="20" max="22" width="17.21875" customWidth="1"/>
    <col min="23" max="23" width="16.6640625" customWidth="1"/>
    <col min="24" max="24" width="13.44140625" style="7" customWidth="1"/>
    <col min="25" max="25" width="4.88671875" style="2" customWidth="1"/>
    <col min="26" max="26" width="23.21875" style="1" customWidth="1"/>
    <col min="27" max="27" width="35.6640625" style="2" customWidth="1"/>
    <col min="28" max="28" width="11.44140625" style="2"/>
    <col min="29" max="29" width="19.33203125" style="1" customWidth="1"/>
    <col min="30" max="30" width="25.33203125" style="1" customWidth="1"/>
    <col min="31" max="31" width="33.6640625" style="2" customWidth="1"/>
    <col min="32" max="32" width="14.109375" style="2" customWidth="1"/>
    <col min="33" max="33" width="12.33203125" style="7" customWidth="1"/>
  </cols>
  <sheetData>
    <row r="3" spans="1:34" x14ac:dyDescent="0.35">
      <c r="A3" s="426" t="s">
        <v>3641</v>
      </c>
      <c r="B3" s="426"/>
      <c r="C3" s="426"/>
      <c r="D3" s="426"/>
      <c r="E3" s="426"/>
      <c r="F3" s="426"/>
      <c r="G3" s="426"/>
      <c r="H3" s="426"/>
      <c r="I3" s="426"/>
      <c r="J3" s="426"/>
      <c r="L3" s="427" t="s">
        <v>3642</v>
      </c>
      <c r="M3" s="427"/>
      <c r="N3" s="427"/>
      <c r="O3" s="427"/>
      <c r="P3" s="427"/>
      <c r="Q3" s="427"/>
      <c r="R3" s="427"/>
      <c r="S3" s="427"/>
      <c r="T3" s="427"/>
      <c r="U3" s="427"/>
      <c r="V3" s="427"/>
      <c r="W3" s="427"/>
      <c r="Y3" s="258"/>
      <c r="Z3" s="428" t="s">
        <v>3643</v>
      </c>
      <c r="AA3" s="428"/>
      <c r="AB3" s="428"/>
      <c r="AC3" s="428"/>
      <c r="AD3" s="428"/>
      <c r="AE3" s="428"/>
      <c r="AF3" s="428"/>
      <c r="AG3" s="428"/>
    </row>
    <row r="4" spans="1:34" x14ac:dyDescent="0.35">
      <c r="A4" s="5"/>
      <c r="B4" s="5"/>
      <c r="C4" s="5"/>
      <c r="D4" s="5"/>
      <c r="E4" s="5"/>
      <c r="F4" s="5"/>
      <c r="G4" s="5"/>
      <c r="H4" s="12"/>
      <c r="I4" s="9"/>
      <c r="L4" s="5"/>
      <c r="M4" s="5"/>
      <c r="N4" s="5"/>
      <c r="O4" s="5"/>
      <c r="P4" s="5"/>
      <c r="Q4" s="5"/>
      <c r="R4" s="8"/>
      <c r="S4" s="5"/>
      <c r="T4" s="5"/>
      <c r="U4" s="5"/>
      <c r="V4" s="5"/>
      <c r="W4" s="5"/>
      <c r="Y4" s="6"/>
      <c r="Z4" s="8"/>
      <c r="AA4" s="6"/>
      <c r="AB4" s="6"/>
      <c r="AC4" s="8"/>
      <c r="AD4" s="8"/>
      <c r="AE4" s="6"/>
      <c r="AF4" s="6"/>
    </row>
    <row r="5" spans="1:34" ht="26.4" customHeight="1" x14ac:dyDescent="0.3">
      <c r="A5" s="3" t="s">
        <v>0</v>
      </c>
      <c r="B5" s="3" t="s">
        <v>1</v>
      </c>
      <c r="C5" s="3" t="s">
        <v>2218</v>
      </c>
      <c r="D5" s="3" t="s">
        <v>3</v>
      </c>
      <c r="E5" s="3" t="s">
        <v>4</v>
      </c>
      <c r="F5" s="3" t="s">
        <v>5</v>
      </c>
      <c r="G5" s="3" t="s">
        <v>6</v>
      </c>
      <c r="H5" s="13" t="s">
        <v>7</v>
      </c>
      <c r="I5" s="10" t="s">
        <v>8</v>
      </c>
      <c r="J5" s="8" t="s">
        <v>9</v>
      </c>
      <c r="L5" s="3" t="s">
        <v>3519</v>
      </c>
      <c r="M5" s="3" t="s">
        <v>3644</v>
      </c>
      <c r="N5" s="4" t="s">
        <v>10</v>
      </c>
      <c r="O5" s="4" t="s">
        <v>11</v>
      </c>
      <c r="P5" s="4" t="s">
        <v>12</v>
      </c>
      <c r="Q5" s="4" t="s">
        <v>0</v>
      </c>
      <c r="R5" s="4" t="s">
        <v>1</v>
      </c>
      <c r="S5" s="3" t="s">
        <v>2</v>
      </c>
      <c r="T5" s="4" t="s">
        <v>13</v>
      </c>
      <c r="U5" s="4" t="s">
        <v>3051</v>
      </c>
      <c r="V5" s="4" t="s">
        <v>2219</v>
      </c>
      <c r="W5" s="4" t="s">
        <v>2220</v>
      </c>
      <c r="X5" s="4"/>
      <c r="Y5" s="7"/>
      <c r="Z5" s="4" t="s">
        <v>10</v>
      </c>
      <c r="AA5" s="3" t="s">
        <v>4</v>
      </c>
      <c r="AB5" s="4" t="s">
        <v>12</v>
      </c>
      <c r="AC5" s="4" t="s">
        <v>0</v>
      </c>
      <c r="AD5" s="3" t="s">
        <v>1</v>
      </c>
      <c r="AE5" s="3" t="s">
        <v>2</v>
      </c>
      <c r="AF5" s="4" t="s">
        <v>13</v>
      </c>
      <c r="AG5" s="4" t="s">
        <v>14</v>
      </c>
      <c r="AH5" s="4" t="s">
        <v>3172</v>
      </c>
    </row>
    <row r="6" spans="1:34" ht="49.95" customHeight="1" x14ac:dyDescent="0.3">
      <c r="A6" s="203" t="s">
        <v>15</v>
      </c>
      <c r="B6" s="1" t="s">
        <v>16</v>
      </c>
      <c r="C6" s="267" t="s">
        <v>17</v>
      </c>
      <c r="D6" s="1" t="s">
        <v>18</v>
      </c>
      <c r="E6" s="1" t="s">
        <v>18</v>
      </c>
      <c r="F6" s="1" t="s">
        <v>19</v>
      </c>
      <c r="G6" s="31">
        <v>1</v>
      </c>
      <c r="H6" s="14">
        <f>SUMIF(ENTRADAS71417[CÓDIGO],PRODUCTOS31316[[#This Row],[CÓDIGO]],ENTRADAS71417[CANTIDAD])</f>
        <v>8012</v>
      </c>
      <c r="I6" s="11">
        <f>SUMIF(SALIDAS111518[CÓDIGO],PRODUCTOS31316[[#This Row],[CÓDIGO]],SALIDAS111518[CANTIDAD])</f>
        <v>8012</v>
      </c>
      <c r="J6" s="6">
        <f>PRODUCTOS31316[[#This Row],[EXISTENCIAS]]+PRODUCTOS31316[[#This Row],[ENTRADAS]]-PRODUCTOS31316[[#This Row],[SALIDAS]]</f>
        <v>1</v>
      </c>
      <c r="L6" s="2" t="s">
        <v>3521</v>
      </c>
      <c r="M6" s="2" t="s">
        <v>3653</v>
      </c>
      <c r="N6" s="276" t="s">
        <v>3717</v>
      </c>
      <c r="O6" s="276" t="s">
        <v>3652</v>
      </c>
      <c r="P6" s="16">
        <v>45670</v>
      </c>
      <c r="Q6" s="276" t="s">
        <v>104</v>
      </c>
      <c r="R6" s="2">
        <f>VLOOKUP(SALIDAS111518[[#This Row],[CÓDIGO]],PRODUCTOS31316[],2,FALSE)</f>
        <v>0</v>
      </c>
      <c r="S6" s="1" t="str">
        <f>VLOOKUP(SALIDAS111518[[#This Row],[CÓDIGO]],PRODUCTOS31316[],3,FALSE)</f>
        <v>ISPERM CHIPS (500 TESTS PER BOX) PAQ. X 50 UND</v>
      </c>
      <c r="T6" s="2">
        <v>3</v>
      </c>
      <c r="U6" s="2"/>
      <c r="V6" s="229"/>
      <c r="W6" s="2"/>
      <c r="X6" s="2"/>
      <c r="Y6" s="7"/>
      <c r="Z6" s="2" t="s">
        <v>3738</v>
      </c>
      <c r="AA6" s="1" t="s">
        <v>3737</v>
      </c>
      <c r="AB6" s="16">
        <v>46035</v>
      </c>
      <c r="AC6" s="271" t="s">
        <v>2329</v>
      </c>
      <c r="AD6" s="1">
        <f>VLOOKUP(ENTRADAS71417[[#This Row],[CÓDIGO]],PRODUCTOS31316[],2,FALSE)</f>
        <v>1505</v>
      </c>
      <c r="AE6" s="1" t="str">
        <f>VLOOKUP(ENTRADAS71417[[#This Row],[CÓDIGO]],PRODUCTOS31316[],3,FALSE)</f>
        <v>SONDA PROVETSCAN WIFI SU-3/ INCLUYE: CARGADOR GENÉRICO 2A, ARNES GENÉRICO, MALETA SU-3A</v>
      </c>
      <c r="AF6" s="2">
        <v>1</v>
      </c>
      <c r="AG6" s="2"/>
      <c r="AH6" s="2"/>
    </row>
    <row r="7" spans="1:34" ht="49.95" customHeight="1" x14ac:dyDescent="0.3">
      <c r="A7" s="2" t="s">
        <v>22</v>
      </c>
      <c r="B7" s="1">
        <v>704330</v>
      </c>
      <c r="C7" s="106" t="s">
        <v>17</v>
      </c>
      <c r="D7" s="1" t="s">
        <v>23</v>
      </c>
      <c r="E7" s="1" t="s">
        <v>24</v>
      </c>
      <c r="F7" s="1" t="s">
        <v>19</v>
      </c>
      <c r="G7" s="2">
        <v>0</v>
      </c>
      <c r="H7" s="14">
        <f>SUMIF(ENTRADAS71417[CÓDIGO],PRODUCTOS31316[[#This Row],[CÓDIGO]],ENTRADAS71417[CANTIDAD])</f>
        <v>0</v>
      </c>
      <c r="I7" s="11">
        <f>SUMIF(SALIDAS111518[CÓDIGO],PRODUCTOS31316[[#This Row],[CÓDIGO]],SALIDAS111518[CANTIDAD])</f>
        <v>0</v>
      </c>
      <c r="J7" s="6">
        <f>PRODUCTOS31316[[#This Row],[EXISTENCIAS]]+PRODUCTOS31316[[#This Row],[ENTRADAS]]-PRODUCTOS31316[[#This Row],[SALIDAS]]</f>
        <v>0</v>
      </c>
      <c r="L7" s="2" t="s">
        <v>3521</v>
      </c>
      <c r="M7" s="2" t="s">
        <v>3653</v>
      </c>
      <c r="N7" s="276" t="s">
        <v>3718</v>
      </c>
      <c r="O7" s="1" t="s">
        <v>3654</v>
      </c>
      <c r="P7" s="16">
        <v>45670</v>
      </c>
      <c r="Q7" s="2" t="s">
        <v>2435</v>
      </c>
      <c r="R7" s="2">
        <f>VLOOKUP(SALIDAS111518[[#This Row],[CÓDIGO]],PRODUCTOS31316[],2,FALSE)</f>
        <v>9018121000</v>
      </c>
      <c r="S7" s="1" t="str">
        <f>VLOOKUP(SALIDAS111518[[#This Row],[CÓDIGO]],PRODUCTOS31316[],3,FALSE)</f>
        <v>ECÓGRAFO S0- VET</v>
      </c>
      <c r="T7" s="2">
        <v>1</v>
      </c>
      <c r="U7" s="2">
        <v>6</v>
      </c>
      <c r="V7" s="2"/>
      <c r="W7" s="2"/>
      <c r="X7" s="2"/>
      <c r="Y7" s="7"/>
      <c r="Z7" s="2" t="s">
        <v>3739</v>
      </c>
      <c r="AA7" s="1" t="s">
        <v>3740</v>
      </c>
      <c r="AB7" s="16">
        <v>46035</v>
      </c>
      <c r="AC7" s="276" t="s">
        <v>210</v>
      </c>
      <c r="AD7" s="1">
        <f>VLOOKUP(ENTRADAS71417[[#This Row],[CÓDIGO]],PRODUCTOS31316[],2,FALSE)</f>
        <v>101257</v>
      </c>
      <c r="AE7" s="1" t="str">
        <f>VLOOKUP(ENTRADAS71417[[#This Row],[CÓDIGO]],PRODUCTOS31316[],3,FALSE)</f>
        <v>MANGA DESECHABLE SUPER SENSITIVA</v>
      </c>
      <c r="AF7" s="2">
        <v>60</v>
      </c>
      <c r="AG7" s="2"/>
      <c r="AH7" s="2"/>
    </row>
    <row r="8" spans="1:34" ht="49.95" customHeight="1" x14ac:dyDescent="0.3">
      <c r="A8" s="203" t="s">
        <v>27</v>
      </c>
      <c r="B8" s="1" t="s">
        <v>28</v>
      </c>
      <c r="C8" s="216" t="s">
        <v>29</v>
      </c>
      <c r="D8" s="1" t="s">
        <v>18</v>
      </c>
      <c r="E8" s="1" t="s">
        <v>18</v>
      </c>
      <c r="F8" s="1" t="s">
        <v>30</v>
      </c>
      <c r="G8" s="2">
        <v>0</v>
      </c>
      <c r="H8" s="14">
        <f>SUMIF(ENTRADAS71417[CÓDIGO],PRODUCTOS31316[[#This Row],[CÓDIGO]],ENTRADAS71417[CANTIDAD])</f>
        <v>30</v>
      </c>
      <c r="I8" s="11">
        <f>SUMIF(SALIDAS111518[CÓDIGO],PRODUCTOS31316[[#This Row],[CÓDIGO]],SALIDAS111518[CANTIDAD])</f>
        <v>18</v>
      </c>
      <c r="J8" s="6">
        <f>PRODUCTOS31316[[#This Row],[EXISTENCIAS]]+PRODUCTOS31316[[#This Row],[ENTRADAS]]-PRODUCTOS31316[[#This Row],[SALIDAS]]</f>
        <v>12</v>
      </c>
      <c r="L8" s="2"/>
      <c r="M8" s="2"/>
      <c r="N8" s="2">
        <v>7692</v>
      </c>
      <c r="O8" s="1" t="s">
        <v>3654</v>
      </c>
      <c r="P8" s="16">
        <v>45670</v>
      </c>
      <c r="Q8" s="276" t="s">
        <v>25</v>
      </c>
      <c r="R8" s="2">
        <f>VLOOKUP(SALIDAS111518[[#This Row],[CÓDIGO]],PRODUCTOS31316[],2,FALSE)</f>
        <v>0</v>
      </c>
      <c r="S8" s="1" t="str">
        <f>VLOOKUP(SALIDAS111518[[#This Row],[CÓDIGO]],PRODUCTOS31316[],3,FALSE)</f>
        <v>BOLSA TELA MAS CAMPO</v>
      </c>
      <c r="T8" s="2">
        <v>1</v>
      </c>
      <c r="U8" s="2"/>
      <c r="V8" s="2"/>
      <c r="W8" s="2"/>
      <c r="X8" s="2"/>
      <c r="Y8" s="7"/>
      <c r="Z8" s="2" t="s">
        <v>3725</v>
      </c>
      <c r="AA8" s="1" t="s">
        <v>2363</v>
      </c>
      <c r="AB8" s="16">
        <v>46036</v>
      </c>
      <c r="AC8" s="2" t="s">
        <v>658</v>
      </c>
      <c r="AD8" s="1">
        <f>VLOOKUP(ENTRADAS71417[[#This Row],[CÓDIGO]],PRODUCTOS31316[],2,FALSE)</f>
        <v>0</v>
      </c>
      <c r="AE8" s="1" t="str">
        <f>VLOOKUP(ENTRADAS71417[[#This Row],[CÓDIGO]],PRODUCTOS31316[],3,FALSE)</f>
        <v>CATETER TALADRO TRANSPARENTE 18"</v>
      </c>
      <c r="AF8" s="2">
        <v>50</v>
      </c>
      <c r="AG8" s="2"/>
      <c r="AH8" s="2"/>
    </row>
    <row r="9" spans="1:34" ht="49.95" customHeight="1" x14ac:dyDescent="0.3">
      <c r="A9" s="203" t="s">
        <v>33</v>
      </c>
      <c r="B9" s="1" t="s">
        <v>34</v>
      </c>
      <c r="C9" s="216" t="s">
        <v>35</v>
      </c>
      <c r="D9" s="1" t="s">
        <v>18</v>
      </c>
      <c r="E9" s="1" t="s">
        <v>18</v>
      </c>
      <c r="F9" s="1" t="s">
        <v>30</v>
      </c>
      <c r="G9" s="31">
        <f>24+16</f>
        <v>40</v>
      </c>
      <c r="H9" s="14">
        <f>SUMIF(ENTRADAS71417[CÓDIGO],PRODUCTOS31316[[#This Row],[CÓDIGO]],ENTRADAS71417[CANTIDAD])</f>
        <v>700</v>
      </c>
      <c r="I9" s="11">
        <f>SUMIF(SALIDAS111518[CÓDIGO],PRODUCTOS31316[[#This Row],[CÓDIGO]],SALIDAS111518[CANTIDAD])</f>
        <v>520</v>
      </c>
      <c r="J9" s="6">
        <f>PRODUCTOS31316[[#This Row],[EXISTENCIAS]]+PRODUCTOS31316[[#This Row],[ENTRADAS]]-PRODUCTOS31316[[#This Row],[SALIDAS]]</f>
        <v>220</v>
      </c>
      <c r="L9" s="2" t="s">
        <v>3520</v>
      </c>
      <c r="M9" s="2" t="s">
        <v>3653</v>
      </c>
      <c r="N9" s="276" t="s">
        <v>3782</v>
      </c>
      <c r="O9" s="2" t="s">
        <v>2791</v>
      </c>
      <c r="P9" s="16">
        <v>45670</v>
      </c>
      <c r="Q9" s="2" t="s">
        <v>36</v>
      </c>
      <c r="R9" s="2">
        <f>VLOOKUP(SALIDAS111518[[#This Row],[CÓDIGO]],PRODUCTOS31316[],2,FALSE)</f>
        <v>1</v>
      </c>
      <c r="S9" s="1" t="str">
        <f>VLOOKUP(SALIDAS111518[[#This Row],[CÓDIGO]],PRODUCTOS31316[],3,FALSE)</f>
        <v xml:space="preserve">PARCHE ESTROTECT </v>
      </c>
      <c r="T9" s="2">
        <v>1</v>
      </c>
      <c r="U9" s="2">
        <v>40</v>
      </c>
      <c r="V9" s="276"/>
      <c r="W9" s="2"/>
      <c r="X9" s="2"/>
      <c r="Y9" s="7"/>
      <c r="Z9" s="2" t="s">
        <v>3734</v>
      </c>
      <c r="AA9" s="1" t="s">
        <v>3735</v>
      </c>
      <c r="AB9" s="16">
        <v>46036</v>
      </c>
      <c r="AC9" s="2" t="s">
        <v>167</v>
      </c>
      <c r="AD9" s="1" t="str">
        <f>VLOOKUP(ENTRADAS71417[[#This Row],[CÓDIGO]],PRODUCTOS31316[],2,FALSE)</f>
        <v>50050-1</v>
      </c>
      <c r="AE9" s="1" t="str">
        <f>VLOOKUP(ENTRADAS71417[[#This Row],[CÓDIGO]],PRODUCTOS31316[],3,FALSE)</f>
        <v>TUBO CONICO PLUG, AUTOCLAVABLE ESTERIL  TAPA ROSCA DE 50 ML</v>
      </c>
      <c r="AF9" s="2">
        <v>160</v>
      </c>
      <c r="AG9" s="2"/>
      <c r="AH9" s="2"/>
    </row>
    <row r="10" spans="1:34" ht="49.95" customHeight="1" x14ac:dyDescent="0.3">
      <c r="A10" s="2" t="s">
        <v>38</v>
      </c>
      <c r="B10" s="1" t="s">
        <v>39</v>
      </c>
      <c r="C10" s="1" t="s">
        <v>40</v>
      </c>
      <c r="D10" s="1" t="s">
        <v>18</v>
      </c>
      <c r="E10" s="1" t="s">
        <v>18</v>
      </c>
      <c r="F10" s="1" t="s">
        <v>41</v>
      </c>
      <c r="G10" s="2">
        <v>0</v>
      </c>
      <c r="H10" s="14">
        <f>SUMIF(ENTRADAS71417[CÓDIGO],PRODUCTOS31316[[#This Row],[CÓDIGO]],ENTRADAS71417[CANTIDAD])</f>
        <v>0</v>
      </c>
      <c r="I10" s="11">
        <f>SUMIF(SALIDAS111518[CÓDIGO],PRODUCTOS31316[[#This Row],[CÓDIGO]],SALIDAS111518[CANTIDAD])</f>
        <v>0</v>
      </c>
      <c r="J10" s="6">
        <f>PRODUCTOS31316[[#This Row],[EXISTENCIAS]]+PRODUCTOS31316[[#This Row],[ENTRADAS]]-PRODUCTOS31316[[#This Row],[SALIDAS]]</f>
        <v>0</v>
      </c>
      <c r="L10" s="2" t="s">
        <v>3520</v>
      </c>
      <c r="M10" s="2" t="s">
        <v>3653</v>
      </c>
      <c r="N10" s="276" t="s">
        <v>3783</v>
      </c>
      <c r="O10" s="2" t="s">
        <v>3114</v>
      </c>
      <c r="P10" s="16">
        <v>45670</v>
      </c>
      <c r="Q10" s="2" t="s">
        <v>36</v>
      </c>
      <c r="R10" s="2">
        <f>VLOOKUP(SALIDAS111518[[#This Row],[CÓDIGO]],PRODUCTOS31316[],2,FALSE)</f>
        <v>1</v>
      </c>
      <c r="S10" s="1" t="str">
        <f>VLOOKUP(SALIDAS111518[[#This Row],[CÓDIGO]],PRODUCTOS31316[],3,FALSE)</f>
        <v xml:space="preserve">PARCHE ESTROTECT </v>
      </c>
      <c r="T10" s="2">
        <v>1</v>
      </c>
      <c r="U10" s="2">
        <v>41</v>
      </c>
      <c r="V10" s="2"/>
      <c r="W10" s="2"/>
      <c r="X10" s="2"/>
      <c r="Y10" s="7"/>
      <c r="Z10" s="2" t="s">
        <v>3736</v>
      </c>
      <c r="AA10" s="1" t="s">
        <v>2778</v>
      </c>
      <c r="AB10" s="16">
        <v>46036</v>
      </c>
      <c r="AC10" s="2" t="s">
        <v>714</v>
      </c>
      <c r="AD10" s="1" t="str">
        <f>VLOOKUP(ENTRADAS71417[[#This Row],[CÓDIGO]],PRODUCTOS31316[],2,FALSE)</f>
        <v>S1</v>
      </c>
      <c r="AE10" s="1" t="str">
        <f>VLOOKUP(ENTRADAS71417[[#This Row],[CÓDIGO]],PRODUCTOS31316[],3,FALSE)</f>
        <v>ECÓGRAFO PORTATIL S1, PROBE RECTAL  Y PROTECTOR SOLAR</v>
      </c>
      <c r="AF10" s="2">
        <v>6</v>
      </c>
      <c r="AG10" s="2"/>
      <c r="AH10" s="2"/>
    </row>
    <row r="11" spans="1:34" ht="49.95" customHeight="1" x14ac:dyDescent="0.3">
      <c r="A11" s="2" t="s">
        <v>44</v>
      </c>
      <c r="B11" s="1" t="s">
        <v>45</v>
      </c>
      <c r="C11" s="133" t="s">
        <v>46</v>
      </c>
      <c r="D11" s="1" t="s">
        <v>18</v>
      </c>
      <c r="E11" s="1" t="s">
        <v>18</v>
      </c>
      <c r="F11" s="1" t="s">
        <v>30</v>
      </c>
      <c r="G11" s="2">
        <v>1</v>
      </c>
      <c r="H11" s="14">
        <f>SUMIF(ENTRADAS71417[CÓDIGO],PRODUCTOS31316[[#This Row],[CÓDIGO]],ENTRADAS71417[CANTIDAD])</f>
        <v>6</v>
      </c>
      <c r="I11" s="11">
        <f>SUMIF(SALIDAS111518[CÓDIGO],PRODUCTOS31316[[#This Row],[CÓDIGO]],SALIDAS111518[CANTIDAD])</f>
        <v>3</v>
      </c>
      <c r="J11" s="6">
        <f>PRODUCTOS31316[[#This Row],[EXISTENCIAS]]+PRODUCTOS31316[[#This Row],[ENTRADAS]]-PRODUCTOS31316[[#This Row],[SALIDAS]]</f>
        <v>4</v>
      </c>
      <c r="L11" s="2" t="s">
        <v>3521</v>
      </c>
      <c r="M11" s="2" t="s">
        <v>3653</v>
      </c>
      <c r="N11" s="276" t="s">
        <v>3721</v>
      </c>
      <c r="O11" s="2" t="s">
        <v>3655</v>
      </c>
      <c r="P11" s="16">
        <v>45670</v>
      </c>
      <c r="Q11" s="2" t="s">
        <v>2407</v>
      </c>
      <c r="R11" s="2" t="str">
        <f>VLOOKUP(SALIDAS111518[[#This Row],[CÓDIGO]],PRODUCTOS31316[],2,FALSE)</f>
        <v>V1</v>
      </c>
      <c r="S11" s="1" t="str">
        <f>VLOOKUP(SALIDAS111518[[#This Row],[CÓDIGO]],PRODUCTOS31316[],3,FALSE)</f>
        <v xml:space="preserve">        V1 KAIXIN ECOGRAFO PORTATL</v>
      </c>
      <c r="T11" s="2">
        <v>1</v>
      </c>
      <c r="U11" s="2">
        <v>39</v>
      </c>
      <c r="V11" s="2"/>
      <c r="W11" s="2"/>
      <c r="X11" s="2"/>
      <c r="Y11" s="7"/>
      <c r="Z11" s="2" t="s">
        <v>3736</v>
      </c>
      <c r="AA11" s="1" t="s">
        <v>2778</v>
      </c>
      <c r="AB11" s="16">
        <v>46036</v>
      </c>
      <c r="AC11" s="276" t="s">
        <v>2433</v>
      </c>
      <c r="AD11" s="1">
        <f>VLOOKUP(ENTRADAS71417[[#This Row],[CÓDIGO]],PRODUCTOS31316[],2,FALSE)</f>
        <v>0</v>
      </c>
      <c r="AE11" s="1" t="str">
        <f>VLOOKUP(ENTRADAS71417[[#This Row],[CÓDIGO]],PRODUCTOS31316[],3,FALSE)</f>
        <v>SONDA LINEAL RECTAL DAWEI</v>
      </c>
      <c r="AF11" s="2">
        <v>3</v>
      </c>
      <c r="AG11" s="2"/>
      <c r="AH11" s="2"/>
    </row>
    <row r="12" spans="1:34" ht="49.95" customHeight="1" x14ac:dyDescent="0.3">
      <c r="A12" s="2" t="s">
        <v>49</v>
      </c>
      <c r="B12" s="1" t="s">
        <v>50</v>
      </c>
      <c r="C12" s="1" t="s">
        <v>51</v>
      </c>
      <c r="D12" s="1" t="s">
        <v>18</v>
      </c>
      <c r="E12" s="1" t="s">
        <v>18</v>
      </c>
      <c r="F12" s="1" t="s">
        <v>30</v>
      </c>
      <c r="G12" s="2">
        <v>0</v>
      </c>
      <c r="H12" s="14">
        <f>SUMIF(ENTRADAS71417[CÓDIGO],PRODUCTOS31316[[#This Row],[CÓDIGO]],ENTRADAS71417[CANTIDAD])</f>
        <v>0</v>
      </c>
      <c r="I12" s="11">
        <f>SUMIF(SALIDAS111518[CÓDIGO],PRODUCTOS31316[[#This Row],[CÓDIGO]],SALIDAS111518[CANTIDAD])</f>
        <v>0</v>
      </c>
      <c r="J12" s="6">
        <f>PRODUCTOS31316[[#This Row],[EXISTENCIAS]]+PRODUCTOS31316[[#This Row],[ENTRADAS]]-PRODUCTOS31316[[#This Row],[SALIDAS]]</f>
        <v>0</v>
      </c>
      <c r="L12" s="2"/>
      <c r="M12" s="2"/>
      <c r="N12" s="2">
        <v>7694</v>
      </c>
      <c r="O12" s="2" t="s">
        <v>3655</v>
      </c>
      <c r="P12" s="16">
        <v>45670</v>
      </c>
      <c r="Q12" s="2" t="s">
        <v>2888</v>
      </c>
      <c r="R12" s="2" t="str">
        <f>VLOOKUP(SALIDAS111518[[#This Row],[CÓDIGO]],PRODUCTOS31316[],2,FALSE)</f>
        <v>HC-R069A</v>
      </c>
      <c r="S12" s="1" t="str">
        <f>VLOOKUP(SALIDAS111518[[#This Row],[CÓDIGO]],PRODUCTOS31316[],3,FALSE)</f>
        <v>MICROSCOPIO BINOCULAR CON PLATINA Y PANTALLA 7"</v>
      </c>
      <c r="T12" s="2">
        <v>1</v>
      </c>
      <c r="U12" s="2"/>
      <c r="V12" s="2"/>
      <c r="W12" s="2"/>
      <c r="X12" s="2"/>
      <c r="Y12" s="7"/>
      <c r="Z12" s="2" t="s">
        <v>3736</v>
      </c>
      <c r="AA12" s="1" t="s">
        <v>2778</v>
      </c>
      <c r="AB12" s="16">
        <v>46036</v>
      </c>
      <c r="AC12" s="276" t="s">
        <v>3752</v>
      </c>
      <c r="AD12" s="1">
        <f>VLOOKUP(ENTRADAS71417[[#This Row],[CÓDIGO]],PRODUCTOS31316[],2,FALSE)</f>
        <v>0</v>
      </c>
      <c r="AE12" s="1" t="str">
        <f>VLOOKUP(ENTRADAS71417[[#This Row],[CÓDIGO]],PRODUCTOS31316[],3,FALSE)</f>
        <v>SONDA CONVEXA ECOGRAFO S1 DAWEI</v>
      </c>
      <c r="AF12" s="2">
        <v>1</v>
      </c>
      <c r="AG12" s="276"/>
      <c r="AH12" s="2"/>
    </row>
    <row r="13" spans="1:34" ht="49.95" customHeight="1" x14ac:dyDescent="0.3">
      <c r="A13" s="2" t="s">
        <v>54</v>
      </c>
      <c r="B13" s="1" t="s">
        <v>55</v>
      </c>
      <c r="C13" s="1" t="s">
        <v>56</v>
      </c>
      <c r="D13" s="1" t="s">
        <v>18</v>
      </c>
      <c r="E13" s="1" t="s">
        <v>18</v>
      </c>
      <c r="F13" s="1" t="s">
        <v>30</v>
      </c>
      <c r="G13" s="2">
        <v>0</v>
      </c>
      <c r="H13" s="14">
        <f>SUMIF(ENTRADAS71417[CÓDIGO],PRODUCTOS31316[[#This Row],[CÓDIGO]],ENTRADAS71417[CANTIDAD])</f>
        <v>0</v>
      </c>
      <c r="I13" s="11">
        <f>SUMIF(SALIDAS111518[CÓDIGO],PRODUCTOS31316[[#This Row],[CÓDIGO]],SALIDAS111518[CANTIDAD])</f>
        <v>0</v>
      </c>
      <c r="J13" s="6">
        <f>PRODUCTOS31316[[#This Row],[EXISTENCIAS]]+PRODUCTOS31316[[#This Row],[ENTRADAS]]-PRODUCTOS31316[[#This Row],[SALIDAS]]</f>
        <v>0</v>
      </c>
      <c r="L13" s="2"/>
      <c r="M13" s="2"/>
      <c r="N13" s="2">
        <v>7694</v>
      </c>
      <c r="O13" s="2" t="s">
        <v>3655</v>
      </c>
      <c r="P13" s="16">
        <v>45670</v>
      </c>
      <c r="Q13" s="276" t="s">
        <v>3095</v>
      </c>
      <c r="R13" s="2">
        <f>VLOOKUP(SALIDAS111518[[#This Row],[CÓDIGO]],PRODUCTOS31316[],2,FALSE)</f>
        <v>0</v>
      </c>
      <c r="S13" s="1" t="str">
        <f>VLOOKUP(SALIDAS111518[[#This Row],[CÓDIGO]],PRODUCTOS31316[],3,FALSE)</f>
        <v>GORRA MAS CAMPO</v>
      </c>
      <c r="T13" s="2">
        <v>1</v>
      </c>
      <c r="U13" s="2"/>
      <c r="V13" s="2"/>
      <c r="W13" s="2"/>
      <c r="X13" s="2"/>
      <c r="Y13" s="7"/>
      <c r="Z13" s="2" t="s">
        <v>3742</v>
      </c>
      <c r="AA13" s="1" t="s">
        <v>3741</v>
      </c>
      <c r="AB13" s="16">
        <v>46036</v>
      </c>
      <c r="AC13" s="2" t="s">
        <v>1779</v>
      </c>
      <c r="AD13" s="1">
        <f>VLOOKUP(ENTRADAS71417[[#This Row],[CÓDIGO]],PRODUCTOS31316[],2,FALSE)</f>
        <v>5563</v>
      </c>
      <c r="AE13" s="1" t="str">
        <f>VLOOKUP(ENTRADAS71417[[#This Row],[CÓDIGO]],PRODUCTOS31316[],3,FALSE)</f>
        <v>CAMISA SANITARIA ROLLO X 80</v>
      </c>
      <c r="AF13" s="2">
        <v>520</v>
      </c>
      <c r="AG13" s="2"/>
      <c r="AH13" s="2"/>
    </row>
    <row r="14" spans="1:34" ht="49.95" customHeight="1" x14ac:dyDescent="0.3">
      <c r="A14" s="2" t="s">
        <v>58</v>
      </c>
      <c r="B14" s="1" t="s">
        <v>59</v>
      </c>
      <c r="C14" s="216" t="s">
        <v>60</v>
      </c>
      <c r="D14" s="1" t="s">
        <v>61</v>
      </c>
      <c r="E14" s="1" t="s">
        <v>18</v>
      </c>
      <c r="F14" s="1" t="s">
        <v>62</v>
      </c>
      <c r="G14" s="2">
        <v>24</v>
      </c>
      <c r="H14" s="14">
        <f>SUMIF(ENTRADAS71417[CÓDIGO],PRODUCTOS31316[[#This Row],[CÓDIGO]],ENTRADAS71417[CANTIDAD])</f>
        <v>45</v>
      </c>
      <c r="I14" s="11">
        <f>SUMIF(SALIDAS111518[CÓDIGO],PRODUCTOS31316[[#This Row],[CÓDIGO]],SALIDAS111518[CANTIDAD])</f>
        <v>41</v>
      </c>
      <c r="J14" s="6">
        <f>PRODUCTOS31316[[#This Row],[EXISTENCIAS]]+PRODUCTOS31316[[#This Row],[ENTRADAS]]-PRODUCTOS31316[[#This Row],[SALIDAS]]</f>
        <v>28</v>
      </c>
      <c r="L14" s="2" t="s">
        <v>3521</v>
      </c>
      <c r="M14" s="2" t="s">
        <v>3653</v>
      </c>
      <c r="N14" s="276" t="s">
        <v>3658</v>
      </c>
      <c r="O14" s="2" t="s">
        <v>3640</v>
      </c>
      <c r="P14" s="16">
        <v>45670</v>
      </c>
      <c r="Q14" s="2" t="s">
        <v>2329</v>
      </c>
      <c r="R14" s="2">
        <f>VLOOKUP(SALIDAS111518[[#This Row],[CÓDIGO]],PRODUCTOS31316[],2,FALSE)</f>
        <v>1505</v>
      </c>
      <c r="S14" s="1" t="str">
        <f>VLOOKUP(SALIDAS111518[[#This Row],[CÓDIGO]],PRODUCTOS31316[],3,FALSE)</f>
        <v>SONDA PROVETSCAN WIFI SU-3/ INCLUYE: CARGADOR GENÉRICO 2A, ARNES GENÉRICO, MALETA SU-3A</v>
      </c>
      <c r="T14" s="2">
        <v>1</v>
      </c>
      <c r="U14" s="2">
        <v>10</v>
      </c>
      <c r="V14" s="2"/>
      <c r="W14" s="2"/>
      <c r="X14" s="2"/>
      <c r="Y14" s="7"/>
      <c r="Z14" s="2" t="s">
        <v>3742</v>
      </c>
      <c r="AA14" s="1" t="s">
        <v>3741</v>
      </c>
      <c r="AB14" s="16">
        <v>46036</v>
      </c>
      <c r="AC14" s="2" t="s">
        <v>2251</v>
      </c>
      <c r="AD14" s="1">
        <f>VLOOKUP(ENTRADAS71417[[#This Row],[CÓDIGO]],PRODUCTOS31316[],2,FALSE)</f>
        <v>7240</v>
      </c>
      <c r="AE14" s="1" t="str">
        <f>VLOOKUP(ENTRADAS71417[[#This Row],[CÓDIGO]],PRODUCTOS31316[],3,FALSE)</f>
        <v>PISTOLA DE TE 0,25 MARCA IMV</v>
      </c>
      <c r="AF14" s="2">
        <v>15</v>
      </c>
      <c r="AG14" s="2"/>
      <c r="AH14" s="2"/>
    </row>
    <row r="15" spans="1:34" ht="49.95" customHeight="1" x14ac:dyDescent="0.3">
      <c r="A15" s="2" t="s">
        <v>64</v>
      </c>
      <c r="B15" s="1" t="s">
        <v>65</v>
      </c>
      <c r="C15" s="1" t="s">
        <v>66</v>
      </c>
      <c r="D15" s="1" t="s">
        <v>67</v>
      </c>
      <c r="E15" s="1" t="s">
        <v>24</v>
      </c>
      <c r="F15" s="1" t="s">
        <v>68</v>
      </c>
      <c r="G15" s="2">
        <v>0</v>
      </c>
      <c r="H15" s="14">
        <f>SUMIF(ENTRADAS71417[CÓDIGO],PRODUCTOS31316[[#This Row],[CÓDIGO]],ENTRADAS71417[CANTIDAD])</f>
        <v>0</v>
      </c>
      <c r="I15" s="11">
        <f>SUMIF(SALIDAS111518[CÓDIGO],PRODUCTOS31316[[#This Row],[CÓDIGO]],SALIDAS111518[CANTIDAD])</f>
        <v>0</v>
      </c>
      <c r="J15" s="6">
        <f>PRODUCTOS31316[[#This Row],[EXISTENCIAS]]+PRODUCTOS31316[[#This Row],[ENTRADAS]]-PRODUCTOS31316[[#This Row],[SALIDAS]]</f>
        <v>0</v>
      </c>
      <c r="L15" s="2"/>
      <c r="M15" s="2"/>
      <c r="N15" s="2">
        <v>7690</v>
      </c>
      <c r="O15" s="2" t="s">
        <v>3640</v>
      </c>
      <c r="P15" s="16">
        <v>45670</v>
      </c>
      <c r="Q15" s="276" t="s">
        <v>3095</v>
      </c>
      <c r="R15" s="2">
        <f>VLOOKUP(SALIDAS111518[[#This Row],[CÓDIGO]],PRODUCTOS31316[],2,FALSE)</f>
        <v>0</v>
      </c>
      <c r="S15" s="1" t="str">
        <f>VLOOKUP(SALIDAS111518[[#This Row],[CÓDIGO]],PRODUCTOS31316[],3,FALSE)</f>
        <v>GORRA MAS CAMPO</v>
      </c>
      <c r="T15" s="2">
        <v>1</v>
      </c>
      <c r="U15" s="2"/>
      <c r="V15" s="2"/>
      <c r="W15" s="2"/>
      <c r="X15" s="2"/>
      <c r="Y15" s="7"/>
      <c r="Z15" s="2" t="s">
        <v>3742</v>
      </c>
      <c r="AA15" s="1" t="s">
        <v>3741</v>
      </c>
      <c r="AB15" s="16">
        <v>46036</v>
      </c>
      <c r="AC15" s="2" t="s">
        <v>2252</v>
      </c>
      <c r="AD15" s="1">
        <f>VLOOKUP(ENTRADAS71417[[#This Row],[CÓDIGO]],PRODUCTOS31316[],2,FALSE)</f>
        <v>24857</v>
      </c>
      <c r="AE15" s="1" t="str">
        <f>VLOOKUP(ENTRADAS71417[[#This Row],[CÓDIGO]],PRODUCTOS31316[],3,FALSE)</f>
        <v>PISTOLA DE TE 0,5 / MARCA IMV</v>
      </c>
      <c r="AF15" s="2">
        <v>2</v>
      </c>
      <c r="AG15" s="2"/>
      <c r="AH15" s="2"/>
    </row>
    <row r="16" spans="1:34" ht="49.95" customHeight="1" x14ac:dyDescent="0.3">
      <c r="A16" s="2" t="s">
        <v>71</v>
      </c>
      <c r="B16" s="1">
        <v>338000</v>
      </c>
      <c r="C16" s="1" t="s">
        <v>72</v>
      </c>
      <c r="D16" s="1" t="s">
        <v>73</v>
      </c>
      <c r="E16" s="1" t="s">
        <v>24</v>
      </c>
      <c r="F16" s="1" t="s">
        <v>74</v>
      </c>
      <c r="G16" s="2">
        <v>0</v>
      </c>
      <c r="H16" s="14">
        <f>SUMIF(ENTRADAS71417[CÓDIGO],PRODUCTOS31316[[#This Row],[CÓDIGO]],ENTRADAS71417[CANTIDAD])</f>
        <v>0</v>
      </c>
      <c r="I16" s="11">
        <f>SUMIF(SALIDAS111518[CÓDIGO],PRODUCTOS31316[[#This Row],[CÓDIGO]],SALIDAS111518[CANTIDAD])</f>
        <v>0</v>
      </c>
      <c r="J16" s="6">
        <f>PRODUCTOS31316[[#This Row],[EXISTENCIAS]]+PRODUCTOS31316[[#This Row],[ENTRADAS]]-PRODUCTOS31316[[#This Row],[SALIDAS]]</f>
        <v>0</v>
      </c>
      <c r="L16" s="2"/>
      <c r="M16" s="2"/>
      <c r="N16" s="2">
        <v>7690</v>
      </c>
      <c r="O16" s="319" t="s">
        <v>3640</v>
      </c>
      <c r="P16" s="16">
        <v>45670</v>
      </c>
      <c r="Q16" s="276" t="s">
        <v>3645</v>
      </c>
      <c r="R16" s="2">
        <f>VLOOKUP(SALIDAS111518[[#This Row],[CÓDIGO]],PRODUCTOS31316[],2,FALSE)</f>
        <v>0</v>
      </c>
      <c r="S16" s="1" t="str">
        <f>VLOOKUP(SALIDAS111518[[#This Row],[CÓDIGO]],PRODUCTOS31316[],3,FALSE)</f>
        <v>AGENDA MAS CAMPO</v>
      </c>
      <c r="T16" s="2">
        <v>1</v>
      </c>
      <c r="U16" s="2"/>
      <c r="V16" s="2"/>
      <c r="W16" s="2"/>
      <c r="X16" s="2"/>
      <c r="Y16" s="7"/>
      <c r="Z16" s="2" t="s">
        <v>3742</v>
      </c>
      <c r="AA16" s="1" t="s">
        <v>3741</v>
      </c>
      <c r="AB16" s="16">
        <v>46036</v>
      </c>
      <c r="AC16" s="2" t="s">
        <v>2253</v>
      </c>
      <c r="AD16" s="1">
        <f>VLOOKUP(ENTRADAS71417[[#This Row],[CÓDIGO]],PRODUCTOS31316[],2,FALSE)</f>
        <v>26218</v>
      </c>
      <c r="AE16" s="1" t="str">
        <f>VLOOKUP(ENTRADAS71417[[#This Row],[CÓDIGO]],PRODUCTOS31316[],3,FALSE)</f>
        <v>OPTIXCELL 250 ML</v>
      </c>
      <c r="AF16" s="2">
        <v>15</v>
      </c>
      <c r="AG16" s="2"/>
      <c r="AH16" s="2"/>
    </row>
    <row r="17" spans="1:34" ht="49.95" customHeight="1" x14ac:dyDescent="0.3">
      <c r="A17" s="2" t="s">
        <v>76</v>
      </c>
      <c r="B17" s="1">
        <v>22009</v>
      </c>
      <c r="C17" s="1" t="s">
        <v>77</v>
      </c>
      <c r="D17" s="1" t="s">
        <v>78</v>
      </c>
      <c r="E17" s="1" t="s">
        <v>24</v>
      </c>
      <c r="F17" s="1" t="s">
        <v>30</v>
      </c>
      <c r="G17" s="2">
        <v>0</v>
      </c>
      <c r="H17" s="14">
        <f>SUMIF(ENTRADAS71417[CÓDIGO],PRODUCTOS31316[[#This Row],[CÓDIGO]],ENTRADAS71417[CANTIDAD])</f>
        <v>0</v>
      </c>
      <c r="I17" s="11">
        <f>SUMIF(SALIDAS111518[CÓDIGO],PRODUCTOS31316[[#This Row],[CÓDIGO]],SALIDAS111518[CANTIDAD])</f>
        <v>0</v>
      </c>
      <c r="J17" s="6">
        <f>PRODUCTOS31316[[#This Row],[EXISTENCIAS]]+PRODUCTOS31316[[#This Row],[ENTRADAS]]-PRODUCTOS31316[[#This Row],[SALIDAS]]</f>
        <v>0</v>
      </c>
      <c r="L17" s="2" t="s">
        <v>3521</v>
      </c>
      <c r="M17" s="2" t="s">
        <v>3653</v>
      </c>
      <c r="N17" s="276" t="s">
        <v>3724</v>
      </c>
      <c r="O17" s="2" t="s">
        <v>3656</v>
      </c>
      <c r="P17" s="16">
        <v>45670</v>
      </c>
      <c r="Q17" s="2" t="s">
        <v>36</v>
      </c>
      <c r="R17" s="2">
        <f>VLOOKUP(SALIDAS111518[[#This Row],[CÓDIGO]],PRODUCTOS31316[],2,FALSE)</f>
        <v>1</v>
      </c>
      <c r="S17" s="1" t="str">
        <f>VLOOKUP(SALIDAS111518[[#This Row],[CÓDIGO]],PRODUCTOS31316[],3,FALSE)</f>
        <v xml:space="preserve">PARCHE ESTROTECT </v>
      </c>
      <c r="T17" s="2">
        <v>30</v>
      </c>
      <c r="U17" s="295" t="s">
        <v>4084</v>
      </c>
      <c r="V17" s="2"/>
      <c r="W17" s="2"/>
      <c r="X17" s="2"/>
      <c r="Y17" s="7"/>
      <c r="Z17" s="2" t="s">
        <v>3742</v>
      </c>
      <c r="AA17" s="1" t="s">
        <v>3741</v>
      </c>
      <c r="AB17" s="16">
        <v>46036</v>
      </c>
      <c r="AC17" s="2" t="s">
        <v>2254</v>
      </c>
      <c r="AD17" s="1">
        <f>VLOOKUP(ENTRADAS71417[[#This Row],[CÓDIGO]],PRODUCTOS31316[],2,FALSE)</f>
        <v>6935</v>
      </c>
      <c r="AE17" s="1" t="str">
        <f>VLOOKUP(ENTRADAS71417[[#This Row],[CÓDIGO]],PRODUCTOS31316[],3,FALSE)</f>
        <v>CUBETA PLÁSTICA MEDIANA PARA 0,50 P/25</v>
      </c>
      <c r="AF17" s="2">
        <v>3</v>
      </c>
      <c r="AG17" s="2"/>
      <c r="AH17" s="2"/>
    </row>
    <row r="18" spans="1:34" ht="49.95" customHeight="1" x14ac:dyDescent="0.3">
      <c r="A18" s="2" t="s">
        <v>81</v>
      </c>
      <c r="B18" s="1">
        <v>704133</v>
      </c>
      <c r="C18" s="1" t="s">
        <v>82</v>
      </c>
      <c r="D18" s="1" t="s">
        <v>83</v>
      </c>
      <c r="E18" s="1" t="s">
        <v>24</v>
      </c>
      <c r="F18" s="1" t="s">
        <v>30</v>
      </c>
      <c r="G18" s="2">
        <v>0</v>
      </c>
      <c r="H18" s="14">
        <f>SUMIF(ENTRADAS71417[CÓDIGO],PRODUCTOS31316[[#This Row],[CÓDIGO]],ENTRADAS71417[CANTIDAD])</f>
        <v>0</v>
      </c>
      <c r="I18" s="11">
        <f>SUMIF(SALIDAS111518[CÓDIGO],PRODUCTOS31316[[#This Row],[CÓDIGO]],SALIDAS111518[CANTIDAD])</f>
        <v>0</v>
      </c>
      <c r="J18" s="6">
        <f>PRODUCTOS31316[[#This Row],[EXISTENCIAS]]+PRODUCTOS31316[[#This Row],[ENTRADAS]]-PRODUCTOS31316[[#This Row],[SALIDAS]]</f>
        <v>0</v>
      </c>
      <c r="L18" s="2" t="s">
        <v>3520</v>
      </c>
      <c r="M18" s="2" t="s">
        <v>3653</v>
      </c>
      <c r="N18" s="2" t="s">
        <v>3722</v>
      </c>
      <c r="O18" s="2" t="s">
        <v>2384</v>
      </c>
      <c r="P18" s="16">
        <v>45670</v>
      </c>
      <c r="Q18" s="2" t="s">
        <v>167</v>
      </c>
      <c r="R18" s="2" t="str">
        <f>VLOOKUP(SALIDAS111518[[#This Row],[CÓDIGO]],PRODUCTOS31316[],2,FALSE)</f>
        <v>50050-1</v>
      </c>
      <c r="S18" s="1" t="str">
        <f>VLOOKUP(SALIDAS111518[[#This Row],[CÓDIGO]],PRODUCTOS31316[],3,FALSE)</f>
        <v>TUBO CONICO PLUG, AUTOCLAVABLE ESTERIL  TAPA ROSCA DE 50 ML</v>
      </c>
      <c r="T18" s="2">
        <v>2</v>
      </c>
      <c r="U18" s="2">
        <v>12</v>
      </c>
      <c r="V18" s="2"/>
      <c r="W18" s="2"/>
      <c r="X18" s="35"/>
      <c r="Y18" s="7"/>
      <c r="Z18" s="2" t="s">
        <v>3742</v>
      </c>
      <c r="AA18" s="1" t="s">
        <v>3741</v>
      </c>
      <c r="AB18" s="16">
        <v>46036</v>
      </c>
      <c r="AC18" s="2" t="s">
        <v>2401</v>
      </c>
      <c r="AD18" s="1">
        <f>VLOOKUP(ENTRADAS71417[[#This Row],[CÓDIGO]],PRODUCTOS31316[],2,FALSE)</f>
        <v>5540</v>
      </c>
      <c r="AE18" s="1" t="str">
        <f>VLOOKUP(ENTRADAS71417[[#This Row],[CÓDIGO]],PRODUCTOS31316[],3,FALSE)</f>
        <v xml:space="preserve">FUNDAS DE TRANSFERENCIA AZUL PUNTA METÁLICA 21"                 </v>
      </c>
      <c r="AF18" s="2">
        <v>140</v>
      </c>
      <c r="AG18" s="2"/>
      <c r="AH18" s="2"/>
    </row>
    <row r="19" spans="1:34" ht="49.95" customHeight="1" x14ac:dyDescent="0.3">
      <c r="A19" s="2" t="s">
        <v>86</v>
      </c>
      <c r="B19" s="1">
        <v>438912</v>
      </c>
      <c r="C19" s="1" t="s">
        <v>87</v>
      </c>
      <c r="D19" s="1" t="s">
        <v>88</v>
      </c>
      <c r="E19" s="1" t="s">
        <v>24</v>
      </c>
      <c r="F19" s="1" t="s">
        <v>30</v>
      </c>
      <c r="G19" s="2">
        <v>0</v>
      </c>
      <c r="H19" s="14">
        <f>SUMIF(ENTRADAS71417[CÓDIGO],PRODUCTOS31316[[#This Row],[CÓDIGO]],ENTRADAS71417[CANTIDAD])</f>
        <v>0</v>
      </c>
      <c r="I19" s="11">
        <f>SUMIF(SALIDAS111518[CÓDIGO],PRODUCTOS31316[[#This Row],[CÓDIGO]],SALIDAS111518[CANTIDAD])</f>
        <v>0</v>
      </c>
      <c r="J19" s="6">
        <f>PRODUCTOS31316[[#This Row],[EXISTENCIAS]]+PRODUCTOS31316[[#This Row],[ENTRADAS]]-PRODUCTOS31316[[#This Row],[SALIDAS]]</f>
        <v>0</v>
      </c>
      <c r="L19" s="2"/>
      <c r="M19" s="2"/>
      <c r="N19" s="2">
        <v>7695</v>
      </c>
      <c r="O19" s="2" t="s">
        <v>2384</v>
      </c>
      <c r="P19" s="16">
        <v>45670</v>
      </c>
      <c r="Q19" s="2" t="s">
        <v>33</v>
      </c>
      <c r="R19" s="2" t="str">
        <f>VLOOKUP(SALIDAS111518[[#This Row],[CÓDIGO]],PRODUCTOS31316[],2,FALSE)</f>
        <v>LA-120 /506003</v>
      </c>
      <c r="S19" s="1" t="str">
        <f>VLOOKUP(SALIDAS111518[[#This Row],[CÓDIGO]],PRODUCTOS31316[],3,FALSE)</f>
        <v>LíNEA PARA OPU 1,2 METROS</v>
      </c>
      <c r="T19" s="2">
        <v>2</v>
      </c>
      <c r="U19" s="2"/>
      <c r="V19" s="2"/>
      <c r="W19" s="2"/>
      <c r="X19" s="75"/>
      <c r="Y19" s="7"/>
      <c r="Z19" s="2" t="s">
        <v>3742</v>
      </c>
      <c r="AA19" s="1" t="s">
        <v>3741</v>
      </c>
      <c r="AB19" s="16">
        <v>46036</v>
      </c>
      <c r="AC19" s="2" t="s">
        <v>2402</v>
      </c>
      <c r="AD19" s="1">
        <f>VLOOKUP(ENTRADAS71417[[#This Row],[CÓDIGO]],PRODUCTOS31316[],2,FALSE)</f>
        <v>17532</v>
      </c>
      <c r="AE19" s="1" t="str">
        <f>VLOOKUP(ENTRADAS71417[[#This Row],[CÓDIGO]],PRODUCTOS31316[],3,FALSE)</f>
        <v xml:space="preserve"> FUNDAS DE TRANSFERENCAI DE 0,5 PARA EQUINOS        IMV
</v>
      </c>
      <c r="AF19" s="2">
        <v>120</v>
      </c>
      <c r="AG19" s="2"/>
      <c r="AH19" s="2"/>
    </row>
    <row r="20" spans="1:34" ht="49.95" customHeight="1" x14ac:dyDescent="0.3">
      <c r="A20" s="2" t="s">
        <v>90</v>
      </c>
      <c r="B20" s="1" t="s">
        <v>91</v>
      </c>
      <c r="C20" s="74" t="s">
        <v>92</v>
      </c>
      <c r="D20" s="1" t="s">
        <v>93</v>
      </c>
      <c r="E20" s="1" t="s">
        <v>24</v>
      </c>
      <c r="F20" s="1" t="s">
        <v>30</v>
      </c>
      <c r="G20" s="2">
        <v>0</v>
      </c>
      <c r="H20" s="14">
        <f>SUMIF(ENTRADAS71417[CÓDIGO],PRODUCTOS31316[[#This Row],[CÓDIGO]],ENTRADAS71417[CANTIDAD])</f>
        <v>0</v>
      </c>
      <c r="I20" s="11">
        <f>SUMIF(SALIDAS111518[CÓDIGO],PRODUCTOS31316[[#This Row],[CÓDIGO]],SALIDAS111518[CANTIDAD])</f>
        <v>0</v>
      </c>
      <c r="J20" s="6">
        <f>PRODUCTOS31316[[#This Row],[EXISTENCIAS]]+PRODUCTOS31316[[#This Row],[ENTRADAS]]-PRODUCTOS31316[[#This Row],[SALIDAS]]</f>
        <v>0</v>
      </c>
      <c r="L20" s="2" t="s">
        <v>3521</v>
      </c>
      <c r="M20" s="2" t="s">
        <v>3653</v>
      </c>
      <c r="N20" s="288" t="s">
        <v>3723</v>
      </c>
      <c r="O20" s="2" t="s">
        <v>3657</v>
      </c>
      <c r="P20" s="16">
        <v>45670</v>
      </c>
      <c r="Q20" s="2" t="s">
        <v>2812</v>
      </c>
      <c r="R20" s="2">
        <f>VLOOKUP(SALIDAS111518[[#This Row],[CÓDIGO]],PRODUCTOS31316[],2,FALSE)</f>
        <v>5417</v>
      </c>
      <c r="S20" s="1" t="str">
        <f>VLOOKUP(SALIDAS111518[[#This Row],[CÓDIGO]],PRODUCTOS31316[],3,FALSE)</f>
        <v>VAGINA ARTIFICIAL BOVINA</v>
      </c>
      <c r="T20" s="2">
        <v>1</v>
      </c>
      <c r="U20" s="2">
        <v>14</v>
      </c>
      <c r="V20" s="2"/>
      <c r="W20" s="288" t="s">
        <v>3412</v>
      </c>
      <c r="X20" s="2"/>
      <c r="Y20" s="7"/>
      <c r="Z20" s="2" t="s">
        <v>3742</v>
      </c>
      <c r="AA20" s="1" t="s">
        <v>3741</v>
      </c>
      <c r="AB20" s="16">
        <v>46036</v>
      </c>
      <c r="AC20" s="2" t="s">
        <v>3151</v>
      </c>
      <c r="AD20" s="1">
        <f>VLOOKUP(ENTRADAS71417[[#This Row],[CÓDIGO]],PRODUCTOS31316[],2,FALSE)</f>
        <v>5155</v>
      </c>
      <c r="AE20" s="1" t="str">
        <f>VLOOKUP(ENTRADAS71417[[#This Row],[CÓDIGO]],PRODUCTOS31316[],3,FALSE)</f>
        <v>MACROCUBAS FOTOMETRO</v>
      </c>
      <c r="AF20" s="2">
        <v>2</v>
      </c>
      <c r="AG20" s="2"/>
      <c r="AH20" s="2"/>
    </row>
    <row r="21" spans="1:34" ht="49.95" customHeight="1" x14ac:dyDescent="0.3">
      <c r="A21" s="2" t="s">
        <v>96</v>
      </c>
      <c r="B21" s="1">
        <v>26660</v>
      </c>
      <c r="C21" s="1" t="s">
        <v>97</v>
      </c>
      <c r="D21" s="1" t="s">
        <v>98</v>
      </c>
      <c r="E21" s="1" t="s">
        <v>24</v>
      </c>
      <c r="F21" s="1" t="s">
        <v>30</v>
      </c>
      <c r="G21" s="2">
        <v>0</v>
      </c>
      <c r="H21" s="14">
        <f>SUMIF(ENTRADAS71417[CÓDIGO],PRODUCTOS31316[[#This Row],[CÓDIGO]],ENTRADAS71417[CANTIDAD])</f>
        <v>0</v>
      </c>
      <c r="I21" s="11">
        <f>SUMIF(SALIDAS111518[CÓDIGO],PRODUCTOS31316[[#This Row],[CÓDIGO]],SALIDAS111518[CANTIDAD])</f>
        <v>0</v>
      </c>
      <c r="J21" s="6">
        <f>PRODUCTOS31316[[#This Row],[EXISTENCIAS]]+PRODUCTOS31316[[#This Row],[ENTRADAS]]-PRODUCTOS31316[[#This Row],[SALIDAS]]</f>
        <v>0</v>
      </c>
      <c r="L21" s="2"/>
      <c r="M21" s="2"/>
      <c r="N21" s="2">
        <v>7696</v>
      </c>
      <c r="O21" s="2" t="s">
        <v>3657</v>
      </c>
      <c r="P21" s="16">
        <v>45670</v>
      </c>
      <c r="Q21" s="2" t="s">
        <v>2814</v>
      </c>
      <c r="R21" s="2">
        <f>VLOOKUP(SALIDAS111518[[#This Row],[CÓDIGO]],PRODUCTOS31316[],2,FALSE)</f>
        <v>5204</v>
      </c>
      <c r="S21" s="1" t="str">
        <f>VLOOKUP(SALIDAS111518[[#This Row],[CÓDIGO]],PRODUCTOS31316[],3,FALSE)</f>
        <v>CONO VAGINA ARTIFICIAL BOVINA</v>
      </c>
      <c r="T21" s="2">
        <v>1</v>
      </c>
      <c r="U21" s="2"/>
      <c r="V21" s="2"/>
      <c r="W21" s="2"/>
      <c r="X21" s="2"/>
      <c r="Y21" s="7"/>
      <c r="Z21" s="2" t="s">
        <v>3742</v>
      </c>
      <c r="AA21" s="1" t="s">
        <v>3741</v>
      </c>
      <c r="AB21" s="16">
        <v>46036</v>
      </c>
      <c r="AC21" s="2" t="s">
        <v>3009</v>
      </c>
      <c r="AD21" s="1">
        <f>VLOOKUP(ENTRADAS71417[[#This Row],[CÓDIGO]],PRODUCTOS31316[],2,FALSE)</f>
        <v>7176</v>
      </c>
      <c r="AE21" s="1" t="str">
        <f>VLOOKUP(ENTRADAS71417[[#This Row],[CÓDIGO]],PRODUCTOS31316[],3,FALSE)</f>
        <v>PISTOLA DE INSEMINACION OVINO- CAPRINO/  PARA VAINAS MINI</v>
      </c>
      <c r="AF21" s="2">
        <v>3</v>
      </c>
      <c r="AG21" s="2"/>
      <c r="AH21" s="2"/>
    </row>
    <row r="22" spans="1:34" ht="49.95" customHeight="1" x14ac:dyDescent="0.3">
      <c r="A22" s="2" t="s">
        <v>100</v>
      </c>
      <c r="B22" s="1" t="s">
        <v>101</v>
      </c>
      <c r="C22" s="1" t="s">
        <v>102</v>
      </c>
      <c r="D22" s="1" t="s">
        <v>103</v>
      </c>
      <c r="E22" s="1" t="s">
        <v>24</v>
      </c>
      <c r="F22" s="1" t="s">
        <v>19</v>
      </c>
      <c r="G22" s="2">
        <v>0</v>
      </c>
      <c r="H22" s="14">
        <f>SUMIF(ENTRADAS71417[CÓDIGO],PRODUCTOS31316[[#This Row],[CÓDIGO]],ENTRADAS71417[CANTIDAD])</f>
        <v>0</v>
      </c>
      <c r="I22" s="11">
        <f>SUMIF(SALIDAS111518[CÓDIGO],PRODUCTOS31316[[#This Row],[CÓDIGO]],SALIDAS111518[CANTIDAD])</f>
        <v>0</v>
      </c>
      <c r="J22" s="6">
        <f>PRODUCTOS31316[[#This Row],[EXISTENCIAS]]+PRODUCTOS31316[[#This Row],[ENTRADAS]]-PRODUCTOS31316[[#This Row],[SALIDAS]]</f>
        <v>0</v>
      </c>
      <c r="L22" s="2"/>
      <c r="M22" s="2"/>
      <c r="N22" s="2">
        <v>7696</v>
      </c>
      <c r="O22" s="2" t="s">
        <v>3657</v>
      </c>
      <c r="P22" s="16">
        <v>45670</v>
      </c>
      <c r="Q22" s="2" t="s">
        <v>2815</v>
      </c>
      <c r="R22" s="2">
        <f>VLOOKUP(SALIDAS111518[[#This Row],[CÓDIGO]],PRODUCTOS31316[],2,FALSE)</f>
        <v>26541</v>
      </c>
      <c r="S22" s="1" t="str">
        <f>VLOOKUP(SALIDAS111518[[#This Row],[CÓDIGO]],PRODUCTOS31316[],3,FALSE)</f>
        <v>LINER MEMBRANA ESTRIADA LATEX BOVINA</v>
      </c>
      <c r="T22" s="2">
        <v>1</v>
      </c>
      <c r="U22" s="2"/>
      <c r="V22" s="2"/>
      <c r="W22" s="2"/>
      <c r="X22" s="2"/>
      <c r="Y22" s="7"/>
      <c r="Z22" s="2" t="s">
        <v>3742</v>
      </c>
      <c r="AA22" s="1" t="s">
        <v>3741</v>
      </c>
      <c r="AB22" s="16">
        <v>46036</v>
      </c>
      <c r="AC22" s="2" t="s">
        <v>3014</v>
      </c>
      <c r="AD22" s="1">
        <f>VLOOKUP(ENTRADAS71417[[#This Row],[CÓDIGO]],PRODUCTOS31316[],2,FALSE)</f>
        <v>6922</v>
      </c>
      <c r="AE22" s="1" t="str">
        <f>VLOOKUP(ENTRADAS71417[[#This Row],[CÓDIGO]],PRODUCTOS31316[],3,FALSE)</f>
        <v>VAINA MINI 0,25 OVINA  RANURADAS/ CAPRINA COMPATIBLE CON PISTOLA 7176</v>
      </c>
      <c r="AF22" s="2">
        <v>6</v>
      </c>
      <c r="AG22" s="2"/>
      <c r="AH22" s="2"/>
    </row>
    <row r="23" spans="1:34" ht="49.95" customHeight="1" x14ac:dyDescent="0.3">
      <c r="A23" s="2" t="s">
        <v>106</v>
      </c>
      <c r="B23" s="1" t="s">
        <v>107</v>
      </c>
      <c r="C23" s="1" t="s">
        <v>108</v>
      </c>
      <c r="D23" s="1" t="s">
        <v>103</v>
      </c>
      <c r="E23" s="1" t="s">
        <v>24</v>
      </c>
      <c r="F23" s="1" t="s">
        <v>19</v>
      </c>
      <c r="G23" s="2">
        <v>0</v>
      </c>
      <c r="H23" s="14">
        <f>SUMIF(ENTRADAS71417[CÓDIGO],PRODUCTOS31316[[#This Row],[CÓDIGO]],ENTRADAS71417[CANTIDAD])</f>
        <v>0</v>
      </c>
      <c r="I23" s="11">
        <f>SUMIF(SALIDAS111518[CÓDIGO],PRODUCTOS31316[[#This Row],[CÓDIGO]],SALIDAS111518[CANTIDAD])</f>
        <v>0</v>
      </c>
      <c r="J23" s="6">
        <f>PRODUCTOS31316[[#This Row],[EXISTENCIAS]]+PRODUCTOS31316[[#This Row],[ENTRADAS]]-PRODUCTOS31316[[#This Row],[SALIDAS]]</f>
        <v>0</v>
      </c>
      <c r="L23" s="2" t="s">
        <v>3521</v>
      </c>
      <c r="M23" s="2" t="s">
        <v>3653</v>
      </c>
      <c r="N23" s="288" t="s">
        <v>3726</v>
      </c>
      <c r="O23" s="1" t="s">
        <v>3334</v>
      </c>
      <c r="P23" s="16">
        <v>45671</v>
      </c>
      <c r="Q23" s="2" t="s">
        <v>2953</v>
      </c>
      <c r="R23" s="2" t="str">
        <f>VLOOKUP(SALIDAS111518[[#This Row],[CÓDIGO]],PRODUCTOS31316[],2,FALSE)</f>
        <v>24030/C01-26</v>
      </c>
      <c r="S23" s="1" t="str">
        <f>VLOOKUP(SALIDAS111518[[#This Row],[CÓDIGO]],PRODUCTOS31316[],3,FALSE)</f>
        <v xml:space="preserve"> DILUYENTE PARA CERDOS ACROMAX PLUS 1L/ 7-8 DIAS</v>
      </c>
      <c r="T23" s="2">
        <v>15</v>
      </c>
      <c r="U23" s="2">
        <v>15</v>
      </c>
      <c r="V23" s="2"/>
      <c r="W23" s="288" t="s">
        <v>3412</v>
      </c>
      <c r="X23" s="2"/>
      <c r="Y23" s="7"/>
      <c r="Z23" s="2" t="s">
        <v>3742</v>
      </c>
      <c r="AA23" s="1" t="s">
        <v>3741</v>
      </c>
      <c r="AB23" s="16">
        <v>46036</v>
      </c>
      <c r="AC23" s="2" t="s">
        <v>2880</v>
      </c>
      <c r="AD23" s="1">
        <f>VLOOKUP(ENTRADAS71417[[#This Row],[CÓDIGO]],PRODUCTOS31316[],2,FALSE)</f>
        <v>7179</v>
      </c>
      <c r="AE23" s="1" t="str">
        <f>VLOOKUP(ENTRADAS71417[[#This Row],[CÓDIGO]],PRODUCTOS31316[],3,FALSE)</f>
        <v>VAGINA ARTIFICIAL CON VALVULA OVINO</v>
      </c>
      <c r="AF23" s="2">
        <v>1</v>
      </c>
      <c r="AG23" s="2"/>
      <c r="AH23" s="2"/>
    </row>
    <row r="24" spans="1:34" ht="49.95" customHeight="1" x14ac:dyDescent="0.3">
      <c r="A24" s="2" t="s">
        <v>110</v>
      </c>
      <c r="B24" s="1" t="s">
        <v>111</v>
      </c>
      <c r="C24" s="1" t="s">
        <v>112</v>
      </c>
      <c r="D24" s="1" t="s">
        <v>103</v>
      </c>
      <c r="E24" s="1" t="s">
        <v>24</v>
      </c>
      <c r="F24" s="1" t="s">
        <v>30</v>
      </c>
      <c r="G24" s="2">
        <v>0</v>
      </c>
      <c r="H24" s="14">
        <f>SUMIF(ENTRADAS71417[CÓDIGO],PRODUCTOS31316[[#This Row],[CÓDIGO]],ENTRADAS71417[CANTIDAD])</f>
        <v>0</v>
      </c>
      <c r="I24" s="11">
        <f>SUMIF(SALIDAS111518[CÓDIGO],PRODUCTOS31316[[#This Row],[CÓDIGO]],SALIDAS111518[CANTIDAD])</f>
        <v>0</v>
      </c>
      <c r="J24" s="6">
        <f>PRODUCTOS31316[[#This Row],[EXISTENCIAS]]+PRODUCTOS31316[[#This Row],[ENTRADAS]]-PRODUCTOS31316[[#This Row],[SALIDAS]]</f>
        <v>0</v>
      </c>
      <c r="L24" s="2" t="s">
        <v>3521</v>
      </c>
      <c r="M24" s="2" t="s">
        <v>3653</v>
      </c>
      <c r="N24" s="290" t="s">
        <v>3956</v>
      </c>
      <c r="O24" s="2" t="s">
        <v>3179</v>
      </c>
      <c r="P24" s="16">
        <v>46048</v>
      </c>
      <c r="Q24" s="2" t="s">
        <v>3075</v>
      </c>
      <c r="R24" s="2">
        <f>VLOOKUP(SALIDAS111518[[#This Row],[CÓDIGO]],PRODUCTOS31316[],2,FALSE)</f>
        <v>0</v>
      </c>
      <c r="S24" s="1" t="str">
        <f>VLOOKUP(SALIDAS111518[[#This Row],[CÓDIGO]],PRODUCTOS31316[],3,FALSE)</f>
        <v>AUTOJAC V3 ELECTROEYACUALADOR MANUAL Y AUTOMÁTICO</v>
      </c>
      <c r="T24" s="2">
        <v>1</v>
      </c>
      <c r="U24" s="2">
        <v>185</v>
      </c>
      <c r="V24" s="2"/>
      <c r="W24" s="2" t="s">
        <v>2823</v>
      </c>
      <c r="X24" s="2"/>
      <c r="Y24" s="7"/>
      <c r="Z24" s="2" t="s">
        <v>3742</v>
      </c>
      <c r="AA24" s="1" t="s">
        <v>3741</v>
      </c>
      <c r="AB24" s="16">
        <v>46036</v>
      </c>
      <c r="AC24" s="2" t="s">
        <v>2881</v>
      </c>
      <c r="AD24" s="1">
        <f>VLOOKUP(ENTRADAS71417[[#This Row],[CÓDIGO]],PRODUCTOS31316[],2,FALSE)</f>
        <v>5205</v>
      </c>
      <c r="AE24" s="1" t="str">
        <f>VLOOKUP(ENTRADAS71417[[#This Row],[CÓDIGO]],PRODUCTOS31316[],3,FALSE)</f>
        <v>CONO ESPECIAL VAGINA OVINO</v>
      </c>
      <c r="AF24" s="2">
        <v>2</v>
      </c>
      <c r="AG24" s="2"/>
      <c r="AH24" s="2"/>
    </row>
    <row r="25" spans="1:34" ht="49.95" customHeight="1" x14ac:dyDescent="0.3">
      <c r="A25" s="2" t="s">
        <v>113</v>
      </c>
      <c r="B25" s="1">
        <v>438918</v>
      </c>
      <c r="C25" s="1" t="s">
        <v>114</v>
      </c>
      <c r="D25" s="1" t="s">
        <v>73</v>
      </c>
      <c r="E25" s="1" t="s">
        <v>24</v>
      </c>
      <c r="F25" s="1" t="s">
        <v>30</v>
      </c>
      <c r="G25" s="2">
        <v>0</v>
      </c>
      <c r="H25" s="14">
        <f>SUMIF(ENTRADAS71417[CÓDIGO],PRODUCTOS31316[[#This Row],[CÓDIGO]],ENTRADAS71417[CANTIDAD])</f>
        <v>0</v>
      </c>
      <c r="I25" s="11">
        <f>SUMIF(SALIDAS111518[CÓDIGO],PRODUCTOS31316[[#This Row],[CÓDIGO]],SALIDAS111518[CANTIDAD])</f>
        <v>0</v>
      </c>
      <c r="J25" s="6">
        <f>PRODUCTOS31316[[#This Row],[EXISTENCIAS]]+PRODUCTOS31316[[#This Row],[ENTRADAS]]-PRODUCTOS31316[[#This Row],[SALIDAS]]</f>
        <v>0</v>
      </c>
      <c r="L25" s="2"/>
      <c r="M25" s="2"/>
      <c r="N25" s="2">
        <v>7760</v>
      </c>
      <c r="O25" s="2" t="s">
        <v>3179</v>
      </c>
      <c r="P25" s="16">
        <v>46058</v>
      </c>
      <c r="Q25" s="2" t="s">
        <v>913</v>
      </c>
      <c r="R25" s="2" t="str">
        <f>VLOOKUP(SALIDAS111518[[#This Row],[CÓDIGO]],PRODUCTOS31316[],2,FALSE)</f>
        <v>HC-R069</v>
      </c>
      <c r="S25" s="1" t="str">
        <f>VLOOKUP(SALIDAS111518[[#This Row],[CÓDIGO]],PRODUCTOS31316[],3,FALSE)</f>
        <v>MICROSCOPIO CON PLATINA Y PANTALLA 7"</v>
      </c>
      <c r="T25" s="2">
        <v>1</v>
      </c>
      <c r="U25" s="2"/>
      <c r="V25" s="2"/>
      <c r="W25" s="2"/>
      <c r="X25" s="2"/>
      <c r="Y25" s="7"/>
      <c r="Z25" s="2" t="s">
        <v>3742</v>
      </c>
      <c r="AA25" s="1" t="s">
        <v>3741</v>
      </c>
      <c r="AB25" s="16">
        <v>46036</v>
      </c>
      <c r="AC25" s="2" t="s">
        <v>2992</v>
      </c>
      <c r="AD25" s="1">
        <f>VLOOKUP(ENTRADAS71417[[#This Row],[CÓDIGO]],PRODUCTOS31316[],2,FALSE)</f>
        <v>7116</v>
      </c>
      <c r="AE25" s="1" t="str">
        <f>VLOOKUP(ENTRADAS71417[[#This Row],[CÓDIGO]],PRODUCTOS31316[],3,FALSE)</f>
        <v>SOPORTE PORTA CUBETAS/  METALICO</v>
      </c>
      <c r="AF25" s="2">
        <v>1</v>
      </c>
      <c r="AG25" s="2"/>
      <c r="AH25" s="2"/>
    </row>
    <row r="26" spans="1:34" ht="49.95" customHeight="1" x14ac:dyDescent="0.3">
      <c r="A26" s="2" t="s">
        <v>116</v>
      </c>
      <c r="C26" s="1" t="s">
        <v>117</v>
      </c>
      <c r="D26" s="1" t="s">
        <v>118</v>
      </c>
      <c r="E26" s="1" t="s">
        <v>24</v>
      </c>
      <c r="F26" s="1" t="s">
        <v>30</v>
      </c>
      <c r="G26" s="2">
        <v>0</v>
      </c>
      <c r="H26" s="14">
        <f>SUMIF(ENTRADAS71417[CÓDIGO],PRODUCTOS31316[[#This Row],[CÓDIGO]],ENTRADAS71417[CANTIDAD])</f>
        <v>0</v>
      </c>
      <c r="I26" s="11">
        <f>SUMIF(SALIDAS111518[CÓDIGO],PRODUCTOS31316[[#This Row],[CÓDIGO]],SALIDAS111518[CANTIDAD])</f>
        <v>0</v>
      </c>
      <c r="J26" s="6">
        <f>PRODUCTOS31316[[#This Row],[EXISTENCIAS]]+PRODUCTOS31316[[#This Row],[ENTRADAS]]-PRODUCTOS31316[[#This Row],[SALIDAS]]</f>
        <v>0</v>
      </c>
      <c r="L26" s="2"/>
      <c r="M26" s="2"/>
      <c r="N26" s="2">
        <v>7760</v>
      </c>
      <c r="O26" s="2" t="s">
        <v>3179</v>
      </c>
      <c r="P26" s="16">
        <v>46048</v>
      </c>
      <c r="Q26" s="2" t="s">
        <v>2338</v>
      </c>
      <c r="R26" s="2" t="str">
        <f>VLOOKUP(SALIDAS111518[[#This Row],[CÓDIGO]],PRODUCTOS31316[],2,FALSE)</f>
        <v>XH-2002</v>
      </c>
      <c r="S26" s="1" t="str">
        <f>VLOOKUP(SALIDAS111518[[#This Row],[CÓDIGO]],PRODUCTOS31316[],3,FALSE)</f>
        <v>PLATINA XH-2002</v>
      </c>
      <c r="T26" s="2">
        <v>1</v>
      </c>
      <c r="U26" s="2"/>
      <c r="V26" s="2"/>
      <c r="W26" s="2"/>
      <c r="X26" s="2"/>
      <c r="Y26" s="7"/>
      <c r="Z26" s="2" t="s">
        <v>3742</v>
      </c>
      <c r="AA26" s="1" t="s">
        <v>3741</v>
      </c>
      <c r="AB26" s="16">
        <v>46036</v>
      </c>
      <c r="AC26" s="2" t="s">
        <v>3375</v>
      </c>
      <c r="AD26" s="1" t="str">
        <f>VLOOKUP(ENTRADAS71417[[#This Row],[CÓDIGO]],PRODUCTOS31316[],2,FALSE)</f>
        <v>13500/0250</v>
      </c>
      <c r="AE26" s="1" t="str">
        <f>VLOOKUP(ENTRADAS71417[[#This Row],[CÓDIGO]],PRODUCTOS31316[],3,FALSE)</f>
        <v>TRILADYL 250 ML</v>
      </c>
      <c r="AF26" s="2">
        <v>10</v>
      </c>
      <c r="AG26" s="2"/>
      <c r="AH26" s="2"/>
    </row>
    <row r="27" spans="1:34" ht="49.95" customHeight="1" x14ac:dyDescent="0.3">
      <c r="A27" s="2" t="s">
        <v>120</v>
      </c>
      <c r="C27" s="1" t="s">
        <v>121</v>
      </c>
      <c r="D27" s="1" t="s">
        <v>122</v>
      </c>
      <c r="E27" s="1" t="s">
        <v>123</v>
      </c>
      <c r="F27" s="1" t="s">
        <v>124</v>
      </c>
      <c r="G27" s="2">
        <v>0</v>
      </c>
      <c r="H27" s="14">
        <f>SUMIF(ENTRADAS71417[CÓDIGO],PRODUCTOS31316[[#This Row],[CÓDIGO]],ENTRADAS71417[CANTIDAD])</f>
        <v>0</v>
      </c>
      <c r="I27" s="11">
        <f>SUMIF(SALIDAS111518[CÓDIGO],PRODUCTOS31316[[#This Row],[CÓDIGO]],SALIDAS111518[CANTIDAD])</f>
        <v>0</v>
      </c>
      <c r="J27" s="6">
        <f>PRODUCTOS31316[[#This Row],[EXISTENCIAS]]+PRODUCTOS31316[[#This Row],[ENTRADAS]]-PRODUCTOS31316[[#This Row],[SALIDAS]]</f>
        <v>0</v>
      </c>
      <c r="L27" s="2"/>
      <c r="M27" s="2"/>
      <c r="N27" s="2">
        <v>7760</v>
      </c>
      <c r="O27" s="2" t="s">
        <v>3179</v>
      </c>
      <c r="P27" s="16">
        <v>46048</v>
      </c>
      <c r="Q27" s="2" t="s">
        <v>3233</v>
      </c>
      <c r="R27" s="2" t="str">
        <f>VLOOKUP(SALIDAS111518[[#This Row],[CÓDIGO]],PRODUCTOS31316[],2,FALSE)</f>
        <v>JA3022</v>
      </c>
      <c r="S27" s="1" t="str">
        <f>VLOOKUP(SALIDAS111518[[#This Row],[CÓDIGO]],PRODUCTOS31316[],3,FALSE)</f>
        <v>PIPETA AUTOMÁTICA VOLUMEN DE 0.5A 10UL</v>
      </c>
      <c r="T27" s="2">
        <v>1</v>
      </c>
      <c r="U27" s="2"/>
      <c r="V27" s="2"/>
      <c r="W27" s="2"/>
      <c r="X27" s="2"/>
      <c r="Y27" s="7"/>
      <c r="Z27" s="2" t="s">
        <v>3742</v>
      </c>
      <c r="AA27" s="1" t="s">
        <v>3741</v>
      </c>
      <c r="AB27" s="16">
        <v>46036</v>
      </c>
      <c r="AC27" s="2" t="s">
        <v>3405</v>
      </c>
      <c r="AD27" s="1" t="str">
        <f>VLOOKUP(ENTRADAS71417[[#This Row],[CÓDIGO]],PRODUCTOS31316[],2,FALSE)</f>
        <v>17209/1265</v>
      </c>
      <c r="AE27" s="1" t="str">
        <f>VLOOKUP(ENTRADAS71417[[#This Row],[CÓDIGO]],PRODUCTOS31316[],3,FALSE)</f>
        <v>PIPETA EQUINA DE 65 CM</v>
      </c>
      <c r="AF27" s="2">
        <v>250</v>
      </c>
      <c r="AG27" s="2"/>
      <c r="AH27" s="2"/>
    </row>
    <row r="28" spans="1:34" ht="49.95" customHeight="1" x14ac:dyDescent="0.3">
      <c r="A28" s="2" t="s">
        <v>126</v>
      </c>
      <c r="B28" s="1" t="s">
        <v>127</v>
      </c>
      <c r="C28" s="74" t="s">
        <v>128</v>
      </c>
      <c r="D28" s="1" t="s">
        <v>129</v>
      </c>
      <c r="E28" s="1" t="s">
        <v>24</v>
      </c>
      <c r="F28" s="1" t="s">
        <v>30</v>
      </c>
      <c r="G28" s="2">
        <v>0</v>
      </c>
      <c r="H28" s="14">
        <f>SUMIF(ENTRADAS71417[CÓDIGO],PRODUCTOS31316[[#This Row],[CÓDIGO]],ENTRADAS71417[CANTIDAD])</f>
        <v>0</v>
      </c>
      <c r="I28" s="11">
        <f>SUMIF(SALIDAS111518[CÓDIGO],PRODUCTOS31316[[#This Row],[CÓDIGO]],SALIDAS111518[CANTIDAD])</f>
        <v>0</v>
      </c>
      <c r="J28" s="6">
        <f>PRODUCTOS31316[[#This Row],[EXISTENCIAS]]+PRODUCTOS31316[[#This Row],[ENTRADAS]]-PRODUCTOS31316[[#This Row],[SALIDAS]]</f>
        <v>0</v>
      </c>
      <c r="L28" s="2"/>
      <c r="M28" s="2"/>
      <c r="N28" s="2">
        <v>7760</v>
      </c>
      <c r="O28" s="2" t="s">
        <v>3179</v>
      </c>
      <c r="P28" s="16">
        <v>46048</v>
      </c>
      <c r="Q28" s="2" t="s">
        <v>3237</v>
      </c>
      <c r="R28" s="2" t="str">
        <f>VLOOKUP(SALIDAS111518[[#This Row],[CÓDIGO]],PRODUCTOS31316[],2,FALSE)</f>
        <v>1111-3800</v>
      </c>
      <c r="S28" s="1" t="str">
        <f>VLOOKUP(SALIDAS111518[[#This Row],[CÓDIGO]],PRODUCTOS31316[],3,FALSE)</f>
        <v>RACK DE PUNTAS 10 UL NO ESTERIL/ LT N1394910O/ N139103M</v>
      </c>
      <c r="T28" s="2">
        <v>1</v>
      </c>
      <c r="U28" s="2"/>
      <c r="V28" s="2"/>
      <c r="W28" s="2"/>
      <c r="X28" s="2"/>
      <c r="Y28" s="7"/>
      <c r="Z28" s="2" t="s">
        <v>3742</v>
      </c>
      <c r="AA28" s="1" t="s">
        <v>3741</v>
      </c>
      <c r="AB28" s="16">
        <v>46036</v>
      </c>
      <c r="AC28" s="2" t="s">
        <v>3639</v>
      </c>
      <c r="AD28" s="1">
        <f>VLOOKUP(ENTRADAS71417[[#This Row],[CÓDIGO]],PRODUCTOS31316[],2,FALSE)</f>
        <v>5565</v>
      </c>
      <c r="AE28" s="1" t="str">
        <f>VLOOKUP(ENTRADAS71417[[#This Row],[CÓDIGO]],PRODUCTOS31316[],3,FALSE)</f>
        <v>PAJUELA TRANSPARENTE 0.25/ PAQ. X 2000 MARCA IMV</v>
      </c>
      <c r="AF28" s="2">
        <v>10</v>
      </c>
      <c r="AG28" s="2"/>
      <c r="AH28" s="2"/>
    </row>
    <row r="29" spans="1:34" ht="49.95" customHeight="1" x14ac:dyDescent="0.3">
      <c r="A29" s="2" t="s">
        <v>131</v>
      </c>
      <c r="B29" s="1">
        <v>440035</v>
      </c>
      <c r="C29" s="1" t="s">
        <v>132</v>
      </c>
      <c r="D29" s="1" t="s">
        <v>83</v>
      </c>
      <c r="E29" s="1" t="s">
        <v>24</v>
      </c>
      <c r="F29" s="1" t="s">
        <v>19</v>
      </c>
      <c r="G29" s="2">
        <v>0</v>
      </c>
      <c r="H29" s="14">
        <f>SUMIF(ENTRADAS71417[CÓDIGO],PRODUCTOS31316[[#This Row],[CÓDIGO]],ENTRADAS71417[CANTIDAD])</f>
        <v>0</v>
      </c>
      <c r="I29" s="11">
        <f>SUMIF(SALIDAS111518[CÓDIGO],PRODUCTOS31316[[#This Row],[CÓDIGO]],SALIDAS111518[CANTIDAD])</f>
        <v>0</v>
      </c>
      <c r="J29" s="6">
        <f>PRODUCTOS31316[[#This Row],[EXISTENCIAS]]+PRODUCTOS31316[[#This Row],[ENTRADAS]]-PRODUCTOS31316[[#This Row],[SALIDAS]]</f>
        <v>0</v>
      </c>
      <c r="L29" s="2"/>
      <c r="M29" s="2"/>
      <c r="N29" s="2">
        <v>7760</v>
      </c>
      <c r="O29" s="2" t="s">
        <v>3179</v>
      </c>
      <c r="P29" s="16">
        <v>46048</v>
      </c>
      <c r="Q29" s="2" t="s">
        <v>333</v>
      </c>
      <c r="R29" s="2" t="str">
        <f>VLOOKUP(SALIDAS111518[[#This Row],[CÓDIGO]],PRODUCTOS31316[],2,FALSE)</f>
        <v>CTB15</v>
      </c>
      <c r="S29" s="1" t="str">
        <f>VLOOKUP(SALIDAS111518[[#This Row],[CÓDIGO]],PRODUCTOS31316[],3,FALSE)</f>
        <v>TUBO CÓNICO DE 15 ML, TAPA ROSCA ESTÉRIL  RCF MAX: 10000xg, 
graduados, PCR puro. VENCE: 03/04/2028</v>
      </c>
      <c r="T29" s="2">
        <v>1</v>
      </c>
      <c r="U29" s="2"/>
      <c r="V29" s="2"/>
      <c r="W29" s="2"/>
      <c r="X29" s="2"/>
      <c r="Y29" s="7"/>
      <c r="Z29" s="2" t="s">
        <v>3742</v>
      </c>
      <c r="AA29" s="1" t="s">
        <v>3741</v>
      </c>
      <c r="AB29" s="16">
        <v>46036</v>
      </c>
      <c r="AC29" s="2" t="s">
        <v>3661</v>
      </c>
      <c r="AD29" s="1">
        <f>VLOOKUP(ENTRADAS71417[[#This Row],[CÓDIGO]],PRODUCTOS31316[],2,FALSE)</f>
        <v>5584</v>
      </c>
      <c r="AE29" s="1" t="str">
        <f>VLOOKUP(ENTRADAS71417[[#This Row],[CÓDIGO]],PRODUCTOS31316[],3,FALSE)</f>
        <v>PAJUELA AZUL 0.25/ PAQ. X 2000 MARCA IMV</v>
      </c>
      <c r="AF29" s="2">
        <v>2</v>
      </c>
      <c r="AG29" s="2"/>
      <c r="AH29" s="2"/>
    </row>
    <row r="30" spans="1:34" ht="49.95" customHeight="1" x14ac:dyDescent="0.3">
      <c r="A30" s="2" t="s">
        <v>134</v>
      </c>
      <c r="B30" s="1" t="s">
        <v>135</v>
      </c>
      <c r="C30" s="1" t="s">
        <v>136</v>
      </c>
      <c r="D30" s="1" t="s">
        <v>137</v>
      </c>
      <c r="E30" s="1" t="s">
        <v>138</v>
      </c>
      <c r="F30" s="1" t="s">
        <v>139</v>
      </c>
      <c r="G30" s="2">
        <v>0</v>
      </c>
      <c r="H30" s="14">
        <f>SUMIF(ENTRADAS71417[CÓDIGO],PRODUCTOS31316[[#This Row],[CÓDIGO]],ENTRADAS71417[CANTIDAD])</f>
        <v>0</v>
      </c>
      <c r="I30" s="11">
        <f>SUMIF(SALIDAS111518[CÓDIGO],PRODUCTOS31316[[#This Row],[CÓDIGO]],SALIDAS111518[CANTIDAD])</f>
        <v>0</v>
      </c>
      <c r="J30" s="6">
        <f>PRODUCTOS31316[[#This Row],[EXISTENCIAS]]+PRODUCTOS31316[[#This Row],[ENTRADAS]]-PRODUCTOS31316[[#This Row],[SALIDAS]]</f>
        <v>0</v>
      </c>
      <c r="L30" s="2"/>
      <c r="M30" s="2"/>
      <c r="N30" s="2">
        <v>7760</v>
      </c>
      <c r="O30" s="2" t="s">
        <v>3179</v>
      </c>
      <c r="P30" s="16">
        <v>46048</v>
      </c>
      <c r="Q30" s="282" t="s">
        <v>341</v>
      </c>
      <c r="R30" s="2" t="str">
        <f>VLOOKUP(SALIDAS111518[[#This Row],[CÓDIGO]],PRODUCTOS31316[],2,FALSE)</f>
        <v>CTB50</v>
      </c>
      <c r="S30" s="1" t="str">
        <f>VLOOKUP(SALIDAS111518[[#This Row],[CÓDIGO]],PRODUCTOS31316[],3,FALSE)</f>
        <v>TUBO CÓNICO DE 50 mL, TAPA ROSCA, PRE ESTERILIZADO. RCF MAX: 10000xg, graduados, PCR puro.</v>
      </c>
      <c r="T30" s="2">
        <v>1</v>
      </c>
      <c r="U30" s="2"/>
      <c r="V30" s="2"/>
      <c r="W30" s="2"/>
      <c r="X30" s="2"/>
      <c r="Y30" s="7"/>
      <c r="Z30" s="2" t="s">
        <v>3742</v>
      </c>
      <c r="AA30" s="1" t="s">
        <v>3741</v>
      </c>
      <c r="AB30" s="16">
        <v>46036</v>
      </c>
      <c r="AC30" s="2" t="s">
        <v>3662</v>
      </c>
      <c r="AD30" s="1">
        <f>VLOOKUP(ENTRADAS71417[[#This Row],[CÓDIGO]],PRODUCTOS31316[],2,FALSE)</f>
        <v>5580</v>
      </c>
      <c r="AE30" s="1" t="str">
        <f>VLOOKUP(ENTRADAS71417[[#This Row],[CÓDIGO]],PRODUCTOS31316[],3,FALSE)</f>
        <v>PAJUELA ANARANJADA 0.25/ PAQ. X 2000 MARCA IMV</v>
      </c>
      <c r="AF30" s="2">
        <v>4</v>
      </c>
      <c r="AG30" s="2"/>
      <c r="AH30" s="2"/>
    </row>
    <row r="31" spans="1:34" ht="49.95" customHeight="1" x14ac:dyDescent="0.3">
      <c r="A31" s="2" t="s">
        <v>141</v>
      </c>
      <c r="B31" s="275" t="s">
        <v>142</v>
      </c>
      <c r="C31" s="93" t="s">
        <v>143</v>
      </c>
      <c r="D31" s="1" t="s">
        <v>144</v>
      </c>
      <c r="E31" s="1" t="s">
        <v>145</v>
      </c>
      <c r="F31" s="1" t="s">
        <v>146</v>
      </c>
      <c r="G31" s="2">
        <v>0</v>
      </c>
      <c r="H31" s="14">
        <f>SUMIF(ENTRADAS71417[CÓDIGO],PRODUCTOS31316[[#This Row],[CÓDIGO]],ENTRADAS71417[CANTIDAD])</f>
        <v>0</v>
      </c>
      <c r="I31" s="11">
        <f>SUMIF(SALIDAS111518[CÓDIGO],PRODUCTOS31316[[#This Row],[CÓDIGO]],SALIDAS111518[CANTIDAD])</f>
        <v>0</v>
      </c>
      <c r="J31" s="6">
        <f>PRODUCTOS31316[[#This Row],[EXISTENCIAS]]+PRODUCTOS31316[[#This Row],[ENTRADAS]]-PRODUCTOS31316[[#This Row],[SALIDAS]]</f>
        <v>0</v>
      </c>
      <c r="L31" s="2"/>
      <c r="M31" s="2"/>
      <c r="N31" s="2">
        <v>7760</v>
      </c>
      <c r="O31" s="2" t="s">
        <v>3179</v>
      </c>
      <c r="P31" s="16">
        <v>46048</v>
      </c>
      <c r="Q31" s="2" t="s">
        <v>2378</v>
      </c>
      <c r="R31" s="2">
        <f>VLOOKUP(SALIDAS111518[[#This Row],[CÓDIGO]],PRODUCTOS31316[],2,FALSE)</f>
        <v>0</v>
      </c>
      <c r="S31" s="1" t="str">
        <f>VLOOKUP(SALIDAS111518[[#This Row],[CÓDIGO]],PRODUCTOS31316[],3,FALSE)</f>
        <v>CAMARA DE NEUBAUER</v>
      </c>
      <c r="T31" s="2">
        <v>1</v>
      </c>
      <c r="U31" s="2"/>
      <c r="V31" s="2"/>
      <c r="W31" s="2"/>
      <c r="X31" s="2"/>
      <c r="Y31" s="7"/>
      <c r="Z31" s="2" t="s">
        <v>3742</v>
      </c>
      <c r="AA31" s="1" t="s">
        <v>3741</v>
      </c>
      <c r="AB31" s="16">
        <v>46036</v>
      </c>
      <c r="AC31" s="2" t="s">
        <v>3663</v>
      </c>
      <c r="AD31" s="1">
        <f>VLOOKUP(ENTRADAS71417[[#This Row],[CÓDIGO]],PRODUCTOS31316[],2,FALSE)</f>
        <v>19179</v>
      </c>
      <c r="AE31" s="1" t="str">
        <f>VLOOKUP(ENTRADAS71417[[#This Row],[CÓDIGO]],PRODUCTOS31316[],3,FALSE)</f>
        <v>PAJUELA PISTACHO 0.25/ PAQ. X 2000 MARCA IMV</v>
      </c>
      <c r="AF31" s="2">
        <v>2</v>
      </c>
      <c r="AG31" s="2"/>
      <c r="AH31" s="2"/>
    </row>
    <row r="32" spans="1:34" ht="49.95" customHeight="1" x14ac:dyDescent="0.3">
      <c r="A32" s="2" t="s">
        <v>151</v>
      </c>
      <c r="B32" s="275" t="s">
        <v>152</v>
      </c>
      <c r="C32" s="1" t="s">
        <v>143</v>
      </c>
      <c r="D32" s="1" t="s">
        <v>144</v>
      </c>
      <c r="E32" s="1" t="s">
        <v>145</v>
      </c>
      <c r="F32" s="1" t="s">
        <v>146</v>
      </c>
      <c r="G32" s="2">
        <v>29</v>
      </c>
      <c r="H32" s="14">
        <f>SUMIF(ENTRADAS71417[CÓDIGO],PRODUCTOS31316[[#This Row],[CÓDIGO]],ENTRADAS71417[CANTIDAD])</f>
        <v>0</v>
      </c>
      <c r="I32" s="11">
        <f>SUMIF(SALIDAS111518[CÓDIGO],PRODUCTOS31316[[#This Row],[CÓDIGO]],SALIDAS111518[CANTIDAD])</f>
        <v>0</v>
      </c>
      <c r="J32" s="6">
        <f>PRODUCTOS31316[[#This Row],[EXISTENCIAS]]+PRODUCTOS31316[[#This Row],[ENTRADAS]]-PRODUCTOS31316[[#This Row],[SALIDAS]]</f>
        <v>29</v>
      </c>
      <c r="L32" s="2"/>
      <c r="M32" s="2"/>
      <c r="N32" s="2">
        <v>7760</v>
      </c>
      <c r="O32" s="2" t="s">
        <v>3179</v>
      </c>
      <c r="P32" s="16">
        <v>46048</v>
      </c>
      <c r="Q32" s="2" t="s">
        <v>2881</v>
      </c>
      <c r="R32" s="2">
        <f>VLOOKUP(SALIDAS111518[[#This Row],[CÓDIGO]],PRODUCTOS31316[],2,FALSE)</f>
        <v>5205</v>
      </c>
      <c r="S32" s="1" t="str">
        <f>VLOOKUP(SALIDAS111518[[#This Row],[CÓDIGO]],PRODUCTOS31316[],3,FALSE)</f>
        <v>CONO ESPECIAL VAGINA OVINO</v>
      </c>
      <c r="T32" s="2">
        <v>1</v>
      </c>
      <c r="U32" s="2"/>
      <c r="V32" s="2"/>
      <c r="W32" s="2"/>
      <c r="X32" s="2"/>
      <c r="Y32" s="7"/>
      <c r="Z32" s="2" t="s">
        <v>3742</v>
      </c>
      <c r="AA32" s="1" t="s">
        <v>3741</v>
      </c>
      <c r="AB32" s="16">
        <v>46036</v>
      </c>
      <c r="AC32" s="2" t="s">
        <v>3698</v>
      </c>
      <c r="AD32" s="1">
        <f>VLOOKUP(ENTRADAS71417[[#This Row],[CÓDIGO]],PRODUCTOS31316[],2,FALSE)</f>
        <v>5577</v>
      </c>
      <c r="AE32" s="1" t="str">
        <f>VLOOKUP(ENTRADAS71417[[#This Row],[CÓDIGO]],PRODUCTOS31316[],3,FALSE)</f>
        <v>PAJUELA GRIS 0.25/ PAQ. X 2000 MARCA IMV</v>
      </c>
      <c r="AF32" s="2">
        <v>2</v>
      </c>
      <c r="AG32" s="2"/>
      <c r="AH32" s="2"/>
    </row>
    <row r="33" spans="1:34" ht="49.95" customHeight="1" x14ac:dyDescent="0.3">
      <c r="A33" s="2" t="s">
        <v>154</v>
      </c>
      <c r="B33" s="1">
        <v>90007000002</v>
      </c>
      <c r="C33" s="1" t="s">
        <v>155</v>
      </c>
      <c r="D33" s="1" t="s">
        <v>156</v>
      </c>
      <c r="E33" s="1" t="s">
        <v>157</v>
      </c>
      <c r="F33" s="1" t="s">
        <v>158</v>
      </c>
      <c r="G33" s="2">
        <v>0</v>
      </c>
      <c r="H33" s="14">
        <f>SUMIF(ENTRADAS71417[CÓDIGO],PRODUCTOS31316[[#This Row],[CÓDIGO]],ENTRADAS71417[CANTIDAD])</f>
        <v>0</v>
      </c>
      <c r="I33" s="11">
        <f>SUMIF(SALIDAS111518[CÓDIGO],PRODUCTOS31316[[#This Row],[CÓDIGO]],SALIDAS111518[CANTIDAD])</f>
        <v>0</v>
      </c>
      <c r="J33" s="6">
        <f>PRODUCTOS31316[[#This Row],[EXISTENCIAS]]+PRODUCTOS31316[[#This Row],[ENTRADAS]]-PRODUCTOS31316[[#This Row],[SALIDAS]]</f>
        <v>0</v>
      </c>
      <c r="L33" s="2"/>
      <c r="M33" s="2"/>
      <c r="N33" s="2">
        <v>7760</v>
      </c>
      <c r="O33" s="2" t="s">
        <v>3179</v>
      </c>
      <c r="P33" s="16">
        <v>46048</v>
      </c>
      <c r="Q33" s="2" t="s">
        <v>2232</v>
      </c>
      <c r="R33" s="2">
        <f>VLOOKUP(SALIDAS111518[[#This Row],[CÓDIGO]],PRODUCTOS31316[],2,FALSE)</f>
        <v>0</v>
      </c>
      <c r="S33" s="1" t="str">
        <f>VLOOKUP(SALIDAS111518[[#This Row],[CÓDIGO]],PRODUCTOS31316[],3,FALSE)</f>
        <v>CONO RECOLECTOR</v>
      </c>
      <c r="T33" s="2">
        <v>1</v>
      </c>
      <c r="U33" s="2"/>
      <c r="V33" s="2"/>
      <c r="W33" s="2"/>
      <c r="X33" s="2"/>
      <c r="Y33" s="7"/>
      <c r="Z33" s="2" t="s">
        <v>3742</v>
      </c>
      <c r="AA33" s="1" t="s">
        <v>3741</v>
      </c>
      <c r="AB33" s="16">
        <v>46036</v>
      </c>
      <c r="AC33" s="2" t="s">
        <v>3699</v>
      </c>
      <c r="AD33" s="1">
        <f>VLOOKUP(ENTRADAS71417[[#This Row],[CÓDIGO]],PRODUCTOS31316[],2,FALSE)</f>
        <v>5569</v>
      </c>
      <c r="AE33" s="1" t="str">
        <f>VLOOKUP(ENTRADAS71417[[#This Row],[CÓDIGO]],PRODUCTOS31316[],3,FALSE)</f>
        <v>PAJUELA TRANSPARENTES 0.50/ PAQ. X 2000 MARCA IMV</v>
      </c>
      <c r="AF33" s="2">
        <v>8</v>
      </c>
      <c r="AG33" s="2"/>
      <c r="AH33" s="2"/>
    </row>
    <row r="34" spans="1:34" ht="49.95" customHeight="1" x14ac:dyDescent="0.3">
      <c r="A34" s="2" t="s">
        <v>160</v>
      </c>
      <c r="B34" s="1" t="s">
        <v>161</v>
      </c>
      <c r="C34" s="1" t="s">
        <v>162</v>
      </c>
      <c r="D34" s="1" t="s">
        <v>163</v>
      </c>
      <c r="E34" s="1" t="s">
        <v>24</v>
      </c>
      <c r="F34" s="1">
        <v>1</v>
      </c>
      <c r="G34" s="2">
        <v>0</v>
      </c>
      <c r="H34" s="14">
        <f>SUMIF(ENTRADAS71417[CÓDIGO],PRODUCTOS31316[[#This Row],[CÓDIGO]],ENTRADAS71417[CANTIDAD])</f>
        <v>0</v>
      </c>
      <c r="I34" s="11">
        <f>SUMIF(SALIDAS111518[CÓDIGO],PRODUCTOS31316[[#This Row],[CÓDIGO]],SALIDAS111518[CANTIDAD])</f>
        <v>0</v>
      </c>
      <c r="J34" s="6">
        <f>PRODUCTOS31316[[#This Row],[EXISTENCIAS]]+PRODUCTOS31316[[#This Row],[ENTRADAS]]-PRODUCTOS31316[[#This Row],[SALIDAS]]</f>
        <v>0</v>
      </c>
      <c r="L34" s="2"/>
      <c r="M34" s="2"/>
      <c r="N34" s="2">
        <v>7760</v>
      </c>
      <c r="O34" s="2" t="s">
        <v>3179</v>
      </c>
      <c r="P34" s="16">
        <v>46048</v>
      </c>
      <c r="Q34" s="2" t="s">
        <v>1631</v>
      </c>
      <c r="R34" s="2" t="str">
        <f>VLOOKUP(SALIDAS111518[[#This Row],[CÓDIGO]],PRODUCTOS31316[],2,FALSE)</f>
        <v>7101-CRAL</v>
      </c>
      <c r="S34" s="1" t="str">
        <f>VLOOKUP(SALIDAS111518[[#This Row],[CÓDIGO]],PRODUCTOS31316[],3,FALSE)</f>
        <v>LAMINA PORTA OBJETOS LISA EN VIDRIO 26X76MM, BORDE ESMERILADO</v>
      </c>
      <c r="T34" s="2">
        <v>1</v>
      </c>
      <c r="U34" s="2"/>
      <c r="V34" s="2"/>
      <c r="W34" s="2"/>
      <c r="X34" s="2"/>
      <c r="Y34" s="7"/>
      <c r="Z34" s="2" t="s">
        <v>3742</v>
      </c>
      <c r="AA34" s="1" t="s">
        <v>3741</v>
      </c>
      <c r="AB34" s="16">
        <v>46036</v>
      </c>
      <c r="AC34" s="2" t="s">
        <v>3700</v>
      </c>
      <c r="AD34" s="1">
        <f>VLOOKUP(ENTRADAS71417[[#This Row],[CÓDIGO]],PRODUCTOS31316[],2,FALSE)</f>
        <v>5709</v>
      </c>
      <c r="AE34" s="1" t="str">
        <f>VLOOKUP(ENTRADAS71417[[#This Row],[CÓDIGO]],PRODUCTOS31316[],3,FALSE)</f>
        <v>PAJUELA ROJA 0.50/ PAQ. X 2000 MARCA IMV</v>
      </c>
      <c r="AF34" s="2">
        <v>4</v>
      </c>
      <c r="AG34" s="2"/>
      <c r="AH34" s="2"/>
    </row>
    <row r="35" spans="1:34" ht="49.95" customHeight="1" x14ac:dyDescent="0.3">
      <c r="A35" s="2" t="s">
        <v>164</v>
      </c>
      <c r="B35" s="1">
        <v>12001</v>
      </c>
      <c r="C35" s="1" t="s">
        <v>165</v>
      </c>
      <c r="D35" s="1" t="s">
        <v>166</v>
      </c>
      <c r="E35" s="1" t="s">
        <v>24</v>
      </c>
      <c r="F35" s="1" t="s">
        <v>68</v>
      </c>
      <c r="G35" s="2">
        <v>0</v>
      </c>
      <c r="H35" s="14">
        <f>SUMIF(ENTRADAS71417[CÓDIGO],PRODUCTOS31316[[#This Row],[CÓDIGO]],ENTRADAS71417[CANTIDAD])</f>
        <v>0</v>
      </c>
      <c r="I35" s="11">
        <f>SUMIF(SALIDAS111518[CÓDIGO],PRODUCTOS31316[[#This Row],[CÓDIGO]],SALIDAS111518[CANTIDAD])</f>
        <v>0</v>
      </c>
      <c r="J35" s="6">
        <f>PRODUCTOS31316[[#This Row],[EXISTENCIAS]]+PRODUCTOS31316[[#This Row],[ENTRADAS]]-PRODUCTOS31316[[#This Row],[SALIDAS]]</f>
        <v>0</v>
      </c>
      <c r="L35" s="2"/>
      <c r="M35" s="2"/>
      <c r="N35" s="2">
        <v>7760</v>
      </c>
      <c r="O35" s="2" t="s">
        <v>3179</v>
      </c>
      <c r="P35" s="16">
        <v>46048</v>
      </c>
      <c r="Q35" s="2" t="s">
        <v>1637</v>
      </c>
      <c r="R35" s="2" t="str">
        <f>VLOOKUP(SALIDAS111518[[#This Row],[CÓDIGO]],PRODUCTOS31316[],2,FALSE)</f>
        <v>P22X22</v>
      </c>
      <c r="S35" s="1" t="str">
        <f>VLOOKUP(SALIDAS111518[[#This Row],[CÓDIGO]],PRODUCTOS31316[],3,FALSE)</f>
        <v>LAMINA CUBRE OBJETO EN VIDRIO 22X22</v>
      </c>
      <c r="T35" s="2">
        <v>1</v>
      </c>
      <c r="U35" s="2"/>
      <c r="V35" s="2"/>
      <c r="W35" s="2"/>
      <c r="X35" s="2"/>
      <c r="Y35" s="7"/>
      <c r="Z35" s="2" t="s">
        <v>3742</v>
      </c>
      <c r="AA35" s="1" t="s">
        <v>3741</v>
      </c>
      <c r="AB35" s="16">
        <v>46036</v>
      </c>
      <c r="AC35" s="2" t="s">
        <v>3701</v>
      </c>
      <c r="AD35" s="1">
        <f>VLOOKUP(ENTRADAS71417[[#This Row],[CÓDIGO]],PRODUCTOS31316[],2,FALSE)</f>
        <v>5685</v>
      </c>
      <c r="AE35" s="1" t="str">
        <f>VLOOKUP(ENTRADAS71417[[#This Row],[CÓDIGO]],PRODUCTOS31316[],3,FALSE)</f>
        <v>PAJUELA ANARANJADO 0.50/ PAQ. X 2000 MARCA IMV</v>
      </c>
      <c r="AF35" s="2">
        <v>2</v>
      </c>
      <c r="AG35" s="2"/>
      <c r="AH35" s="2"/>
    </row>
    <row r="36" spans="1:34" ht="49.95" customHeight="1" x14ac:dyDescent="0.3">
      <c r="A36" s="2" t="s">
        <v>169</v>
      </c>
      <c r="B36" s="1">
        <v>627161</v>
      </c>
      <c r="C36" s="1" t="s">
        <v>170</v>
      </c>
      <c r="D36" s="1" t="s">
        <v>171</v>
      </c>
      <c r="E36" s="1" t="s">
        <v>24</v>
      </c>
      <c r="F36" s="1" t="s">
        <v>172</v>
      </c>
      <c r="G36" s="2">
        <v>0</v>
      </c>
      <c r="H36" s="14">
        <f>SUMIF(ENTRADAS71417[CÓDIGO],PRODUCTOS31316[[#This Row],[CÓDIGO]],ENTRADAS71417[CANTIDAD])</f>
        <v>0</v>
      </c>
      <c r="I36" s="11">
        <f>SUMIF(SALIDAS111518[CÓDIGO],PRODUCTOS31316[[#This Row],[CÓDIGO]],SALIDAS111518[CANTIDAD])</f>
        <v>0</v>
      </c>
      <c r="J36" s="6">
        <f>PRODUCTOS31316[[#This Row],[EXISTENCIAS]]+PRODUCTOS31316[[#This Row],[ENTRADAS]]-PRODUCTOS31316[[#This Row],[SALIDAS]]</f>
        <v>0</v>
      </c>
      <c r="L36" s="2"/>
      <c r="M36" s="2"/>
      <c r="N36" s="2">
        <v>7760</v>
      </c>
      <c r="O36" s="2" t="s">
        <v>3179</v>
      </c>
      <c r="P36" s="16">
        <v>46048</v>
      </c>
      <c r="Q36" s="2" t="s">
        <v>683</v>
      </c>
      <c r="R36" s="2">
        <f>VLOOKUP(SALIDAS111518[[#This Row],[CÓDIGO]],PRODUCTOS31316[],2,FALSE)</f>
        <v>109304</v>
      </c>
      <c r="S36" s="1" t="str">
        <f>VLOOKUP(SALIDAS111518[[#This Row],[CÓDIGO]],PRODUCTOS31316[],3,FALSE)</f>
        <v>EOSINA- NIGROSINA</v>
      </c>
      <c r="T36" s="2">
        <v>1</v>
      </c>
      <c r="U36" s="2"/>
      <c r="V36" s="2"/>
      <c r="W36" s="2"/>
      <c r="X36" s="2"/>
      <c r="Y36" s="7"/>
      <c r="Z36" s="2" t="s">
        <v>3742</v>
      </c>
      <c r="AA36" s="1" t="s">
        <v>3741</v>
      </c>
      <c r="AB36" s="16">
        <v>46036</v>
      </c>
      <c r="AC36" s="2" t="s">
        <v>3702</v>
      </c>
      <c r="AD36" s="1">
        <f>VLOOKUP(ENTRADAS71417[[#This Row],[CÓDIGO]],PRODUCTOS31316[],2,FALSE)</f>
        <v>5710</v>
      </c>
      <c r="AE36" s="1" t="str">
        <f>VLOOKUP(ENTRADAS71417[[#This Row],[CÓDIGO]],PRODUCTOS31316[],3,FALSE)</f>
        <v>PAJUELA VERDE 0.50/ PAQ. X 2000 MARCA IMV</v>
      </c>
      <c r="AF36" s="2">
        <v>4</v>
      </c>
      <c r="AG36" s="2"/>
      <c r="AH36" s="2"/>
    </row>
    <row r="37" spans="1:34" ht="49.95" customHeight="1" x14ac:dyDescent="0.3">
      <c r="A37" s="2" t="s">
        <v>174</v>
      </c>
      <c r="B37" s="1">
        <v>6200</v>
      </c>
      <c r="C37" s="1" t="s">
        <v>175</v>
      </c>
      <c r="D37" s="1" t="s">
        <v>176</v>
      </c>
      <c r="E37" s="1" t="s">
        <v>177</v>
      </c>
      <c r="F37" s="1" t="s">
        <v>172</v>
      </c>
      <c r="G37" s="2">
        <v>0</v>
      </c>
      <c r="H37" s="14">
        <f>SUMIF(ENTRADAS71417[CÓDIGO],PRODUCTOS31316[[#This Row],[CÓDIGO]],ENTRADAS71417[CANTIDAD])</f>
        <v>0</v>
      </c>
      <c r="I37" s="11">
        <f>SUMIF(SALIDAS111518[CÓDIGO],PRODUCTOS31316[[#This Row],[CÓDIGO]],SALIDAS111518[CANTIDAD])</f>
        <v>0</v>
      </c>
      <c r="J37" s="6">
        <f>PRODUCTOS31316[[#This Row],[EXISTENCIAS]]+PRODUCTOS31316[[#This Row],[ENTRADAS]]-PRODUCTOS31316[[#This Row],[SALIDAS]]</f>
        <v>0</v>
      </c>
      <c r="L37" s="2"/>
      <c r="M37" s="2"/>
      <c r="N37" s="2">
        <v>7760</v>
      </c>
      <c r="O37" s="2" t="s">
        <v>3179</v>
      </c>
      <c r="P37" s="16">
        <v>46048</v>
      </c>
      <c r="Q37" s="282" t="s">
        <v>3095</v>
      </c>
      <c r="R37" s="2">
        <f>VLOOKUP(SALIDAS111518[[#This Row],[CÓDIGO]],PRODUCTOS31316[],2,FALSE)</f>
        <v>0</v>
      </c>
      <c r="S37" s="1" t="str">
        <f>VLOOKUP(SALIDAS111518[[#This Row],[CÓDIGO]],PRODUCTOS31316[],3,FALSE)</f>
        <v>GORRA MAS CAMPO</v>
      </c>
      <c r="T37" s="2">
        <v>1</v>
      </c>
      <c r="U37" s="2"/>
      <c r="V37" s="2"/>
      <c r="W37" s="2"/>
      <c r="X37" s="2"/>
      <c r="Y37" s="7"/>
      <c r="Z37" s="2" t="s">
        <v>3742</v>
      </c>
      <c r="AA37" s="1" t="s">
        <v>3741</v>
      </c>
      <c r="AB37" s="16">
        <v>46036</v>
      </c>
      <c r="AC37" s="2" t="s">
        <v>3703</v>
      </c>
      <c r="AD37" s="1" t="str">
        <f>VLOOKUP(ENTRADAS71417[[#This Row],[CÓDIGO]],PRODUCTOS31316[],2,FALSE)</f>
        <v>13407-010</v>
      </c>
      <c r="AE37" s="1" t="str">
        <f>VLOOKUP(ENTRADAS71417[[#This Row],[CÓDIGO]],PRODUCTOS31316[],3,FALSE)</f>
        <v>PAJUELA TRANSPARENTES 0.25/ PAQ. X 2000 MARCA MINITUBE</v>
      </c>
      <c r="AF37" s="2">
        <v>10</v>
      </c>
      <c r="AG37" s="2"/>
      <c r="AH37" s="2"/>
    </row>
    <row r="38" spans="1:34" ht="49.95" customHeight="1" x14ac:dyDescent="0.3">
      <c r="A38" s="2" t="s">
        <v>179</v>
      </c>
      <c r="B38" s="1" t="s">
        <v>180</v>
      </c>
      <c r="C38" s="1" t="s">
        <v>181</v>
      </c>
      <c r="D38" s="1" t="s">
        <v>182</v>
      </c>
      <c r="E38" s="1" t="s">
        <v>183</v>
      </c>
      <c r="F38" s="1" t="s">
        <v>184</v>
      </c>
      <c r="G38" s="2">
        <v>0</v>
      </c>
      <c r="H38" s="14">
        <f>SUMIF(ENTRADAS71417[CÓDIGO],PRODUCTOS31316[[#This Row],[CÓDIGO]],ENTRADAS71417[CANTIDAD])</f>
        <v>0</v>
      </c>
      <c r="I38" s="11">
        <f>SUMIF(SALIDAS111518[CÓDIGO],PRODUCTOS31316[[#This Row],[CÓDIGO]],SALIDAS111518[CANTIDAD])</f>
        <v>0</v>
      </c>
      <c r="J38" s="6">
        <f>PRODUCTOS31316[[#This Row],[EXISTENCIAS]]+PRODUCTOS31316[[#This Row],[ENTRADAS]]-PRODUCTOS31316[[#This Row],[SALIDAS]]</f>
        <v>0</v>
      </c>
      <c r="L38" s="2"/>
      <c r="M38" s="2"/>
      <c r="N38" s="2">
        <v>7760</v>
      </c>
      <c r="O38" s="2" t="s">
        <v>3179</v>
      </c>
      <c r="P38" s="16">
        <v>46048</v>
      </c>
      <c r="Q38" s="282" t="s">
        <v>3645</v>
      </c>
      <c r="R38" s="2">
        <f>VLOOKUP(SALIDAS111518[[#This Row],[CÓDIGO]],PRODUCTOS31316[],2,FALSE)</f>
        <v>0</v>
      </c>
      <c r="S38" s="1" t="str">
        <f>VLOOKUP(SALIDAS111518[[#This Row],[CÓDIGO]],PRODUCTOS31316[],3,FALSE)</f>
        <v>AGENDA MAS CAMPO</v>
      </c>
      <c r="T38" s="2">
        <v>1</v>
      </c>
      <c r="U38" s="2"/>
      <c r="V38" s="2"/>
      <c r="W38" s="2"/>
      <c r="X38" s="2"/>
      <c r="Y38" s="7"/>
      <c r="Z38" s="2" t="s">
        <v>3742</v>
      </c>
      <c r="AA38" s="1" t="s">
        <v>3741</v>
      </c>
      <c r="AB38" s="16">
        <v>46036</v>
      </c>
      <c r="AC38" s="2" t="s">
        <v>3704</v>
      </c>
      <c r="AD38" s="1" t="str">
        <f>VLOOKUP(ENTRADAS71417[[#This Row],[CÓDIGO]],PRODUCTOS31316[],2,FALSE)</f>
        <v>13407-044</v>
      </c>
      <c r="AE38" s="1" t="str">
        <f>VLOOKUP(ENTRADAS71417[[#This Row],[CÓDIGO]],PRODUCTOS31316[],3,FALSE)</f>
        <v>PAJUELA ROJA 0.25/ PAQ. X 2000 MARCA MINITUBE</v>
      </c>
      <c r="AF38" s="2">
        <v>2</v>
      </c>
      <c r="AG38" s="2"/>
      <c r="AH38" s="2"/>
    </row>
    <row r="39" spans="1:34" ht="49.95" customHeight="1" x14ac:dyDescent="0.3">
      <c r="A39" s="2" t="s">
        <v>186</v>
      </c>
      <c r="B39" s="1" t="s">
        <v>187</v>
      </c>
      <c r="C39" s="1" t="s">
        <v>188</v>
      </c>
      <c r="D39" s="1" t="s">
        <v>189</v>
      </c>
      <c r="E39" s="1" t="s">
        <v>190</v>
      </c>
      <c r="F39" s="1" t="s">
        <v>191</v>
      </c>
      <c r="G39" s="2">
        <v>0</v>
      </c>
      <c r="H39" s="14">
        <f>SUMIF(ENTRADAS71417[CÓDIGO],PRODUCTOS31316[[#This Row],[CÓDIGO]],ENTRADAS71417[CANTIDAD])</f>
        <v>0</v>
      </c>
      <c r="I39" s="11">
        <f>SUMIF(SALIDAS111518[CÓDIGO],PRODUCTOS31316[[#This Row],[CÓDIGO]],SALIDAS111518[CANTIDAD])</f>
        <v>0</v>
      </c>
      <c r="J39" s="6">
        <f>PRODUCTOS31316[[#This Row],[EXISTENCIAS]]+PRODUCTOS31316[[#This Row],[ENTRADAS]]-PRODUCTOS31316[[#This Row],[SALIDAS]]</f>
        <v>0</v>
      </c>
      <c r="L39" s="2" t="s">
        <v>3521</v>
      </c>
      <c r="M39" s="2" t="s">
        <v>3653</v>
      </c>
      <c r="N39" s="288" t="s">
        <v>3727</v>
      </c>
      <c r="O39" s="1" t="s">
        <v>3716</v>
      </c>
      <c r="P39" s="16">
        <v>46036</v>
      </c>
      <c r="Q39" s="2" t="s">
        <v>2755</v>
      </c>
      <c r="R39" s="2" t="str">
        <f>VLOOKUP(SALIDAS111518[[#This Row],[CÓDIGO]],PRODUCTOS31316[],2,FALSE)</f>
        <v>MSLDO05</v>
      </c>
      <c r="S39" s="1" t="str">
        <f>VLOOKUP(SALIDAS111518[[#This Row],[CÓDIGO]],PRODUCTOS31316[],3,FALSE)</f>
        <v>TERMO DE RECOLECCIÓN DE SEMEN/ USO VETERINARIO</v>
      </c>
      <c r="T39" s="2">
        <v>1</v>
      </c>
      <c r="U39" s="2">
        <v>16</v>
      </c>
      <c r="V39" s="2"/>
      <c r="W39" s="282" t="s">
        <v>3412</v>
      </c>
      <c r="X39" s="2"/>
      <c r="Y39" s="7"/>
      <c r="Z39" s="2" t="s">
        <v>3742</v>
      </c>
      <c r="AA39" s="1" t="s">
        <v>3741</v>
      </c>
      <c r="AB39" s="16">
        <v>46036</v>
      </c>
      <c r="AC39" s="2" t="s">
        <v>3705</v>
      </c>
      <c r="AD39" s="1" t="str">
        <f>VLOOKUP(ENTRADAS71417[[#This Row],[CÓDIGO]],PRODUCTOS31316[],2,FALSE)</f>
        <v>13407-054</v>
      </c>
      <c r="AE39" s="1" t="str">
        <f>VLOOKUP(ENTRADAS71417[[#This Row],[CÓDIGO]],PRODUCTOS31316[],3,FALSE)</f>
        <v>PAJUELA VERDE 0.25/ PAQ. X 2000 MARCA MINITUBE</v>
      </c>
      <c r="AF39" s="2">
        <v>2</v>
      </c>
      <c r="AG39" s="2"/>
      <c r="AH39" s="2"/>
    </row>
    <row r="40" spans="1:34" ht="49.95" customHeight="1" x14ac:dyDescent="0.3">
      <c r="A40" s="2" t="s">
        <v>194</v>
      </c>
      <c r="C40" s="1" t="s">
        <v>195</v>
      </c>
      <c r="D40" s="1" t="s">
        <v>88</v>
      </c>
      <c r="E40" s="1" t="s">
        <v>24</v>
      </c>
      <c r="F40" s="1" t="s">
        <v>196</v>
      </c>
      <c r="G40" s="2">
        <v>0</v>
      </c>
      <c r="H40" s="14">
        <f>SUMIF(ENTRADAS71417[CÓDIGO],PRODUCTOS31316[[#This Row],[CÓDIGO]],ENTRADAS71417[CANTIDAD])</f>
        <v>0</v>
      </c>
      <c r="I40" s="11">
        <f>SUMIF(SALIDAS111518[CÓDIGO],PRODUCTOS31316[[#This Row],[CÓDIGO]],SALIDAS111518[CANTIDAD])</f>
        <v>0</v>
      </c>
      <c r="J40" s="6">
        <f>PRODUCTOS31316[[#This Row],[EXISTENCIAS]]+PRODUCTOS31316[[#This Row],[ENTRADAS]]-PRODUCTOS31316[[#This Row],[SALIDAS]]</f>
        <v>0</v>
      </c>
      <c r="L40" s="2" t="s">
        <v>3520</v>
      </c>
      <c r="M40" s="2" t="s">
        <v>3653</v>
      </c>
      <c r="N40" s="2" t="s">
        <v>3728</v>
      </c>
      <c r="O40" s="1" t="s">
        <v>2720</v>
      </c>
      <c r="P40" s="16">
        <v>46036</v>
      </c>
      <c r="Q40" s="2" t="s">
        <v>36</v>
      </c>
      <c r="R40" s="2">
        <f>VLOOKUP(SALIDAS111518[[#This Row],[CÓDIGO]],PRODUCTOS31316[],2,FALSE)</f>
        <v>1</v>
      </c>
      <c r="S40" s="1" t="str">
        <f>VLOOKUP(SALIDAS111518[[#This Row],[CÓDIGO]],PRODUCTOS31316[],3,FALSE)</f>
        <v xml:space="preserve">PARCHE ESTROTECT </v>
      </c>
      <c r="T40" s="2">
        <v>1</v>
      </c>
      <c r="U40" s="2">
        <v>17</v>
      </c>
      <c r="V40" s="2"/>
      <c r="W40" s="2"/>
      <c r="X40" s="2"/>
      <c r="Y40" s="7"/>
      <c r="Z40" s="2" t="s">
        <v>3742</v>
      </c>
      <c r="AA40" s="1" t="s">
        <v>3741</v>
      </c>
      <c r="AB40" s="16">
        <v>46036</v>
      </c>
      <c r="AC40" s="2" t="s">
        <v>3706</v>
      </c>
      <c r="AD40" s="1" t="str">
        <f>VLOOKUP(ENTRADAS71417[[#This Row],[CÓDIGO]],PRODUCTOS31316[],2,FALSE)</f>
        <v>13407-064</v>
      </c>
      <c r="AE40" s="1" t="str">
        <f>VLOOKUP(ENTRADAS71417[[#This Row],[CÓDIGO]],PRODUCTOS31316[],3,FALSE)</f>
        <v>PAJUELA AZUL 0.25/ PAQ. X 2000 MARCA MINITUBE</v>
      </c>
      <c r="AF40" s="2">
        <v>2</v>
      </c>
      <c r="AG40" s="2"/>
      <c r="AH40" s="2"/>
    </row>
    <row r="41" spans="1:34" ht="49.95" customHeight="1" x14ac:dyDescent="0.3">
      <c r="A41" s="2" t="s">
        <v>198</v>
      </c>
      <c r="B41" s="1">
        <v>5563</v>
      </c>
      <c r="C41" s="1" t="s">
        <v>199</v>
      </c>
      <c r="D41" s="1" t="s">
        <v>156</v>
      </c>
      <c r="E41" s="1" t="s">
        <v>200</v>
      </c>
      <c r="F41" s="1" t="s">
        <v>201</v>
      </c>
      <c r="G41" s="2">
        <v>0</v>
      </c>
      <c r="H41" s="14">
        <f>SUMIF(ENTRADAS71417[CÓDIGO],PRODUCTOS31316[[#This Row],[CÓDIGO]],ENTRADAS71417[CANTIDAD])</f>
        <v>0</v>
      </c>
      <c r="I41" s="11">
        <f>SUMIF(SALIDAS111518[CÓDIGO],PRODUCTOS31316[[#This Row],[CÓDIGO]],SALIDAS111518[CANTIDAD])</f>
        <v>0</v>
      </c>
      <c r="J41" s="6">
        <f>PRODUCTOS31316[[#This Row],[EXISTENCIAS]]+PRODUCTOS31316[[#This Row],[ENTRADAS]]-PRODUCTOS31316[[#This Row],[SALIDAS]]</f>
        <v>0</v>
      </c>
      <c r="L41" s="2" t="s">
        <v>3521</v>
      </c>
      <c r="M41" s="2" t="s">
        <v>3653</v>
      </c>
      <c r="N41" s="2" t="s">
        <v>3719</v>
      </c>
      <c r="O41" s="2" t="s">
        <v>3411</v>
      </c>
      <c r="P41" s="16">
        <v>46037</v>
      </c>
      <c r="Q41" s="2" t="s">
        <v>714</v>
      </c>
      <c r="R41" s="2" t="str">
        <f>VLOOKUP(SALIDAS111518[[#This Row],[CÓDIGO]],PRODUCTOS31316[],2,FALSE)</f>
        <v>S1</v>
      </c>
      <c r="S41" s="1" t="str">
        <f>VLOOKUP(SALIDAS111518[[#This Row],[CÓDIGO]],PRODUCTOS31316[],3,FALSE)</f>
        <v>ECÓGRAFO PORTATIL S1, PROBE RECTAL  Y PROTECTOR SOLAR</v>
      </c>
      <c r="T41" s="2">
        <v>1</v>
      </c>
      <c r="U41" s="2">
        <v>18</v>
      </c>
      <c r="V41" s="2"/>
      <c r="W41" s="2"/>
      <c r="X41" s="2"/>
      <c r="Y41" s="7"/>
      <c r="Z41" s="2" t="s">
        <v>3742</v>
      </c>
      <c r="AA41" s="1" t="s">
        <v>3741</v>
      </c>
      <c r="AB41" s="16">
        <v>46036</v>
      </c>
      <c r="AC41" s="2" t="s">
        <v>3707</v>
      </c>
      <c r="AD41" s="1" t="str">
        <f>VLOOKUP(ENTRADAS71417[[#This Row],[CÓDIGO]],PRODUCTOS31316[],2,FALSE)</f>
        <v>13407-094</v>
      </c>
      <c r="AE41" s="1" t="str">
        <f>VLOOKUP(ENTRADAS71417[[#This Row],[CÓDIGO]],PRODUCTOS31316[],3,FALSE)</f>
        <v>PAJUELA AMARILLA 0.25/ PAQ. X 2000 MARCA MINITUBE</v>
      </c>
      <c r="AF41" s="2">
        <v>2</v>
      </c>
      <c r="AG41" s="2"/>
      <c r="AH41" s="2"/>
    </row>
    <row r="42" spans="1:34" ht="49.95" customHeight="1" x14ac:dyDescent="0.3">
      <c r="A42" s="2" t="s">
        <v>204</v>
      </c>
      <c r="C42" s="1" t="s">
        <v>205</v>
      </c>
      <c r="D42" s="1" t="s">
        <v>166</v>
      </c>
      <c r="E42" s="1" t="s">
        <v>24</v>
      </c>
      <c r="F42" s="1" t="s">
        <v>206</v>
      </c>
      <c r="G42" s="2">
        <v>0</v>
      </c>
      <c r="H42" s="14">
        <f>SUMIF(ENTRADAS71417[CÓDIGO],PRODUCTOS31316[[#This Row],[CÓDIGO]],ENTRADAS71417[CANTIDAD])</f>
        <v>0</v>
      </c>
      <c r="I42" s="11">
        <f>SUMIF(SALIDAS111518[CÓDIGO],PRODUCTOS31316[[#This Row],[CÓDIGO]],SALIDAS111518[CANTIDAD])</f>
        <v>0</v>
      </c>
      <c r="J42" s="6">
        <f>PRODUCTOS31316[[#This Row],[EXISTENCIAS]]+PRODUCTOS31316[[#This Row],[ENTRADAS]]-PRODUCTOS31316[[#This Row],[SALIDAS]]</f>
        <v>0</v>
      </c>
      <c r="L42" s="2" t="s">
        <v>3520</v>
      </c>
      <c r="M42" s="2" t="s">
        <v>3653</v>
      </c>
      <c r="N42" s="2" t="s">
        <v>3729</v>
      </c>
      <c r="O42" s="1" t="s">
        <v>2523</v>
      </c>
      <c r="P42" s="16">
        <v>46036</v>
      </c>
      <c r="Q42" s="2" t="s">
        <v>3375</v>
      </c>
      <c r="R42" s="2" t="str">
        <f>VLOOKUP(SALIDAS111518[[#This Row],[CÓDIGO]],PRODUCTOS31316[],2,FALSE)</f>
        <v>13500/0250</v>
      </c>
      <c r="S42" s="1" t="str">
        <f>VLOOKUP(SALIDAS111518[[#This Row],[CÓDIGO]],PRODUCTOS31316[],3,FALSE)</f>
        <v>TRILADYL 250 ML</v>
      </c>
      <c r="T42" s="2">
        <v>1</v>
      </c>
      <c r="U42" s="2">
        <v>19</v>
      </c>
      <c r="V42" s="2" t="s">
        <v>2734</v>
      </c>
      <c r="W42" s="2"/>
      <c r="X42" s="2"/>
      <c r="Y42" s="7"/>
      <c r="Z42" s="2" t="s">
        <v>3742</v>
      </c>
      <c r="AA42" s="1" t="s">
        <v>3741</v>
      </c>
      <c r="AB42" s="16">
        <v>46036</v>
      </c>
      <c r="AC42" s="2" t="s">
        <v>3708</v>
      </c>
      <c r="AD42" s="1" t="str">
        <f>VLOOKUP(ENTRADAS71417[[#This Row],[CÓDIGO]],PRODUCTOS31316[],2,FALSE)</f>
        <v>13407-144</v>
      </c>
      <c r="AE42" s="1" t="str">
        <f>VLOOKUP(ENTRADAS71417[[#This Row],[CÓDIGO]],PRODUCTOS31316[],3,FALSE)</f>
        <v>PAJUELA ANARANJADA 0.25/ PAQ. X 2000 MARCA MINITUBE</v>
      </c>
      <c r="AF42" s="2">
        <v>2</v>
      </c>
      <c r="AG42" s="2"/>
      <c r="AH42" s="2"/>
    </row>
    <row r="43" spans="1:34" ht="49.95" customHeight="1" x14ac:dyDescent="0.3">
      <c r="A43" s="2" t="s">
        <v>208</v>
      </c>
      <c r="B43" s="1">
        <v>7495</v>
      </c>
      <c r="C43" s="1" t="s">
        <v>209</v>
      </c>
      <c r="D43" s="1" t="s">
        <v>156</v>
      </c>
      <c r="E43" s="1" t="s">
        <v>123</v>
      </c>
      <c r="F43" s="1" t="s">
        <v>62</v>
      </c>
      <c r="G43" s="2">
        <v>0</v>
      </c>
      <c r="H43" s="14">
        <f>SUMIF(ENTRADAS71417[CÓDIGO],PRODUCTOS31316[[#This Row],[CÓDIGO]],ENTRADAS71417[CANTIDAD])</f>
        <v>0</v>
      </c>
      <c r="I43" s="11">
        <f>SUMIF(SALIDAS111518[CÓDIGO],PRODUCTOS31316[[#This Row],[CÓDIGO]],SALIDAS111518[CANTIDAD])</f>
        <v>0</v>
      </c>
      <c r="J43" s="6">
        <f>PRODUCTOS31316[[#This Row],[EXISTENCIAS]]+PRODUCTOS31316[[#This Row],[ENTRADAS]]-PRODUCTOS31316[[#This Row],[SALIDAS]]</f>
        <v>0</v>
      </c>
      <c r="L43" s="2"/>
      <c r="M43" s="2"/>
      <c r="N43" s="2">
        <v>7701</v>
      </c>
      <c r="O43" s="1" t="s">
        <v>2523</v>
      </c>
      <c r="P43" s="16">
        <v>46036</v>
      </c>
      <c r="Q43" s="2" t="s">
        <v>104</v>
      </c>
      <c r="R43" s="2">
        <f>VLOOKUP(SALIDAS111518[[#This Row],[CÓDIGO]],PRODUCTOS31316[],2,FALSE)</f>
        <v>0</v>
      </c>
      <c r="S43" s="1" t="str">
        <f>VLOOKUP(SALIDAS111518[[#This Row],[CÓDIGO]],PRODUCTOS31316[],3,FALSE)</f>
        <v>ISPERM CHIPS (500 TESTS PER BOX) PAQ. X 50 UND</v>
      </c>
      <c r="T43" s="2">
        <v>2</v>
      </c>
      <c r="U43" s="2"/>
      <c r="V43" s="2"/>
      <c r="W43" s="2"/>
      <c r="X43" s="2"/>
      <c r="Y43" s="7"/>
      <c r="Z43" s="2" t="s">
        <v>3742</v>
      </c>
      <c r="AA43" s="1" t="s">
        <v>3741</v>
      </c>
      <c r="AB43" s="16">
        <v>46036</v>
      </c>
      <c r="AC43" s="2" t="s">
        <v>3709</v>
      </c>
      <c r="AD43" s="1" t="str">
        <f>VLOOKUP(ENTRADAS71417[[#This Row],[CÓDIGO]],PRODUCTOS31316[],2,FALSE)</f>
        <v>13408-010</v>
      </c>
      <c r="AE43" s="1" t="str">
        <f>VLOOKUP(ENTRADAS71417[[#This Row],[CÓDIGO]],PRODUCTOS31316[],3,FALSE)</f>
        <v>PAJUELA TRANSPARENTE 0.50/ PAQ. X 2500 MARCA MINITUBE</v>
      </c>
      <c r="AF43" s="2">
        <v>10</v>
      </c>
      <c r="AG43" s="2"/>
      <c r="AH43" s="2"/>
    </row>
    <row r="44" spans="1:34" ht="49.95" customHeight="1" x14ac:dyDescent="0.3">
      <c r="A44" s="2" t="s">
        <v>211</v>
      </c>
      <c r="B44" s="1">
        <v>100424</v>
      </c>
      <c r="C44" s="1" t="s">
        <v>212</v>
      </c>
      <c r="D44" s="1" t="s">
        <v>213</v>
      </c>
      <c r="E44" s="1" t="s">
        <v>24</v>
      </c>
      <c r="F44" s="1" t="s">
        <v>30</v>
      </c>
      <c r="G44" s="2">
        <v>0</v>
      </c>
      <c r="H44" s="14">
        <f>SUMIF(ENTRADAS71417[CÓDIGO],PRODUCTOS31316[[#This Row],[CÓDIGO]],ENTRADAS71417[CANTIDAD])</f>
        <v>0</v>
      </c>
      <c r="I44" s="11">
        <f>SUMIF(SALIDAS111518[CÓDIGO],PRODUCTOS31316[[#This Row],[CÓDIGO]],SALIDAS111518[CANTIDAD])</f>
        <v>0</v>
      </c>
      <c r="J44" s="6">
        <f>PRODUCTOS31316[[#This Row],[EXISTENCIAS]]+PRODUCTOS31316[[#This Row],[ENTRADAS]]-PRODUCTOS31316[[#This Row],[SALIDAS]]</f>
        <v>0</v>
      </c>
      <c r="L44" s="2" t="s">
        <v>3521</v>
      </c>
      <c r="M44" s="2" t="s">
        <v>3653</v>
      </c>
      <c r="N44" s="288" t="s">
        <v>3730</v>
      </c>
      <c r="O44" s="2" t="s">
        <v>3720</v>
      </c>
      <c r="P44" s="16">
        <v>46036</v>
      </c>
      <c r="Q44" s="2" t="s">
        <v>36</v>
      </c>
      <c r="R44" s="2">
        <f>VLOOKUP(SALIDAS111518[[#This Row],[CÓDIGO]],PRODUCTOS31316[],2,FALSE)</f>
        <v>1</v>
      </c>
      <c r="S44" s="1" t="str">
        <f>VLOOKUP(SALIDAS111518[[#This Row],[CÓDIGO]],PRODUCTOS31316[],3,FALSE)</f>
        <v xml:space="preserve">PARCHE ESTROTECT </v>
      </c>
      <c r="T44" s="2">
        <v>1</v>
      </c>
      <c r="U44" s="2">
        <v>20</v>
      </c>
      <c r="V44" s="2"/>
      <c r="W44" s="282" t="s">
        <v>2823</v>
      </c>
      <c r="X44" s="2"/>
      <c r="Y44" s="7"/>
      <c r="Z44" s="2" t="s">
        <v>3742</v>
      </c>
      <c r="AA44" s="1" t="s">
        <v>3741</v>
      </c>
      <c r="AB44" s="16">
        <v>46036</v>
      </c>
      <c r="AC44" s="2" t="s">
        <v>3710</v>
      </c>
      <c r="AD44" s="1" t="str">
        <f>VLOOKUP(ENTRADAS71417[[#This Row],[CÓDIGO]],PRODUCTOS31316[],2,FALSE)</f>
        <v>13408-044</v>
      </c>
      <c r="AE44" s="1" t="str">
        <f>VLOOKUP(ENTRADAS71417[[#This Row],[CÓDIGO]],PRODUCTOS31316[],3,FALSE)</f>
        <v>PAJUELA ROJA 0.50/ PAQ. X 2500 MARCA MINITUBE</v>
      </c>
      <c r="AF44" s="2">
        <v>2</v>
      </c>
      <c r="AG44" s="2"/>
      <c r="AH44" s="2"/>
    </row>
    <row r="45" spans="1:34" ht="49.95" customHeight="1" x14ac:dyDescent="0.3">
      <c r="A45" s="2" t="s">
        <v>215</v>
      </c>
      <c r="C45" s="1" t="s">
        <v>216</v>
      </c>
      <c r="D45" s="1" t="s">
        <v>123</v>
      </c>
      <c r="E45" s="1" t="s">
        <v>123</v>
      </c>
      <c r="F45" s="1" t="s">
        <v>124</v>
      </c>
      <c r="G45" s="2">
        <v>0</v>
      </c>
      <c r="H45" s="14">
        <f>SUMIF(ENTRADAS71417[CÓDIGO],PRODUCTOS31316[[#This Row],[CÓDIGO]],ENTRADAS71417[CANTIDAD])</f>
        <v>0</v>
      </c>
      <c r="I45" s="11">
        <f>SUMIF(SALIDAS111518[CÓDIGO],PRODUCTOS31316[[#This Row],[CÓDIGO]],SALIDAS111518[CANTIDAD])</f>
        <v>0</v>
      </c>
      <c r="J45" s="6">
        <f>PRODUCTOS31316[[#This Row],[EXISTENCIAS]]+PRODUCTOS31316[[#This Row],[ENTRADAS]]-PRODUCTOS31316[[#This Row],[SALIDAS]]</f>
        <v>0</v>
      </c>
      <c r="L45" s="2" t="s">
        <v>3520</v>
      </c>
      <c r="M45" s="2" t="s">
        <v>3653</v>
      </c>
      <c r="N45" s="288" t="s">
        <v>3755</v>
      </c>
      <c r="O45" s="2" t="s">
        <v>2967</v>
      </c>
      <c r="P45" s="16">
        <v>46037</v>
      </c>
      <c r="Q45" s="2" t="s">
        <v>881</v>
      </c>
      <c r="R45" s="2">
        <f>VLOOKUP(SALIDAS111518[[#This Row],[CÓDIGO]],PRODUCTOS31316[],2,FALSE)</f>
        <v>1095350001</v>
      </c>
      <c r="S45" s="1" t="str">
        <f>VLOOKUP(SALIDAS111518[[#This Row],[CÓDIGO]],PRODUCTOS31316[],3,FALSE)</f>
        <v>TIRAS INDICADORAS DEL PH PH 0 - 14 INDICADOR UNIVERSAL NO DESTIÑEN 100 STRIPS</v>
      </c>
      <c r="T45" s="2">
        <v>1</v>
      </c>
      <c r="U45" s="2">
        <v>25</v>
      </c>
      <c r="V45" s="2"/>
      <c r="W45" s="288" t="s">
        <v>3412</v>
      </c>
      <c r="X45" s="2"/>
      <c r="Y45" s="7"/>
      <c r="Z45" s="2" t="s">
        <v>3742</v>
      </c>
      <c r="AA45" s="1" t="s">
        <v>3741</v>
      </c>
      <c r="AB45" s="16">
        <v>46036</v>
      </c>
      <c r="AC45" s="2" t="s">
        <v>3711</v>
      </c>
      <c r="AD45" s="1" t="str">
        <f>VLOOKUP(ENTRADAS71417[[#This Row],[CÓDIGO]],PRODUCTOS31316[],2,FALSE)</f>
        <v>13408-054</v>
      </c>
      <c r="AE45" s="1" t="str">
        <f>VLOOKUP(ENTRADAS71417[[#This Row],[CÓDIGO]],PRODUCTOS31316[],3,FALSE)</f>
        <v>PAJUELA VERDE 0.50/ PAQ. X 2500 MARCA MINITUBE</v>
      </c>
      <c r="AF45" s="2">
        <v>2</v>
      </c>
      <c r="AG45" s="2"/>
      <c r="AH45" s="2"/>
    </row>
    <row r="46" spans="1:34" ht="49.95" customHeight="1" x14ac:dyDescent="0.3">
      <c r="A46" s="2" t="s">
        <v>218</v>
      </c>
      <c r="C46" s="1" t="s">
        <v>219</v>
      </c>
      <c r="D46" s="1" t="s">
        <v>213</v>
      </c>
      <c r="E46" s="1" t="s">
        <v>24</v>
      </c>
      <c r="F46" s="1" t="s">
        <v>30</v>
      </c>
      <c r="G46" s="2">
        <v>0</v>
      </c>
      <c r="H46" s="14">
        <f>SUMIF(ENTRADAS71417[CÓDIGO],PRODUCTOS31316[[#This Row],[CÓDIGO]],ENTRADAS71417[CANTIDAD])</f>
        <v>0</v>
      </c>
      <c r="I46" s="11">
        <f>SUMIF(SALIDAS111518[CÓDIGO],PRODUCTOS31316[[#This Row],[CÓDIGO]],SALIDAS111518[CANTIDAD])</f>
        <v>0</v>
      </c>
      <c r="J46" s="6">
        <f>PRODUCTOS31316[[#This Row],[EXISTENCIAS]]+PRODUCTOS31316[[#This Row],[ENTRADAS]]-PRODUCTOS31316[[#This Row],[SALIDAS]]</f>
        <v>0</v>
      </c>
      <c r="L46" s="2"/>
      <c r="M46" s="2"/>
      <c r="N46" s="2">
        <v>7704</v>
      </c>
      <c r="O46" s="2" t="s">
        <v>2967</v>
      </c>
      <c r="P46" s="16">
        <v>46037</v>
      </c>
      <c r="Q46" s="2" t="s">
        <v>104</v>
      </c>
      <c r="R46" s="2">
        <f>VLOOKUP(SALIDAS111518[[#This Row],[CÓDIGO]],PRODUCTOS31316[],2,FALSE)</f>
        <v>0</v>
      </c>
      <c r="S46" s="1" t="str">
        <f>VLOOKUP(SALIDAS111518[[#This Row],[CÓDIGO]],PRODUCTOS31316[],3,FALSE)</f>
        <v>ISPERM CHIPS (500 TESTS PER BOX) PAQ. X 50 UND</v>
      </c>
      <c r="T46" s="2">
        <v>1</v>
      </c>
      <c r="U46" s="2"/>
      <c r="V46" s="2"/>
      <c r="W46" s="2"/>
      <c r="X46" s="2"/>
      <c r="Y46" s="7"/>
      <c r="Z46" s="2" t="s">
        <v>3742</v>
      </c>
      <c r="AA46" s="1" t="s">
        <v>3741</v>
      </c>
      <c r="AB46" s="16">
        <v>46036</v>
      </c>
      <c r="AC46" s="2" t="s">
        <v>3712</v>
      </c>
      <c r="AD46" s="1" t="str">
        <f>VLOOKUP(ENTRADAS71417[[#This Row],[CÓDIGO]],PRODUCTOS31316[],2,FALSE)</f>
        <v>13408-064</v>
      </c>
      <c r="AE46" s="1" t="str">
        <f>VLOOKUP(ENTRADAS71417[[#This Row],[CÓDIGO]],PRODUCTOS31316[],3,FALSE)</f>
        <v>PAJUELA AZUL 0.50/ PAQ. X 2500 MARCA MINITUBE</v>
      </c>
      <c r="AF46" s="2">
        <v>1</v>
      </c>
      <c r="AG46" s="2"/>
      <c r="AH46" s="2"/>
    </row>
    <row r="47" spans="1:34" ht="49.95" customHeight="1" x14ac:dyDescent="0.3">
      <c r="A47" s="2" t="s">
        <v>221</v>
      </c>
      <c r="C47" s="74" t="s">
        <v>222</v>
      </c>
      <c r="D47" s="1" t="s">
        <v>223</v>
      </c>
      <c r="E47" s="1" t="s">
        <v>177</v>
      </c>
      <c r="F47" s="1" t="s">
        <v>224</v>
      </c>
      <c r="G47" s="2">
        <v>0</v>
      </c>
      <c r="H47" s="14">
        <f>SUMIF(ENTRADAS71417[CÓDIGO],PRODUCTOS31316[[#This Row],[CÓDIGO]],ENTRADAS71417[CANTIDAD])</f>
        <v>0</v>
      </c>
      <c r="I47" s="11">
        <f>SUMIF(SALIDAS111518[CÓDIGO],PRODUCTOS31316[[#This Row],[CÓDIGO]],SALIDAS111518[CANTIDAD])</f>
        <v>0</v>
      </c>
      <c r="J47" s="6">
        <f>PRODUCTOS31316[[#This Row],[EXISTENCIAS]]+PRODUCTOS31316[[#This Row],[ENTRADAS]]-PRODUCTOS31316[[#This Row],[SALIDAS]]</f>
        <v>0</v>
      </c>
      <c r="L47" s="2"/>
      <c r="M47" s="2"/>
      <c r="N47" s="2">
        <v>7704</v>
      </c>
      <c r="O47" s="2" t="s">
        <v>2967</v>
      </c>
      <c r="P47" s="16">
        <v>46037</v>
      </c>
      <c r="Q47" s="2" t="s">
        <v>333</v>
      </c>
      <c r="R47" s="2" t="str">
        <f>VLOOKUP(SALIDAS111518[[#This Row],[CÓDIGO]],PRODUCTOS31316[],2,FALSE)</f>
        <v>CTB15</v>
      </c>
      <c r="S47" s="1" t="str">
        <f>VLOOKUP(SALIDAS111518[[#This Row],[CÓDIGO]],PRODUCTOS31316[],3,FALSE)</f>
        <v>TUBO CÓNICO DE 15 ML, TAPA ROSCA ESTÉRIL  RCF MAX: 10000xg, 
graduados, PCR puro. VENCE: 03/04/2028</v>
      </c>
      <c r="T47" s="2">
        <v>1</v>
      </c>
      <c r="U47" s="2"/>
      <c r="V47" s="2"/>
      <c r="W47" s="2"/>
      <c r="X47" s="2"/>
      <c r="Y47" s="7"/>
      <c r="Z47" s="2" t="s">
        <v>3742</v>
      </c>
      <c r="AA47" s="1" t="s">
        <v>3741</v>
      </c>
      <c r="AB47" s="16">
        <v>46036</v>
      </c>
      <c r="AC47" s="2" t="s">
        <v>3713</v>
      </c>
      <c r="AD47" s="1" t="str">
        <f>VLOOKUP(ENTRADAS71417[[#This Row],[CÓDIGO]],PRODUCTOS31316[],2,FALSE)</f>
        <v>13408-074</v>
      </c>
      <c r="AE47" s="1" t="str">
        <f>VLOOKUP(ENTRADAS71417[[#This Row],[CÓDIGO]],PRODUCTOS31316[],3,FALSE)</f>
        <v>PAJUELA GRIS 0.50/ PAQ. X 2500 MARCA MINITUBE</v>
      </c>
      <c r="AF47" s="2">
        <v>2</v>
      </c>
      <c r="AG47" s="2"/>
      <c r="AH47" s="2"/>
    </row>
    <row r="48" spans="1:34" ht="49.95" customHeight="1" x14ac:dyDescent="0.3">
      <c r="A48" s="2" t="s">
        <v>226</v>
      </c>
      <c r="B48" s="1">
        <v>1001924</v>
      </c>
      <c r="C48" s="1" t="s">
        <v>227</v>
      </c>
      <c r="D48" s="1" t="s">
        <v>228</v>
      </c>
      <c r="E48" s="1" t="s">
        <v>177</v>
      </c>
      <c r="F48" s="1" t="s">
        <v>30</v>
      </c>
      <c r="G48" s="2">
        <v>0</v>
      </c>
      <c r="H48" s="14">
        <f>SUMIF(ENTRADAS71417[CÓDIGO],PRODUCTOS31316[[#This Row],[CÓDIGO]],ENTRADAS71417[CANTIDAD])</f>
        <v>0</v>
      </c>
      <c r="I48" s="11">
        <f>SUMIF(SALIDAS111518[CÓDIGO],PRODUCTOS31316[[#This Row],[CÓDIGO]],SALIDAS111518[CANTIDAD])</f>
        <v>0</v>
      </c>
      <c r="J48" s="6">
        <f>PRODUCTOS31316[[#This Row],[EXISTENCIAS]]+PRODUCTOS31316[[#This Row],[ENTRADAS]]-PRODUCTOS31316[[#This Row],[SALIDAS]]</f>
        <v>0</v>
      </c>
      <c r="L48" s="2"/>
      <c r="M48" s="2"/>
      <c r="N48" s="2">
        <v>7704</v>
      </c>
      <c r="O48" s="2" t="s">
        <v>2967</v>
      </c>
      <c r="P48" s="16">
        <v>46037</v>
      </c>
      <c r="Q48" s="2" t="s">
        <v>2232</v>
      </c>
      <c r="R48" s="2">
        <f>VLOOKUP(SALIDAS111518[[#This Row],[CÓDIGO]],PRODUCTOS31316[],2,FALSE)</f>
        <v>0</v>
      </c>
      <c r="S48" s="1" t="str">
        <f>VLOOKUP(SALIDAS111518[[#This Row],[CÓDIGO]],PRODUCTOS31316[],3,FALSE)</f>
        <v>CONO RECOLECTOR</v>
      </c>
      <c r="T48" s="2">
        <v>1</v>
      </c>
      <c r="U48" s="2"/>
      <c r="V48" s="2"/>
      <c r="W48" s="2"/>
      <c r="X48" s="2"/>
      <c r="Y48" s="7"/>
      <c r="Z48" s="2" t="s">
        <v>3742</v>
      </c>
      <c r="AA48" s="1" t="s">
        <v>3741</v>
      </c>
      <c r="AB48" s="16">
        <v>46036</v>
      </c>
      <c r="AC48" s="2" t="s">
        <v>3714</v>
      </c>
      <c r="AD48" s="1" t="str">
        <f>VLOOKUP(ENTRADAS71417[[#This Row],[CÓDIGO]],PRODUCTOS31316[],2,FALSE)</f>
        <v>13408-094</v>
      </c>
      <c r="AE48" s="1" t="str">
        <f>VLOOKUP(ENTRADAS71417[[#This Row],[CÓDIGO]],PRODUCTOS31316[],3,FALSE)</f>
        <v>PAJUELA AMARILLA 0.50/ PAQ. X 2500 MARCA MINITUBE</v>
      </c>
      <c r="AF48" s="2">
        <v>2</v>
      </c>
      <c r="AG48" s="2"/>
      <c r="AH48" s="2"/>
    </row>
    <row r="49" spans="1:34" ht="49.95" customHeight="1" x14ac:dyDescent="0.3">
      <c r="A49" s="2" t="s">
        <v>229</v>
      </c>
      <c r="C49" s="1" t="s">
        <v>205</v>
      </c>
      <c r="D49" s="1" t="s">
        <v>103</v>
      </c>
      <c r="E49" s="1" t="s">
        <v>24</v>
      </c>
      <c r="F49" s="1" t="s">
        <v>19</v>
      </c>
      <c r="G49" s="2">
        <v>0</v>
      </c>
      <c r="H49" s="14">
        <f>SUMIF(ENTRADAS71417[CÓDIGO],PRODUCTOS31316[[#This Row],[CÓDIGO]],ENTRADAS71417[CANTIDAD])</f>
        <v>0</v>
      </c>
      <c r="I49" s="11">
        <f>SUMIF(SALIDAS111518[CÓDIGO],PRODUCTOS31316[[#This Row],[CÓDIGO]],SALIDAS111518[CANTIDAD])</f>
        <v>0</v>
      </c>
      <c r="J49" s="6">
        <f>PRODUCTOS31316[[#This Row],[EXISTENCIAS]]+PRODUCTOS31316[[#This Row],[ENTRADAS]]-PRODUCTOS31316[[#This Row],[SALIDAS]]</f>
        <v>0</v>
      </c>
      <c r="L49" s="2" t="s">
        <v>3520</v>
      </c>
      <c r="M49" s="2" t="s">
        <v>3653</v>
      </c>
      <c r="N49" s="276" t="s">
        <v>3733</v>
      </c>
      <c r="O49" s="2" t="s">
        <v>3063</v>
      </c>
      <c r="P49" s="16">
        <v>46036</v>
      </c>
      <c r="Q49" s="2" t="s">
        <v>167</v>
      </c>
      <c r="R49" s="2" t="str">
        <f>VLOOKUP(SALIDAS111518[[#This Row],[CÓDIGO]],PRODUCTOS31316[],2,FALSE)</f>
        <v>50050-1</v>
      </c>
      <c r="S49" s="1" t="str">
        <f>VLOOKUP(SALIDAS111518[[#This Row],[CÓDIGO]],PRODUCTOS31316[],3,FALSE)</f>
        <v>TUBO CONICO PLUG, AUTOCLAVABLE ESTERIL  TAPA ROSCA DE 50 ML</v>
      </c>
      <c r="T49" s="2">
        <v>8</v>
      </c>
      <c r="U49" s="2">
        <v>21</v>
      </c>
      <c r="V49" s="2"/>
      <c r="W49" s="2"/>
      <c r="X49" s="2"/>
      <c r="Y49" s="7"/>
      <c r="Z49" s="314" t="s">
        <v>3742</v>
      </c>
      <c r="AA49" s="1" t="s">
        <v>3741</v>
      </c>
      <c r="AB49" s="16">
        <v>46036</v>
      </c>
      <c r="AC49" s="2" t="s">
        <v>3715</v>
      </c>
      <c r="AD49" s="1" t="str">
        <f>VLOOKUP(ENTRADAS71417[[#This Row],[CÓDIGO]],PRODUCTOS31316[],2,FALSE)</f>
        <v>13408-130</v>
      </c>
      <c r="AE49" s="1" t="str">
        <f>VLOOKUP(ENTRADAS71417[[#This Row],[CÓDIGO]],PRODUCTOS31316[],3,FALSE)</f>
        <v>PAJUELA TURQUESA 0.50/ PAQ. X 2500 MARCA MINITUBE</v>
      </c>
      <c r="AF49" s="2">
        <v>1</v>
      </c>
      <c r="AG49" s="2"/>
      <c r="AH49" s="2"/>
    </row>
    <row r="50" spans="1:34" ht="49.95" customHeight="1" x14ac:dyDescent="0.3">
      <c r="A50" s="203" t="s">
        <v>153</v>
      </c>
      <c r="B50" s="1">
        <v>1132</v>
      </c>
      <c r="C50" s="93" t="s">
        <v>232</v>
      </c>
      <c r="D50" s="1" t="s">
        <v>103</v>
      </c>
      <c r="E50" s="1" t="s">
        <v>233</v>
      </c>
      <c r="F50" s="1" t="s">
        <v>30</v>
      </c>
      <c r="G50" s="31">
        <f>26+1+1</f>
        <v>28</v>
      </c>
      <c r="H50" s="14">
        <f>SUMIF(ENTRADAS71417[CÓDIGO],PRODUCTOS31316[[#This Row],[CÓDIGO]],ENTRADAS71417[CANTIDAD])</f>
        <v>50</v>
      </c>
      <c r="I50" s="11">
        <f>SUMIF(SALIDAS111518[CÓDIGO],PRODUCTOS31316[[#This Row],[CÓDIGO]],SALIDAS111518[CANTIDAD])</f>
        <v>70</v>
      </c>
      <c r="J50" s="6">
        <f>PRODUCTOS31316[[#This Row],[EXISTENCIAS]]+PRODUCTOS31316[[#This Row],[ENTRADAS]]-PRODUCTOS31316[[#This Row],[SALIDAS]]</f>
        <v>8</v>
      </c>
      <c r="L50" s="2"/>
      <c r="M50" s="2"/>
      <c r="N50" s="2">
        <v>7703</v>
      </c>
      <c r="O50" s="2" t="s">
        <v>3063</v>
      </c>
      <c r="P50" s="16">
        <v>46036</v>
      </c>
      <c r="Q50" s="2" t="s">
        <v>602</v>
      </c>
      <c r="R50" s="2">
        <f>VLOOKUP(SALIDAS111518[[#This Row],[CÓDIGO]],PRODUCTOS31316[],2,FALSE)</f>
        <v>4845</v>
      </c>
      <c r="S50" s="1" t="str">
        <f>VLOOKUP(SALIDAS111518[[#This Row],[CÓDIGO]],PRODUCTOS31316[],3,FALSE)</f>
        <v>PUNTAS AMARILLAS, UNIVERSALES. PLASTICAS, NO ESTERIL. LIBRES DE RNASE, DNASE Y PYROGENOS. RANGO DE 1-200UL. BOLSA X1000UDS.</v>
      </c>
      <c r="T50" s="2">
        <v>2</v>
      </c>
      <c r="U50" s="2"/>
      <c r="V50" s="2"/>
      <c r="W50" s="2"/>
      <c r="X50" s="2"/>
      <c r="Y50" s="7"/>
      <c r="Z50" s="2" t="s">
        <v>3743</v>
      </c>
      <c r="AA50" s="1" t="s">
        <v>3744</v>
      </c>
      <c r="AB50" s="16">
        <v>46036</v>
      </c>
      <c r="AC50" s="2" t="s">
        <v>3645</v>
      </c>
      <c r="AD50" s="1">
        <f>VLOOKUP(ENTRADAS71417[[#This Row],[CÓDIGO]],PRODUCTOS31316[],2,FALSE)</f>
        <v>0</v>
      </c>
      <c r="AE50" s="1" t="str">
        <f>VLOOKUP(ENTRADAS71417[[#This Row],[CÓDIGO]],PRODUCTOS31316[],3,FALSE)</f>
        <v>AGENDA MAS CAMPO</v>
      </c>
      <c r="AF50" s="2">
        <v>500</v>
      </c>
      <c r="AG50" s="2"/>
      <c r="AH50" s="2"/>
    </row>
    <row r="51" spans="1:34" ht="49.95" customHeight="1" x14ac:dyDescent="0.3">
      <c r="A51" s="203" t="s">
        <v>234</v>
      </c>
      <c r="B51" s="1">
        <v>1216</v>
      </c>
      <c r="C51" s="1" t="s">
        <v>235</v>
      </c>
      <c r="D51" s="1" t="s">
        <v>103</v>
      </c>
      <c r="E51" s="1" t="s">
        <v>233</v>
      </c>
      <c r="F51" s="1" t="s">
        <v>30</v>
      </c>
      <c r="G51" s="2">
        <v>0</v>
      </c>
      <c r="H51" s="14">
        <f>SUMIF(ENTRADAS71417[CÓDIGO],PRODUCTOS31316[[#This Row],[CÓDIGO]],ENTRADAS71417[CANTIDAD])</f>
        <v>0</v>
      </c>
      <c r="I51" s="11">
        <f>SUMIF(SALIDAS111518[CÓDIGO],PRODUCTOS31316[[#This Row],[CÓDIGO]],SALIDAS111518[CANTIDAD])</f>
        <v>0</v>
      </c>
      <c r="J51" s="6">
        <f>PRODUCTOS31316[[#This Row],[EXISTENCIAS]]+PRODUCTOS31316[[#This Row],[ENTRADAS]]-PRODUCTOS31316[[#This Row],[SALIDAS]]</f>
        <v>0</v>
      </c>
      <c r="L51" s="2" t="s">
        <v>3520</v>
      </c>
      <c r="M51" s="2" t="s">
        <v>3653</v>
      </c>
      <c r="N51" s="276" t="s">
        <v>3756</v>
      </c>
      <c r="O51" s="1" t="s">
        <v>3409</v>
      </c>
      <c r="P51" s="16">
        <v>46037</v>
      </c>
      <c r="Q51" s="2" t="s">
        <v>104</v>
      </c>
      <c r="R51" s="2">
        <f>VLOOKUP(SALIDAS111518[[#This Row],[CÓDIGO]],PRODUCTOS31316[],2,FALSE)</f>
        <v>0</v>
      </c>
      <c r="S51" s="1" t="str">
        <f>VLOOKUP(SALIDAS111518[[#This Row],[CÓDIGO]],PRODUCTOS31316[],3,FALSE)</f>
        <v>ISPERM CHIPS (500 TESTS PER BOX) PAQ. X 50 UND</v>
      </c>
      <c r="T51" s="2">
        <v>3</v>
      </c>
      <c r="U51" s="2">
        <v>23</v>
      </c>
      <c r="V51" s="2"/>
      <c r="W51" s="2"/>
      <c r="X51" s="2"/>
      <c r="Y51" s="7"/>
      <c r="Z51" s="2" t="s">
        <v>3745</v>
      </c>
      <c r="AA51" s="1" t="s">
        <v>3746</v>
      </c>
      <c r="AB51" s="16">
        <v>46036</v>
      </c>
      <c r="AC51" s="2" t="s">
        <v>3095</v>
      </c>
      <c r="AD51" s="1">
        <f>VLOOKUP(ENTRADAS71417[[#This Row],[CÓDIGO]],PRODUCTOS31316[],2,FALSE)</f>
        <v>0</v>
      </c>
      <c r="AE51" s="1" t="str">
        <f>VLOOKUP(ENTRADAS71417[[#This Row],[CÓDIGO]],PRODUCTOS31316[],3,FALSE)</f>
        <v>GORRA MAS CAMPO</v>
      </c>
      <c r="AF51" s="2">
        <v>500</v>
      </c>
      <c r="AG51" s="2"/>
      <c r="AH51" s="2"/>
    </row>
    <row r="52" spans="1:34" ht="49.95" customHeight="1" x14ac:dyDescent="0.3">
      <c r="A52" s="2" t="s">
        <v>36</v>
      </c>
      <c r="B52" s="1">
        <v>1</v>
      </c>
      <c r="C52" s="216" t="s">
        <v>3310</v>
      </c>
      <c r="D52" s="1" t="s">
        <v>239</v>
      </c>
      <c r="E52" s="1" t="s">
        <v>239</v>
      </c>
      <c r="F52" s="1" t="s">
        <v>62</v>
      </c>
      <c r="G52" s="31">
        <v>60</v>
      </c>
      <c r="H52" s="14">
        <f>SUMIF(ENTRADAS71417[CÓDIGO],PRODUCTOS31316[[#This Row],[CÓDIGO]],ENTRADAS71417[CANTIDAD])</f>
        <v>970</v>
      </c>
      <c r="I52" s="11">
        <f>SUMIF(SALIDAS111518[CÓDIGO],PRODUCTOS31316[[#This Row],[CÓDIGO]],SALIDAS111518[CANTIDAD])</f>
        <v>850</v>
      </c>
      <c r="J52" s="6">
        <f>PRODUCTOS31316[[#This Row],[EXISTENCIAS]]+PRODUCTOS31316[[#This Row],[ENTRADAS]]-PRODUCTOS31316[[#This Row],[SALIDAS]]</f>
        <v>180</v>
      </c>
      <c r="L52" s="2" t="s">
        <v>3520</v>
      </c>
      <c r="M52" s="2" t="s">
        <v>3653</v>
      </c>
      <c r="N52" s="276" t="s">
        <v>3758</v>
      </c>
      <c r="O52" s="1" t="s">
        <v>3731</v>
      </c>
      <c r="P52" s="16">
        <v>46037</v>
      </c>
      <c r="Q52" s="2" t="s">
        <v>2232</v>
      </c>
      <c r="R52" s="2">
        <f>VLOOKUP(SALIDAS111518[[#This Row],[CÓDIGO]],PRODUCTOS31316[],2,FALSE)</f>
        <v>0</v>
      </c>
      <c r="S52" s="1" t="str">
        <f>VLOOKUP(SALIDAS111518[[#This Row],[CÓDIGO]],PRODUCTOS31316[],3,FALSE)</f>
        <v>CONO RECOLECTOR</v>
      </c>
      <c r="T52" s="2">
        <v>1</v>
      </c>
      <c r="U52" s="2">
        <v>24</v>
      </c>
      <c r="V52" s="2"/>
      <c r="W52" s="2"/>
      <c r="X52" s="2"/>
      <c r="Y52" s="7"/>
      <c r="Z52" s="276" t="s">
        <v>3750</v>
      </c>
      <c r="AA52" s="275" t="s">
        <v>3749</v>
      </c>
      <c r="AB52" s="16">
        <v>46036</v>
      </c>
      <c r="AC52" s="276" t="s">
        <v>3649</v>
      </c>
      <c r="AD52" s="1">
        <f>VLOOKUP(ENTRADAS71417[[#This Row],[CÓDIGO]],PRODUCTOS31316[],2,FALSE)</f>
        <v>0</v>
      </c>
      <c r="AE52" s="1" t="str">
        <f>VLOOKUP(ENTRADAS71417[[#This Row],[CÓDIGO]],PRODUCTOS31316[],3,FALSE)</f>
        <v>ESFEROS MAS CAMPO</v>
      </c>
      <c r="AF52" s="2">
        <v>500</v>
      </c>
      <c r="AG52" s="2"/>
      <c r="AH52" s="2"/>
    </row>
    <row r="53" spans="1:34" ht="49.95" customHeight="1" x14ac:dyDescent="0.3">
      <c r="A53" s="2" t="s">
        <v>241</v>
      </c>
      <c r="B53" s="1" t="s">
        <v>242</v>
      </c>
      <c r="C53" s="1" t="s">
        <v>243</v>
      </c>
      <c r="D53" s="1" t="s">
        <v>244</v>
      </c>
      <c r="E53" s="1" t="s">
        <v>24</v>
      </c>
      <c r="F53" s="1" t="s">
        <v>245</v>
      </c>
      <c r="G53" s="2">
        <v>0</v>
      </c>
      <c r="H53" s="14">
        <f>SUMIF(ENTRADAS71417[CÓDIGO],PRODUCTOS31316[[#This Row],[CÓDIGO]],ENTRADAS71417[CANTIDAD])</f>
        <v>0</v>
      </c>
      <c r="I53" s="11">
        <f>SUMIF(SALIDAS111518[CÓDIGO],PRODUCTOS31316[[#This Row],[CÓDIGO]],SALIDAS111518[CANTIDAD])</f>
        <v>0</v>
      </c>
      <c r="J53" s="6">
        <f>PRODUCTOS31316[[#This Row],[EXISTENCIAS]]+PRODUCTOS31316[[#This Row],[ENTRADAS]]-PRODUCTOS31316[[#This Row],[SALIDAS]]</f>
        <v>0</v>
      </c>
      <c r="L53" s="2"/>
      <c r="M53" s="2"/>
      <c r="N53" s="2">
        <v>7706</v>
      </c>
      <c r="O53" s="1" t="s">
        <v>3731</v>
      </c>
      <c r="P53" s="16">
        <v>46037</v>
      </c>
      <c r="Q53" s="2" t="s">
        <v>438</v>
      </c>
      <c r="R53" s="2">
        <f>VLOOKUP(SALIDAS111518[[#This Row],[CÓDIGO]],PRODUCTOS31316[],2,FALSE)</f>
        <v>18421</v>
      </c>
      <c r="S53" s="1" t="str">
        <f>VLOOKUP(SALIDAS111518[[#This Row],[CÓDIGO]],PRODUCTOS31316[],3,FALSE)</f>
        <v xml:space="preserve">PISTOLA DE TRANSFERENCIA DE EMBRIONES 0,25 / BLOQUEO AUTOMÁTICO </v>
      </c>
      <c r="T53" s="2">
        <v>1</v>
      </c>
      <c r="U53" s="2"/>
      <c r="V53" s="2"/>
      <c r="W53" s="2"/>
      <c r="X53" s="2"/>
      <c r="Y53" s="7"/>
      <c r="Z53" s="314" t="s">
        <v>3884</v>
      </c>
      <c r="AA53" s="275" t="s">
        <v>2230</v>
      </c>
      <c r="AB53" s="16">
        <v>45673</v>
      </c>
      <c r="AC53" s="276" t="s">
        <v>602</v>
      </c>
      <c r="AD53" s="1">
        <f>VLOOKUP(ENTRADAS71417[[#This Row],[CÓDIGO]],PRODUCTOS31316[],2,FALSE)</f>
        <v>4845</v>
      </c>
      <c r="AE53" s="1" t="str">
        <f>VLOOKUP(ENTRADAS71417[[#This Row],[CÓDIGO]],PRODUCTOS31316[],3,FALSE)</f>
        <v>PUNTAS AMARILLAS, UNIVERSALES. PLASTICAS, NO ESTERIL. LIBRES DE RNASE, DNASE Y PYROGENOS. RANGO DE 1-200UL. BOLSA X1000UDS.</v>
      </c>
      <c r="AF53" s="2">
        <v>30</v>
      </c>
      <c r="AG53" s="2"/>
      <c r="AH53" s="2"/>
    </row>
    <row r="54" spans="1:34" ht="49.95" customHeight="1" x14ac:dyDescent="0.3">
      <c r="A54" s="2" t="s">
        <v>247</v>
      </c>
      <c r="B54" s="1">
        <v>352054</v>
      </c>
      <c r="C54" s="231" t="s">
        <v>248</v>
      </c>
      <c r="D54" s="1" t="s">
        <v>182</v>
      </c>
      <c r="E54" s="1" t="s">
        <v>249</v>
      </c>
      <c r="F54" s="1" t="s">
        <v>250</v>
      </c>
      <c r="G54" s="2">
        <v>3</v>
      </c>
      <c r="H54" s="14">
        <f>SUMIF(ENTRADAS71417[CÓDIGO],PRODUCTOS31316[[#This Row],[CÓDIGO]],ENTRADAS71417[CANTIDAD])</f>
        <v>80</v>
      </c>
      <c r="I54" s="11">
        <f>SUMIF(SALIDAS111518[CÓDIGO],PRODUCTOS31316[[#This Row],[CÓDIGO]],SALIDAS111518[CANTIDAD])</f>
        <v>86</v>
      </c>
      <c r="J54" s="6">
        <f>PRODUCTOS31316[[#This Row],[EXISTENCIAS]]+PRODUCTOS31316[[#This Row],[ENTRADAS]]-PRODUCTOS31316[[#This Row],[SALIDAS]]</f>
        <v>-3</v>
      </c>
      <c r="L54" s="2" t="s">
        <v>3520</v>
      </c>
      <c r="M54" s="2" t="s">
        <v>3653</v>
      </c>
      <c r="N54" s="276" t="s">
        <v>3760</v>
      </c>
      <c r="O54" s="1" t="s">
        <v>2705</v>
      </c>
      <c r="P54" s="16">
        <v>46037</v>
      </c>
      <c r="Q54" s="2" t="s">
        <v>3322</v>
      </c>
      <c r="R54" s="2">
        <f>VLOOKUP(SALIDAS111518[[#This Row],[CÓDIGO]],PRODUCTOS31316[],2,FALSE)</f>
        <v>9014001</v>
      </c>
      <c r="S54" s="1" t="str">
        <f>VLOOKUP(SALIDAS111518[[#This Row],[CÓDIGO]],PRODUCTOS31316[],3,FALSE)</f>
        <v>MICROFILTRO 0,75 uM</v>
      </c>
      <c r="T54" s="2">
        <v>10</v>
      </c>
      <c r="U54" s="2">
        <v>26</v>
      </c>
      <c r="V54" s="2" t="s">
        <v>2709</v>
      </c>
      <c r="W54" s="2"/>
      <c r="X54" s="2"/>
      <c r="Y54" s="7"/>
      <c r="Z54" s="276" t="s">
        <v>3785</v>
      </c>
      <c r="AA54" s="275" t="s">
        <v>3786</v>
      </c>
      <c r="AB54" s="16">
        <v>45673</v>
      </c>
      <c r="AC54" s="276" t="s">
        <v>3075</v>
      </c>
      <c r="AD54" s="1">
        <f>VLOOKUP(ENTRADAS71417[[#This Row],[CÓDIGO]],PRODUCTOS31316[],2,FALSE)</f>
        <v>0</v>
      </c>
      <c r="AE54" s="1" t="str">
        <f>VLOOKUP(ENTRADAS71417[[#This Row],[CÓDIGO]],PRODUCTOS31316[],3,FALSE)</f>
        <v>AUTOJAC V3 ELECTROEYACUALADOR MANUAL Y AUTOMÁTICO</v>
      </c>
      <c r="AF54" s="2">
        <v>4</v>
      </c>
      <c r="AG54" s="215" t="s">
        <v>3787</v>
      </c>
      <c r="AH54" s="2">
        <v>4</v>
      </c>
    </row>
    <row r="55" spans="1:34" ht="49.95" customHeight="1" x14ac:dyDescent="0.3">
      <c r="A55" s="2" t="s">
        <v>252</v>
      </c>
      <c r="B55" s="1">
        <v>3</v>
      </c>
      <c r="C55" s="1" t="s">
        <v>253</v>
      </c>
      <c r="D55" s="1" t="s">
        <v>254</v>
      </c>
      <c r="E55" s="1" t="s">
        <v>24</v>
      </c>
      <c r="F55" s="1" t="s">
        <v>30</v>
      </c>
      <c r="G55" s="2">
        <v>0</v>
      </c>
      <c r="H55" s="14">
        <f>SUMIF(ENTRADAS71417[CÓDIGO],PRODUCTOS31316[[#This Row],[CÓDIGO]],ENTRADAS71417[CANTIDAD])</f>
        <v>0</v>
      </c>
      <c r="I55" s="11">
        <f>SUMIF(SALIDAS111518[CÓDIGO],PRODUCTOS31316[[#This Row],[CÓDIGO]],SALIDAS111518[CANTIDAD])</f>
        <v>0</v>
      </c>
      <c r="J55" s="6">
        <f>PRODUCTOS31316[[#This Row],[EXISTENCIAS]]+PRODUCTOS31316[[#This Row],[ENTRADAS]]-PRODUCTOS31316[[#This Row],[SALIDAS]]</f>
        <v>0</v>
      </c>
      <c r="L55" s="2"/>
      <c r="M55" s="2"/>
      <c r="N55" s="2">
        <v>7707</v>
      </c>
      <c r="O55" s="1" t="s">
        <v>2705</v>
      </c>
      <c r="P55" s="16">
        <v>46037</v>
      </c>
      <c r="Q55" s="2" t="s">
        <v>33</v>
      </c>
      <c r="R55" s="2" t="str">
        <f>VLOOKUP(SALIDAS111518[[#This Row],[CÓDIGO]],PRODUCTOS31316[],2,FALSE)</f>
        <v>LA-120 /506003</v>
      </c>
      <c r="S55" s="1" t="str">
        <f>VLOOKUP(SALIDAS111518[[#This Row],[CÓDIGO]],PRODUCTOS31316[],3,FALSE)</f>
        <v>LíNEA PARA OPU 1,2 METROS</v>
      </c>
      <c r="T55" s="2">
        <v>10</v>
      </c>
      <c r="U55" s="2"/>
      <c r="V55" s="2"/>
      <c r="W55" s="2"/>
      <c r="X55" s="2"/>
      <c r="Y55" s="7"/>
      <c r="Z55" s="282" t="s">
        <v>3794</v>
      </c>
      <c r="AA55" s="1" t="s">
        <v>3795</v>
      </c>
      <c r="AB55" s="16">
        <v>46041</v>
      </c>
      <c r="AC55" s="2" t="s">
        <v>3791</v>
      </c>
      <c r="AD55" s="1">
        <f>VLOOKUP(ENTRADAS71417[[#This Row],[CÓDIGO]],PRODUCTOS31316[],2,FALSE)</f>
        <v>6936520864546</v>
      </c>
      <c r="AE55" s="1" t="str">
        <f>VLOOKUP(ENTRADAS71417[[#This Row],[CÓDIGO]],PRODUCTOS31316[],3,FALSE)</f>
        <v>TABLET 11" HONOR PAD X8A 128 GB</v>
      </c>
      <c r="AF55" s="2">
        <v>2</v>
      </c>
      <c r="AG55" s="2"/>
      <c r="AH55" s="2">
        <v>5</v>
      </c>
    </row>
    <row r="56" spans="1:34" ht="49.95" customHeight="1" x14ac:dyDescent="0.3">
      <c r="A56" s="2" t="s">
        <v>256</v>
      </c>
      <c r="B56" s="1" t="s">
        <v>257</v>
      </c>
      <c r="C56" s="1" t="s">
        <v>258</v>
      </c>
      <c r="D56" s="1" t="s">
        <v>223</v>
      </c>
      <c r="E56" s="1" t="s">
        <v>177</v>
      </c>
      <c r="F56" s="1" t="s">
        <v>68</v>
      </c>
      <c r="G56" s="2">
        <v>0</v>
      </c>
      <c r="H56" s="14">
        <f>SUMIF(ENTRADAS71417[CÓDIGO],PRODUCTOS31316[[#This Row],[CÓDIGO]],ENTRADAS71417[CANTIDAD])</f>
        <v>0</v>
      </c>
      <c r="I56" s="11">
        <f>SUMIF(SALIDAS111518[CÓDIGO],PRODUCTOS31316[[#This Row],[CÓDIGO]],SALIDAS111518[CANTIDAD])</f>
        <v>0</v>
      </c>
      <c r="J56" s="6">
        <f>PRODUCTOS31316[[#This Row],[EXISTENCIAS]]+PRODUCTOS31316[[#This Row],[ENTRADAS]]-PRODUCTOS31316[[#This Row],[SALIDAS]]</f>
        <v>0</v>
      </c>
      <c r="L56" s="2"/>
      <c r="M56" s="2"/>
      <c r="N56" s="2">
        <v>7707</v>
      </c>
      <c r="O56" s="1" t="s">
        <v>2705</v>
      </c>
      <c r="P56" s="16">
        <v>46037</v>
      </c>
      <c r="Q56" s="2" t="s">
        <v>333</v>
      </c>
      <c r="R56" s="2" t="str">
        <f>VLOOKUP(SALIDAS111518[[#This Row],[CÓDIGO]],PRODUCTOS31316[],2,FALSE)</f>
        <v>CTB15</v>
      </c>
      <c r="S56" s="1" t="str">
        <f>VLOOKUP(SALIDAS111518[[#This Row],[CÓDIGO]],PRODUCTOS31316[],3,FALSE)</f>
        <v>TUBO CÓNICO DE 15 ML, TAPA ROSCA ESTÉRIL  RCF MAX: 10000xg, 
graduados, PCR puro. VENCE: 03/04/2028</v>
      </c>
      <c r="T56" s="2">
        <v>4</v>
      </c>
      <c r="U56" s="2"/>
      <c r="V56" s="2"/>
      <c r="W56" s="2"/>
      <c r="X56" s="2"/>
      <c r="Y56" s="7"/>
      <c r="Z56" s="282" t="s">
        <v>3886</v>
      </c>
      <c r="AA56" s="1" t="s">
        <v>3795</v>
      </c>
      <c r="AB56" s="16">
        <v>46041</v>
      </c>
      <c r="AC56" s="2" t="s">
        <v>3791</v>
      </c>
      <c r="AD56" s="1">
        <f>VLOOKUP(ENTRADAS71417[[#This Row],[CÓDIGO]],PRODUCTOS31316[],2,FALSE)</f>
        <v>6936520864546</v>
      </c>
      <c r="AE56" s="1" t="str">
        <f>VLOOKUP(ENTRADAS71417[[#This Row],[CÓDIGO]],PRODUCTOS31316[],3,FALSE)</f>
        <v>TABLET 11" HONOR PAD X8A 128 GB</v>
      </c>
      <c r="AF56" s="2">
        <v>1</v>
      </c>
      <c r="AG56" s="2"/>
      <c r="AH56" s="2">
        <v>6</v>
      </c>
    </row>
    <row r="57" spans="1:34" ht="49.95" customHeight="1" x14ac:dyDescent="0.3">
      <c r="A57" s="2" t="s">
        <v>167</v>
      </c>
      <c r="B57" s="1" t="s">
        <v>260</v>
      </c>
      <c r="C57" s="93" t="s">
        <v>261</v>
      </c>
      <c r="D57" s="1" t="s">
        <v>262</v>
      </c>
      <c r="E57" s="1" t="s">
        <v>177</v>
      </c>
      <c r="F57" s="1" t="s">
        <v>68</v>
      </c>
      <c r="G57" s="31">
        <v>28</v>
      </c>
      <c r="H57" s="14">
        <f>SUMIF(ENTRADAS71417[CÓDIGO],PRODUCTOS31316[[#This Row],[CÓDIGO]],ENTRADAS71417[CANTIDAD])</f>
        <v>160</v>
      </c>
      <c r="I57" s="11">
        <f>SUMIF(SALIDAS111518[CÓDIGO],PRODUCTOS31316[[#This Row],[CÓDIGO]],SALIDAS111518[CANTIDAD])</f>
        <v>156</v>
      </c>
      <c r="J57" s="6">
        <f>PRODUCTOS31316[[#This Row],[EXISTENCIAS]]+PRODUCTOS31316[[#This Row],[ENTRADAS]]-PRODUCTOS31316[[#This Row],[SALIDAS]]</f>
        <v>32</v>
      </c>
      <c r="L57" s="2"/>
      <c r="M57" s="2"/>
      <c r="N57" s="2">
        <v>7707</v>
      </c>
      <c r="O57" s="1" t="s">
        <v>2705</v>
      </c>
      <c r="P57" s="16">
        <v>46037</v>
      </c>
      <c r="Q57" s="2" t="s">
        <v>341</v>
      </c>
      <c r="R57" s="2" t="str">
        <f>VLOOKUP(SALIDAS111518[[#This Row],[CÓDIGO]],PRODUCTOS31316[],2,FALSE)</f>
        <v>CTB50</v>
      </c>
      <c r="S57" s="1" t="str">
        <f>VLOOKUP(SALIDAS111518[[#This Row],[CÓDIGO]],PRODUCTOS31316[],3,FALSE)</f>
        <v>TUBO CÓNICO DE 50 mL, TAPA ROSCA, PRE ESTERILIZADO. RCF MAX: 10000xg, graduados, PCR puro.</v>
      </c>
      <c r="T57" s="2">
        <v>4</v>
      </c>
      <c r="U57" s="2"/>
      <c r="V57" s="2"/>
      <c r="W57" s="2"/>
      <c r="X57" s="2"/>
      <c r="Y57" s="7"/>
      <c r="Z57" s="2" t="s">
        <v>3807</v>
      </c>
      <c r="AA57" s="1" t="s">
        <v>3808</v>
      </c>
      <c r="AB57" s="16">
        <v>46041</v>
      </c>
      <c r="AC57" s="2" t="s">
        <v>3065</v>
      </c>
      <c r="AD57" s="1">
        <f>VLOOKUP(ENTRADAS71417[[#This Row],[CÓDIGO]],PRODUCTOS31316[],2,FALSE)</f>
        <v>20597559</v>
      </c>
      <c r="AE57" s="1" t="str">
        <f>VLOOKUP(ENTRADAS71417[[#This Row],[CÓDIGO]],PRODUCTOS31316[],3,FALSE)</f>
        <v>TERMO NITRÓGENO ET- 20</v>
      </c>
      <c r="AF57" s="2">
        <v>2</v>
      </c>
      <c r="AG57" s="2"/>
      <c r="AH57" s="2">
        <v>7</v>
      </c>
    </row>
    <row r="58" spans="1:34" ht="49.95" customHeight="1" x14ac:dyDescent="0.3">
      <c r="A58" s="2" t="s">
        <v>265</v>
      </c>
      <c r="B58" s="1">
        <v>150420</v>
      </c>
      <c r="C58" s="74" t="s">
        <v>266</v>
      </c>
      <c r="D58" s="1" t="s">
        <v>83</v>
      </c>
      <c r="E58" s="1" t="s">
        <v>24</v>
      </c>
      <c r="F58" s="1" t="s">
        <v>30</v>
      </c>
      <c r="G58" s="2">
        <v>0</v>
      </c>
      <c r="H58" s="14">
        <f>SUMIF(ENTRADAS71417[CÓDIGO],PRODUCTOS31316[[#This Row],[CÓDIGO]],ENTRADAS71417[CANTIDAD])</f>
        <v>0</v>
      </c>
      <c r="I58" s="11">
        <f>SUMIF(SALIDAS111518[CÓDIGO],PRODUCTOS31316[[#This Row],[CÓDIGO]],SALIDAS111518[CANTIDAD])</f>
        <v>0</v>
      </c>
      <c r="J58" s="6">
        <f>PRODUCTOS31316[[#This Row],[EXISTENCIAS]]+PRODUCTOS31316[[#This Row],[ENTRADAS]]-PRODUCTOS31316[[#This Row],[SALIDAS]]</f>
        <v>0</v>
      </c>
      <c r="L58" s="2"/>
      <c r="M58" s="2"/>
      <c r="N58" s="2">
        <v>7707</v>
      </c>
      <c r="O58" s="1" t="s">
        <v>2705</v>
      </c>
      <c r="P58" s="16">
        <v>46037</v>
      </c>
      <c r="Q58" s="2" t="s">
        <v>247</v>
      </c>
      <c r="R58" s="2">
        <f>VLOOKUP(SALIDAS111518[[#This Row],[CÓDIGO]],PRODUCTOS31316[],2,FALSE)</f>
        <v>352054</v>
      </c>
      <c r="S58" s="1" t="str">
        <f>VLOOKUP(SALIDAS111518[[#This Row],[CÓDIGO]],PRODUCTOS31316[],3,FALSE)</f>
        <v>TUBO DE FONDO REDONDO DE 5ML 12X75MM , POLIESTIRENO</v>
      </c>
      <c r="T58" s="2">
        <v>2</v>
      </c>
      <c r="U58" s="2"/>
      <c r="V58" s="2"/>
      <c r="W58" s="2"/>
      <c r="X58" s="2"/>
      <c r="Y58" s="7"/>
      <c r="Z58" s="2" t="s">
        <v>3809</v>
      </c>
      <c r="AA58" s="1" t="s">
        <v>3810</v>
      </c>
      <c r="AB58" s="16">
        <v>46041</v>
      </c>
      <c r="AC58" s="2" t="s">
        <v>581</v>
      </c>
      <c r="AD58" s="1">
        <f>VLOOKUP(ENTRADAS71417[[#This Row],[CÓDIGO]],PRODUCTOS31316[],2,FALSE)</f>
        <v>11571</v>
      </c>
      <c r="AE58" s="1" t="str">
        <f>VLOOKUP(ENTRADAS71417[[#This Row],[CÓDIGO]],PRODUCTOS31316[],3,FALSE)</f>
        <v>PINZA COGEPAJILLA</v>
      </c>
      <c r="AF58" s="2">
        <v>50</v>
      </c>
      <c r="AG58" s="2"/>
      <c r="AH58" s="2">
        <v>8</v>
      </c>
    </row>
    <row r="59" spans="1:34" ht="49.95" customHeight="1" x14ac:dyDescent="0.3">
      <c r="A59" s="2" t="s">
        <v>268</v>
      </c>
      <c r="B59" s="1" t="s">
        <v>269</v>
      </c>
      <c r="C59" s="1" t="s">
        <v>270</v>
      </c>
      <c r="D59" s="1" t="s">
        <v>271</v>
      </c>
      <c r="E59" s="1" t="s">
        <v>24</v>
      </c>
      <c r="F59" s="1" t="s">
        <v>30</v>
      </c>
      <c r="G59" s="2">
        <v>0</v>
      </c>
      <c r="H59" s="14">
        <f>SUMIF(ENTRADAS71417[CÓDIGO],PRODUCTOS31316[[#This Row],[CÓDIGO]],ENTRADAS71417[CANTIDAD])</f>
        <v>0</v>
      </c>
      <c r="I59" s="11">
        <f>SUMIF(SALIDAS111518[CÓDIGO],PRODUCTOS31316[[#This Row],[CÓDIGO]],SALIDAS111518[CANTIDAD])</f>
        <v>0</v>
      </c>
      <c r="J59" s="6">
        <f>PRODUCTOS31316[[#This Row],[EXISTENCIAS]]+PRODUCTOS31316[[#This Row],[ENTRADAS]]-PRODUCTOS31316[[#This Row],[SALIDAS]]</f>
        <v>0</v>
      </c>
      <c r="L59" s="2"/>
      <c r="M59" s="2"/>
      <c r="N59" s="2">
        <v>7707</v>
      </c>
      <c r="O59" s="1" t="s">
        <v>2705</v>
      </c>
      <c r="P59" s="16">
        <v>46037</v>
      </c>
      <c r="Q59" s="2" t="s">
        <v>3168</v>
      </c>
      <c r="R59" s="2" t="str">
        <f>VLOOKUP(SALIDAS111518[[#This Row],[CÓDIGO]],PRODUCTOS31316[],2,FALSE)</f>
        <v>MCTB015</v>
      </c>
      <c r="S59" s="1" t="str">
        <f>VLOOKUP(SALIDAS111518[[#This Row],[CÓDIGO]],PRODUCTOS31316[],3,FALSE)</f>
        <v>TUBO CONICO DE 1,5ml PRE ESTERILIZADO LIBRE DE Rnasa y Dnasa No pirogenico No DNA Humano Tapa a Presion</v>
      </c>
      <c r="T59" s="2">
        <v>2</v>
      </c>
      <c r="U59" s="2"/>
      <c r="V59" s="2"/>
      <c r="W59" s="2"/>
      <c r="X59" s="2"/>
      <c r="Y59" s="7"/>
      <c r="Z59" s="2">
        <v>1776</v>
      </c>
      <c r="AA59" s="1" t="s">
        <v>2229</v>
      </c>
      <c r="AB59" s="16">
        <v>46041</v>
      </c>
      <c r="AC59" s="2" t="s">
        <v>36</v>
      </c>
      <c r="AD59" s="1">
        <f>VLOOKUP(ENTRADAS71417[[#This Row],[CÓDIGO]],PRODUCTOS31316[],2,FALSE)</f>
        <v>1</v>
      </c>
      <c r="AE59" s="1" t="str">
        <f>VLOOKUP(ENTRADAS71417[[#This Row],[CÓDIGO]],PRODUCTOS31316[],3,FALSE)</f>
        <v xml:space="preserve">PARCHE ESTROTECT </v>
      </c>
      <c r="AF59" s="2">
        <v>485</v>
      </c>
      <c r="AG59" s="2"/>
      <c r="AH59" s="2">
        <v>9</v>
      </c>
    </row>
    <row r="60" spans="1:34" ht="49.95" customHeight="1" x14ac:dyDescent="0.3">
      <c r="A60" s="2" t="s">
        <v>274</v>
      </c>
      <c r="B60" s="1" t="s">
        <v>275</v>
      </c>
      <c r="C60" s="1" t="s">
        <v>276</v>
      </c>
      <c r="D60" s="1" t="s">
        <v>244</v>
      </c>
      <c r="E60" s="1" t="s">
        <v>24</v>
      </c>
      <c r="F60" s="1" t="s">
        <v>30</v>
      </c>
      <c r="G60" s="2">
        <v>0</v>
      </c>
      <c r="H60" s="14">
        <f>SUMIF(ENTRADAS71417[CÓDIGO],PRODUCTOS31316[[#This Row],[CÓDIGO]],ENTRADAS71417[CANTIDAD])</f>
        <v>0</v>
      </c>
      <c r="I60" s="11">
        <f>SUMIF(SALIDAS111518[CÓDIGO],PRODUCTOS31316[[#This Row],[CÓDIGO]],SALIDAS111518[CANTIDAD])</f>
        <v>0</v>
      </c>
      <c r="J60" s="6">
        <f>PRODUCTOS31316[[#This Row],[EXISTENCIAS]]+PRODUCTOS31316[[#This Row],[ENTRADAS]]-PRODUCTOS31316[[#This Row],[SALIDAS]]</f>
        <v>0</v>
      </c>
      <c r="L60" s="2" t="s">
        <v>3520</v>
      </c>
      <c r="M60" s="2" t="s">
        <v>3653</v>
      </c>
      <c r="N60" s="276" t="s">
        <v>3761</v>
      </c>
      <c r="O60" s="2" t="s">
        <v>94</v>
      </c>
      <c r="P60" s="16">
        <v>46037</v>
      </c>
      <c r="Q60" s="2" t="s">
        <v>3639</v>
      </c>
      <c r="R60" s="2">
        <f>VLOOKUP(SALIDAS111518[[#This Row],[CÓDIGO]],PRODUCTOS31316[],2,FALSE)</f>
        <v>5565</v>
      </c>
      <c r="S60" s="1" t="str">
        <f>VLOOKUP(SALIDAS111518[[#This Row],[CÓDIGO]],PRODUCTOS31316[],3,FALSE)</f>
        <v>PAJUELA TRANSPARENTE 0.25/ PAQ. X 2000 MARCA IMV</v>
      </c>
      <c r="T60" s="2">
        <v>2</v>
      </c>
      <c r="U60" s="2">
        <v>27</v>
      </c>
      <c r="V60" s="2" t="s">
        <v>3732</v>
      </c>
      <c r="W60" s="2"/>
      <c r="X60" s="19"/>
      <c r="Y60" s="7"/>
      <c r="Z60" s="282" t="s">
        <v>3812</v>
      </c>
      <c r="AA60" s="320" t="s">
        <v>3795</v>
      </c>
      <c r="AB60" s="16">
        <v>46045</v>
      </c>
      <c r="AC60" s="2" t="s">
        <v>3791</v>
      </c>
      <c r="AD60" s="1">
        <f>VLOOKUP(ENTRADAS71417[[#This Row],[CÓDIGO]],PRODUCTOS31316[],2,FALSE)</f>
        <v>6936520864546</v>
      </c>
      <c r="AE60" s="1" t="str">
        <f>VLOOKUP(ENTRADAS71417[[#This Row],[CÓDIGO]],PRODUCTOS31316[],3,FALSE)</f>
        <v>TABLET 11" HONOR PAD X8A 128 GB</v>
      </c>
      <c r="AF60" s="2">
        <v>3</v>
      </c>
      <c r="AG60" s="2"/>
      <c r="AH60" s="2">
        <v>10</v>
      </c>
    </row>
    <row r="61" spans="1:34" ht="49.95" customHeight="1" x14ac:dyDescent="0.3">
      <c r="A61" s="2" t="s">
        <v>278</v>
      </c>
      <c r="B61" s="1">
        <v>744359</v>
      </c>
      <c r="C61" s="1" t="s">
        <v>279</v>
      </c>
      <c r="D61" s="1" t="s">
        <v>280</v>
      </c>
      <c r="E61" s="1" t="s">
        <v>280</v>
      </c>
      <c r="F61" s="1" t="s">
        <v>30</v>
      </c>
      <c r="G61" s="2">
        <v>1</v>
      </c>
      <c r="H61" s="14">
        <f>SUMIF(ENTRADAS71417[CÓDIGO],PRODUCTOS31316[[#This Row],[CÓDIGO]],ENTRADAS71417[CANTIDAD])</f>
        <v>0</v>
      </c>
      <c r="I61" s="11">
        <f>SUMIF(SALIDAS111518[CÓDIGO],PRODUCTOS31316[[#This Row],[CÓDIGO]],SALIDAS111518[CANTIDAD])</f>
        <v>0</v>
      </c>
      <c r="J61" s="6">
        <f>PRODUCTOS31316[[#This Row],[EXISTENCIAS]]+PRODUCTOS31316[[#This Row],[ENTRADAS]]-PRODUCTOS31316[[#This Row],[SALIDAS]]</f>
        <v>1</v>
      </c>
      <c r="L61" s="2" t="s">
        <v>3520</v>
      </c>
      <c r="M61" s="2" t="s">
        <v>3653</v>
      </c>
      <c r="N61" s="276" t="s">
        <v>3762</v>
      </c>
      <c r="O61" s="2" t="s">
        <v>2694</v>
      </c>
      <c r="P61" s="278">
        <v>46037</v>
      </c>
      <c r="Q61" s="2" t="s">
        <v>378</v>
      </c>
      <c r="R61" s="2">
        <f>VLOOKUP(SALIDAS111518[[#This Row],[CÓDIGO]],PRODUCTOS31316[],2,FALSE)</f>
        <v>0</v>
      </c>
      <c r="S61" s="1" t="str">
        <f>VLOOKUP(SALIDAS111518[[#This Row],[CÓDIGO]],PRODUCTOS31316[],3,FALSE)</f>
        <v>ISPERM KIT (WITH 50 INCLUIDED CHIPS, EXS M5)</v>
      </c>
      <c r="T61" s="2">
        <v>1</v>
      </c>
      <c r="U61" s="2">
        <v>28</v>
      </c>
      <c r="V61" s="2"/>
      <c r="W61" s="2"/>
      <c r="X61" s="19"/>
      <c r="Y61" s="7"/>
      <c r="Z61" s="2" t="s">
        <v>3823</v>
      </c>
      <c r="AA61" s="1" t="s">
        <v>2091</v>
      </c>
      <c r="AB61" s="16">
        <v>46043</v>
      </c>
      <c r="AC61" s="2" t="s">
        <v>273</v>
      </c>
      <c r="AD61" s="1">
        <f>VLOOKUP(ENTRADAS71417[[#This Row],[CÓDIGO]],PRODUCTOS31316[],2,FALSE)</f>
        <v>1003514</v>
      </c>
      <c r="AE61" s="1" t="str">
        <f>VLOOKUP(ENTRADAS71417[[#This Row],[CÓDIGO]],PRODUCTOS31316[],3,FALSE)</f>
        <v>JALEA CONDUCTIVA (GEL ULTRASONICO) GALON X 3785 ML AZUL</v>
      </c>
      <c r="AF61" s="2">
        <v>18</v>
      </c>
      <c r="AG61" s="2"/>
      <c r="AH61" s="2">
        <v>11</v>
      </c>
    </row>
    <row r="62" spans="1:34" ht="49.95" customHeight="1" x14ac:dyDescent="0.3">
      <c r="A62" s="2" t="s">
        <v>282</v>
      </c>
      <c r="B62" s="1" t="s">
        <v>283</v>
      </c>
      <c r="C62" s="1" t="s">
        <v>279</v>
      </c>
      <c r="D62" s="1" t="s">
        <v>280</v>
      </c>
      <c r="E62" s="1" t="s">
        <v>280</v>
      </c>
      <c r="F62" s="1" t="s">
        <v>30</v>
      </c>
      <c r="G62" s="2">
        <v>1</v>
      </c>
      <c r="H62" s="14">
        <f>SUMIF(ENTRADAS71417[CÓDIGO],PRODUCTOS31316[[#This Row],[CÓDIGO]],ENTRADAS71417[CANTIDAD])</f>
        <v>0</v>
      </c>
      <c r="I62" s="11">
        <f>SUMIF(SALIDAS111518[CÓDIGO],PRODUCTOS31316[[#This Row],[CÓDIGO]],SALIDAS111518[CANTIDAD])</f>
        <v>0</v>
      </c>
      <c r="J62" s="6">
        <f>PRODUCTOS31316[[#This Row],[EXISTENCIAS]]+PRODUCTOS31316[[#This Row],[ENTRADAS]]-PRODUCTOS31316[[#This Row],[SALIDAS]]</f>
        <v>1</v>
      </c>
      <c r="L62" s="2"/>
      <c r="M62" s="2"/>
      <c r="N62" s="2">
        <v>7709</v>
      </c>
      <c r="O62" s="2" t="s">
        <v>2694</v>
      </c>
      <c r="P62" s="16">
        <v>46037</v>
      </c>
      <c r="Q62" s="2" t="s">
        <v>985</v>
      </c>
      <c r="R62" s="2">
        <f>VLOOKUP(SALIDAS111518[[#This Row],[CÓDIGO]],PRODUCTOS31316[],2,FALSE)</f>
        <v>0</v>
      </c>
      <c r="S62" s="1" t="str">
        <f>VLOOKUP(SALIDAS111518[[#This Row],[CÓDIGO]],PRODUCTOS31316[],3,FALSE)</f>
        <v>ISPERM SOFTWARE INICIAL ( UNA APLICACIÓN)</v>
      </c>
      <c r="T62" s="2">
        <v>1</v>
      </c>
      <c r="U62" s="2"/>
      <c r="V62" s="2"/>
      <c r="W62" s="2"/>
      <c r="X62" s="2"/>
      <c r="Y62" s="7"/>
      <c r="Z62" s="282" t="s">
        <v>3826</v>
      </c>
      <c r="AA62" s="1" t="s">
        <v>3827</v>
      </c>
      <c r="AB62" s="16">
        <v>46043</v>
      </c>
      <c r="AC62" s="2" t="s">
        <v>2797</v>
      </c>
      <c r="AD62" s="1" t="str">
        <f>VLOOKUP(ENTRADAS71417[[#This Row],[CÓDIGO]],PRODUCTOS31316[],2,FALSE)</f>
        <v>PT113</v>
      </c>
      <c r="AE62" s="1" t="str">
        <f>VLOOKUP(ENTRADAS71417[[#This Row],[CÓDIGO]],PRODUCTOS31316[],3,FALSE)</f>
        <v>NATURAL FERTILITY X 2 KL</v>
      </c>
      <c r="AF62" s="2">
        <v>1</v>
      </c>
      <c r="AG62" s="2"/>
      <c r="AH62" s="2">
        <v>12</v>
      </c>
    </row>
    <row r="63" spans="1:34" ht="49.95" customHeight="1" x14ac:dyDescent="0.3">
      <c r="A63" s="2" t="s">
        <v>285</v>
      </c>
      <c r="B63" s="1">
        <v>636101</v>
      </c>
      <c r="C63" s="1" t="s">
        <v>286</v>
      </c>
      <c r="D63" s="1" t="s">
        <v>73</v>
      </c>
      <c r="E63" s="1" t="s">
        <v>24</v>
      </c>
      <c r="F63" s="1" t="s">
        <v>30</v>
      </c>
      <c r="G63" s="2">
        <v>0</v>
      </c>
      <c r="H63" s="14">
        <f>SUMIF(ENTRADAS71417[CÓDIGO],PRODUCTOS31316[[#This Row],[CÓDIGO]],ENTRADAS71417[CANTIDAD])</f>
        <v>0</v>
      </c>
      <c r="I63" s="11">
        <f>SUMIF(SALIDAS111518[CÓDIGO],PRODUCTOS31316[[#This Row],[CÓDIGO]],SALIDAS111518[CANTIDAD])</f>
        <v>0</v>
      </c>
      <c r="J63" s="6">
        <f>PRODUCTOS31316[[#This Row],[EXISTENCIAS]]+PRODUCTOS31316[[#This Row],[ENTRADAS]]-PRODUCTOS31316[[#This Row],[SALIDAS]]</f>
        <v>0</v>
      </c>
      <c r="L63" s="2"/>
      <c r="M63" s="2"/>
      <c r="N63" s="2">
        <v>7709</v>
      </c>
      <c r="O63" s="2" t="s">
        <v>2694</v>
      </c>
      <c r="P63" s="16">
        <v>46037</v>
      </c>
      <c r="Q63" s="2" t="s">
        <v>3432</v>
      </c>
      <c r="R63" s="2" t="str">
        <f>VLOOKUP(SALIDAS111518[[#This Row],[CÓDIGO]],PRODUCTOS31316[],2,FALSE)</f>
        <v>BK-S1</v>
      </c>
      <c r="S63" s="1" t="str">
        <f>VLOOKUP(SALIDAS111518[[#This Row],[CÓDIGO]],PRODUCTOS31316[],3,FALSE)</f>
        <v>BAÑO DE MARÍA DE 3 LITROS</v>
      </c>
      <c r="T63" s="2">
        <v>1</v>
      </c>
      <c r="U63" s="2"/>
      <c r="V63" s="2"/>
      <c r="W63" s="2"/>
      <c r="X63" s="2"/>
      <c r="Y63" s="7"/>
      <c r="Z63" s="282" t="s">
        <v>3832</v>
      </c>
      <c r="AA63" s="283" t="s">
        <v>3795</v>
      </c>
      <c r="AB63" s="16">
        <v>46045</v>
      </c>
      <c r="AC63" s="282" t="s">
        <v>3791</v>
      </c>
      <c r="AD63" s="1">
        <f>VLOOKUP(ENTRADAS71417[[#This Row],[CÓDIGO]],PRODUCTOS31316[],2,FALSE)</f>
        <v>6936520864546</v>
      </c>
      <c r="AE63" s="1" t="str">
        <f>VLOOKUP(ENTRADAS71417[[#This Row],[CÓDIGO]],PRODUCTOS31316[],3,FALSE)</f>
        <v>TABLET 11" HONOR PAD X8A 128 GB</v>
      </c>
      <c r="AF63" s="2">
        <v>2</v>
      </c>
      <c r="AG63" s="2"/>
      <c r="AH63" s="2">
        <v>13</v>
      </c>
    </row>
    <row r="64" spans="1:34" ht="49.95" customHeight="1" x14ac:dyDescent="0.3">
      <c r="A64" s="2" t="s">
        <v>288</v>
      </c>
      <c r="C64" s="1" t="s">
        <v>289</v>
      </c>
      <c r="D64" s="1" t="s">
        <v>290</v>
      </c>
      <c r="E64" s="1" t="s">
        <v>123</v>
      </c>
      <c r="F64" s="1" t="s">
        <v>291</v>
      </c>
      <c r="G64" s="2">
        <v>0</v>
      </c>
      <c r="H64" s="14">
        <f>SUMIF(ENTRADAS71417[CÓDIGO],PRODUCTOS31316[[#This Row],[CÓDIGO]],ENTRADAS71417[CANTIDAD])</f>
        <v>0</v>
      </c>
      <c r="I64" s="11">
        <f>SUMIF(SALIDAS111518[CÓDIGO],PRODUCTOS31316[[#This Row],[CÓDIGO]],SALIDAS111518[CANTIDAD])</f>
        <v>0</v>
      </c>
      <c r="J64" s="6">
        <f>PRODUCTOS31316[[#This Row],[EXISTENCIAS]]+PRODUCTOS31316[[#This Row],[ENTRADAS]]-PRODUCTOS31316[[#This Row],[SALIDAS]]</f>
        <v>0</v>
      </c>
      <c r="L64" s="2"/>
      <c r="M64" s="2"/>
      <c r="N64" s="2">
        <v>7709</v>
      </c>
      <c r="O64" s="2" t="s">
        <v>2694</v>
      </c>
      <c r="P64" s="16">
        <v>46037</v>
      </c>
      <c r="Q64" s="276" t="s">
        <v>3376</v>
      </c>
      <c r="R64" s="2">
        <f>VLOOKUP(SALIDAS111518[[#This Row],[CÓDIGO]],PRODUCTOS31316[],2,FALSE)</f>
        <v>0</v>
      </c>
      <c r="S64" s="1" t="str">
        <f>VLOOKUP(SALIDAS111518[[#This Row],[CÓDIGO]],PRODUCTOS31316[],3,FALSE)</f>
        <v>TERMO DE 380 ML MAS CAMPO</v>
      </c>
      <c r="T64" s="2">
        <v>1</v>
      </c>
      <c r="U64" s="2"/>
      <c r="V64" s="2"/>
      <c r="W64" s="2"/>
      <c r="X64" s="2"/>
      <c r="Y64" s="7"/>
      <c r="Z64" s="282" t="s">
        <v>3832</v>
      </c>
      <c r="AA64" s="283" t="s">
        <v>3795</v>
      </c>
      <c r="AB64" s="16">
        <v>46045</v>
      </c>
      <c r="AC64" s="282" t="s">
        <v>3833</v>
      </c>
      <c r="AD64" s="1">
        <f>VLOOKUP(ENTRADAS71417[[#This Row],[CÓDIGO]],PRODUCTOS31316[],2,FALSE)</f>
        <v>6932554444525</v>
      </c>
      <c r="AE64" s="1" t="str">
        <f>VLOOKUP(ENTRADAS71417[[#This Row],[CÓDIGO]],PRODUCTOS31316[],3,FALSE)</f>
        <v xml:space="preserve">TABLET 11" REDMI PAD2 4 / 128 GB </v>
      </c>
      <c r="AF64" s="2">
        <v>1</v>
      </c>
      <c r="AG64" s="2"/>
      <c r="AH64" s="2"/>
    </row>
    <row r="65" spans="1:34" ht="49.95" customHeight="1" x14ac:dyDescent="0.3">
      <c r="A65" s="2" t="s">
        <v>294</v>
      </c>
      <c r="B65" s="1">
        <v>615010</v>
      </c>
      <c r="C65" s="1" t="s">
        <v>295</v>
      </c>
      <c r="D65" s="1" t="s">
        <v>73</v>
      </c>
      <c r="E65" s="1" t="s">
        <v>24</v>
      </c>
      <c r="F65" s="1" t="s">
        <v>30</v>
      </c>
      <c r="G65" s="2">
        <v>0</v>
      </c>
      <c r="H65" s="14">
        <f>SUMIF(ENTRADAS71417[CÓDIGO],PRODUCTOS31316[[#This Row],[CÓDIGO]],ENTRADAS71417[CANTIDAD])</f>
        <v>0</v>
      </c>
      <c r="I65" s="11">
        <f>SUMIF(SALIDAS111518[CÓDIGO],PRODUCTOS31316[[#This Row],[CÓDIGO]],SALIDAS111518[CANTIDAD])</f>
        <v>0</v>
      </c>
      <c r="J65" s="6">
        <f>PRODUCTOS31316[[#This Row],[EXISTENCIAS]]+PRODUCTOS31316[[#This Row],[ENTRADAS]]-PRODUCTOS31316[[#This Row],[SALIDAS]]</f>
        <v>0</v>
      </c>
      <c r="L65" s="2"/>
      <c r="M65" s="2"/>
      <c r="N65" s="2">
        <v>7709</v>
      </c>
      <c r="O65" s="2" t="s">
        <v>2694</v>
      </c>
      <c r="P65" s="16">
        <v>46037</v>
      </c>
      <c r="Q65" s="276" t="s">
        <v>2232</v>
      </c>
      <c r="R65" s="2">
        <f>VLOOKUP(SALIDAS111518[[#This Row],[CÓDIGO]],PRODUCTOS31316[],2,FALSE)</f>
        <v>0</v>
      </c>
      <c r="S65" s="1" t="str">
        <f>VLOOKUP(SALIDAS111518[[#This Row],[CÓDIGO]],PRODUCTOS31316[],3,FALSE)</f>
        <v>CONO RECOLECTOR</v>
      </c>
      <c r="T65" s="2">
        <v>1</v>
      </c>
      <c r="U65" s="2"/>
      <c r="V65" s="2"/>
      <c r="W65" s="2"/>
      <c r="X65" s="2"/>
      <c r="Y65" s="7"/>
      <c r="Z65" s="2">
        <v>3779</v>
      </c>
      <c r="AA65" s="283" t="s">
        <v>3887</v>
      </c>
      <c r="AB65" s="16">
        <v>46048</v>
      </c>
      <c r="AC65" s="282" t="s">
        <v>33</v>
      </c>
      <c r="AD65" s="1" t="str">
        <f>VLOOKUP(ENTRADAS71417[[#This Row],[CÓDIGO]],PRODUCTOS31316[],2,FALSE)</f>
        <v>LA-120 /506003</v>
      </c>
      <c r="AE65" s="1" t="str">
        <f>VLOOKUP(ENTRADAS71417[[#This Row],[CÓDIGO]],PRODUCTOS31316[],3,FALSE)</f>
        <v>LíNEA PARA OPU 1,2 METROS</v>
      </c>
      <c r="AF65" s="2">
        <v>200</v>
      </c>
      <c r="AG65" s="2"/>
      <c r="AH65" s="2"/>
    </row>
    <row r="66" spans="1:34" ht="49.95" customHeight="1" x14ac:dyDescent="0.3">
      <c r="A66" s="2" t="s">
        <v>297</v>
      </c>
      <c r="B66" s="1">
        <v>77020</v>
      </c>
      <c r="C66" s="1" t="s">
        <v>298</v>
      </c>
      <c r="D66" s="1" t="s">
        <v>73</v>
      </c>
      <c r="E66" s="1" t="s">
        <v>24</v>
      </c>
      <c r="F66" s="1" t="s">
        <v>68</v>
      </c>
      <c r="G66" s="2">
        <v>0</v>
      </c>
      <c r="H66" s="14">
        <f>SUMIF(ENTRADAS71417[CÓDIGO],PRODUCTOS31316[[#This Row],[CÓDIGO]],ENTRADAS71417[CANTIDAD])</f>
        <v>0</v>
      </c>
      <c r="I66" s="11">
        <f>SUMIF(SALIDAS111518[CÓDIGO],PRODUCTOS31316[[#This Row],[CÓDIGO]],SALIDAS111518[CANTIDAD])</f>
        <v>0</v>
      </c>
      <c r="J66" s="6">
        <f>PRODUCTOS31316[[#This Row],[EXISTENCIAS]]+PRODUCTOS31316[[#This Row],[ENTRADAS]]-PRODUCTOS31316[[#This Row],[SALIDAS]]</f>
        <v>0</v>
      </c>
      <c r="L66" s="276" t="s">
        <v>3520</v>
      </c>
      <c r="M66" s="276" t="s">
        <v>3653</v>
      </c>
      <c r="N66" s="276" t="s">
        <v>3763</v>
      </c>
      <c r="O66" s="275" t="s">
        <v>2699</v>
      </c>
      <c r="P66" s="16">
        <v>45672</v>
      </c>
      <c r="Q66" s="276" t="s">
        <v>33</v>
      </c>
      <c r="R66" s="2" t="str">
        <f>VLOOKUP(SALIDAS111518[[#This Row],[CÓDIGO]],PRODUCTOS31316[],2,FALSE)</f>
        <v>LA-120 /506003</v>
      </c>
      <c r="S66" s="1" t="str">
        <f>VLOOKUP(SALIDAS111518[[#This Row],[CÓDIGO]],PRODUCTOS31316[],3,FALSE)</f>
        <v>LíNEA PARA OPU 1,2 METROS</v>
      </c>
      <c r="T66" s="2">
        <v>5</v>
      </c>
      <c r="U66" s="2">
        <v>29</v>
      </c>
      <c r="V66" s="2"/>
      <c r="W66" s="2"/>
      <c r="X66" s="2"/>
      <c r="Y66" s="7"/>
      <c r="Z66" s="2">
        <v>3779</v>
      </c>
      <c r="AA66" s="283" t="s">
        <v>3887</v>
      </c>
      <c r="AB66" s="16">
        <v>46048</v>
      </c>
      <c r="AC66" s="282" t="s">
        <v>27</v>
      </c>
      <c r="AD66" s="1" t="str">
        <f>VLOOKUP(ENTRADAS71417[[#This Row],[CÓDIGO]],PRODUCTOS31316[],2,FALSE)</f>
        <v>INO-025/ 508001</v>
      </c>
      <c r="AE66" s="1" t="str">
        <f>VLOOKUP(ENTRADAS71417[[#This Row],[CÓDIGO]],PRODUCTOS31316[],3,FALSE)</f>
        <v>PISTOLA DE TRANSFERENCIA DE EMBRIONES</v>
      </c>
      <c r="AF66" s="2">
        <v>30</v>
      </c>
      <c r="AG66" s="2"/>
      <c r="AH66" s="2"/>
    </row>
    <row r="67" spans="1:34" ht="49.95" customHeight="1" x14ac:dyDescent="0.3">
      <c r="A67" s="2" t="s">
        <v>301</v>
      </c>
      <c r="B67" s="1">
        <v>77000</v>
      </c>
      <c r="C67" s="1" t="s">
        <v>302</v>
      </c>
      <c r="D67" s="1" t="s">
        <v>73</v>
      </c>
      <c r="E67" s="1" t="s">
        <v>24</v>
      </c>
      <c r="F67" s="1" t="s">
        <v>41</v>
      </c>
      <c r="G67" s="2">
        <v>0</v>
      </c>
      <c r="H67" s="14">
        <f>SUMIF(ENTRADAS71417[CÓDIGO],PRODUCTOS31316[[#This Row],[CÓDIGO]],ENTRADAS71417[CANTIDAD])</f>
        <v>0</v>
      </c>
      <c r="I67" s="11">
        <f>SUMIF(SALIDAS111518[CÓDIGO],PRODUCTOS31316[[#This Row],[CÓDIGO]],SALIDAS111518[CANTIDAD])</f>
        <v>0</v>
      </c>
      <c r="J67" s="6">
        <f>PRODUCTOS31316[[#This Row],[EXISTENCIAS]]+PRODUCTOS31316[[#This Row],[ENTRADAS]]-PRODUCTOS31316[[#This Row],[SALIDAS]]</f>
        <v>0</v>
      </c>
      <c r="L67" s="2"/>
      <c r="M67" s="2"/>
      <c r="N67" s="2"/>
      <c r="O67" s="313" t="s">
        <v>2699</v>
      </c>
      <c r="P67" s="16">
        <v>45672</v>
      </c>
      <c r="Q67" s="276" t="s">
        <v>2985</v>
      </c>
      <c r="R67" s="2">
        <f>VLOOKUP(SALIDAS111518[[#This Row],[CÓDIGO]],PRODUCTOS31316[],2,FALSE)</f>
        <v>6206</v>
      </c>
      <c r="S67" s="1" t="str">
        <f>VLOOKUP(SALIDAS111518[[#This Row],[CÓDIGO]],PRODUCTOS31316[],3,FALSE)</f>
        <v>AGUJA DESECHABLE 20G X 1 1/2</v>
      </c>
      <c r="T67" s="2">
        <v>10</v>
      </c>
      <c r="U67" s="2"/>
      <c r="V67" s="2"/>
      <c r="W67" s="2"/>
      <c r="X67" s="2"/>
      <c r="Y67" s="7"/>
      <c r="Z67" s="2">
        <v>3779</v>
      </c>
      <c r="AA67" s="283" t="s">
        <v>3887</v>
      </c>
      <c r="AB67" s="16">
        <v>46048</v>
      </c>
      <c r="AC67" s="282" t="s">
        <v>15</v>
      </c>
      <c r="AD67" s="1" t="str">
        <f>VLOOKUP(ENTRADAS71417[[#This Row],[CÓDIGO]],PRODUCTOS31316[],2,FALSE)</f>
        <v>BTE-025PT/ 504002</v>
      </c>
      <c r="AE67" s="1" t="str">
        <f>VLOOKUP(ENTRADAS71417[[#This Row],[CÓDIGO]],PRODUCTOS31316[],3,FALSE)</f>
        <v>FUNDAS PARA TRANSFERENCIA DE EMBRIONES</v>
      </c>
      <c r="AF67" s="2">
        <v>5012</v>
      </c>
      <c r="AG67" s="2">
        <v>5000</v>
      </c>
      <c r="AH67" s="2"/>
    </row>
    <row r="68" spans="1:34" ht="49.95" customHeight="1" x14ac:dyDescent="0.3">
      <c r="A68" s="2" t="s">
        <v>304</v>
      </c>
      <c r="B68" s="1">
        <v>464327</v>
      </c>
      <c r="C68" s="1" t="s">
        <v>305</v>
      </c>
      <c r="D68" s="1" t="s">
        <v>73</v>
      </c>
      <c r="E68" s="1" t="s">
        <v>24</v>
      </c>
      <c r="F68" s="1" t="s">
        <v>306</v>
      </c>
      <c r="G68" s="2">
        <v>2</v>
      </c>
      <c r="H68" s="14">
        <f>SUMIF(ENTRADAS71417[CÓDIGO],PRODUCTOS31316[[#This Row],[CÓDIGO]],ENTRADAS71417[CANTIDAD])</f>
        <v>0</v>
      </c>
      <c r="I68" s="11">
        <f>SUMIF(SALIDAS111518[CÓDIGO],PRODUCTOS31316[[#This Row],[CÓDIGO]],SALIDAS111518[CANTIDAD])</f>
        <v>0</v>
      </c>
      <c r="J68" s="6">
        <f>PRODUCTOS31316[[#This Row],[EXISTENCIAS]]+PRODUCTOS31316[[#This Row],[ENTRADAS]]-PRODUCTOS31316[[#This Row],[SALIDAS]]</f>
        <v>2</v>
      </c>
      <c r="L68" s="276" t="s">
        <v>3520</v>
      </c>
      <c r="M68" s="276" t="s">
        <v>3653</v>
      </c>
      <c r="N68" s="276" t="s">
        <v>3781</v>
      </c>
      <c r="O68" s="387" t="s">
        <v>2209</v>
      </c>
      <c r="P68" s="16">
        <v>46220</v>
      </c>
      <c r="Q68" s="228" t="s">
        <v>378</v>
      </c>
      <c r="R68" s="2">
        <f>VLOOKUP(SALIDAS111518[[#This Row],[CÓDIGO]],PRODUCTOS31316[],2,FALSE)</f>
        <v>0</v>
      </c>
      <c r="S68" s="1" t="str">
        <f>VLOOKUP(SALIDAS111518[[#This Row],[CÓDIGO]],PRODUCTOS31316[],3,FALSE)</f>
        <v>ISPERM KIT (WITH 50 INCLUIDED CHIPS, EXS M5)</v>
      </c>
      <c r="T68" s="2">
        <v>1</v>
      </c>
      <c r="U68" s="296" t="s">
        <v>4083</v>
      </c>
      <c r="V68" s="2"/>
      <c r="W68" s="2"/>
      <c r="X68" s="2"/>
      <c r="Y68" s="7"/>
      <c r="Z68" s="2">
        <v>3779</v>
      </c>
      <c r="AA68" s="283" t="s">
        <v>3887</v>
      </c>
      <c r="AB68" s="16">
        <v>46048</v>
      </c>
      <c r="AC68" s="282" t="s">
        <v>2876</v>
      </c>
      <c r="AD68" s="1">
        <f>VLOOKUP(ENTRADAS71417[[#This Row],[CÓDIGO]],PRODUCTOS31316[],2,FALSE)</f>
        <v>0</v>
      </c>
      <c r="AE68" s="1" t="str">
        <f>VLOOKUP(ENTRADAS71417[[#This Row],[CÓDIGO]],PRODUCTOS31316[],3,FALSE)</f>
        <v>PISTOLA DE TRANSFERENCIA DE EMBRIONES 0,25 / BLOQUEO AUTOMÁTICO EN ALUMINIO</v>
      </c>
      <c r="AF68" s="2">
        <v>10</v>
      </c>
      <c r="AG68" s="2"/>
      <c r="AH68" s="2"/>
    </row>
    <row r="69" spans="1:34" ht="49.95" customHeight="1" x14ac:dyDescent="0.3">
      <c r="A69" s="2" t="s">
        <v>309</v>
      </c>
      <c r="B69" s="1">
        <v>464313</v>
      </c>
      <c r="C69" s="1" t="s">
        <v>310</v>
      </c>
      <c r="D69" s="1" t="s">
        <v>73</v>
      </c>
      <c r="E69" s="1" t="s">
        <v>24</v>
      </c>
      <c r="F69" s="1" t="s">
        <v>30</v>
      </c>
      <c r="G69" s="2">
        <v>0</v>
      </c>
      <c r="H69" s="14">
        <f>SUMIF(ENTRADAS71417[CÓDIGO],PRODUCTOS31316[[#This Row],[CÓDIGO]],ENTRADAS71417[CANTIDAD])</f>
        <v>0</v>
      </c>
      <c r="I69" s="11">
        <f>SUMIF(SALIDAS111518[CÓDIGO],PRODUCTOS31316[[#This Row],[CÓDIGO]],SALIDAS111518[CANTIDAD])</f>
        <v>0</v>
      </c>
      <c r="J69" s="6">
        <f>PRODUCTOS31316[[#This Row],[EXISTENCIAS]]+PRODUCTOS31316[[#This Row],[ENTRADAS]]-PRODUCTOS31316[[#This Row],[SALIDAS]]</f>
        <v>0</v>
      </c>
      <c r="L69" s="2"/>
      <c r="M69" s="2"/>
      <c r="N69" s="2">
        <v>7724</v>
      </c>
      <c r="O69" s="227" t="s">
        <v>2209</v>
      </c>
      <c r="P69" s="16">
        <v>46220</v>
      </c>
      <c r="Q69" s="228" t="s">
        <v>985</v>
      </c>
      <c r="R69" s="2">
        <f>VLOOKUP(SALIDAS111518[[#This Row],[CÓDIGO]],PRODUCTOS31316[],2,FALSE)</f>
        <v>0</v>
      </c>
      <c r="S69" s="1" t="str">
        <f>VLOOKUP(SALIDAS111518[[#This Row],[CÓDIGO]],PRODUCTOS31316[],3,FALSE)</f>
        <v>ISPERM SOFTWARE INICIAL ( UNA APLICACIÓN)</v>
      </c>
      <c r="T69" s="2">
        <v>1</v>
      </c>
      <c r="U69" s="2"/>
      <c r="V69" s="2"/>
      <c r="W69" s="2"/>
      <c r="X69" s="2"/>
      <c r="Y69" s="7"/>
      <c r="Z69" s="2">
        <v>3779</v>
      </c>
      <c r="AA69" s="283" t="s">
        <v>3887</v>
      </c>
      <c r="AB69" s="16">
        <v>46048</v>
      </c>
      <c r="AC69" s="282" t="s">
        <v>2257</v>
      </c>
      <c r="AD69" s="1">
        <f>VLOOKUP(ENTRADAS71417[[#This Row],[CÓDIGO]],PRODUCTOS31316[],2,FALSE)</f>
        <v>9014001</v>
      </c>
      <c r="AE69" s="1" t="str">
        <f>VLOOKUP(ENTRADAS71417[[#This Row],[CÓDIGO]],PRODUCTOS31316[],3,FALSE)</f>
        <v>FILTROS OPU 100 UM/ MARCA TED</v>
      </c>
      <c r="AF69" s="2">
        <v>9</v>
      </c>
      <c r="AG69" s="2"/>
      <c r="AH69" s="2"/>
    </row>
    <row r="70" spans="1:34" ht="49.95" customHeight="1" x14ac:dyDescent="0.3">
      <c r="A70" s="2" t="s">
        <v>312</v>
      </c>
      <c r="B70" s="1" t="s">
        <v>313</v>
      </c>
      <c r="C70" s="87" t="s">
        <v>314</v>
      </c>
      <c r="D70" s="1" t="s">
        <v>103</v>
      </c>
      <c r="E70" s="1" t="s">
        <v>24</v>
      </c>
      <c r="F70" s="1" t="s">
        <v>315</v>
      </c>
      <c r="G70" s="2">
        <v>0</v>
      </c>
      <c r="H70" s="14">
        <f>SUMIF(ENTRADAS71417[CÓDIGO],PRODUCTOS31316[[#This Row],[CÓDIGO]],ENTRADAS71417[CANTIDAD])</f>
        <v>0</v>
      </c>
      <c r="I70" s="11">
        <f>SUMIF(SALIDAS111518[CÓDIGO],PRODUCTOS31316[[#This Row],[CÓDIGO]],SALIDAS111518[CANTIDAD])</f>
        <v>0</v>
      </c>
      <c r="J70" s="6">
        <f>PRODUCTOS31316[[#This Row],[EXISTENCIAS]]+PRODUCTOS31316[[#This Row],[ENTRADAS]]-PRODUCTOS31316[[#This Row],[SALIDAS]]</f>
        <v>0</v>
      </c>
      <c r="L70" s="2"/>
      <c r="M70" s="2"/>
      <c r="N70" s="2">
        <v>7724</v>
      </c>
      <c r="O70" s="227" t="s">
        <v>2209</v>
      </c>
      <c r="P70" s="16">
        <v>46220</v>
      </c>
      <c r="Q70" s="228" t="s">
        <v>3275</v>
      </c>
      <c r="R70" s="2">
        <f>VLOOKUP(SALIDAS111518[[#This Row],[CÓDIGO]],PRODUCTOS31316[],2,FALSE)</f>
        <v>0</v>
      </c>
      <c r="S70" s="1" t="str">
        <f>VLOOKUP(SALIDAS111518[[#This Row],[CÓDIGO]],PRODUCTOS31316[],3,FALSE)</f>
        <v>IPAD MINI 7.9" PLATA 128 GB</v>
      </c>
      <c r="T70" s="2">
        <v>1</v>
      </c>
      <c r="U70" s="2"/>
      <c r="V70" s="2"/>
      <c r="W70" s="2"/>
      <c r="X70" s="2"/>
      <c r="Y70" s="7"/>
      <c r="Z70" s="2">
        <v>3779</v>
      </c>
      <c r="AA70" s="283" t="s">
        <v>3887</v>
      </c>
      <c r="AB70" s="16">
        <v>46048</v>
      </c>
      <c r="AC70" s="282" t="s">
        <v>2258</v>
      </c>
      <c r="AD70" s="1">
        <f>VLOOKUP(ENTRADAS71417[[#This Row],[CÓDIGO]],PRODUCTOS31316[],2,FALSE)</f>
        <v>9014001</v>
      </c>
      <c r="AE70" s="1" t="str">
        <f>VLOOKUP(ENTRADAS71417[[#This Row],[CÓDIGO]],PRODUCTOS31316[],3,FALSE)</f>
        <v>FILTROS OPU 100 UM/ MARCA TED</v>
      </c>
      <c r="AF70" s="2">
        <v>20</v>
      </c>
      <c r="AG70" s="2"/>
      <c r="AH70" s="2"/>
    </row>
    <row r="71" spans="1:34" ht="49.95" customHeight="1" x14ac:dyDescent="0.3">
      <c r="A71" s="2" t="s">
        <v>317</v>
      </c>
      <c r="C71" s="1" t="s">
        <v>318</v>
      </c>
      <c r="D71" s="1" t="s">
        <v>73</v>
      </c>
      <c r="E71" s="1" t="s">
        <v>24</v>
      </c>
      <c r="F71" s="1" t="s">
        <v>30</v>
      </c>
      <c r="G71" s="2">
        <v>0</v>
      </c>
      <c r="H71" s="14">
        <f>SUMIF(ENTRADAS71417[CÓDIGO],PRODUCTOS31316[[#This Row],[CÓDIGO]],ENTRADAS71417[CANTIDAD])</f>
        <v>0</v>
      </c>
      <c r="I71" s="11">
        <f>SUMIF(SALIDAS111518[CÓDIGO],PRODUCTOS31316[[#This Row],[CÓDIGO]],SALIDAS111518[CANTIDAD])</f>
        <v>0</v>
      </c>
      <c r="J71" s="6">
        <f>PRODUCTOS31316[[#This Row],[EXISTENCIAS]]+PRODUCTOS31316[[#This Row],[ENTRADAS]]-PRODUCTOS31316[[#This Row],[SALIDAS]]</f>
        <v>0</v>
      </c>
      <c r="L71" s="276" t="s">
        <v>3520</v>
      </c>
      <c r="M71" s="276" t="s">
        <v>3653</v>
      </c>
      <c r="N71" s="276" t="s">
        <v>3772</v>
      </c>
      <c r="O71" s="276" t="s">
        <v>3747</v>
      </c>
      <c r="P71" s="16">
        <v>46037</v>
      </c>
      <c r="Q71" s="276" t="s">
        <v>648</v>
      </c>
      <c r="R71" s="2" t="str">
        <f>VLOOKUP(SALIDAS111518[[#This Row],[CÓDIGO]],PRODUCTOS31316[],2,FALSE)</f>
        <v>S5</v>
      </c>
      <c r="S71" s="1" t="str">
        <f>VLOOKUP(SALIDAS111518[[#This Row],[CÓDIGO]],PRODUCTOS31316[],3,FALSE)</f>
        <v>SONDA S5 UNIDAD PRINCIPAL CON SONDA LINEAL RECTAL</v>
      </c>
      <c r="T71" s="2">
        <v>1</v>
      </c>
      <c r="U71" s="2">
        <v>32</v>
      </c>
      <c r="V71" s="2"/>
      <c r="W71" s="2"/>
      <c r="X71" s="2"/>
      <c r="Y71" s="7"/>
      <c r="Z71" s="2">
        <v>3779</v>
      </c>
      <c r="AA71" s="283" t="s">
        <v>3887</v>
      </c>
      <c r="AB71" s="16">
        <v>46048</v>
      </c>
      <c r="AC71" s="282" t="s">
        <v>3431</v>
      </c>
      <c r="AD71" s="1">
        <f>VLOOKUP(ENTRADAS71417[[#This Row],[CÓDIGO]],PRODUCTOS31316[],2,FALSE)</f>
        <v>9013005</v>
      </c>
      <c r="AE71" s="1" t="str">
        <f>VLOOKUP(ENTRADAS71417[[#This Row],[CÓDIGO]],PRODUCTOS31316[],3,FALSE)</f>
        <v>TERMO DESCONGELADOR DE EMBRIONES Y SEMEN DSE-400 SIN BATERÍA BLACK/GRAY</v>
      </c>
      <c r="AF71" s="2">
        <v>2</v>
      </c>
      <c r="AG71" s="2"/>
      <c r="AH71" s="2"/>
    </row>
    <row r="72" spans="1:34" ht="49.95" customHeight="1" x14ac:dyDescent="0.3">
      <c r="A72" s="2" t="s">
        <v>319</v>
      </c>
      <c r="C72" s="1" t="s">
        <v>320</v>
      </c>
      <c r="D72" s="1" t="s">
        <v>290</v>
      </c>
      <c r="E72" s="1" t="s">
        <v>123</v>
      </c>
      <c r="F72" s="1" t="s">
        <v>291</v>
      </c>
      <c r="G72" s="2">
        <v>0</v>
      </c>
      <c r="H72" s="14">
        <f>SUMIF(ENTRADAS71417[CÓDIGO],PRODUCTOS31316[[#This Row],[CÓDIGO]],ENTRADAS71417[CANTIDAD])</f>
        <v>0</v>
      </c>
      <c r="I72" s="11">
        <f>SUMIF(SALIDAS111518[CÓDIGO],PRODUCTOS31316[[#This Row],[CÓDIGO]],SALIDAS111518[CANTIDAD])</f>
        <v>0</v>
      </c>
      <c r="J72" s="6">
        <f>PRODUCTOS31316[[#This Row],[EXISTENCIAS]]+PRODUCTOS31316[[#This Row],[ENTRADAS]]-PRODUCTOS31316[[#This Row],[SALIDAS]]</f>
        <v>0</v>
      </c>
      <c r="L72" s="2"/>
      <c r="M72" s="2"/>
      <c r="N72" s="2">
        <v>7717</v>
      </c>
      <c r="O72" s="276" t="s">
        <v>3747</v>
      </c>
      <c r="P72" s="16">
        <v>46037</v>
      </c>
      <c r="Q72" s="276" t="s">
        <v>3077</v>
      </c>
      <c r="R72" s="2">
        <f>VLOOKUP(SALIDAS111518[[#This Row],[CÓDIGO]],PRODUCTOS31316[],2,FALSE)</f>
        <v>0</v>
      </c>
      <c r="S72" s="1" t="str">
        <f>VLOOKUP(SALIDAS111518[[#This Row],[CÓDIGO]],PRODUCTOS31316[],3,FALSE)</f>
        <v>TABLET GALAXY TAB A 9+ MARCA SANSUNG</v>
      </c>
      <c r="T72" s="2">
        <v>1</v>
      </c>
      <c r="U72" s="2"/>
      <c r="V72" s="2"/>
      <c r="W72" s="2"/>
      <c r="X72" s="22"/>
      <c r="Y72" s="7"/>
      <c r="Z72" s="2">
        <v>3779</v>
      </c>
      <c r="AA72" s="283" t="s">
        <v>3887</v>
      </c>
      <c r="AB72" s="16">
        <v>46048</v>
      </c>
      <c r="AC72" s="282" t="s">
        <v>3319</v>
      </c>
      <c r="AD72" s="1">
        <f>VLOOKUP(ENTRADAS71417[[#This Row],[CÓDIGO]],PRODUCTOS31316[],2,FALSE)</f>
        <v>9013002</v>
      </c>
      <c r="AE72" s="1" t="str">
        <f>VLOOKUP(ENTRADAS71417[[#This Row],[CÓDIGO]],PRODUCTOS31316[],3,FALSE)</f>
        <v>TERMO DESCONGELADOR DE SEMEN Y EMBRIONES DSE-480 CON BATERÍA BLUE/GRAY</v>
      </c>
      <c r="AF72" s="2">
        <v>2</v>
      </c>
      <c r="AG72" s="2"/>
      <c r="AH72" s="2"/>
    </row>
    <row r="73" spans="1:34" ht="49.95" customHeight="1" x14ac:dyDescent="0.3">
      <c r="A73" s="2" t="s">
        <v>322</v>
      </c>
      <c r="C73" s="1" t="s">
        <v>323</v>
      </c>
      <c r="D73" s="1" t="s">
        <v>324</v>
      </c>
      <c r="E73" s="1" t="s">
        <v>325</v>
      </c>
      <c r="F73" s="1" t="s">
        <v>30</v>
      </c>
      <c r="G73" s="2">
        <v>0</v>
      </c>
      <c r="H73" s="14">
        <f>SUMIF(ENTRADAS71417[CÓDIGO],PRODUCTOS31316[[#This Row],[CÓDIGO]],ENTRADAS71417[CANTIDAD])</f>
        <v>0</v>
      </c>
      <c r="I73" s="11">
        <f>SUMIF(SALIDAS111518[CÓDIGO],PRODUCTOS31316[[#This Row],[CÓDIGO]],SALIDAS111518[CANTIDAD])</f>
        <v>0</v>
      </c>
      <c r="J73" s="6">
        <f>PRODUCTOS31316[[#This Row],[EXISTENCIAS]]+PRODUCTOS31316[[#This Row],[ENTRADAS]]-PRODUCTOS31316[[#This Row],[SALIDAS]]</f>
        <v>0</v>
      </c>
      <c r="L73" s="2"/>
      <c r="M73" s="2"/>
      <c r="N73" s="2">
        <v>7717</v>
      </c>
      <c r="O73" s="276" t="s">
        <v>3747</v>
      </c>
      <c r="P73" s="16">
        <v>46037</v>
      </c>
      <c r="Q73" s="276" t="s">
        <v>3286</v>
      </c>
      <c r="R73" s="2">
        <f>VLOOKUP(SALIDAS111518[[#This Row],[CÓDIGO]],PRODUCTOS31316[],2,FALSE)</f>
        <v>0</v>
      </c>
      <c r="S73" s="1" t="str">
        <f>VLOOKUP(SALIDAS111518[[#This Row],[CÓDIGO]],PRODUCTOS31316[],3,FALSE)</f>
        <v>CARCASA TABLET BMV</v>
      </c>
      <c r="T73" s="2">
        <v>1</v>
      </c>
      <c r="U73" s="2"/>
      <c r="V73" s="2"/>
      <c r="W73" s="2"/>
      <c r="X73" s="2"/>
      <c r="Y73" s="7"/>
      <c r="Z73" s="2">
        <v>3779</v>
      </c>
      <c r="AA73" s="283" t="s">
        <v>3887</v>
      </c>
      <c r="AB73" s="16">
        <v>46048</v>
      </c>
      <c r="AC73" s="282" t="s">
        <v>3889</v>
      </c>
      <c r="AD73" s="1">
        <f>VLOOKUP(ENTRADAS71417[[#This Row],[CÓDIGO]],PRODUCTOS31316[],2,FALSE)</f>
        <v>9013003</v>
      </c>
      <c r="AE73" s="1" t="str">
        <f>VLOOKUP(ENTRADAS71417[[#This Row],[CÓDIGO]],PRODUCTOS31316[],3,FALSE)</f>
        <v>TERMO DESCONGELADOR DE SEMEN Y EMBRIONES DSEB-400 SIN BATERÍA BLUE/WHITE</v>
      </c>
      <c r="AF73" s="2">
        <v>1</v>
      </c>
      <c r="AG73" s="2"/>
      <c r="AH73" s="2"/>
    </row>
    <row r="74" spans="1:34" ht="49.95" customHeight="1" x14ac:dyDescent="0.3">
      <c r="A74" s="2" t="s">
        <v>328</v>
      </c>
      <c r="B74" s="1">
        <v>7179</v>
      </c>
      <c r="C74" s="1" t="s">
        <v>329</v>
      </c>
      <c r="D74" s="1" t="s">
        <v>156</v>
      </c>
      <c r="E74" s="1" t="s">
        <v>157</v>
      </c>
      <c r="F74" s="1" t="s">
        <v>30</v>
      </c>
      <c r="G74" s="2">
        <v>0</v>
      </c>
      <c r="H74" s="14">
        <f>SUMIF(ENTRADAS71417[CÓDIGO],PRODUCTOS31316[[#This Row],[CÓDIGO]],ENTRADAS71417[CANTIDAD])</f>
        <v>0</v>
      </c>
      <c r="I74" s="11">
        <f>SUMIF(SALIDAS111518[CÓDIGO],PRODUCTOS31316[[#This Row],[CÓDIGO]],SALIDAS111518[CANTIDAD])</f>
        <v>0</v>
      </c>
      <c r="J74" s="6">
        <f>PRODUCTOS31316[[#This Row],[EXISTENCIAS]]+PRODUCTOS31316[[#This Row],[ENTRADAS]]-PRODUCTOS31316[[#This Row],[SALIDAS]]</f>
        <v>0</v>
      </c>
      <c r="L74" s="2"/>
      <c r="M74" s="2"/>
      <c r="N74" s="2">
        <v>7717</v>
      </c>
      <c r="O74" s="276" t="s">
        <v>3747</v>
      </c>
      <c r="P74" s="16">
        <v>46037</v>
      </c>
      <c r="Q74" s="276" t="s">
        <v>153</v>
      </c>
      <c r="R74" s="2">
        <f>VLOOKUP(SALIDAS111518[[#This Row],[CÓDIGO]],PRODUCTOS31316[],2,FALSE)</f>
        <v>1132</v>
      </c>
      <c r="S74" s="1" t="str">
        <f>VLOOKUP(SALIDAS111518[[#This Row],[CÓDIGO]],PRODUCTOS31316[],3,FALSE)</f>
        <v>PISTOLA QUICKLOCK CLASIC</v>
      </c>
      <c r="T74" s="2">
        <v>2</v>
      </c>
      <c r="U74" s="2"/>
      <c r="V74" s="2"/>
      <c r="W74" s="2"/>
      <c r="X74" s="2"/>
      <c r="Y74" s="7"/>
      <c r="Z74" s="2">
        <v>3779</v>
      </c>
      <c r="AA74" s="283" t="s">
        <v>3887</v>
      </c>
      <c r="AB74" s="16">
        <v>46048</v>
      </c>
      <c r="AC74" s="282" t="s">
        <v>3890</v>
      </c>
      <c r="AD74" s="1">
        <f>VLOOKUP(ENTRADAS71417[[#This Row],[CÓDIGO]],PRODUCTOS31316[],2,FALSE)</f>
        <v>9007013</v>
      </c>
      <c r="AE74" s="1" t="str">
        <f>VLOOKUP(ENTRADAS71417[[#This Row],[CÓDIGO]],PRODUCTOS31316[],3,FALSE)</f>
        <v>ROLLO LINEA PARA OPU 100 M MARCA TED</v>
      </c>
      <c r="AF74" s="2">
        <v>1</v>
      </c>
      <c r="AG74" s="2"/>
      <c r="AH74" s="2"/>
    </row>
    <row r="75" spans="1:34" ht="49.95" customHeight="1" x14ac:dyDescent="0.3">
      <c r="A75" s="2" t="s">
        <v>331</v>
      </c>
      <c r="B75" s="1">
        <v>5205</v>
      </c>
      <c r="C75" s="1" t="s">
        <v>332</v>
      </c>
      <c r="D75" s="1" t="s">
        <v>156</v>
      </c>
      <c r="E75" s="1" t="s">
        <v>157</v>
      </c>
      <c r="F75" s="1" t="s">
        <v>30</v>
      </c>
      <c r="G75" s="2">
        <v>0</v>
      </c>
      <c r="H75" s="14">
        <f>SUMIF(ENTRADAS71417[CÓDIGO],PRODUCTOS31316[[#This Row],[CÓDIGO]],ENTRADAS71417[CANTIDAD])</f>
        <v>0</v>
      </c>
      <c r="I75" s="11">
        <f>SUMIF(SALIDAS111518[CÓDIGO],PRODUCTOS31316[[#This Row],[CÓDIGO]],SALIDAS111518[CANTIDAD])</f>
        <v>0</v>
      </c>
      <c r="J75" s="6">
        <f>PRODUCTOS31316[[#This Row],[EXISTENCIAS]]+PRODUCTOS31316[[#This Row],[ENTRADAS]]-PRODUCTOS31316[[#This Row],[SALIDAS]]</f>
        <v>0</v>
      </c>
      <c r="L75" s="2"/>
      <c r="M75" s="2"/>
      <c r="N75" s="2">
        <v>7717</v>
      </c>
      <c r="O75" s="276" t="s">
        <v>3747</v>
      </c>
      <c r="P75" s="16">
        <v>46037</v>
      </c>
      <c r="Q75" s="276" t="s">
        <v>438</v>
      </c>
      <c r="R75" s="2">
        <f>VLOOKUP(SALIDAS111518[[#This Row],[CÓDIGO]],PRODUCTOS31316[],2,FALSE)</f>
        <v>18421</v>
      </c>
      <c r="S75" s="1" t="str">
        <f>VLOOKUP(SALIDAS111518[[#This Row],[CÓDIGO]],PRODUCTOS31316[],3,FALSE)</f>
        <v xml:space="preserve">PISTOLA DE TRANSFERENCIA DE EMBRIONES 0,25 / BLOQUEO AUTOMÁTICO </v>
      </c>
      <c r="T75" s="2">
        <v>2</v>
      </c>
      <c r="U75" s="2"/>
      <c r="V75" s="2"/>
      <c r="W75" s="2"/>
      <c r="X75" s="2"/>
      <c r="Y75" s="7"/>
      <c r="Z75" s="2">
        <v>3779</v>
      </c>
      <c r="AA75" s="283" t="s">
        <v>3887</v>
      </c>
      <c r="AB75" s="16">
        <v>46048</v>
      </c>
      <c r="AC75" s="282" t="s">
        <v>3891</v>
      </c>
      <c r="AD75" s="1">
        <f>VLOOKUP(ENTRADAS71417[[#This Row],[CÓDIGO]],PRODUCTOS31316[],2,FALSE)</f>
        <v>9015001</v>
      </c>
      <c r="AE75" s="1" t="str">
        <f>VLOOKUP(ENTRADAS71417[[#This Row],[CÓDIGO]],PRODUCTOS31316[],3,FALSE)</f>
        <v>CARGADOR TED 12.8V 5A</v>
      </c>
      <c r="AF75" s="2">
        <v>3</v>
      </c>
      <c r="AG75" s="2"/>
      <c r="AH75" s="2"/>
    </row>
    <row r="76" spans="1:34" ht="49.95" customHeight="1" x14ac:dyDescent="0.3">
      <c r="A76" s="2" t="s">
        <v>334</v>
      </c>
      <c r="B76" s="1">
        <v>22512</v>
      </c>
      <c r="C76" s="1" t="s">
        <v>335</v>
      </c>
      <c r="D76" s="1" t="s">
        <v>156</v>
      </c>
      <c r="E76" s="1" t="s">
        <v>157</v>
      </c>
      <c r="F76" s="1" t="s">
        <v>30</v>
      </c>
      <c r="G76" s="2">
        <v>0</v>
      </c>
      <c r="H76" s="14">
        <f>SUMIF(ENTRADAS71417[CÓDIGO],PRODUCTOS31316[[#This Row],[CÓDIGO]],ENTRADAS71417[CANTIDAD])</f>
        <v>0</v>
      </c>
      <c r="I76" s="11">
        <f>SUMIF(SALIDAS111518[CÓDIGO],PRODUCTOS31316[[#This Row],[CÓDIGO]],SALIDAS111518[CANTIDAD])</f>
        <v>0</v>
      </c>
      <c r="J76" s="6">
        <f>PRODUCTOS31316[[#This Row],[EXISTENCIAS]]+PRODUCTOS31316[[#This Row],[ENTRADAS]]-PRODUCTOS31316[[#This Row],[SALIDAS]]</f>
        <v>0</v>
      </c>
      <c r="L76" s="2"/>
      <c r="M76" s="2"/>
      <c r="N76" s="2">
        <v>7717</v>
      </c>
      <c r="O76" s="276" t="s">
        <v>3747</v>
      </c>
      <c r="P76" s="16">
        <v>46058</v>
      </c>
      <c r="Q76" s="276" t="s">
        <v>913</v>
      </c>
      <c r="R76" s="2" t="str">
        <f>VLOOKUP(SALIDAS111518[[#This Row],[CÓDIGO]],PRODUCTOS31316[],2,FALSE)</f>
        <v>HC-R069</v>
      </c>
      <c r="S76" s="1" t="str">
        <f>VLOOKUP(SALIDAS111518[[#This Row],[CÓDIGO]],PRODUCTOS31316[],3,FALSE)</f>
        <v>MICROSCOPIO CON PLATINA Y PANTALLA 7"</v>
      </c>
      <c r="T76" s="2">
        <v>1</v>
      </c>
      <c r="U76" s="276"/>
      <c r="V76" s="2"/>
      <c r="W76" s="2"/>
      <c r="X76" s="2"/>
      <c r="Y76" s="7"/>
      <c r="Z76" s="314" t="s">
        <v>3910</v>
      </c>
      <c r="AA76" s="283" t="s">
        <v>2230</v>
      </c>
      <c r="AB76" s="16">
        <v>46051</v>
      </c>
      <c r="AC76" s="282" t="s">
        <v>168</v>
      </c>
      <c r="AD76" s="1">
        <f>VLOOKUP(ENTRADAS71417[[#This Row],[CÓDIGO]],PRODUCTOS31316[],2,FALSE)</f>
        <v>4840</v>
      </c>
      <c r="AE76" s="1" t="str">
        <f>VLOOKUP(ENTRADAS71417[[#This Row],[CÓDIGO]],PRODUCTOS31316[],3,FALSE)</f>
        <v>PUNTAS BLANCAS UNIVERSALES, PLÁSTICAS, LIBRES DE DNASAS, RNASA Y PIROGENOS, RANGO DE 0.1 A 10UL. (CORTAS).</v>
      </c>
      <c r="AF76" s="2">
        <v>10</v>
      </c>
      <c r="AG76" s="2"/>
      <c r="AH76" s="2"/>
    </row>
    <row r="77" spans="1:34" ht="49.95" customHeight="1" x14ac:dyDescent="0.3">
      <c r="A77" s="2" t="s">
        <v>338</v>
      </c>
      <c r="C77" s="1" t="s">
        <v>339</v>
      </c>
      <c r="D77" s="1" t="s">
        <v>73</v>
      </c>
      <c r="E77" s="1" t="s">
        <v>340</v>
      </c>
      <c r="F77" s="1" t="s">
        <v>30</v>
      </c>
      <c r="G77" s="2">
        <v>0</v>
      </c>
      <c r="H77" s="14">
        <f>SUMIF(ENTRADAS71417[CÓDIGO],PRODUCTOS31316[[#This Row],[CÓDIGO]],ENTRADAS71417[CANTIDAD])</f>
        <v>0</v>
      </c>
      <c r="I77" s="11">
        <f>SUMIF(SALIDAS111518[CÓDIGO],PRODUCTOS31316[[#This Row],[CÓDIGO]],SALIDAS111518[CANTIDAD])</f>
        <v>0</v>
      </c>
      <c r="J77" s="6">
        <f>PRODUCTOS31316[[#This Row],[EXISTENCIAS]]+PRODUCTOS31316[[#This Row],[ENTRADAS]]-PRODUCTOS31316[[#This Row],[SALIDAS]]</f>
        <v>0</v>
      </c>
      <c r="L77" s="2"/>
      <c r="M77" s="2"/>
      <c r="N77" s="2">
        <v>7717</v>
      </c>
      <c r="O77" s="276" t="s">
        <v>3747</v>
      </c>
      <c r="P77" s="16">
        <v>46037</v>
      </c>
      <c r="Q77" s="276" t="s">
        <v>2755</v>
      </c>
      <c r="R77" s="2" t="str">
        <f>VLOOKUP(SALIDAS111518[[#This Row],[CÓDIGO]],PRODUCTOS31316[],2,FALSE)</f>
        <v>MSLDO05</v>
      </c>
      <c r="S77" s="1" t="str">
        <f>VLOOKUP(SALIDAS111518[[#This Row],[CÓDIGO]],PRODUCTOS31316[],3,FALSE)</f>
        <v>TERMO DE RECOLECCIÓN DE SEMEN/ USO VETERINARIO</v>
      </c>
      <c r="T77" s="2">
        <v>1</v>
      </c>
      <c r="U77" s="2"/>
      <c r="V77" s="2"/>
      <c r="W77" s="2"/>
      <c r="X77" s="2"/>
      <c r="Y77" s="7"/>
      <c r="Z77" s="329" t="s">
        <v>3910</v>
      </c>
      <c r="AA77" s="283" t="s">
        <v>2230</v>
      </c>
      <c r="AB77" s="16">
        <v>46051</v>
      </c>
      <c r="AC77" s="282" t="s">
        <v>247</v>
      </c>
      <c r="AD77" s="1">
        <f>VLOOKUP(ENTRADAS71417[[#This Row],[CÓDIGO]],PRODUCTOS31316[],2,FALSE)</f>
        <v>352054</v>
      </c>
      <c r="AE77" s="1" t="str">
        <f>VLOOKUP(ENTRADAS71417[[#This Row],[CÓDIGO]],PRODUCTOS31316[],3,FALSE)</f>
        <v>TUBO DE FONDO REDONDO DE 5ML 12X75MM , POLIESTIRENO</v>
      </c>
      <c r="AF77" s="2">
        <v>24</v>
      </c>
      <c r="AG77" s="2"/>
      <c r="AH77" s="2"/>
    </row>
    <row r="78" spans="1:34" ht="49.95" customHeight="1" x14ac:dyDescent="0.3">
      <c r="A78" s="2" t="s">
        <v>342</v>
      </c>
      <c r="C78" s="1" t="s">
        <v>343</v>
      </c>
      <c r="D78" s="1" t="s">
        <v>166</v>
      </c>
      <c r="E78" s="1" t="s">
        <v>344</v>
      </c>
      <c r="F78" s="1" t="s">
        <v>30</v>
      </c>
      <c r="G78" s="2">
        <v>0</v>
      </c>
      <c r="H78" s="14">
        <f>SUMIF(ENTRADAS71417[CÓDIGO],PRODUCTOS31316[[#This Row],[CÓDIGO]],ENTRADAS71417[CANTIDAD])</f>
        <v>0</v>
      </c>
      <c r="I78" s="11">
        <f>SUMIF(SALIDAS111518[CÓDIGO],PRODUCTOS31316[[#This Row],[CÓDIGO]],SALIDAS111518[CANTIDAD])</f>
        <v>0</v>
      </c>
      <c r="J78" s="6">
        <f>PRODUCTOS31316[[#This Row],[EXISTENCIAS]]+PRODUCTOS31316[[#This Row],[ENTRADAS]]-PRODUCTOS31316[[#This Row],[SALIDAS]]</f>
        <v>0</v>
      </c>
      <c r="L78" s="2"/>
      <c r="M78" s="2"/>
      <c r="N78" s="2">
        <v>7717</v>
      </c>
      <c r="O78" s="276" t="s">
        <v>3747</v>
      </c>
      <c r="P78" s="16">
        <v>46037</v>
      </c>
      <c r="Q78" s="276" t="s">
        <v>2382</v>
      </c>
      <c r="R78" s="2">
        <f>VLOOKUP(SALIDAS111518[[#This Row],[CÓDIGO]],PRODUCTOS31316[],2,FALSE)</f>
        <v>1</v>
      </c>
      <c r="S78" s="1" t="str">
        <f>VLOOKUP(SALIDAS111518[[#This Row],[CÓDIGO]],PRODUCTOS31316[],3,FALSE)</f>
        <v>TERMO DE TRANSPORTE 1 LITRO</v>
      </c>
      <c r="T78" s="2">
        <v>1</v>
      </c>
      <c r="U78" s="2"/>
      <c r="V78" s="2"/>
      <c r="W78" s="2"/>
      <c r="X78" s="2"/>
      <c r="Y78" s="7"/>
      <c r="Z78" s="288" t="s">
        <v>3968</v>
      </c>
      <c r="AA78" s="1" t="s">
        <v>3915</v>
      </c>
      <c r="AB78" s="16">
        <v>46051</v>
      </c>
      <c r="AC78" s="2" t="s">
        <v>770</v>
      </c>
      <c r="AD78" s="1" t="str">
        <f>VLOOKUP(ENTRADAS71417[[#This Row],[CÓDIGO]],PRODUCTOS31316[],2,FALSE)</f>
        <v>12300/1111</v>
      </c>
      <c r="AE78" s="1" t="str">
        <f>VLOOKUP(ENTRADAS71417[[#This Row],[CÓDIGO]],PRODUCTOS31316[],3,FALSE)</f>
        <v>MICROCUBETA PARA FOTÓMETRO SDM 1, 100/CAJA</v>
      </c>
      <c r="AF78" s="2">
        <v>2</v>
      </c>
      <c r="AG78" s="2"/>
      <c r="AH78" s="2">
        <v>17</v>
      </c>
    </row>
    <row r="79" spans="1:34" ht="49.95" customHeight="1" x14ac:dyDescent="0.3">
      <c r="A79" s="2" t="s">
        <v>346</v>
      </c>
      <c r="C79" s="1" t="s">
        <v>347</v>
      </c>
      <c r="D79" s="1" t="s">
        <v>348</v>
      </c>
      <c r="E79" s="1" t="s">
        <v>344</v>
      </c>
      <c r="F79" s="1" t="s">
        <v>30</v>
      </c>
      <c r="G79" s="2">
        <v>8</v>
      </c>
      <c r="H79" s="14">
        <f>SUMIF(ENTRADAS71417[CÓDIGO],PRODUCTOS31316[[#This Row],[CÓDIGO]],ENTRADAS71417[CANTIDAD])</f>
        <v>0</v>
      </c>
      <c r="I79" s="11">
        <f>SUMIF(SALIDAS111518[CÓDIGO],PRODUCTOS31316[[#This Row],[CÓDIGO]],SALIDAS111518[CANTIDAD])</f>
        <v>0</v>
      </c>
      <c r="J79" s="6">
        <f>PRODUCTOS31316[[#This Row],[EXISTENCIAS]]+PRODUCTOS31316[[#This Row],[ENTRADAS]]-PRODUCTOS31316[[#This Row],[SALIDAS]]</f>
        <v>8</v>
      </c>
      <c r="L79" s="2"/>
      <c r="M79" s="2"/>
      <c r="N79" s="2">
        <v>7717</v>
      </c>
      <c r="O79" s="276" t="s">
        <v>3747</v>
      </c>
      <c r="P79" s="16">
        <v>46037</v>
      </c>
      <c r="Q79" s="276" t="s">
        <v>3273</v>
      </c>
      <c r="R79" s="2">
        <f>VLOOKUP(SALIDAS111518[[#This Row],[CÓDIGO]],PRODUCTOS31316[],2,FALSE)</f>
        <v>4452</v>
      </c>
      <c r="S79" s="1" t="str">
        <f>VLOOKUP(SALIDAS111518[[#This Row],[CÓDIGO]],PRODUCTOS31316[],3,FALSE)</f>
        <v>TERMO NITROGENO ET- 11</v>
      </c>
      <c r="T79" s="2">
        <v>1</v>
      </c>
      <c r="U79" s="2"/>
      <c r="V79" s="2"/>
      <c r="W79" s="2"/>
      <c r="X79" s="2"/>
      <c r="Y79" s="7"/>
      <c r="Z79" s="2" t="s">
        <v>3932</v>
      </c>
      <c r="AA79" s="1" t="s">
        <v>3933</v>
      </c>
      <c r="AB79" s="16">
        <v>46055</v>
      </c>
      <c r="AC79" s="2" t="s">
        <v>2246</v>
      </c>
      <c r="AD79" s="1" t="str">
        <f>VLOOKUP(ENTRADAS71417[[#This Row],[CÓDIGO]],PRODUCTOS31316[],2,FALSE)</f>
        <v>00051076-02</v>
      </c>
      <c r="AE79" s="1" t="str">
        <f>VLOOKUP(ENTRADAS71417[[#This Row],[CÓDIGO]],PRODUCTOS31316[],3,FALSE)</f>
        <v>LIDOCAÍNA  HCL 2 % X 100 ML/ 2025-12-16</v>
      </c>
      <c r="AF79" s="2">
        <v>420</v>
      </c>
      <c r="AG79" s="2"/>
      <c r="AH79" s="2">
        <v>18</v>
      </c>
    </row>
    <row r="80" spans="1:34" ht="49.95" customHeight="1" x14ac:dyDescent="0.3">
      <c r="A80" s="2" t="s">
        <v>350</v>
      </c>
      <c r="B80" s="1">
        <v>6935</v>
      </c>
      <c r="C80" s="89" t="s">
        <v>351</v>
      </c>
      <c r="D80" s="1" t="s">
        <v>156</v>
      </c>
      <c r="E80" s="1" t="s">
        <v>352</v>
      </c>
      <c r="F80" s="1" t="s">
        <v>68</v>
      </c>
      <c r="G80" s="2">
        <v>0</v>
      </c>
      <c r="H80" s="14">
        <f>SUMIF(ENTRADAS71417[CÓDIGO],PRODUCTOS31316[[#This Row],[CÓDIGO]],ENTRADAS71417[CANTIDAD])</f>
        <v>0</v>
      </c>
      <c r="I80" s="11">
        <f>SUMIF(SALIDAS111518[CÓDIGO],PRODUCTOS31316[[#This Row],[CÓDIGO]],SALIDAS111518[CANTIDAD])</f>
        <v>0</v>
      </c>
      <c r="J80" s="6">
        <f>PRODUCTOS31316[[#This Row],[EXISTENCIAS]]+PRODUCTOS31316[[#This Row],[ENTRADAS]]-PRODUCTOS31316[[#This Row],[SALIDAS]]</f>
        <v>0</v>
      </c>
      <c r="L80" s="2"/>
      <c r="M80" s="2"/>
      <c r="N80" s="2">
        <v>7717</v>
      </c>
      <c r="O80" s="276" t="s">
        <v>3747</v>
      </c>
      <c r="P80" s="16">
        <v>46037</v>
      </c>
      <c r="Q80" s="276" t="s">
        <v>581</v>
      </c>
      <c r="R80" s="2">
        <f>VLOOKUP(SALIDAS111518[[#This Row],[CÓDIGO]],PRODUCTOS31316[],2,FALSE)</f>
        <v>11571</v>
      </c>
      <c r="S80" s="1" t="str">
        <f>VLOOKUP(SALIDAS111518[[#This Row],[CÓDIGO]],PRODUCTOS31316[],3,FALSE)</f>
        <v>PINZA COGEPAJILLA</v>
      </c>
      <c r="T80" s="2">
        <v>3</v>
      </c>
      <c r="U80" s="2"/>
      <c r="V80" s="2"/>
      <c r="W80" s="2"/>
      <c r="X80" s="2"/>
      <c r="Y80" s="7"/>
      <c r="Z80" s="2">
        <v>1590</v>
      </c>
      <c r="AA80" s="290" t="s">
        <v>3970</v>
      </c>
      <c r="AB80" s="16">
        <v>46057</v>
      </c>
      <c r="AC80" s="288" t="s">
        <v>3500</v>
      </c>
      <c r="AD80" s="1">
        <f>VLOOKUP(ENTRADAS71417[[#This Row],[CÓDIGO]],PRODUCTOS31316[],2,FALSE)</f>
        <v>25</v>
      </c>
      <c r="AE80" s="1" t="str">
        <f>VLOOKUP(ENTRADAS71417[[#This Row],[CÓDIGO]],PRODUCTOS31316[],3,FALSE)</f>
        <v>TUBO RIGIDO EQUINO BOTUPHARMA</v>
      </c>
      <c r="AF80" s="2">
        <v>1</v>
      </c>
      <c r="AG80" s="2"/>
      <c r="AH80" s="2">
        <v>20</v>
      </c>
    </row>
    <row r="81" spans="1:34" ht="49.95" customHeight="1" x14ac:dyDescent="0.3">
      <c r="A81" s="2" t="s">
        <v>353</v>
      </c>
      <c r="B81" s="1" t="s">
        <v>354</v>
      </c>
      <c r="C81" s="1" t="s">
        <v>355</v>
      </c>
      <c r="D81" s="1" t="s">
        <v>356</v>
      </c>
      <c r="E81" s="1" t="s">
        <v>352</v>
      </c>
      <c r="F81" s="1" t="s">
        <v>30</v>
      </c>
      <c r="G81" s="2">
        <v>0</v>
      </c>
      <c r="H81" s="14">
        <f>SUMIF(ENTRADAS71417[CÓDIGO],PRODUCTOS31316[[#This Row],[CÓDIGO]],ENTRADAS71417[CANTIDAD])</f>
        <v>0</v>
      </c>
      <c r="I81" s="11">
        <f>SUMIF(SALIDAS111518[CÓDIGO],PRODUCTOS31316[[#This Row],[CÓDIGO]],SALIDAS111518[CANTIDAD])</f>
        <v>0</v>
      </c>
      <c r="J81" s="6">
        <f>PRODUCTOS31316[[#This Row],[EXISTENCIAS]]+PRODUCTOS31316[[#This Row],[ENTRADAS]]-PRODUCTOS31316[[#This Row],[SALIDAS]]</f>
        <v>0</v>
      </c>
      <c r="L81" s="2"/>
      <c r="M81" s="2"/>
      <c r="N81" s="2">
        <v>7717</v>
      </c>
      <c r="O81" s="276" t="s">
        <v>3747</v>
      </c>
      <c r="P81" s="16">
        <v>46037</v>
      </c>
      <c r="Q81" s="276" t="s">
        <v>2364</v>
      </c>
      <c r="R81" s="2">
        <f>VLOOKUP(SALIDAS111518[[#This Row],[CÓDIGO]],PRODUCTOS31316[],2,FALSE)</f>
        <v>0</v>
      </c>
      <c r="S81" s="1" t="str">
        <f>VLOOKUP(SALIDAS111518[[#This Row],[CÓDIGO]],PRODUCTOS31316[],3,FALSE)</f>
        <v>CORTAPAJILLAS WTA</v>
      </c>
      <c r="T81" s="2">
        <v>2</v>
      </c>
      <c r="U81" s="2"/>
      <c r="V81" s="2"/>
      <c r="W81" s="2"/>
      <c r="X81" s="2"/>
      <c r="Y81" s="7"/>
      <c r="Z81" s="2">
        <v>1590</v>
      </c>
      <c r="AA81" s="290" t="s">
        <v>3970</v>
      </c>
      <c r="AB81" s="16">
        <v>46057</v>
      </c>
      <c r="AC81" s="288" t="s">
        <v>3502</v>
      </c>
      <c r="AD81" s="1">
        <f>VLOOKUP(ENTRADAS71417[[#This Row],[CÓDIGO]],PRODUCTOS31316[],2,FALSE)</f>
        <v>24</v>
      </c>
      <c r="AE81" s="1" t="str">
        <f>VLOOKUP(ENTRADAS71417[[#This Row],[CÓDIGO]],PRODUCTOS31316[],3,FALSE)</f>
        <v>MUCOSA DE LATEX EQUINA  BOTUPHARMA</v>
      </c>
      <c r="AF81" s="2">
        <v>1</v>
      </c>
      <c r="AG81" s="2"/>
      <c r="AH81" s="2"/>
    </row>
    <row r="82" spans="1:34" ht="49.95" customHeight="1" x14ac:dyDescent="0.3">
      <c r="A82" s="203" t="s">
        <v>159</v>
      </c>
      <c r="B82" s="1" t="s">
        <v>357</v>
      </c>
      <c r="C82" s="269" t="s">
        <v>358</v>
      </c>
      <c r="D82" s="1" t="s">
        <v>103</v>
      </c>
      <c r="E82" s="1" t="s">
        <v>233</v>
      </c>
      <c r="F82" s="1" t="s">
        <v>359</v>
      </c>
      <c r="G82" s="31">
        <v>1</v>
      </c>
      <c r="H82" s="14">
        <f>SUMIF(ENTRADAS71417[CÓDIGO],PRODUCTOS31316[[#This Row],[CÓDIGO]],ENTRADAS71417[CANTIDAD])</f>
        <v>0</v>
      </c>
      <c r="I82" s="11">
        <f>SUMIF(SALIDAS111518[CÓDIGO],PRODUCTOS31316[[#This Row],[CÓDIGO]],SALIDAS111518[CANTIDAD])</f>
        <v>1</v>
      </c>
      <c r="J82" s="6">
        <f>PRODUCTOS31316[[#This Row],[EXISTENCIAS]]+PRODUCTOS31316[[#This Row],[ENTRADAS]]-PRODUCTOS31316[[#This Row],[SALIDAS]]</f>
        <v>0</v>
      </c>
      <c r="L82" s="2"/>
      <c r="M82" s="2"/>
      <c r="N82" s="2">
        <v>7717</v>
      </c>
      <c r="O82" s="276" t="s">
        <v>3747</v>
      </c>
      <c r="P82" s="16">
        <v>46037</v>
      </c>
      <c r="Q82" s="276" t="s">
        <v>1631</v>
      </c>
      <c r="R82" s="2" t="str">
        <f>VLOOKUP(SALIDAS111518[[#This Row],[CÓDIGO]],PRODUCTOS31316[],2,FALSE)</f>
        <v>7101-CRAL</v>
      </c>
      <c r="S82" s="1" t="str">
        <f>VLOOKUP(SALIDAS111518[[#This Row],[CÓDIGO]],PRODUCTOS31316[],3,FALSE)</f>
        <v>LAMINA PORTA OBJETOS LISA EN VIDRIO 26X76MM, BORDE ESMERILADO</v>
      </c>
      <c r="T82" s="2">
        <v>1</v>
      </c>
      <c r="U82" s="2"/>
      <c r="V82" s="2"/>
      <c r="W82" s="2"/>
      <c r="X82" s="2"/>
      <c r="Y82" s="7"/>
      <c r="Z82" s="2">
        <v>1590</v>
      </c>
      <c r="AA82" s="290" t="s">
        <v>3970</v>
      </c>
      <c r="AB82" s="16">
        <v>46057</v>
      </c>
      <c r="AC82" s="288" t="s">
        <v>3504</v>
      </c>
      <c r="AD82" s="1">
        <f>VLOOKUP(ENTRADAS71417[[#This Row],[CÓDIGO]],PRODUCTOS31316[],2,FALSE)</f>
        <v>26</v>
      </c>
      <c r="AE82" s="1" t="str">
        <f>VLOOKUP(ENTRADAS71417[[#This Row],[CÓDIGO]],PRODUCTOS31316[],3,FALSE)</f>
        <v>MUCOSA DE PLÁSTICA EQUINA  BOTUPHARMA</v>
      </c>
      <c r="AF82" s="2">
        <v>4</v>
      </c>
      <c r="AG82" s="2"/>
      <c r="AH82" s="2"/>
    </row>
    <row r="83" spans="1:34" ht="49.95" customHeight="1" x14ac:dyDescent="0.3">
      <c r="A83" s="2" t="s">
        <v>361</v>
      </c>
      <c r="B83" s="1" t="s">
        <v>362</v>
      </c>
      <c r="C83" s="1" t="s">
        <v>363</v>
      </c>
      <c r="D83" s="1" t="s">
        <v>364</v>
      </c>
      <c r="E83" s="1" t="s">
        <v>183</v>
      </c>
      <c r="F83" s="1" t="s">
        <v>365</v>
      </c>
      <c r="G83" s="2">
        <v>0</v>
      </c>
      <c r="H83" s="14">
        <f>SUMIF(ENTRADAS71417[CÓDIGO],PRODUCTOS31316[[#This Row],[CÓDIGO]],ENTRADAS71417[CANTIDAD])</f>
        <v>0</v>
      </c>
      <c r="I83" s="11">
        <f>SUMIF(SALIDAS111518[CÓDIGO],PRODUCTOS31316[[#This Row],[CÓDIGO]],SALIDAS111518[CANTIDAD])</f>
        <v>0</v>
      </c>
      <c r="J83" s="6">
        <f>PRODUCTOS31316[[#This Row],[EXISTENCIAS]]+PRODUCTOS31316[[#This Row],[ENTRADAS]]-PRODUCTOS31316[[#This Row],[SALIDAS]]</f>
        <v>0</v>
      </c>
      <c r="L83" s="2"/>
      <c r="M83" s="2"/>
      <c r="N83" s="2">
        <v>7717</v>
      </c>
      <c r="O83" s="276" t="s">
        <v>3747</v>
      </c>
      <c r="P83" s="16">
        <v>46037</v>
      </c>
      <c r="Q83" s="276" t="s">
        <v>1637</v>
      </c>
      <c r="R83" s="2" t="str">
        <f>VLOOKUP(SALIDAS111518[[#This Row],[CÓDIGO]],PRODUCTOS31316[],2,FALSE)</f>
        <v>P22X22</v>
      </c>
      <c r="S83" s="1" t="str">
        <f>VLOOKUP(SALIDAS111518[[#This Row],[CÓDIGO]],PRODUCTOS31316[],3,FALSE)</f>
        <v>LAMINA CUBRE OBJETO EN VIDRIO 22X22</v>
      </c>
      <c r="T83" s="2">
        <v>1</v>
      </c>
      <c r="U83" s="2"/>
      <c r="V83" s="2"/>
      <c r="W83" s="2"/>
      <c r="X83" s="2"/>
      <c r="Y83" s="7"/>
      <c r="Z83" s="2">
        <v>1590</v>
      </c>
      <c r="AA83" s="290" t="s">
        <v>3970</v>
      </c>
      <c r="AB83" s="16">
        <v>46057</v>
      </c>
      <c r="AC83" s="288" t="s">
        <v>3506</v>
      </c>
      <c r="AD83" s="1">
        <f>VLOOKUP(ENTRADAS71417[[#This Row],[CÓDIGO]],PRODUCTOS31316[],2,FALSE)</f>
        <v>27</v>
      </c>
      <c r="AE83" s="1" t="str">
        <f>VLOOKUP(ENTRADAS71417[[#This Row],[CÓDIGO]],PRODUCTOS31316[],3,FALSE)</f>
        <v>VASO COLECTOR EQUINO BOTUPHARMA</v>
      </c>
      <c r="AF83" s="2">
        <v>1</v>
      </c>
      <c r="AG83" s="2"/>
      <c r="AH83" s="2"/>
    </row>
    <row r="84" spans="1:34" ht="49.95" customHeight="1" x14ac:dyDescent="0.3">
      <c r="A84" s="2" t="s">
        <v>140</v>
      </c>
      <c r="B84" s="1" t="s">
        <v>367</v>
      </c>
      <c r="C84" s="1" t="s">
        <v>368</v>
      </c>
      <c r="D84" s="1" t="s">
        <v>364</v>
      </c>
      <c r="E84" s="1" t="s">
        <v>183</v>
      </c>
      <c r="F84" s="1" t="s">
        <v>365</v>
      </c>
      <c r="G84" s="2">
        <v>0</v>
      </c>
      <c r="H84" s="14">
        <f>SUMIF(ENTRADAS71417[CÓDIGO],PRODUCTOS31316[[#This Row],[CÓDIGO]],ENTRADAS71417[CANTIDAD])</f>
        <v>0</v>
      </c>
      <c r="I84" s="11">
        <f>SUMIF(SALIDAS111518[CÓDIGO],PRODUCTOS31316[[#This Row],[CÓDIGO]],SALIDAS111518[CANTIDAD])</f>
        <v>0</v>
      </c>
      <c r="J84" s="6">
        <f>PRODUCTOS31316[[#This Row],[EXISTENCIAS]]+PRODUCTOS31316[[#This Row],[ENTRADAS]]-PRODUCTOS31316[[#This Row],[SALIDAS]]</f>
        <v>0</v>
      </c>
      <c r="L84" s="2"/>
      <c r="M84" s="2"/>
      <c r="N84" s="2">
        <v>7717</v>
      </c>
      <c r="O84" s="276" t="s">
        <v>3747</v>
      </c>
      <c r="P84" s="16">
        <v>46037</v>
      </c>
      <c r="Q84" s="276" t="s">
        <v>210</v>
      </c>
      <c r="R84" s="2">
        <f>VLOOKUP(SALIDAS111518[[#This Row],[CÓDIGO]],PRODUCTOS31316[],2,FALSE)</f>
        <v>101257</v>
      </c>
      <c r="S84" s="1" t="str">
        <f>VLOOKUP(SALIDAS111518[[#This Row],[CÓDIGO]],PRODUCTOS31316[],3,FALSE)</f>
        <v>MANGA DESECHABLE SUPER SENSITIVA</v>
      </c>
      <c r="T84" s="2">
        <v>1</v>
      </c>
      <c r="U84" s="2"/>
      <c r="V84" s="2"/>
      <c r="W84" s="2"/>
      <c r="X84" s="2"/>
      <c r="Y84" s="7"/>
      <c r="Z84" s="2">
        <v>1590</v>
      </c>
      <c r="AA84" s="290" t="s">
        <v>3970</v>
      </c>
      <c r="AB84" s="16">
        <v>46057</v>
      </c>
      <c r="AC84" s="288" t="s">
        <v>3508</v>
      </c>
      <c r="AD84" s="1">
        <f>VLOOKUP(ENTRADAS71417[[#This Row],[CÓDIGO]],PRODUCTOS31316[],2,FALSE)</f>
        <v>28</v>
      </c>
      <c r="AE84" s="1" t="str">
        <f>VLOOKUP(ENTRADAS71417[[#This Row],[CÓDIGO]],PRODUCTOS31316[],3,FALSE)</f>
        <v>CAMISA SANITARIA PARA VASO COLECTOR EQUINO BOTUPHARMA</v>
      </c>
      <c r="AF84" s="2">
        <v>1</v>
      </c>
      <c r="AG84" s="2"/>
      <c r="AH84" s="2"/>
    </row>
    <row r="85" spans="1:34" ht="49.95" customHeight="1" x14ac:dyDescent="0.3">
      <c r="A85" s="2" t="s">
        <v>370</v>
      </c>
      <c r="B85" s="1" t="s">
        <v>371</v>
      </c>
      <c r="C85" s="1" t="s">
        <v>372</v>
      </c>
      <c r="D85" s="1" t="s">
        <v>364</v>
      </c>
      <c r="E85" s="1" t="s">
        <v>183</v>
      </c>
      <c r="F85" s="1" t="s">
        <v>365</v>
      </c>
      <c r="G85" s="2">
        <v>0</v>
      </c>
      <c r="H85" s="14">
        <f>SUMIF(ENTRADAS71417[CÓDIGO],PRODUCTOS31316[[#This Row],[CÓDIGO]],ENTRADAS71417[CANTIDAD])</f>
        <v>0</v>
      </c>
      <c r="I85" s="11">
        <f>SUMIF(SALIDAS111518[CÓDIGO],PRODUCTOS31316[[#This Row],[CÓDIGO]],SALIDAS111518[CANTIDAD])</f>
        <v>0</v>
      </c>
      <c r="J85" s="6">
        <f>PRODUCTOS31316[[#This Row],[EXISTENCIAS]]+PRODUCTOS31316[[#This Row],[ENTRADAS]]-PRODUCTOS31316[[#This Row],[SALIDAS]]</f>
        <v>0</v>
      </c>
      <c r="L85" s="2"/>
      <c r="M85" s="2"/>
      <c r="N85" s="2">
        <v>7717</v>
      </c>
      <c r="O85" s="276" t="s">
        <v>3747</v>
      </c>
      <c r="P85" s="16">
        <v>46037</v>
      </c>
      <c r="Q85" s="276" t="s">
        <v>1779</v>
      </c>
      <c r="R85" s="2">
        <f>VLOOKUP(SALIDAS111518[[#This Row],[CÓDIGO]],PRODUCTOS31316[],2,FALSE)</f>
        <v>5563</v>
      </c>
      <c r="S85" s="1" t="str">
        <f>VLOOKUP(SALIDAS111518[[#This Row],[CÓDIGO]],PRODUCTOS31316[],3,FALSE)</f>
        <v>CAMISA SANITARIA ROLLO X 80</v>
      </c>
      <c r="T85" s="2">
        <v>1</v>
      </c>
      <c r="U85" s="2"/>
      <c r="V85" s="2"/>
      <c r="W85" s="2"/>
      <c r="X85" s="2"/>
      <c r="Y85" s="7"/>
      <c r="Z85" s="329" t="s">
        <v>4629</v>
      </c>
      <c r="AA85" s="290" t="s">
        <v>2230</v>
      </c>
      <c r="AB85" s="292">
        <v>46057</v>
      </c>
      <c r="AC85" s="288" t="s">
        <v>1799</v>
      </c>
      <c r="AD85" s="1">
        <f>VLOOKUP(ENTRADAS71417[[#This Row],[CÓDIGO]],PRODUCTOS31316[],2,FALSE)</f>
        <v>4846</v>
      </c>
      <c r="AE85" s="1" t="str">
        <f>VLOOKUP(ENTRADAS71417[[#This Row],[CÓDIGO]],PRODUCTOS31316[],3,FALSE)</f>
        <v>PUNTA AZULES UNIVERSALES 100- 1000 UL</v>
      </c>
      <c r="AF85" s="2">
        <v>10</v>
      </c>
      <c r="AG85" s="2"/>
      <c r="AH85" s="2">
        <v>19</v>
      </c>
    </row>
    <row r="86" spans="1:34" ht="49.95" customHeight="1" x14ac:dyDescent="0.3">
      <c r="A86" s="2" t="s">
        <v>374</v>
      </c>
      <c r="B86" s="1" t="s">
        <v>375</v>
      </c>
      <c r="C86" s="1" t="s">
        <v>376</v>
      </c>
      <c r="D86" s="1" t="s">
        <v>223</v>
      </c>
      <c r="E86" s="1" t="s">
        <v>177</v>
      </c>
      <c r="F86" s="1" t="s">
        <v>377</v>
      </c>
      <c r="G86" s="2">
        <v>0</v>
      </c>
      <c r="H86" s="14">
        <f>SUMIF(ENTRADAS71417[CÓDIGO],PRODUCTOS31316[[#This Row],[CÓDIGO]],ENTRADAS71417[CANTIDAD])</f>
        <v>0</v>
      </c>
      <c r="I86" s="11">
        <f>SUMIF(SALIDAS111518[CÓDIGO],PRODUCTOS31316[[#This Row],[CÓDIGO]],SALIDAS111518[CANTIDAD])</f>
        <v>0</v>
      </c>
      <c r="J86" s="6">
        <f>PRODUCTOS31316[[#This Row],[EXISTENCIAS]]+PRODUCTOS31316[[#This Row],[ENTRADAS]]-PRODUCTOS31316[[#This Row],[SALIDAS]]</f>
        <v>0</v>
      </c>
      <c r="L86" s="2"/>
      <c r="M86" s="2"/>
      <c r="N86" s="2">
        <v>7717</v>
      </c>
      <c r="O86" s="276" t="s">
        <v>3747</v>
      </c>
      <c r="P86" s="16">
        <v>46037</v>
      </c>
      <c r="Q86" s="276" t="s">
        <v>369</v>
      </c>
      <c r="R86" s="2">
        <f>VLOOKUP(SALIDAS111518[[#This Row],[CÓDIGO]],PRODUCTOS31316[],2,FALSE)</f>
        <v>0</v>
      </c>
      <c r="S86" s="1" t="str">
        <f>VLOOKUP(SALIDAS111518[[#This Row],[CÓDIGO]],PRODUCTOS31316[],3,FALSE)</f>
        <v>FUNDA UNIVERSAL PARA I.A. RANURADA</v>
      </c>
      <c r="T86" s="2">
        <v>1</v>
      </c>
      <c r="U86" s="2"/>
      <c r="V86" s="2"/>
      <c r="W86" s="2"/>
      <c r="X86" s="2"/>
      <c r="Y86" s="7"/>
      <c r="Z86" s="288" t="s">
        <v>3990</v>
      </c>
      <c r="AA86" s="290" t="s">
        <v>2411</v>
      </c>
      <c r="AB86" s="16">
        <v>46057</v>
      </c>
      <c r="AC86" s="288" t="s">
        <v>3301</v>
      </c>
      <c r="AD86" s="1" t="str">
        <f>VLOOKUP(ENTRADAS71417[[#This Row],[CÓDIGO]],PRODUCTOS31316[],2,FALSE)</f>
        <v>S7/B-W</v>
      </c>
      <c r="AE86" s="1" t="str">
        <f>VLOOKUP(ENTRADAS71417[[#This Row],[CÓDIGO]],PRODUCTOS31316[],3,FALSE)</f>
        <v>ECÓGRAFO S7 B/W ( BLANCO Y NEGRO) BMV - Plataforma BLANCO Y NEGROSIN BATERÍA</v>
      </c>
      <c r="AF86" s="2">
        <v>1</v>
      </c>
      <c r="AG86" s="2"/>
      <c r="AH86" s="2"/>
    </row>
    <row r="87" spans="1:34" ht="49.95" customHeight="1" x14ac:dyDescent="0.3">
      <c r="A87" s="203" t="s">
        <v>378</v>
      </c>
      <c r="C87" s="216" t="s">
        <v>379</v>
      </c>
      <c r="D87" s="1" t="s">
        <v>380</v>
      </c>
      <c r="E87" s="1" t="s">
        <v>381</v>
      </c>
      <c r="F87" s="1" t="s">
        <v>30</v>
      </c>
      <c r="G87" s="31">
        <v>2</v>
      </c>
      <c r="H87" s="14">
        <f>SUMIF(ENTRADAS71417[CÓDIGO],PRODUCTOS31316[[#This Row],[CÓDIGO]],ENTRADAS71417[CANTIDAD])</f>
        <v>5</v>
      </c>
      <c r="I87" s="11">
        <f>SUMIF(SALIDAS111518[CÓDIGO],PRODUCTOS31316[[#This Row],[CÓDIGO]],SALIDAS111518[CANTIDAD])</f>
        <v>9</v>
      </c>
      <c r="J87" s="6">
        <f>PRODUCTOS31316[[#This Row],[EXISTENCIAS]]+PRODUCTOS31316[[#This Row],[ENTRADAS]]-PRODUCTOS31316[[#This Row],[SALIDAS]]</f>
        <v>-2</v>
      </c>
      <c r="L87" s="2"/>
      <c r="M87" s="2"/>
      <c r="N87" s="2">
        <v>7717</v>
      </c>
      <c r="O87" s="276" t="s">
        <v>3747</v>
      </c>
      <c r="P87" s="16">
        <v>46037</v>
      </c>
      <c r="Q87" s="276" t="s">
        <v>25</v>
      </c>
      <c r="R87" s="2">
        <f>VLOOKUP(SALIDAS111518[[#This Row],[CÓDIGO]],PRODUCTOS31316[],2,FALSE)</f>
        <v>0</v>
      </c>
      <c r="S87" s="1" t="str">
        <f>VLOOKUP(SALIDAS111518[[#This Row],[CÓDIGO]],PRODUCTOS31316[],3,FALSE)</f>
        <v>BOLSA TELA MAS CAMPO</v>
      </c>
      <c r="T87" s="2">
        <v>1</v>
      </c>
      <c r="U87" s="2"/>
      <c r="V87" s="2"/>
      <c r="W87" s="2"/>
      <c r="X87" s="17"/>
      <c r="Y87" s="7"/>
      <c r="Z87" s="288" t="s">
        <v>4034</v>
      </c>
      <c r="AA87" s="290" t="s">
        <v>3970</v>
      </c>
      <c r="AB87" s="16">
        <v>46051</v>
      </c>
      <c r="AC87" s="288" t="s">
        <v>3929</v>
      </c>
      <c r="AD87" s="1">
        <f>VLOOKUP(ENTRADAS71417[[#This Row],[CÓDIGO]],PRODUCTOS31316[],2,FALSE)</f>
        <v>0</v>
      </c>
      <c r="AE87" s="1" t="str">
        <f>VLOOKUP(ENTRADAS71417[[#This Row],[CÓDIGO]],PRODUCTOS31316[],3,FALSE)</f>
        <v>BOTUSEMEN 8 GM</v>
      </c>
      <c r="AF87" s="2">
        <v>10</v>
      </c>
      <c r="AG87" s="2"/>
      <c r="AH87" s="2">
        <v>23</v>
      </c>
    </row>
    <row r="88" spans="1:34" ht="49.95" customHeight="1" x14ac:dyDescent="0.3">
      <c r="A88" s="203" t="s">
        <v>104</v>
      </c>
      <c r="C88" s="216" t="s">
        <v>383</v>
      </c>
      <c r="D88" s="1" t="s">
        <v>380</v>
      </c>
      <c r="E88" s="1" t="s">
        <v>381</v>
      </c>
      <c r="F88" s="1" t="s">
        <v>62</v>
      </c>
      <c r="G88" s="2">
        <v>40</v>
      </c>
      <c r="H88" s="14">
        <f>SUMIF(ENTRADAS71417[CÓDIGO],PRODUCTOS31316[[#This Row],[CÓDIGO]],ENTRADAS71417[CANTIDAD])</f>
        <v>360</v>
      </c>
      <c r="I88" s="11">
        <f>SUMIF(SALIDAS111518[CÓDIGO],PRODUCTOS31316[[#This Row],[CÓDIGO]],SALIDAS111518[CANTIDAD])</f>
        <v>274</v>
      </c>
      <c r="J88" s="6">
        <f>PRODUCTOS31316[[#This Row],[EXISTENCIAS]]+PRODUCTOS31316[[#This Row],[ENTRADAS]]-PRODUCTOS31316[[#This Row],[SALIDAS]]</f>
        <v>126</v>
      </c>
      <c r="L88" s="2"/>
      <c r="M88" s="2"/>
      <c r="N88" s="2">
        <v>7717</v>
      </c>
      <c r="O88" s="276" t="s">
        <v>3747</v>
      </c>
      <c r="P88" s="16">
        <v>46037</v>
      </c>
      <c r="Q88" s="2" t="s">
        <v>3095</v>
      </c>
      <c r="R88" s="2">
        <f>VLOOKUP(SALIDAS111518[[#This Row],[CÓDIGO]],PRODUCTOS31316[],2,FALSE)</f>
        <v>0</v>
      </c>
      <c r="S88" s="1" t="str">
        <f>VLOOKUP(SALIDAS111518[[#This Row],[CÓDIGO]],PRODUCTOS31316[],3,FALSE)</f>
        <v>GORRA MAS CAMPO</v>
      </c>
      <c r="T88" s="2">
        <v>1</v>
      </c>
      <c r="U88" s="2"/>
      <c r="V88" s="2"/>
      <c r="W88" s="2"/>
      <c r="X88" s="2"/>
      <c r="Y88" s="7"/>
      <c r="Z88" s="288" t="s">
        <v>4017</v>
      </c>
      <c r="AA88" s="290" t="s">
        <v>4018</v>
      </c>
      <c r="AB88" s="16">
        <v>46062</v>
      </c>
      <c r="AC88" s="288" t="s">
        <v>3181</v>
      </c>
      <c r="AD88" s="1">
        <f>VLOOKUP(ENTRADAS71417[[#This Row],[CÓDIGO]],PRODUCTOS31316[],2,FALSE)</f>
        <v>7416</v>
      </c>
      <c r="AE88" s="1" t="str">
        <f>VLOOKUP(ENTRADAS71417[[#This Row],[CÓDIGO]],PRODUCTOS31316[],3,FALSE)</f>
        <v>CAJA PLÁSTICA DE 22" DE TRANSPORTE</v>
      </c>
      <c r="AF88" s="2">
        <v>18</v>
      </c>
      <c r="AG88" s="2"/>
      <c r="AH88" s="2">
        <v>24</v>
      </c>
    </row>
    <row r="89" spans="1:34" ht="49.95" customHeight="1" x14ac:dyDescent="0.3">
      <c r="A89" s="2" t="s">
        <v>385</v>
      </c>
      <c r="C89" s="1" t="s">
        <v>386</v>
      </c>
      <c r="D89" s="1" t="s">
        <v>73</v>
      </c>
      <c r="E89" s="1" t="s">
        <v>123</v>
      </c>
      <c r="F89" s="1" t="s">
        <v>30</v>
      </c>
      <c r="G89" s="2">
        <v>0</v>
      </c>
      <c r="H89" s="14">
        <f>SUMIF(ENTRADAS71417[CÓDIGO],PRODUCTOS31316[[#This Row],[CÓDIGO]],ENTRADAS71417[CANTIDAD])</f>
        <v>0</v>
      </c>
      <c r="I89" s="11">
        <f>SUMIF(SALIDAS111518[CÓDIGO],PRODUCTOS31316[[#This Row],[CÓDIGO]],SALIDAS111518[CANTIDAD])</f>
        <v>0</v>
      </c>
      <c r="J89" s="6">
        <f>PRODUCTOS31316[[#This Row],[EXISTENCIAS]]+PRODUCTOS31316[[#This Row],[ENTRADAS]]-PRODUCTOS31316[[#This Row],[SALIDAS]]</f>
        <v>0</v>
      </c>
      <c r="L89" s="2"/>
      <c r="M89" s="2"/>
      <c r="N89" s="2">
        <v>7717</v>
      </c>
      <c r="O89" s="276" t="s">
        <v>3747</v>
      </c>
      <c r="P89" s="16">
        <v>46037</v>
      </c>
      <c r="Q89" s="2" t="s">
        <v>3645</v>
      </c>
      <c r="R89" s="2">
        <f>VLOOKUP(SALIDAS111518[[#This Row],[CÓDIGO]],PRODUCTOS31316[],2,FALSE)</f>
        <v>0</v>
      </c>
      <c r="S89" s="1" t="str">
        <f>VLOOKUP(SALIDAS111518[[#This Row],[CÓDIGO]],PRODUCTOS31316[],3,FALSE)</f>
        <v>AGENDA MAS CAMPO</v>
      </c>
      <c r="T89" s="2">
        <v>1</v>
      </c>
      <c r="U89" s="2"/>
      <c r="V89" s="2"/>
      <c r="W89" s="2"/>
      <c r="X89" s="2"/>
      <c r="Y89" s="7"/>
      <c r="Z89" s="290" t="s">
        <v>4036</v>
      </c>
      <c r="AA89" s="290" t="s">
        <v>4035</v>
      </c>
      <c r="AB89" s="16">
        <v>46063</v>
      </c>
      <c r="AC89" s="288" t="s">
        <v>4031</v>
      </c>
      <c r="AD89" s="1" t="str">
        <f>VLOOKUP(ENTRADAS71417[[#This Row],[CÓDIGO]],PRODUCTOS31316[],2,FALSE)</f>
        <v>SPERMLIDE420</v>
      </c>
      <c r="AE89" s="1" t="str">
        <f>VLOOKUP(ENTRADAS71417[[#This Row],[CÓDIGO]],PRODUCTOS31316[],3,FALSE)</f>
        <v>CÁMARA DE RECUENTO CELULAR SPERMLIDE420/ 4 cámaras de recuento por porta, 20 micras de profundidad.</v>
      </c>
      <c r="AF89" s="2">
        <v>36</v>
      </c>
      <c r="AG89" s="2"/>
      <c r="AH89" s="2">
        <v>25</v>
      </c>
    </row>
    <row r="90" spans="1:34" ht="49.95" customHeight="1" x14ac:dyDescent="0.3">
      <c r="A90" s="2" t="s">
        <v>388</v>
      </c>
      <c r="B90" s="1">
        <v>502009</v>
      </c>
      <c r="C90" s="1" t="s">
        <v>389</v>
      </c>
      <c r="D90" s="1" t="s">
        <v>18</v>
      </c>
      <c r="E90" s="1" t="s">
        <v>18</v>
      </c>
      <c r="F90" s="1" t="s">
        <v>30</v>
      </c>
      <c r="G90" s="2">
        <v>0</v>
      </c>
      <c r="H90" s="14">
        <f>SUMIF(ENTRADAS71417[CÓDIGO],PRODUCTOS31316[[#This Row],[CÓDIGO]],ENTRADAS71417[CANTIDAD])</f>
        <v>0</v>
      </c>
      <c r="I90" s="11">
        <f>SUMIF(SALIDAS111518[CÓDIGO],PRODUCTOS31316[[#This Row],[CÓDIGO]],SALIDAS111518[CANTIDAD])</f>
        <v>0</v>
      </c>
      <c r="J90" s="6">
        <f>PRODUCTOS31316[[#This Row],[EXISTENCIAS]]+PRODUCTOS31316[[#This Row],[ENTRADAS]]-PRODUCTOS31316[[#This Row],[SALIDAS]]</f>
        <v>0</v>
      </c>
      <c r="L90" s="2"/>
      <c r="M90" s="2"/>
      <c r="N90" s="2">
        <v>7717</v>
      </c>
      <c r="O90" s="276" t="s">
        <v>3747</v>
      </c>
      <c r="P90" s="16">
        <v>46037</v>
      </c>
      <c r="Q90" s="276" t="s">
        <v>3365</v>
      </c>
      <c r="R90" s="2">
        <f>VLOOKUP(SALIDAS111518[[#This Row],[CÓDIGO]],PRODUCTOS31316[],2,FALSE)</f>
        <v>0</v>
      </c>
      <c r="S90" s="1" t="str">
        <f>VLOOKUP(SALIDAS111518[[#This Row],[CÓDIGO]],PRODUCTOS31316[],3,FALSE)</f>
        <v>MANGA DE PROTECCIÓN PALPACIÓN MAS CAMPO</v>
      </c>
      <c r="T90" s="2">
        <v>1</v>
      </c>
      <c r="U90" s="2"/>
      <c r="V90" s="2"/>
      <c r="W90" s="2"/>
      <c r="X90" s="2"/>
      <c r="Y90" s="7"/>
      <c r="Z90" s="2">
        <v>51681</v>
      </c>
      <c r="AA90" s="294" t="s">
        <v>4077</v>
      </c>
      <c r="AB90" s="16">
        <v>46066</v>
      </c>
      <c r="AC90" s="293" t="s">
        <v>909</v>
      </c>
      <c r="AD90" s="1" t="str">
        <f>VLOOKUP(ENTRADAS71417[[#This Row],[CÓDIGO]],PRODUCTOS31316[],2,FALSE)</f>
        <v>26-0</v>
      </c>
      <c r="AE90" s="1" t="str">
        <f>VLOOKUP(ENTRADAS71417[[#This Row],[CÓDIGO]],PRODUCTOS31316[],3,FALSE)</f>
        <v>ELECTRO PARA OVINO- CAPRINO/ PROBE 1 1/4" DE DIÁMETRO FUNCIONA CON 2 BATERIAS 9V</v>
      </c>
      <c r="AF90" s="2">
        <v>2</v>
      </c>
      <c r="AG90" s="2"/>
      <c r="AH90" s="2">
        <v>26</v>
      </c>
    </row>
    <row r="91" spans="1:34" ht="49.95" customHeight="1" x14ac:dyDescent="0.3">
      <c r="A91" s="2" t="s">
        <v>391</v>
      </c>
      <c r="B91" s="1" t="s">
        <v>392</v>
      </c>
      <c r="C91" s="133" t="s">
        <v>393</v>
      </c>
      <c r="D91" s="1" t="s">
        <v>18</v>
      </c>
      <c r="E91" s="1" t="s">
        <v>18</v>
      </c>
      <c r="F91" s="1" t="s">
        <v>30</v>
      </c>
      <c r="G91" s="2">
        <v>0</v>
      </c>
      <c r="H91" s="14">
        <f>SUMIF(ENTRADAS71417[CÓDIGO],PRODUCTOS31316[[#This Row],[CÓDIGO]],ENTRADAS71417[CANTIDAD])</f>
        <v>0</v>
      </c>
      <c r="I91" s="11">
        <f>SUMIF(SALIDAS111518[CÓDIGO],PRODUCTOS31316[[#This Row],[CÓDIGO]],SALIDAS111518[CANTIDAD])</f>
        <v>0</v>
      </c>
      <c r="J91" s="6">
        <f>PRODUCTOS31316[[#This Row],[EXISTENCIAS]]+PRODUCTOS31316[[#This Row],[ENTRADAS]]-PRODUCTOS31316[[#This Row],[SALIDAS]]</f>
        <v>0</v>
      </c>
      <c r="L91" s="276" t="s">
        <v>3520</v>
      </c>
      <c r="M91" s="276" t="s">
        <v>3653</v>
      </c>
      <c r="N91" s="276" t="s">
        <v>3764</v>
      </c>
      <c r="O91" s="276" t="s">
        <v>3382</v>
      </c>
      <c r="P91" s="16">
        <v>46037</v>
      </c>
      <c r="Q91" s="276" t="s">
        <v>3181</v>
      </c>
      <c r="R91" s="2">
        <f>VLOOKUP(SALIDAS111518[[#This Row],[CÓDIGO]],PRODUCTOS31316[],2,FALSE)</f>
        <v>7416</v>
      </c>
      <c r="S91" s="1" t="str">
        <f>VLOOKUP(SALIDAS111518[[#This Row],[CÓDIGO]],PRODUCTOS31316[],3,FALSE)</f>
        <v>CAJA PLÁSTICA DE 22" DE TRANSPORTE</v>
      </c>
      <c r="T91" s="2">
        <v>1</v>
      </c>
      <c r="U91" s="2">
        <v>33</v>
      </c>
      <c r="V91" s="2"/>
      <c r="W91" s="2"/>
      <c r="X91" s="2"/>
      <c r="Y91" s="7"/>
      <c r="Z91" s="298" t="s">
        <v>4138</v>
      </c>
      <c r="AA91" s="296" t="s">
        <v>2778</v>
      </c>
      <c r="AB91" s="16">
        <v>46070</v>
      </c>
      <c r="AC91" s="295" t="s">
        <v>2433</v>
      </c>
      <c r="AD91" s="1">
        <f>VLOOKUP(ENTRADAS71417[[#This Row],[CÓDIGO]],PRODUCTOS31316[],2,FALSE)</f>
        <v>0</v>
      </c>
      <c r="AE91" s="1" t="str">
        <f>VLOOKUP(ENTRADAS71417[[#This Row],[CÓDIGO]],PRODUCTOS31316[],3,FALSE)</f>
        <v>SONDA LINEAL RECTAL DAWEI</v>
      </c>
      <c r="AF91" s="2">
        <v>2</v>
      </c>
      <c r="AG91" s="2"/>
      <c r="AH91" s="2">
        <v>27</v>
      </c>
    </row>
    <row r="92" spans="1:34" ht="49.95" customHeight="1" x14ac:dyDescent="0.3">
      <c r="A92" s="2" t="s">
        <v>394</v>
      </c>
      <c r="B92" s="1">
        <v>51001</v>
      </c>
      <c r="C92" s="1" t="s">
        <v>395</v>
      </c>
      <c r="D92" s="1" t="s">
        <v>18</v>
      </c>
      <c r="E92" s="1" t="s">
        <v>18</v>
      </c>
      <c r="F92" s="1" t="s">
        <v>30</v>
      </c>
      <c r="G92" s="2">
        <v>0</v>
      </c>
      <c r="H92" s="14">
        <f>SUMIF(ENTRADAS71417[CÓDIGO],PRODUCTOS31316[[#This Row],[CÓDIGO]],ENTRADAS71417[CANTIDAD])</f>
        <v>0</v>
      </c>
      <c r="I92" s="11">
        <f>SUMIF(SALIDAS111518[CÓDIGO],PRODUCTOS31316[[#This Row],[CÓDIGO]],SALIDAS111518[CANTIDAD])</f>
        <v>0</v>
      </c>
      <c r="J92" s="6">
        <f>PRODUCTOS31316[[#This Row],[EXISTENCIAS]]+PRODUCTOS31316[[#This Row],[ENTRADAS]]-PRODUCTOS31316[[#This Row],[SALIDAS]]</f>
        <v>0</v>
      </c>
      <c r="L92" s="2"/>
      <c r="M92" s="2"/>
      <c r="N92" s="2">
        <v>7711</v>
      </c>
      <c r="O92" s="276" t="s">
        <v>3382</v>
      </c>
      <c r="P92" s="16">
        <v>46037</v>
      </c>
      <c r="Q92" s="276" t="s">
        <v>153</v>
      </c>
      <c r="R92" s="2">
        <f>VLOOKUP(SALIDAS111518[[#This Row],[CÓDIGO]],PRODUCTOS31316[],2,FALSE)</f>
        <v>1132</v>
      </c>
      <c r="S92" s="1" t="str">
        <f>VLOOKUP(SALIDAS111518[[#This Row],[CÓDIGO]],PRODUCTOS31316[],3,FALSE)</f>
        <v>PISTOLA QUICKLOCK CLASIC</v>
      </c>
      <c r="T92" s="2">
        <v>1</v>
      </c>
      <c r="U92" s="2"/>
      <c r="V92" s="2"/>
      <c r="W92" s="2"/>
      <c r="X92" s="2"/>
      <c r="Y92" s="7"/>
      <c r="Z92" s="297" t="s">
        <v>4139</v>
      </c>
      <c r="AA92" s="1" t="s">
        <v>3741</v>
      </c>
      <c r="AB92" s="16">
        <v>46070</v>
      </c>
      <c r="AC92" s="297" t="s">
        <v>4140</v>
      </c>
      <c r="AD92" s="1">
        <f>VLOOKUP(ENTRADAS71417[[#This Row],[CÓDIGO]],PRODUCTOS31316[],2,FALSE)</f>
        <v>5575</v>
      </c>
      <c r="AE92" s="1" t="str">
        <f>VLOOKUP(ENTRADAS71417[[#This Row],[CÓDIGO]],PRODUCTOS31316[],3,FALSE)</f>
        <v>PAJUELA AMARILLA 0.25/ PAQUETE X 2000</v>
      </c>
      <c r="AF92" s="2">
        <v>20</v>
      </c>
      <c r="AG92" s="2"/>
      <c r="AH92" s="2">
        <v>28</v>
      </c>
    </row>
    <row r="93" spans="1:34" ht="49.95" customHeight="1" x14ac:dyDescent="0.3">
      <c r="A93" s="203" t="s">
        <v>397</v>
      </c>
      <c r="B93" s="1">
        <v>509013</v>
      </c>
      <c r="C93" s="93" t="s">
        <v>398</v>
      </c>
      <c r="D93" s="1" t="s">
        <v>61</v>
      </c>
      <c r="E93" s="1" t="s">
        <v>18</v>
      </c>
      <c r="F93" s="1" t="s">
        <v>62</v>
      </c>
      <c r="G93" s="31">
        <v>0</v>
      </c>
      <c r="H93" s="14">
        <f>SUMIF(ENTRADAS71417[CÓDIGO],PRODUCTOS31316[[#This Row],[CÓDIGO]],ENTRADAS71417[CANTIDAD])</f>
        <v>45</v>
      </c>
      <c r="I93" s="11">
        <f>SUMIF(SALIDAS111518[CÓDIGO],PRODUCTOS31316[[#This Row],[CÓDIGO]],SALIDAS111518[CANTIDAD])</f>
        <v>13</v>
      </c>
      <c r="J93" s="6">
        <f>PRODUCTOS31316[[#This Row],[EXISTENCIAS]]+PRODUCTOS31316[[#This Row],[ENTRADAS]]-PRODUCTOS31316[[#This Row],[SALIDAS]]</f>
        <v>32</v>
      </c>
      <c r="L93" s="2"/>
      <c r="M93" s="2"/>
      <c r="N93" s="2">
        <v>7711</v>
      </c>
      <c r="O93" s="276" t="s">
        <v>3382</v>
      </c>
      <c r="P93" s="16">
        <v>46037</v>
      </c>
      <c r="Q93" s="276" t="s">
        <v>236</v>
      </c>
      <c r="R93" s="2">
        <f>VLOOKUP(SALIDAS111518[[#This Row],[CÓDIGO]],PRODUCTOS31316[],2,FALSE)</f>
        <v>0</v>
      </c>
      <c r="S93" s="1" t="str">
        <f>VLOOKUP(SALIDAS111518[[#This Row],[CÓDIGO]],PRODUCTOS31316[],3,FALSE)</f>
        <v>TERMO METÁLICO DESCONGELADOR</v>
      </c>
      <c r="T93" s="2">
        <v>1</v>
      </c>
      <c r="U93" s="2"/>
      <c r="V93" s="2"/>
      <c r="W93" s="2"/>
      <c r="X93" s="2"/>
      <c r="Y93" s="7"/>
      <c r="Z93" s="298" t="s">
        <v>4141</v>
      </c>
      <c r="AA93" s="1" t="s">
        <v>2322</v>
      </c>
      <c r="AB93" s="16">
        <v>46070</v>
      </c>
      <c r="AC93" s="297" t="s">
        <v>3173</v>
      </c>
      <c r="AD93" s="1">
        <f>VLOOKUP(ENTRADAS71417[[#This Row],[CÓDIGO]],PRODUCTOS31316[],2,FALSE)</f>
        <v>0</v>
      </c>
      <c r="AE93" s="1" t="str">
        <f>VLOOKUP(ENTRADAS71417[[#This Row],[CÓDIGO]],PRODUCTOS31316[],3,FALSE)</f>
        <v>PLACA CALENTADORA/ INCLUYE CABLE</v>
      </c>
      <c r="AF93" s="2">
        <v>9</v>
      </c>
      <c r="AG93" s="2"/>
      <c r="AH93" s="2">
        <v>31</v>
      </c>
    </row>
    <row r="94" spans="1:34" ht="49.95" customHeight="1" x14ac:dyDescent="0.3">
      <c r="A94" s="2" t="s">
        <v>400</v>
      </c>
      <c r="B94" s="1">
        <v>512001</v>
      </c>
      <c r="C94" s="133" t="s">
        <v>401</v>
      </c>
      <c r="D94" s="1" t="s">
        <v>18</v>
      </c>
      <c r="E94" s="1" t="s">
        <v>18</v>
      </c>
      <c r="F94" s="1" t="s">
        <v>30</v>
      </c>
      <c r="G94" s="2">
        <v>0</v>
      </c>
      <c r="H94" s="14">
        <f>SUMIF(ENTRADAS71417[CÓDIGO],PRODUCTOS31316[[#This Row],[CÓDIGO]],ENTRADAS71417[CANTIDAD])</f>
        <v>0</v>
      </c>
      <c r="I94" s="11">
        <f>SUMIF(SALIDAS111518[CÓDIGO],PRODUCTOS31316[[#This Row],[CÓDIGO]],SALIDAS111518[CANTIDAD])</f>
        <v>0</v>
      </c>
      <c r="J94" s="6">
        <f>PRODUCTOS31316[[#This Row],[EXISTENCIAS]]+PRODUCTOS31316[[#This Row],[ENTRADAS]]-PRODUCTOS31316[[#This Row],[SALIDAS]]</f>
        <v>0</v>
      </c>
      <c r="L94" s="2"/>
      <c r="M94" s="2"/>
      <c r="N94" s="2">
        <v>7711</v>
      </c>
      <c r="O94" s="276" t="s">
        <v>3382</v>
      </c>
      <c r="P94" s="16">
        <v>46037</v>
      </c>
      <c r="Q94" s="276" t="s">
        <v>581</v>
      </c>
      <c r="R94" s="2">
        <f>VLOOKUP(SALIDAS111518[[#This Row],[CÓDIGO]],PRODUCTOS31316[],2,FALSE)</f>
        <v>11571</v>
      </c>
      <c r="S94" s="1" t="str">
        <f>VLOOKUP(SALIDAS111518[[#This Row],[CÓDIGO]],PRODUCTOS31316[],3,FALSE)</f>
        <v>PINZA COGEPAJILLA</v>
      </c>
      <c r="T94" s="2">
        <v>1</v>
      </c>
      <c r="U94" s="2"/>
      <c r="V94" s="2"/>
      <c r="W94" s="2"/>
      <c r="X94" s="2"/>
      <c r="Y94" s="7"/>
      <c r="Z94" s="298" t="s">
        <v>4142</v>
      </c>
      <c r="AA94" s="1" t="s">
        <v>2322</v>
      </c>
      <c r="AB94" s="16">
        <v>46070</v>
      </c>
      <c r="AC94" s="2" t="s">
        <v>3154</v>
      </c>
      <c r="AD94" s="1">
        <f>VLOOKUP(ENTRADAS71417[[#This Row],[CÓDIGO]],PRODUCTOS31316[],2,FALSE)</f>
        <v>0</v>
      </c>
      <c r="AE94" s="1" t="str">
        <f>VLOOKUP(ENTRADAS71417[[#This Row],[CÓDIGO]],PRODUCTOS31316[],3,FALSE)</f>
        <v>ISPERM COLECTOR DE MUESTRAS</v>
      </c>
      <c r="AF94" s="2">
        <v>3</v>
      </c>
      <c r="AG94" s="2"/>
      <c r="AH94" s="2">
        <v>30</v>
      </c>
    </row>
    <row r="95" spans="1:34" ht="49.95" customHeight="1" x14ac:dyDescent="0.3">
      <c r="A95" s="2" t="s">
        <v>403</v>
      </c>
      <c r="B95" s="1" t="s">
        <v>404</v>
      </c>
      <c r="C95" s="1" t="s">
        <v>405</v>
      </c>
      <c r="D95" s="1" t="s">
        <v>171</v>
      </c>
      <c r="E95" s="1" t="s">
        <v>24</v>
      </c>
      <c r="F95" s="1" t="s">
        <v>406</v>
      </c>
      <c r="G95" s="2">
        <v>0</v>
      </c>
      <c r="H95" s="14">
        <f>SUMIF(ENTRADAS71417[CÓDIGO],PRODUCTOS31316[[#This Row],[CÓDIGO]],ENTRADAS71417[CANTIDAD])</f>
        <v>0</v>
      </c>
      <c r="I95" s="11">
        <f>SUMIF(SALIDAS111518[CÓDIGO],PRODUCTOS31316[[#This Row],[CÓDIGO]],SALIDAS111518[CANTIDAD])</f>
        <v>0</v>
      </c>
      <c r="J95" s="6">
        <f>PRODUCTOS31316[[#This Row],[EXISTENCIAS]]+PRODUCTOS31316[[#This Row],[ENTRADAS]]-PRODUCTOS31316[[#This Row],[SALIDAS]]</f>
        <v>0</v>
      </c>
      <c r="L95" s="2"/>
      <c r="M95" s="2"/>
      <c r="N95" s="2">
        <v>7711</v>
      </c>
      <c r="O95" s="276" t="s">
        <v>3382</v>
      </c>
      <c r="P95" s="16">
        <v>46037</v>
      </c>
      <c r="Q95" s="276" t="s">
        <v>3395</v>
      </c>
      <c r="R95" s="2">
        <f>VLOOKUP(SALIDAS111518[[#This Row],[CÓDIGO]],PRODUCTOS31316[],2,FALSE)</f>
        <v>17062</v>
      </c>
      <c r="S95" s="1" t="str">
        <f>VLOOKUP(SALIDAS111518[[#This Row],[CÓDIGO]],PRODUCTOS31316[],3,FALSE)</f>
        <v>CORTAPAJILLAS MARCA MINITUBE</v>
      </c>
      <c r="T95" s="2">
        <v>1</v>
      </c>
      <c r="U95" s="2"/>
      <c r="V95" s="2"/>
      <c r="W95" s="2"/>
      <c r="X95" s="2"/>
      <c r="Y95" s="7"/>
      <c r="Z95" s="298" t="s">
        <v>4143</v>
      </c>
      <c r="AA95" s="1" t="s">
        <v>2322</v>
      </c>
      <c r="AB95" s="16">
        <v>46070</v>
      </c>
      <c r="AC95" s="2" t="s">
        <v>2818</v>
      </c>
      <c r="AD95" s="1">
        <f>VLOOKUP(ENTRADAS71417[[#This Row],[CÓDIGO]],PRODUCTOS31316[],2,FALSE)</f>
        <v>0</v>
      </c>
      <c r="AE95" s="1" t="str">
        <f>VLOOKUP(ENTRADAS71417[[#This Row],[CÓDIGO]],PRODUCTOS31316[],3,FALSE)</f>
        <v>CARCASA ISPERM</v>
      </c>
      <c r="AF95" s="2">
        <v>2</v>
      </c>
      <c r="AG95" s="2"/>
      <c r="AH95" s="2"/>
    </row>
    <row r="96" spans="1:34" ht="49.95" customHeight="1" x14ac:dyDescent="0.3">
      <c r="A96" s="2" t="s">
        <v>408</v>
      </c>
      <c r="B96" s="1">
        <v>125</v>
      </c>
      <c r="C96" s="1" t="s">
        <v>409</v>
      </c>
      <c r="D96" s="1" t="s">
        <v>410</v>
      </c>
      <c r="E96" s="1" t="s">
        <v>410</v>
      </c>
      <c r="F96" s="1" t="s">
        <v>30</v>
      </c>
      <c r="G96" s="2">
        <v>0</v>
      </c>
      <c r="H96" s="14">
        <f>SUMIF(ENTRADAS71417[CÓDIGO],PRODUCTOS31316[[#This Row],[CÓDIGO]],ENTRADAS71417[CANTIDAD])</f>
        <v>0</v>
      </c>
      <c r="I96" s="11">
        <f>SUMIF(SALIDAS111518[CÓDIGO],PRODUCTOS31316[[#This Row],[CÓDIGO]],SALIDAS111518[CANTIDAD])</f>
        <v>0</v>
      </c>
      <c r="J96" s="6">
        <f>PRODUCTOS31316[[#This Row],[EXISTENCIAS]]+PRODUCTOS31316[[#This Row],[ENTRADAS]]-PRODUCTOS31316[[#This Row],[SALIDAS]]</f>
        <v>0</v>
      </c>
      <c r="L96" s="276" t="s">
        <v>3520</v>
      </c>
      <c r="M96" s="276" t="s">
        <v>3653</v>
      </c>
      <c r="N96" s="276" t="s">
        <v>3765</v>
      </c>
      <c r="O96" s="276" t="s">
        <v>2204</v>
      </c>
      <c r="P96" s="16">
        <v>46037</v>
      </c>
      <c r="Q96" s="276" t="s">
        <v>167</v>
      </c>
      <c r="R96" s="2" t="str">
        <f>VLOOKUP(SALIDAS111518[[#This Row],[CÓDIGO]],PRODUCTOS31316[],2,FALSE)</f>
        <v>50050-1</v>
      </c>
      <c r="S96" s="1" t="str">
        <f>VLOOKUP(SALIDAS111518[[#This Row],[CÓDIGO]],PRODUCTOS31316[],3,FALSE)</f>
        <v>TUBO CONICO PLUG, AUTOCLAVABLE ESTERIL  TAPA ROSCA DE 50 ML</v>
      </c>
      <c r="T96" s="2">
        <v>6</v>
      </c>
      <c r="U96" s="2">
        <v>34</v>
      </c>
      <c r="V96" s="2"/>
      <c r="W96" s="2"/>
      <c r="X96" s="2"/>
      <c r="Y96" s="7"/>
      <c r="Z96" s="298" t="s">
        <v>4144</v>
      </c>
      <c r="AA96" s="1" t="s">
        <v>2322</v>
      </c>
      <c r="AB96" s="16">
        <v>46070</v>
      </c>
      <c r="AC96" s="2" t="s">
        <v>104</v>
      </c>
      <c r="AD96" s="1">
        <f>VLOOKUP(ENTRADAS71417[[#This Row],[CÓDIGO]],PRODUCTOS31316[],2,FALSE)</f>
        <v>0</v>
      </c>
      <c r="AE96" s="1" t="str">
        <f>VLOOKUP(ENTRADAS71417[[#This Row],[CÓDIGO]],PRODUCTOS31316[],3,FALSE)</f>
        <v>ISPERM CHIPS (500 TESTS PER BOX) PAQ. X 50 UND</v>
      </c>
      <c r="AF96" s="2">
        <v>120</v>
      </c>
      <c r="AG96" s="2"/>
      <c r="AH96" s="2"/>
    </row>
    <row r="97" spans="1:34" ht="49.95" customHeight="1" x14ac:dyDescent="0.3">
      <c r="A97" s="2" t="s">
        <v>412</v>
      </c>
      <c r="B97" s="1">
        <v>574</v>
      </c>
      <c r="C97" s="1" t="s">
        <v>413</v>
      </c>
      <c r="D97" s="1" t="s">
        <v>414</v>
      </c>
      <c r="E97" s="1" t="s">
        <v>410</v>
      </c>
      <c r="F97" s="1" t="s">
        <v>30</v>
      </c>
      <c r="G97" s="2">
        <v>0</v>
      </c>
      <c r="H97" s="14">
        <f>SUMIF(ENTRADAS71417[CÓDIGO],PRODUCTOS31316[[#This Row],[CÓDIGO]],ENTRADAS71417[CANTIDAD])</f>
        <v>0</v>
      </c>
      <c r="I97" s="11">
        <f>SUMIF(SALIDAS111518[CÓDIGO],PRODUCTOS31316[[#This Row],[CÓDIGO]],SALIDAS111518[CANTIDAD])</f>
        <v>0</v>
      </c>
      <c r="J97" s="6">
        <f>PRODUCTOS31316[[#This Row],[EXISTENCIAS]]+PRODUCTOS31316[[#This Row],[ENTRADAS]]-PRODUCTOS31316[[#This Row],[SALIDAS]]</f>
        <v>0</v>
      </c>
      <c r="L97" s="2"/>
      <c r="M97" s="2"/>
      <c r="N97" s="2">
        <v>7712</v>
      </c>
      <c r="O97" s="276" t="s">
        <v>2204</v>
      </c>
      <c r="P97" s="16">
        <v>46037</v>
      </c>
      <c r="Q97" s="276" t="s">
        <v>2235</v>
      </c>
      <c r="R97" s="2">
        <f>VLOOKUP(SALIDAS111518[[#This Row],[CÓDIGO]],PRODUCTOS31316[],2,FALSE)</f>
        <v>1868703</v>
      </c>
      <c r="S97" s="1" t="str">
        <f>VLOOKUP(SALIDAS111518[[#This Row],[CÓDIGO]],PRODUCTOS31316[],3,FALSE)</f>
        <v>PARAFILM 38M X 10 CM</v>
      </c>
      <c r="T97" s="2">
        <v>1</v>
      </c>
      <c r="U97" s="2"/>
      <c r="V97" s="2"/>
      <c r="W97" s="2"/>
      <c r="X97" s="2"/>
      <c r="Y97" s="7"/>
      <c r="Z97" s="298" t="s">
        <v>4145</v>
      </c>
      <c r="AA97" s="1" t="s">
        <v>2322</v>
      </c>
      <c r="AB97" s="16">
        <v>46070</v>
      </c>
      <c r="AC97" s="2" t="s">
        <v>378</v>
      </c>
      <c r="AD97" s="1">
        <f>VLOOKUP(ENTRADAS71417[[#This Row],[CÓDIGO]],PRODUCTOS31316[],2,FALSE)</f>
        <v>0</v>
      </c>
      <c r="AE97" s="1" t="str">
        <f>VLOOKUP(ENTRADAS71417[[#This Row],[CÓDIGO]],PRODUCTOS31316[],3,FALSE)</f>
        <v>ISPERM KIT (WITH 50 INCLUIDED CHIPS, EXS M5)</v>
      </c>
      <c r="AF97" s="2">
        <v>5</v>
      </c>
      <c r="AG97" s="2"/>
      <c r="AH97" s="2"/>
    </row>
    <row r="98" spans="1:34" ht="49.95" customHeight="1" x14ac:dyDescent="0.3">
      <c r="A98" s="2" t="s">
        <v>416</v>
      </c>
      <c r="B98" s="1">
        <v>576</v>
      </c>
      <c r="C98" s="1" t="s">
        <v>417</v>
      </c>
      <c r="D98" s="1" t="s">
        <v>414</v>
      </c>
      <c r="E98" s="1" t="s">
        <v>410</v>
      </c>
      <c r="F98" s="1" t="s">
        <v>30</v>
      </c>
      <c r="G98" s="2">
        <v>0</v>
      </c>
      <c r="H98" s="14">
        <f>SUMIF(ENTRADAS71417[CÓDIGO],PRODUCTOS31316[[#This Row],[CÓDIGO]],ENTRADAS71417[CANTIDAD])</f>
        <v>0</v>
      </c>
      <c r="I98" s="11">
        <f>SUMIF(SALIDAS111518[CÓDIGO],PRODUCTOS31316[[#This Row],[CÓDIGO]],SALIDAS111518[CANTIDAD])</f>
        <v>0</v>
      </c>
      <c r="J98" s="6">
        <f>PRODUCTOS31316[[#This Row],[EXISTENCIAS]]+PRODUCTOS31316[[#This Row],[ENTRADAS]]-PRODUCTOS31316[[#This Row],[SALIDAS]]</f>
        <v>0</v>
      </c>
      <c r="L98" s="276" t="s">
        <v>3520</v>
      </c>
      <c r="M98" s="276" t="s">
        <v>3653</v>
      </c>
      <c r="N98" s="276" t="s">
        <v>3766</v>
      </c>
      <c r="O98" s="276" t="s">
        <v>3748</v>
      </c>
      <c r="P98" s="16">
        <v>46037</v>
      </c>
      <c r="Q98" s="276" t="s">
        <v>3065</v>
      </c>
      <c r="R98" s="2">
        <f>VLOOKUP(SALIDAS111518[[#This Row],[CÓDIGO]],PRODUCTOS31316[],2,FALSE)</f>
        <v>20597559</v>
      </c>
      <c r="S98" s="1" t="str">
        <f>VLOOKUP(SALIDAS111518[[#This Row],[CÓDIGO]],PRODUCTOS31316[],3,FALSE)</f>
        <v>TERMO NITRÓGENO ET- 20</v>
      </c>
      <c r="T98" s="2">
        <v>1</v>
      </c>
      <c r="U98" s="2">
        <v>35</v>
      </c>
      <c r="V98" s="2"/>
      <c r="W98" s="2"/>
      <c r="X98" s="2"/>
      <c r="Y98" s="7"/>
      <c r="Z98" s="298" t="s">
        <v>4146</v>
      </c>
      <c r="AA98" s="1" t="s">
        <v>2322</v>
      </c>
      <c r="AB98" s="16">
        <v>46070</v>
      </c>
      <c r="AC98" s="2" t="s">
        <v>985</v>
      </c>
      <c r="AD98" s="1">
        <f>VLOOKUP(ENTRADAS71417[[#This Row],[CÓDIGO]],PRODUCTOS31316[],2,FALSE)</f>
        <v>0</v>
      </c>
      <c r="AE98" s="1" t="str">
        <f>VLOOKUP(ENTRADAS71417[[#This Row],[CÓDIGO]],PRODUCTOS31316[],3,FALSE)</f>
        <v>ISPERM SOFTWARE INICIAL ( UNA APLICACIÓN)</v>
      </c>
      <c r="AF98" s="2">
        <v>5</v>
      </c>
      <c r="AG98" s="2"/>
      <c r="AH98" s="2"/>
    </row>
    <row r="99" spans="1:34" ht="49.95" customHeight="1" x14ac:dyDescent="0.3">
      <c r="A99" s="2" t="s">
        <v>420</v>
      </c>
      <c r="B99" s="1">
        <v>1383</v>
      </c>
      <c r="C99" s="1" t="s">
        <v>421</v>
      </c>
      <c r="D99" s="1" t="s">
        <v>103</v>
      </c>
      <c r="E99" s="1" t="s">
        <v>233</v>
      </c>
      <c r="F99" s="1" t="s">
        <v>422</v>
      </c>
      <c r="G99" s="2">
        <v>0</v>
      </c>
      <c r="H99" s="14">
        <f>SUMIF(ENTRADAS71417[CÓDIGO],PRODUCTOS31316[[#This Row],[CÓDIGO]],ENTRADAS71417[CANTIDAD])</f>
        <v>0</v>
      </c>
      <c r="I99" s="11">
        <f>SUMIF(SALIDAS111518[CÓDIGO],PRODUCTOS31316[[#This Row],[CÓDIGO]],SALIDAS111518[CANTIDAD])</f>
        <v>0</v>
      </c>
      <c r="J99" s="6">
        <f>PRODUCTOS31316[[#This Row],[EXISTENCIAS]]+PRODUCTOS31316[[#This Row],[ENTRADAS]]-PRODUCTOS31316[[#This Row],[SALIDAS]]</f>
        <v>0</v>
      </c>
      <c r="L99" s="2"/>
      <c r="M99" s="2"/>
      <c r="N99" s="2">
        <v>7713</v>
      </c>
      <c r="O99" s="276" t="s">
        <v>3748</v>
      </c>
      <c r="P99" s="16">
        <v>46037</v>
      </c>
      <c r="Q99" s="276" t="s">
        <v>3181</v>
      </c>
      <c r="R99" s="2">
        <f>VLOOKUP(SALIDAS111518[[#This Row],[CÓDIGO]],PRODUCTOS31316[],2,FALSE)</f>
        <v>7416</v>
      </c>
      <c r="S99" s="1" t="str">
        <f>VLOOKUP(SALIDAS111518[[#This Row],[CÓDIGO]],PRODUCTOS31316[],3,FALSE)</f>
        <v>CAJA PLÁSTICA DE 22" DE TRANSPORTE</v>
      </c>
      <c r="T99" s="2">
        <v>1</v>
      </c>
      <c r="U99" s="2"/>
      <c r="V99" s="2"/>
      <c r="W99" s="2"/>
      <c r="X99" s="2"/>
      <c r="Y99" s="7"/>
      <c r="Z99" s="297" t="s">
        <v>4147</v>
      </c>
      <c r="AA99" s="1" t="s">
        <v>4113</v>
      </c>
      <c r="AB99" s="16">
        <v>46070</v>
      </c>
      <c r="AC99" s="2" t="s">
        <v>2938</v>
      </c>
      <c r="AD99" s="1" t="str">
        <f>VLOOKUP(ENTRADAS71417[[#This Row],[CÓDIGO]],PRODUCTOS31316[],2,FALSE)</f>
        <v>UT01</v>
      </c>
      <c r="AE99" s="1" t="str">
        <f>VLOOKUP(ENTRADAS71417[[#This Row],[CÓDIGO]],PRODUCTOS31316[],3,FALSE)</f>
        <v>MEDIDOR DE GRASA DORSAL UT01</v>
      </c>
      <c r="AF99" s="2">
        <v>1</v>
      </c>
      <c r="AG99" s="2"/>
      <c r="AH99" s="2">
        <v>29</v>
      </c>
    </row>
    <row r="100" spans="1:34" ht="49.95" customHeight="1" x14ac:dyDescent="0.3">
      <c r="A100" s="2" t="s">
        <v>423</v>
      </c>
      <c r="B100" s="1">
        <v>747760</v>
      </c>
      <c r="C100" s="1" t="s">
        <v>424</v>
      </c>
      <c r="D100" s="1" t="s">
        <v>425</v>
      </c>
      <c r="E100" s="1" t="s">
        <v>426</v>
      </c>
      <c r="F100" s="1" t="s">
        <v>377</v>
      </c>
      <c r="G100" s="2">
        <v>0</v>
      </c>
      <c r="H100" s="14">
        <f>SUMIF(ENTRADAS71417[CÓDIGO],PRODUCTOS31316[[#This Row],[CÓDIGO]],ENTRADAS71417[CANTIDAD])</f>
        <v>0</v>
      </c>
      <c r="I100" s="11">
        <f>SUMIF(SALIDAS111518[CÓDIGO],PRODUCTOS31316[[#This Row],[CÓDIGO]],SALIDAS111518[CANTIDAD])</f>
        <v>0</v>
      </c>
      <c r="J100" s="6">
        <f>PRODUCTOS31316[[#This Row],[EXISTENCIAS]]+PRODUCTOS31316[[#This Row],[ENTRADAS]]-PRODUCTOS31316[[#This Row],[SALIDAS]]</f>
        <v>0</v>
      </c>
      <c r="L100" s="2"/>
      <c r="M100" s="2"/>
      <c r="N100" s="2">
        <v>7713</v>
      </c>
      <c r="O100" s="276" t="s">
        <v>3748</v>
      </c>
      <c r="P100" s="16">
        <v>46037</v>
      </c>
      <c r="Q100" s="276" t="s">
        <v>153</v>
      </c>
      <c r="R100" s="2">
        <f>VLOOKUP(SALIDAS111518[[#This Row],[CÓDIGO]],PRODUCTOS31316[],2,FALSE)</f>
        <v>1132</v>
      </c>
      <c r="S100" s="1" t="str">
        <f>VLOOKUP(SALIDAS111518[[#This Row],[CÓDIGO]],PRODUCTOS31316[],3,FALSE)</f>
        <v>PISTOLA QUICKLOCK CLASIC</v>
      </c>
      <c r="T100" s="2">
        <v>1</v>
      </c>
      <c r="U100" s="2"/>
      <c r="V100" s="2"/>
      <c r="W100" s="2"/>
      <c r="X100" s="2"/>
      <c r="Y100" s="7"/>
      <c r="Z100" s="301" t="s">
        <v>4155</v>
      </c>
      <c r="AA100" s="303" t="s">
        <v>3808</v>
      </c>
      <c r="AB100" s="16">
        <v>46076</v>
      </c>
      <c r="AC100" s="301" t="s">
        <v>2336</v>
      </c>
      <c r="AD100" s="1">
        <f>VLOOKUP(ENTRADAS71417[[#This Row],[CÓDIGO]],PRODUCTOS31316[],2,FALSE)</f>
        <v>4451</v>
      </c>
      <c r="AE100" s="1" t="str">
        <f>VLOOKUP(ENTRADAS71417[[#This Row],[CÓDIGO]],PRODUCTOS31316[],3,FALSE)</f>
        <v>TERMO NITRÓGEN ET-3</v>
      </c>
      <c r="AF100" s="2">
        <v>1</v>
      </c>
      <c r="AG100" s="2"/>
      <c r="AH100" s="2">
        <v>33</v>
      </c>
    </row>
    <row r="101" spans="1:34" ht="49.95" customHeight="1" x14ac:dyDescent="0.3">
      <c r="A101" s="2" t="s">
        <v>427</v>
      </c>
      <c r="B101" s="1">
        <v>820</v>
      </c>
      <c r="C101" s="1" t="s">
        <v>428</v>
      </c>
      <c r="D101" s="1" t="s">
        <v>429</v>
      </c>
      <c r="E101" s="1" t="s">
        <v>410</v>
      </c>
      <c r="F101" s="1" t="s">
        <v>30</v>
      </c>
      <c r="G101" s="2">
        <v>0</v>
      </c>
      <c r="H101" s="14">
        <f>SUMIF(ENTRADAS71417[CÓDIGO],PRODUCTOS31316[[#This Row],[CÓDIGO]],ENTRADAS71417[CANTIDAD])</f>
        <v>0</v>
      </c>
      <c r="I101" s="11">
        <f>SUMIF(SALIDAS111518[CÓDIGO],PRODUCTOS31316[[#This Row],[CÓDIGO]],SALIDAS111518[CANTIDAD])</f>
        <v>0</v>
      </c>
      <c r="J101" s="6">
        <f>PRODUCTOS31316[[#This Row],[EXISTENCIAS]]+PRODUCTOS31316[[#This Row],[ENTRADAS]]-PRODUCTOS31316[[#This Row],[SALIDAS]]</f>
        <v>0</v>
      </c>
      <c r="L101" s="2"/>
      <c r="M101" s="2"/>
      <c r="N101" s="2">
        <v>7713</v>
      </c>
      <c r="O101" s="276" t="s">
        <v>3748</v>
      </c>
      <c r="P101" s="16">
        <v>46037</v>
      </c>
      <c r="Q101" s="276" t="s">
        <v>1779</v>
      </c>
      <c r="R101" s="2">
        <f>VLOOKUP(SALIDAS111518[[#This Row],[CÓDIGO]],PRODUCTOS31316[],2,FALSE)</f>
        <v>5563</v>
      </c>
      <c r="S101" s="1" t="str">
        <f>VLOOKUP(SALIDAS111518[[#This Row],[CÓDIGO]],PRODUCTOS31316[],3,FALSE)</f>
        <v>CAMISA SANITARIA ROLLO X 80</v>
      </c>
      <c r="T101" s="2">
        <v>1</v>
      </c>
      <c r="U101" s="2"/>
      <c r="V101" s="2"/>
      <c r="W101" s="2"/>
      <c r="X101" s="2"/>
      <c r="Y101" s="7"/>
      <c r="Z101" s="2">
        <v>62031</v>
      </c>
      <c r="AA101" s="303" t="s">
        <v>4156</v>
      </c>
      <c r="AB101" s="16">
        <v>46076</v>
      </c>
      <c r="AC101" s="301" t="s">
        <v>3241</v>
      </c>
      <c r="AD101" s="1" t="str">
        <f>VLOOKUP(ENTRADAS71417[[#This Row],[CÓDIGO]],PRODUCTOS31316[],2,FALSE)</f>
        <v>1111-3810</v>
      </c>
      <c r="AE101" s="1" t="str">
        <f>VLOOKUP(ENTRADAS71417[[#This Row],[CÓDIGO]],PRODUCTOS31316[],3,FALSE)</f>
        <v>RACK DE PUNTAS 10 UL ESTERIL/ VEN 2030-01-31</v>
      </c>
      <c r="AF101" s="2">
        <v>300</v>
      </c>
      <c r="AG101" s="2"/>
      <c r="AH101" s="2">
        <v>34</v>
      </c>
    </row>
    <row r="102" spans="1:34" ht="49.95" customHeight="1" x14ac:dyDescent="0.3">
      <c r="A102" s="2" t="s">
        <v>430</v>
      </c>
      <c r="B102" s="1" t="s">
        <v>431</v>
      </c>
      <c r="C102" s="1" t="s">
        <v>432</v>
      </c>
      <c r="D102" s="1" t="s">
        <v>223</v>
      </c>
      <c r="E102" s="1" t="s">
        <v>177</v>
      </c>
      <c r="F102" s="1" t="s">
        <v>433</v>
      </c>
      <c r="G102" s="2">
        <v>0</v>
      </c>
      <c r="H102" s="14">
        <f>SUMIF(ENTRADAS71417[CÓDIGO],PRODUCTOS31316[[#This Row],[CÓDIGO]],ENTRADAS71417[CANTIDAD])</f>
        <v>0</v>
      </c>
      <c r="I102" s="11">
        <f>SUMIF(SALIDAS111518[CÓDIGO],PRODUCTOS31316[[#This Row],[CÓDIGO]],SALIDAS111518[CANTIDAD])</f>
        <v>0</v>
      </c>
      <c r="J102" s="6">
        <f>PRODUCTOS31316[[#This Row],[EXISTENCIAS]]+PRODUCTOS31316[[#This Row],[ENTRADAS]]-PRODUCTOS31316[[#This Row],[SALIDAS]]</f>
        <v>0</v>
      </c>
      <c r="L102" s="2"/>
      <c r="M102" s="2"/>
      <c r="N102" s="2">
        <v>7713</v>
      </c>
      <c r="O102" s="276" t="s">
        <v>3748</v>
      </c>
      <c r="P102" s="16">
        <v>46037</v>
      </c>
      <c r="Q102" s="276" t="s">
        <v>369</v>
      </c>
      <c r="R102" s="2">
        <f>VLOOKUP(SALIDAS111518[[#This Row],[CÓDIGO]],PRODUCTOS31316[],2,FALSE)</f>
        <v>0</v>
      </c>
      <c r="S102" s="1" t="str">
        <f>VLOOKUP(SALIDAS111518[[#This Row],[CÓDIGO]],PRODUCTOS31316[],3,FALSE)</f>
        <v>FUNDA UNIVERSAL PARA I.A. RANURADA</v>
      </c>
      <c r="T102" s="2">
        <v>1</v>
      </c>
      <c r="U102" s="2"/>
      <c r="V102" s="2"/>
      <c r="W102" s="2"/>
      <c r="X102" s="2"/>
      <c r="Y102" s="7"/>
      <c r="Z102" s="2">
        <v>62031</v>
      </c>
      <c r="AA102" s="303" t="s">
        <v>4156</v>
      </c>
      <c r="AB102" s="16">
        <v>46076</v>
      </c>
      <c r="AC102" s="301" t="s">
        <v>3242</v>
      </c>
      <c r="AD102" s="1" t="str">
        <f>VLOOKUP(ENTRADAS71417[[#This Row],[CÓDIGO]],PRODUCTOS31316[],2,FALSE)</f>
        <v>1111-1800</v>
      </c>
      <c r="AE102" s="1" t="str">
        <f>VLOOKUP(ENTRADAS71417[[#This Row],[CÓDIGO]],PRODUCTOS31316[],3,FALSE)</f>
        <v>RACK DE PUNTAS 200 UL NO ESTERIL/   LT M1355851</v>
      </c>
      <c r="AF102" s="2">
        <v>50</v>
      </c>
      <c r="AG102" s="2"/>
      <c r="AH102" s="2"/>
    </row>
    <row r="103" spans="1:34" ht="49.95" customHeight="1" x14ac:dyDescent="0.3">
      <c r="A103" s="2" t="s">
        <v>435</v>
      </c>
      <c r="B103" s="1">
        <v>1218431905</v>
      </c>
      <c r="C103" s="1" t="s">
        <v>436</v>
      </c>
      <c r="D103" s="1" t="s">
        <v>437</v>
      </c>
      <c r="E103" s="1" t="s">
        <v>177</v>
      </c>
      <c r="F103" s="1" t="s">
        <v>30</v>
      </c>
      <c r="G103" s="2">
        <v>0</v>
      </c>
      <c r="H103" s="14">
        <f>SUMIF(ENTRADAS71417[CÓDIGO],PRODUCTOS31316[[#This Row],[CÓDIGO]],ENTRADAS71417[CANTIDAD])</f>
        <v>0</v>
      </c>
      <c r="I103" s="11">
        <f>SUMIF(SALIDAS111518[CÓDIGO],PRODUCTOS31316[[#This Row],[CÓDIGO]],SALIDAS111518[CANTIDAD])</f>
        <v>0</v>
      </c>
      <c r="J103" s="6">
        <f>PRODUCTOS31316[[#This Row],[EXISTENCIAS]]+PRODUCTOS31316[[#This Row],[ENTRADAS]]-PRODUCTOS31316[[#This Row],[SALIDAS]]</f>
        <v>0</v>
      </c>
      <c r="L103" s="2"/>
      <c r="M103" s="2"/>
      <c r="N103" s="2">
        <v>7713</v>
      </c>
      <c r="O103" s="276" t="s">
        <v>3748</v>
      </c>
      <c r="P103" s="16">
        <v>46037</v>
      </c>
      <c r="Q103" s="276" t="s">
        <v>658</v>
      </c>
      <c r="R103" s="2">
        <f>VLOOKUP(SALIDAS111518[[#This Row],[CÓDIGO]],PRODUCTOS31316[],2,FALSE)</f>
        <v>0</v>
      </c>
      <c r="S103" s="1" t="str">
        <f>VLOOKUP(SALIDAS111518[[#This Row],[CÓDIGO]],PRODUCTOS31316[],3,FALSE)</f>
        <v>CATETER TALADRO TRANSPARENTE 18"</v>
      </c>
      <c r="T103" s="2">
        <v>1</v>
      </c>
      <c r="U103" s="2"/>
      <c r="V103" s="2"/>
      <c r="W103" s="2"/>
      <c r="X103" s="2"/>
      <c r="Y103" s="7"/>
      <c r="Z103" s="2">
        <v>62031</v>
      </c>
      <c r="AA103" s="303" t="s">
        <v>4156</v>
      </c>
      <c r="AB103" s="16">
        <v>46076</v>
      </c>
      <c r="AC103" s="301" t="s">
        <v>3237</v>
      </c>
      <c r="AD103" s="1" t="str">
        <f>VLOOKUP(ENTRADAS71417[[#This Row],[CÓDIGO]],PRODUCTOS31316[],2,FALSE)</f>
        <v>1111-3800</v>
      </c>
      <c r="AE103" s="1" t="str">
        <f>VLOOKUP(ENTRADAS71417[[#This Row],[CÓDIGO]],PRODUCTOS31316[],3,FALSE)</f>
        <v>RACK DE PUNTAS 10 UL NO ESTERIL/ LT N1394910O/ N139103M</v>
      </c>
      <c r="AF103" s="2">
        <v>100</v>
      </c>
      <c r="AG103" s="2"/>
      <c r="AH103" s="2"/>
    </row>
    <row r="104" spans="1:34" ht="49.95" customHeight="1" x14ac:dyDescent="0.3">
      <c r="A104" s="2" t="s">
        <v>440</v>
      </c>
      <c r="B104" s="1">
        <v>23065</v>
      </c>
      <c r="C104" s="1" t="s">
        <v>441</v>
      </c>
      <c r="D104" s="1" t="s">
        <v>442</v>
      </c>
      <c r="E104" s="1" t="s">
        <v>442</v>
      </c>
      <c r="F104" s="1" t="s">
        <v>30</v>
      </c>
      <c r="G104" s="2">
        <v>0</v>
      </c>
      <c r="H104" s="14">
        <f>SUMIF(ENTRADAS71417[CÓDIGO],PRODUCTOS31316[[#This Row],[CÓDIGO]],ENTRADAS71417[CANTIDAD])</f>
        <v>0</v>
      </c>
      <c r="I104" s="11">
        <f>SUMIF(SALIDAS111518[CÓDIGO],PRODUCTOS31316[[#This Row],[CÓDIGO]],SALIDAS111518[CANTIDAD])</f>
        <v>0</v>
      </c>
      <c r="J104" s="6">
        <f>PRODUCTOS31316[[#This Row],[EXISTENCIAS]]+PRODUCTOS31316[[#This Row],[ENTRADAS]]-PRODUCTOS31316[[#This Row],[SALIDAS]]</f>
        <v>0</v>
      </c>
      <c r="L104" s="2"/>
      <c r="M104" s="2"/>
      <c r="N104" s="2">
        <v>7713</v>
      </c>
      <c r="O104" s="276" t="s">
        <v>3748</v>
      </c>
      <c r="P104" s="16">
        <v>46037</v>
      </c>
      <c r="Q104" s="276" t="s">
        <v>2364</v>
      </c>
      <c r="R104" s="2">
        <f>VLOOKUP(SALIDAS111518[[#This Row],[CÓDIGO]],PRODUCTOS31316[],2,FALSE)</f>
        <v>0</v>
      </c>
      <c r="S104" s="1" t="str">
        <f>VLOOKUP(SALIDAS111518[[#This Row],[CÓDIGO]],PRODUCTOS31316[],3,FALSE)</f>
        <v>CORTAPAJILLAS WTA</v>
      </c>
      <c r="T104" s="2">
        <v>1</v>
      </c>
      <c r="U104" s="2"/>
      <c r="V104" s="2"/>
      <c r="W104" s="2"/>
      <c r="X104" s="2"/>
      <c r="Y104" s="7"/>
      <c r="Z104" s="317" t="s">
        <v>4173</v>
      </c>
      <c r="AA104" s="303" t="s">
        <v>3915</v>
      </c>
      <c r="AB104" s="16">
        <v>46076</v>
      </c>
      <c r="AC104" s="301" t="s">
        <v>47</v>
      </c>
      <c r="AD104" s="1">
        <f>VLOOKUP(ENTRADAS71417[[#This Row],[CÓDIGO]],PRODUCTOS31316[],2,FALSE)</f>
        <v>1135</v>
      </c>
      <c r="AE104" s="1" t="str">
        <f>VLOOKUP(ENTRADAS71417[[#This Row],[CÓDIGO]],PRODUCTOS31316[],3,FALSE)</f>
        <v>TRILADYL</v>
      </c>
      <c r="AF104" s="2">
        <v>5</v>
      </c>
      <c r="AG104" s="2"/>
      <c r="AH104" s="2">
        <v>35</v>
      </c>
    </row>
    <row r="105" spans="1:34" ht="49.95" customHeight="1" x14ac:dyDescent="0.3">
      <c r="A105" s="203" t="s">
        <v>443</v>
      </c>
      <c r="B105" s="1">
        <v>23064</v>
      </c>
      <c r="C105" s="93" t="s">
        <v>444</v>
      </c>
      <c r="D105" s="1" t="s">
        <v>442</v>
      </c>
      <c r="E105" s="1" t="s">
        <v>442</v>
      </c>
      <c r="F105" s="1" t="s">
        <v>30</v>
      </c>
      <c r="G105" s="2">
        <v>0</v>
      </c>
      <c r="H105" s="14">
        <f>SUMIF(ENTRADAS71417[CÓDIGO],PRODUCTOS31316[[#This Row],[CÓDIGO]],ENTRADAS71417[CANTIDAD])</f>
        <v>5</v>
      </c>
      <c r="I105" s="11">
        <f>SUMIF(SALIDAS111518[CÓDIGO],PRODUCTOS31316[[#This Row],[CÓDIGO]],SALIDAS111518[CANTIDAD])</f>
        <v>5</v>
      </c>
      <c r="J105" s="6">
        <f>PRODUCTOS31316[[#This Row],[EXISTENCIAS]]+PRODUCTOS31316[[#This Row],[ENTRADAS]]-PRODUCTOS31316[[#This Row],[SALIDAS]]</f>
        <v>0</v>
      </c>
      <c r="L105" s="2"/>
      <c r="M105" s="2"/>
      <c r="N105" s="2">
        <v>7713</v>
      </c>
      <c r="O105" s="276" t="s">
        <v>3748</v>
      </c>
      <c r="P105" s="16">
        <v>46037</v>
      </c>
      <c r="Q105" s="276" t="s">
        <v>382</v>
      </c>
      <c r="R105" s="2">
        <f>VLOOKUP(SALIDAS111518[[#This Row],[CÓDIGO]],PRODUCTOS31316[],2,FALSE)</f>
        <v>605032</v>
      </c>
      <c r="S105" s="1" t="str">
        <f>VLOOKUP(SALIDAS111518[[#This Row],[CÓDIGO]],PRODUCTOS31316[],3,FALSE)</f>
        <v>LUBRICANTE OB, NO ESPERMICIDA</v>
      </c>
      <c r="T105" s="2">
        <v>1</v>
      </c>
      <c r="U105" s="2"/>
      <c r="V105" s="2"/>
      <c r="W105" s="2"/>
      <c r="X105" s="2"/>
      <c r="Y105" s="7"/>
      <c r="Z105" s="2">
        <v>3433</v>
      </c>
      <c r="AA105" s="303" t="s">
        <v>4180</v>
      </c>
      <c r="AB105" s="16">
        <v>46077</v>
      </c>
      <c r="AC105" s="301" t="s">
        <v>272</v>
      </c>
      <c r="AD105" s="1">
        <f>VLOOKUP(ENTRADAS71417[[#This Row],[CÓDIGO]],PRODUCTOS31316[],2,FALSE)</f>
        <v>627161</v>
      </c>
      <c r="AE105" s="1" t="str">
        <f>VLOOKUP(ENTRADAS71417[[#This Row],[CÓDIGO]],PRODUCTOS31316[],3,FALSE)</f>
        <v xml:space="preserve">CAJA PETRI 35X10 ESTERIL </v>
      </c>
      <c r="AF105" s="2">
        <v>740</v>
      </c>
      <c r="AG105" s="2"/>
      <c r="AH105" s="2">
        <v>37</v>
      </c>
    </row>
    <row r="106" spans="1:34" ht="49.95" customHeight="1" x14ac:dyDescent="0.3">
      <c r="A106" s="2" t="s">
        <v>446</v>
      </c>
      <c r="B106" s="1" t="s">
        <v>447</v>
      </c>
      <c r="C106" s="1" t="s">
        <v>448</v>
      </c>
      <c r="E106" s="1" t="s">
        <v>449</v>
      </c>
      <c r="F106" s="1" t="s">
        <v>450</v>
      </c>
      <c r="G106" s="2">
        <v>0</v>
      </c>
      <c r="H106" s="14">
        <f>SUMIF(ENTRADAS71417[CÓDIGO],PRODUCTOS31316[[#This Row],[CÓDIGO]],ENTRADAS71417[CANTIDAD])</f>
        <v>0</v>
      </c>
      <c r="I106" s="11">
        <f>SUMIF(SALIDAS111518[CÓDIGO],PRODUCTOS31316[[#This Row],[CÓDIGO]],SALIDAS111518[CANTIDAD])</f>
        <v>0</v>
      </c>
      <c r="J106" s="6">
        <f>PRODUCTOS31316[[#This Row],[EXISTENCIAS]]+PRODUCTOS31316[[#This Row],[ENTRADAS]]-PRODUCTOS31316[[#This Row],[SALIDAS]]</f>
        <v>0</v>
      </c>
      <c r="L106" s="2"/>
      <c r="M106" s="2"/>
      <c r="N106" s="2">
        <v>7713</v>
      </c>
      <c r="O106" s="276" t="s">
        <v>3748</v>
      </c>
      <c r="P106" s="16">
        <v>46037</v>
      </c>
      <c r="Q106" s="276" t="s">
        <v>236</v>
      </c>
      <c r="R106" s="2">
        <f>VLOOKUP(SALIDAS111518[[#This Row],[CÓDIGO]],PRODUCTOS31316[],2,FALSE)</f>
        <v>0</v>
      </c>
      <c r="S106" s="1" t="str">
        <f>VLOOKUP(SALIDAS111518[[#This Row],[CÓDIGO]],PRODUCTOS31316[],3,FALSE)</f>
        <v>TERMO METÁLICO DESCONGELADOR</v>
      </c>
      <c r="T106" s="2">
        <v>1</v>
      </c>
      <c r="U106" s="2"/>
      <c r="V106" s="2"/>
      <c r="W106" s="2"/>
      <c r="X106" s="2"/>
      <c r="Y106" s="7"/>
      <c r="Z106" s="301" t="s">
        <v>4193</v>
      </c>
      <c r="AA106" s="303" t="s">
        <v>2330</v>
      </c>
      <c r="AB106" s="16">
        <v>46058</v>
      </c>
      <c r="AC106" s="301" t="s">
        <v>913</v>
      </c>
      <c r="AD106" s="1" t="str">
        <f>VLOOKUP(ENTRADAS71417[[#This Row],[CÓDIGO]],PRODUCTOS31316[],2,FALSE)</f>
        <v>HC-R069</v>
      </c>
      <c r="AE106" s="1" t="str">
        <f>VLOOKUP(ENTRADAS71417[[#This Row],[CÓDIGO]],PRODUCTOS31316[],3,FALSE)</f>
        <v>MICROSCOPIO CON PLATINA Y PANTALLA 7"</v>
      </c>
      <c r="AF106" s="2">
        <v>15</v>
      </c>
      <c r="AG106" s="2"/>
      <c r="AH106" s="2">
        <v>36</v>
      </c>
    </row>
    <row r="107" spans="1:34" ht="49.95" customHeight="1" x14ac:dyDescent="0.3">
      <c r="A107" s="2" t="s">
        <v>452</v>
      </c>
      <c r="B107" s="1">
        <v>1050</v>
      </c>
      <c r="C107" s="1" t="s">
        <v>453</v>
      </c>
      <c r="D107" s="1" t="s">
        <v>454</v>
      </c>
      <c r="E107" s="1" t="s">
        <v>410</v>
      </c>
      <c r="F107" s="1" t="s">
        <v>124</v>
      </c>
      <c r="G107" s="2">
        <v>0</v>
      </c>
      <c r="H107" s="14">
        <f>SUMIF(ENTRADAS71417[CÓDIGO],PRODUCTOS31316[[#This Row],[CÓDIGO]],ENTRADAS71417[CANTIDAD])</f>
        <v>0</v>
      </c>
      <c r="I107" s="11">
        <f>SUMIF(SALIDAS111518[CÓDIGO],PRODUCTOS31316[[#This Row],[CÓDIGO]],SALIDAS111518[CANTIDAD])</f>
        <v>0</v>
      </c>
      <c r="J107" s="6">
        <f>PRODUCTOS31316[[#This Row],[EXISTENCIAS]]+PRODUCTOS31316[[#This Row],[ENTRADAS]]-PRODUCTOS31316[[#This Row],[SALIDAS]]</f>
        <v>0</v>
      </c>
      <c r="L107" s="2"/>
      <c r="M107" s="2"/>
      <c r="N107" s="2">
        <v>7713</v>
      </c>
      <c r="O107" s="276" t="s">
        <v>3748</v>
      </c>
      <c r="P107" s="16">
        <v>46037</v>
      </c>
      <c r="Q107" s="276" t="s">
        <v>581</v>
      </c>
      <c r="R107" s="2">
        <f>VLOOKUP(SALIDAS111518[[#This Row],[CÓDIGO]],PRODUCTOS31316[],2,FALSE)</f>
        <v>11571</v>
      </c>
      <c r="S107" s="1" t="str">
        <f>VLOOKUP(SALIDAS111518[[#This Row],[CÓDIGO]],PRODUCTOS31316[],3,FALSE)</f>
        <v>PINZA COGEPAJILLA</v>
      </c>
      <c r="T107" s="2">
        <v>1</v>
      </c>
      <c r="U107" s="2"/>
      <c r="V107" s="2"/>
      <c r="W107" s="2"/>
      <c r="X107" s="2"/>
      <c r="Y107" s="7"/>
      <c r="Z107" s="2" t="s">
        <v>4206</v>
      </c>
      <c r="AA107" s="1" t="s">
        <v>2231</v>
      </c>
      <c r="AB107" s="16">
        <v>46078</v>
      </c>
      <c r="AC107" s="2" t="s">
        <v>236</v>
      </c>
      <c r="AD107" s="1">
        <f>VLOOKUP(ENTRADAS71417[[#This Row],[CÓDIGO]],PRODUCTOS31316[],2,FALSE)</f>
        <v>0</v>
      </c>
      <c r="AE107" s="1" t="str">
        <f>VLOOKUP(ENTRADAS71417[[#This Row],[CÓDIGO]],PRODUCTOS31316[],3,FALSE)</f>
        <v>TERMO METÁLICO DESCONGELADOR</v>
      </c>
      <c r="AF107" s="2">
        <v>12</v>
      </c>
      <c r="AG107" s="2"/>
      <c r="AH107" s="2">
        <v>38</v>
      </c>
    </row>
    <row r="108" spans="1:34" ht="49.95" customHeight="1" x14ac:dyDescent="0.3">
      <c r="A108" s="2" t="s">
        <v>456</v>
      </c>
      <c r="B108" s="1">
        <v>23068</v>
      </c>
      <c r="C108" s="1" t="s">
        <v>457</v>
      </c>
      <c r="D108" s="1" t="s">
        <v>442</v>
      </c>
      <c r="E108" s="1" t="s">
        <v>442</v>
      </c>
      <c r="F108" s="1" t="s">
        <v>30</v>
      </c>
      <c r="G108" s="2">
        <v>0</v>
      </c>
      <c r="H108" s="14">
        <f>SUMIF(ENTRADAS71417[CÓDIGO],PRODUCTOS31316[[#This Row],[CÓDIGO]],ENTRADAS71417[CANTIDAD])</f>
        <v>1</v>
      </c>
      <c r="I108" s="11">
        <f>SUMIF(SALIDAS111518[CÓDIGO],PRODUCTOS31316[[#This Row],[CÓDIGO]],SALIDAS111518[CANTIDAD])</f>
        <v>1</v>
      </c>
      <c r="J108" s="6">
        <f>PRODUCTOS31316[[#This Row],[EXISTENCIAS]]+PRODUCTOS31316[[#This Row],[ENTRADAS]]-PRODUCTOS31316[[#This Row],[SALIDAS]]</f>
        <v>0</v>
      </c>
      <c r="L108" s="2"/>
      <c r="M108" s="2"/>
      <c r="N108" s="2">
        <v>7713</v>
      </c>
      <c r="O108" s="276" t="s">
        <v>3748</v>
      </c>
      <c r="P108" s="16">
        <v>46037</v>
      </c>
      <c r="Q108" s="276" t="s">
        <v>210</v>
      </c>
      <c r="R108" s="2">
        <f>VLOOKUP(SALIDAS111518[[#This Row],[CÓDIGO]],PRODUCTOS31316[],2,FALSE)</f>
        <v>101257</v>
      </c>
      <c r="S108" s="1" t="str">
        <f>VLOOKUP(SALIDAS111518[[#This Row],[CÓDIGO]],PRODUCTOS31316[],3,FALSE)</f>
        <v>MANGA DESECHABLE SUPER SENSITIVA</v>
      </c>
      <c r="T108" s="2">
        <v>1</v>
      </c>
      <c r="U108" s="2"/>
      <c r="V108" s="2"/>
      <c r="W108" s="2"/>
      <c r="X108" s="2"/>
      <c r="Y108" s="7"/>
      <c r="Z108" s="2" t="s">
        <v>4206</v>
      </c>
      <c r="AA108" s="1" t="s">
        <v>2231</v>
      </c>
      <c r="AB108" s="16">
        <v>46078</v>
      </c>
      <c r="AC108" s="329" t="s">
        <v>2382</v>
      </c>
      <c r="AD108" s="1">
        <f>VLOOKUP(ENTRADAS71417[[#This Row],[CÓDIGO]],PRODUCTOS31316[],2,FALSE)</f>
        <v>1</v>
      </c>
      <c r="AE108" s="1" t="str">
        <f>VLOOKUP(ENTRADAS71417[[#This Row],[CÓDIGO]],PRODUCTOS31316[],3,FALSE)</f>
        <v>TERMO DE TRANSPORTE 1 LITRO</v>
      </c>
      <c r="AF108" s="2">
        <v>10</v>
      </c>
      <c r="AG108" s="2"/>
      <c r="AH108" s="2"/>
    </row>
    <row r="109" spans="1:34" ht="49.95" customHeight="1" x14ac:dyDescent="0.3">
      <c r="A109" s="2" t="s">
        <v>459</v>
      </c>
      <c r="B109" s="1" t="s">
        <v>460</v>
      </c>
      <c r="C109" s="1" t="s">
        <v>461</v>
      </c>
      <c r="D109" s="1" t="s">
        <v>462</v>
      </c>
      <c r="E109" s="1" t="s">
        <v>463</v>
      </c>
      <c r="F109" s="1" t="s">
        <v>30</v>
      </c>
      <c r="G109" s="2">
        <v>0</v>
      </c>
      <c r="H109" s="14">
        <f>SUMIF(ENTRADAS71417[CÓDIGO],PRODUCTOS31316[[#This Row],[CÓDIGO]],ENTRADAS71417[CANTIDAD])</f>
        <v>0</v>
      </c>
      <c r="I109" s="11">
        <f>SUMIF(SALIDAS111518[CÓDIGO],PRODUCTOS31316[[#This Row],[CÓDIGO]],SALIDAS111518[CANTIDAD])</f>
        <v>0</v>
      </c>
      <c r="J109" s="6">
        <f>PRODUCTOS31316[[#This Row],[EXISTENCIAS]]+PRODUCTOS31316[[#This Row],[ENTRADAS]]-PRODUCTOS31316[[#This Row],[SALIDAS]]</f>
        <v>0</v>
      </c>
      <c r="L109" s="2"/>
      <c r="M109" s="2"/>
      <c r="N109" s="2">
        <v>7713</v>
      </c>
      <c r="O109" s="276" t="s">
        <v>3748</v>
      </c>
      <c r="P109" s="16">
        <v>46037</v>
      </c>
      <c r="Q109" s="276" t="s">
        <v>3539</v>
      </c>
      <c r="R109" s="2">
        <f>VLOOKUP(SALIDAS111518[[#This Row],[CÓDIGO]],PRODUCTOS31316[],2,FALSE)</f>
        <v>2</v>
      </c>
      <c r="S109" s="1" t="str">
        <f>VLOOKUP(SALIDAS111518[[#This Row],[CÓDIGO]],PRODUCTOS31316[],3,FALSE)</f>
        <v>REGLILLA PARA MEDIR NITRÓGENO</v>
      </c>
      <c r="T109" s="2">
        <v>1</v>
      </c>
      <c r="U109" s="2"/>
      <c r="V109" s="2"/>
      <c r="W109" s="2"/>
      <c r="X109" s="2"/>
      <c r="Y109" s="7"/>
      <c r="Z109" s="2" t="s">
        <v>4206</v>
      </c>
      <c r="AA109" s="1" t="s">
        <v>2231</v>
      </c>
      <c r="AB109" s="16">
        <v>46078</v>
      </c>
      <c r="AC109" s="2" t="s">
        <v>2232</v>
      </c>
      <c r="AD109" s="1">
        <f>VLOOKUP(ENTRADAS71417[[#This Row],[CÓDIGO]],PRODUCTOS31316[],2,FALSE)</f>
        <v>0</v>
      </c>
      <c r="AE109" s="1" t="str">
        <f>VLOOKUP(ENTRADAS71417[[#This Row],[CÓDIGO]],PRODUCTOS31316[],3,FALSE)</f>
        <v>CONO RECOLECTOR</v>
      </c>
      <c r="AF109" s="2">
        <v>10</v>
      </c>
      <c r="AG109" s="2"/>
      <c r="AH109" s="2"/>
    </row>
    <row r="110" spans="1:34" ht="49.95" customHeight="1" x14ac:dyDescent="0.3">
      <c r="A110" s="2" t="s">
        <v>20</v>
      </c>
      <c r="B110" s="1" t="s">
        <v>465</v>
      </c>
      <c r="C110" s="216" t="s">
        <v>466</v>
      </c>
      <c r="D110" s="1" t="s">
        <v>467</v>
      </c>
      <c r="E110" s="1" t="s">
        <v>467</v>
      </c>
      <c r="F110" s="1" t="s">
        <v>30</v>
      </c>
      <c r="G110" s="2">
        <v>0</v>
      </c>
      <c r="H110" s="14">
        <f>SUMIF(ENTRADAS71417[CÓDIGO],PRODUCTOS31316[[#This Row],[CÓDIGO]],ENTRADAS71417[CANTIDAD])</f>
        <v>7</v>
      </c>
      <c r="I110" s="11">
        <f>SUMIF(SALIDAS111518[CÓDIGO],PRODUCTOS31316[[#This Row],[CÓDIGO]],SALIDAS111518[CANTIDAD])</f>
        <v>5</v>
      </c>
      <c r="J110" s="6">
        <f>PRODUCTOS31316[[#This Row],[EXISTENCIAS]]+PRODUCTOS31316[[#This Row],[ENTRADAS]]-PRODUCTOS31316[[#This Row],[SALIDAS]]</f>
        <v>2</v>
      </c>
      <c r="L110" s="2"/>
      <c r="M110" s="2"/>
      <c r="N110" s="2">
        <v>7713</v>
      </c>
      <c r="O110" s="276" t="s">
        <v>3748</v>
      </c>
      <c r="P110" s="16">
        <v>46037</v>
      </c>
      <c r="Q110" s="276" t="s">
        <v>25</v>
      </c>
      <c r="R110" s="2">
        <f>VLOOKUP(SALIDAS111518[[#This Row],[CÓDIGO]],PRODUCTOS31316[],2,FALSE)</f>
        <v>0</v>
      </c>
      <c r="S110" s="1" t="str">
        <f>VLOOKUP(SALIDAS111518[[#This Row],[CÓDIGO]],PRODUCTOS31316[],3,FALSE)</f>
        <v>BOLSA TELA MAS CAMPO</v>
      </c>
      <c r="T110" s="2">
        <v>1</v>
      </c>
      <c r="U110" s="2"/>
      <c r="V110" s="2"/>
      <c r="W110" s="2"/>
      <c r="X110" s="2"/>
      <c r="Y110" s="7"/>
      <c r="Z110" s="2" t="s">
        <v>4210</v>
      </c>
      <c r="AA110" s="1" t="s">
        <v>2778</v>
      </c>
      <c r="AB110" s="16">
        <v>46079</v>
      </c>
      <c r="AC110" s="2" t="s">
        <v>3157</v>
      </c>
      <c r="AD110" s="1" t="str">
        <f>VLOOKUP(ENTRADAS71417[[#This Row],[CÓDIGO]],PRODUCTOS31316[],2,FALSE)</f>
        <v>SLIGHT</v>
      </c>
      <c r="AE110" s="1" t="str">
        <f>VLOOKUP(ENTRADAS71417[[#This Row],[CÓDIGO]],PRODUCTOS31316[],3,FALSE)</f>
        <v>ECOGRAFO SLITES S 1</v>
      </c>
      <c r="AF110" s="2">
        <v>3</v>
      </c>
      <c r="AG110" s="2"/>
      <c r="AH110" s="2">
        <v>39</v>
      </c>
    </row>
    <row r="111" spans="1:34" ht="49.95" customHeight="1" x14ac:dyDescent="0.3">
      <c r="A111" s="2" t="s">
        <v>468</v>
      </c>
      <c r="B111" s="1" t="s">
        <v>469</v>
      </c>
      <c r="C111" s="1" t="s">
        <v>470</v>
      </c>
      <c r="D111" s="1" t="s">
        <v>471</v>
      </c>
      <c r="E111" s="1" t="s">
        <v>471</v>
      </c>
      <c r="F111" s="1" t="s">
        <v>30</v>
      </c>
      <c r="G111" s="2">
        <v>0</v>
      </c>
      <c r="H111" s="14">
        <f>SUMIF(ENTRADAS71417[CÓDIGO],PRODUCTOS31316[[#This Row],[CÓDIGO]],ENTRADAS71417[CANTIDAD])</f>
        <v>0</v>
      </c>
      <c r="I111" s="11">
        <f>SUMIF(SALIDAS111518[CÓDIGO],PRODUCTOS31316[[#This Row],[CÓDIGO]],SALIDAS111518[CANTIDAD])</f>
        <v>0</v>
      </c>
      <c r="J111" s="6">
        <f>PRODUCTOS31316[[#This Row],[EXISTENCIAS]]+PRODUCTOS31316[[#This Row],[ENTRADAS]]-PRODUCTOS31316[[#This Row],[SALIDAS]]</f>
        <v>0</v>
      </c>
      <c r="L111" s="2"/>
      <c r="M111" s="2"/>
      <c r="N111" s="2">
        <v>7713</v>
      </c>
      <c r="O111" s="276" t="s">
        <v>3748</v>
      </c>
      <c r="P111" s="16">
        <v>46037</v>
      </c>
      <c r="Q111" s="276" t="s">
        <v>3095</v>
      </c>
      <c r="R111" s="2">
        <f>VLOOKUP(SALIDAS111518[[#This Row],[CÓDIGO]],PRODUCTOS31316[],2,FALSE)</f>
        <v>0</v>
      </c>
      <c r="S111" s="1" t="str">
        <f>VLOOKUP(SALIDAS111518[[#This Row],[CÓDIGO]],PRODUCTOS31316[],3,FALSE)</f>
        <v>GORRA MAS CAMPO</v>
      </c>
      <c r="T111" s="2">
        <v>1</v>
      </c>
      <c r="U111" s="2"/>
      <c r="V111" s="2"/>
      <c r="W111" s="2"/>
      <c r="X111" s="2"/>
      <c r="Y111" s="7"/>
      <c r="Z111" s="2" t="s">
        <v>4212</v>
      </c>
      <c r="AA111" s="1" t="s">
        <v>4211</v>
      </c>
      <c r="AB111" s="16">
        <v>46079</v>
      </c>
      <c r="AC111" s="2" t="s">
        <v>115</v>
      </c>
      <c r="AD111" s="1" t="str">
        <f>VLOOKUP(ENTRADAS71417[[#This Row],[CÓDIGO]],PRODUCTOS31316[],2,FALSE)</f>
        <v>CTS-800</v>
      </c>
      <c r="AE111" s="1" t="str">
        <f>VLOOKUP(ENTRADAS71417[[#This Row],[CÓDIGO]],PRODUCTOS31316[],3,FALSE)</f>
        <v>ECOGRAFO SIUI ULTRA SOUND SCANNER WITH L7FCV</v>
      </c>
      <c r="AF111" s="2">
        <v>4</v>
      </c>
      <c r="AG111" s="2"/>
      <c r="AH111" s="2">
        <v>40</v>
      </c>
    </row>
    <row r="112" spans="1:34" ht="49.95" customHeight="1" x14ac:dyDescent="0.3">
      <c r="A112" s="2" t="s">
        <v>115</v>
      </c>
      <c r="B112" s="1" t="s">
        <v>469</v>
      </c>
      <c r="C112" s="1" t="s">
        <v>472</v>
      </c>
      <c r="D112" s="1" t="s">
        <v>471</v>
      </c>
      <c r="E112" s="1" t="s">
        <v>471</v>
      </c>
      <c r="F112" s="1" t="s">
        <v>30</v>
      </c>
      <c r="G112" s="2">
        <v>1</v>
      </c>
      <c r="H112" s="14">
        <f>SUMIF(ENTRADAS71417[CÓDIGO],PRODUCTOS31316[[#This Row],[CÓDIGO]],ENTRADAS71417[CANTIDAD])</f>
        <v>6</v>
      </c>
      <c r="I112" s="11">
        <f>SUMIF(SALIDAS111518[CÓDIGO],PRODUCTOS31316[[#This Row],[CÓDIGO]],SALIDAS111518[CANTIDAD])</f>
        <v>6</v>
      </c>
      <c r="J112" s="6">
        <f>PRODUCTOS31316[[#This Row],[EXISTENCIAS]]+PRODUCTOS31316[[#This Row],[ENTRADAS]]-PRODUCTOS31316[[#This Row],[SALIDAS]]</f>
        <v>1</v>
      </c>
      <c r="L112" s="276" t="s">
        <v>3520</v>
      </c>
      <c r="M112" s="276" t="s">
        <v>3653</v>
      </c>
      <c r="N112" s="276" t="s">
        <v>3767</v>
      </c>
      <c r="O112" s="275" t="s">
        <v>2750</v>
      </c>
      <c r="P112" s="16">
        <v>46037</v>
      </c>
      <c r="Q112" s="276" t="s">
        <v>3375</v>
      </c>
      <c r="R112" s="2" t="str">
        <f>VLOOKUP(SALIDAS111518[[#This Row],[CÓDIGO]],PRODUCTOS31316[],2,FALSE)</f>
        <v>13500/0250</v>
      </c>
      <c r="S112" s="1" t="str">
        <f>VLOOKUP(SALIDAS111518[[#This Row],[CÓDIGO]],PRODUCTOS31316[],3,FALSE)</f>
        <v>TRILADYL 250 ML</v>
      </c>
      <c r="T112" s="2">
        <v>1</v>
      </c>
      <c r="U112" s="2">
        <v>36</v>
      </c>
      <c r="V112" s="2"/>
      <c r="W112" s="2"/>
      <c r="X112" s="2"/>
      <c r="Y112" s="7"/>
      <c r="Z112" s="2" t="s">
        <v>4212</v>
      </c>
      <c r="AA112" s="390" t="s">
        <v>4211</v>
      </c>
      <c r="AB112" s="16">
        <v>46079</v>
      </c>
      <c r="AC112" s="2" t="s">
        <v>1611</v>
      </c>
      <c r="AD112" s="1" t="str">
        <f>VLOOKUP(ENTRADAS71417[[#This Row],[CÓDIGO]],PRODUCTOS31316[],2,FALSE)</f>
        <v>CTS-800</v>
      </c>
      <c r="AE112" s="1" t="str">
        <f>VLOOKUP(ENTRADAS71417[[#This Row],[CÓDIGO]],PRODUCTOS31316[],3,FALSE)</f>
        <v>BATERÍA PARA ECÓGRAFO CTS- 800</v>
      </c>
      <c r="AF112" s="2">
        <v>3</v>
      </c>
      <c r="AG112" s="2"/>
      <c r="AH112" s="2"/>
    </row>
    <row r="113" spans="1:34" ht="49.95" customHeight="1" x14ac:dyDescent="0.3">
      <c r="A113" s="2" t="s">
        <v>473</v>
      </c>
      <c r="C113" s="1" t="s">
        <v>474</v>
      </c>
      <c r="E113" s="1" t="s">
        <v>475</v>
      </c>
      <c r="F113" s="1" t="s">
        <v>30</v>
      </c>
      <c r="G113" s="2">
        <v>0</v>
      </c>
      <c r="H113" s="14">
        <f>SUMIF(ENTRADAS71417[CÓDIGO],PRODUCTOS31316[[#This Row],[CÓDIGO]],ENTRADAS71417[CANTIDAD])</f>
        <v>0</v>
      </c>
      <c r="I113" s="11">
        <f>SUMIF(SALIDAS111518[CÓDIGO],PRODUCTOS31316[[#This Row],[CÓDIGO]],SALIDAS111518[CANTIDAD])</f>
        <v>0</v>
      </c>
      <c r="J113" s="6">
        <f>PRODUCTOS31316[[#This Row],[EXISTENCIAS]]+PRODUCTOS31316[[#This Row],[ENTRADAS]]-PRODUCTOS31316[[#This Row],[SALIDAS]]</f>
        <v>0</v>
      </c>
      <c r="L113" s="276" t="s">
        <v>3520</v>
      </c>
      <c r="M113" s="276" t="s">
        <v>3653</v>
      </c>
      <c r="N113" s="276" t="s">
        <v>3768</v>
      </c>
      <c r="O113" s="275" t="s">
        <v>2707</v>
      </c>
      <c r="P113" s="16">
        <v>46037</v>
      </c>
      <c r="Q113" s="276" t="s">
        <v>104</v>
      </c>
      <c r="R113" s="2">
        <f>VLOOKUP(SALIDAS111518[[#This Row],[CÓDIGO]],PRODUCTOS31316[],2,FALSE)</f>
        <v>0</v>
      </c>
      <c r="S113" s="1" t="str">
        <f>VLOOKUP(SALIDAS111518[[#This Row],[CÓDIGO]],PRODUCTOS31316[],3,FALSE)</f>
        <v>ISPERM CHIPS (500 TESTS PER BOX) PAQ. X 50 UND</v>
      </c>
      <c r="T113" s="2">
        <v>1</v>
      </c>
      <c r="U113" s="2">
        <v>37</v>
      </c>
      <c r="V113" s="2"/>
      <c r="W113" s="2"/>
      <c r="X113" s="2"/>
      <c r="Y113" s="7"/>
      <c r="Z113" s="2" t="s">
        <v>4259</v>
      </c>
      <c r="AA113" s="1" t="s">
        <v>2983</v>
      </c>
      <c r="AB113" s="16">
        <v>46079</v>
      </c>
      <c r="AC113" s="2" t="s">
        <v>4217</v>
      </c>
      <c r="AD113" s="1" t="str">
        <f>VLOOKUP(ENTRADAS71417[[#This Row],[CÓDIGO]],PRODUCTOS31316[],2,FALSE)</f>
        <v>YM219AN0002623</v>
      </c>
      <c r="AE113" s="1" t="str">
        <f>VLOOKUP(ENTRADAS71417[[#This Row],[CÓDIGO]],PRODUCTOS31316[],3,FALSE)</f>
        <v>MICROPIPETA 05- 10 UL</v>
      </c>
      <c r="AF113" s="2">
        <v>1</v>
      </c>
      <c r="AG113" s="2"/>
      <c r="AH113" s="2">
        <v>41</v>
      </c>
    </row>
    <row r="114" spans="1:34" ht="49.95" customHeight="1" x14ac:dyDescent="0.3">
      <c r="A114" s="2" t="s">
        <v>477</v>
      </c>
      <c r="C114" s="1" t="s">
        <v>478</v>
      </c>
      <c r="G114" s="2">
        <v>0</v>
      </c>
      <c r="H114" s="14">
        <f>SUMIF(ENTRADAS71417[CÓDIGO],PRODUCTOS31316[[#This Row],[CÓDIGO]],ENTRADAS71417[CANTIDAD])</f>
        <v>0</v>
      </c>
      <c r="I114" s="11">
        <f>SUMIF(SALIDAS111518[CÓDIGO],PRODUCTOS31316[[#This Row],[CÓDIGO]],SALIDAS111518[CANTIDAD])</f>
        <v>0</v>
      </c>
      <c r="J114" s="6">
        <f>PRODUCTOS31316[[#This Row],[EXISTENCIAS]]+PRODUCTOS31316[[#This Row],[ENTRADAS]]-PRODUCTOS31316[[#This Row],[SALIDAS]]</f>
        <v>0</v>
      </c>
      <c r="L114" s="276" t="s">
        <v>3521</v>
      </c>
      <c r="M114" s="276" t="s">
        <v>3653</v>
      </c>
      <c r="N114" s="276" t="s">
        <v>3769</v>
      </c>
      <c r="O114" s="276" t="s">
        <v>3754</v>
      </c>
      <c r="P114" s="16">
        <v>46037</v>
      </c>
      <c r="Q114" s="276" t="s">
        <v>3463</v>
      </c>
      <c r="R114" s="2" t="str">
        <f>VLOOKUP(SALIDAS111518[[#This Row],[CÓDIGO]],PRODUCTOS31316[],2,FALSE)</f>
        <v>CX-2000</v>
      </c>
      <c r="S114" s="1" t="str">
        <f>VLOOKUP(SALIDAS111518[[#This Row],[CÓDIGO]],PRODUCTOS31316[],3,FALSE)</f>
        <v>CENTRIFUGA CX-2000</v>
      </c>
      <c r="T114" s="2">
        <v>1</v>
      </c>
      <c r="U114" s="2">
        <v>38</v>
      </c>
      <c r="V114" s="276" t="s">
        <v>3251</v>
      </c>
      <c r="W114" s="2"/>
      <c r="X114" s="2"/>
      <c r="Y114" s="7"/>
      <c r="Z114" s="2" t="s">
        <v>4259</v>
      </c>
      <c r="AA114" s="1" t="s">
        <v>2983</v>
      </c>
      <c r="AB114" s="16">
        <v>46079</v>
      </c>
      <c r="AC114" s="2" t="s">
        <v>4226</v>
      </c>
      <c r="AD114" s="1" t="str">
        <f>VLOOKUP(ENTRADAS71417[[#This Row],[CÓDIGO]],PRODUCTOS31316[],2,FALSE)</f>
        <v>YM221AQ0007652</v>
      </c>
      <c r="AE114" s="1" t="str">
        <f>VLOOKUP(ENTRADAS71417[[#This Row],[CÓDIGO]],PRODUCTOS31316[],3,FALSE)</f>
        <v>MICROPIPETA 10- 100 UL</v>
      </c>
      <c r="AF114" s="2">
        <v>1</v>
      </c>
      <c r="AG114" s="2"/>
      <c r="AH114" s="2"/>
    </row>
    <row r="115" spans="1:34" ht="49.95" customHeight="1" x14ac:dyDescent="0.3">
      <c r="A115" s="2" t="s">
        <v>479</v>
      </c>
      <c r="C115" s="1" t="s">
        <v>478</v>
      </c>
      <c r="G115" s="2">
        <v>0</v>
      </c>
      <c r="H115" s="14">
        <f>SUMIF(ENTRADAS71417[CÓDIGO],PRODUCTOS31316[[#This Row],[CÓDIGO]],ENTRADAS71417[CANTIDAD])</f>
        <v>0</v>
      </c>
      <c r="I115" s="11">
        <f>SUMIF(SALIDAS111518[CÓDIGO],PRODUCTOS31316[[#This Row],[CÓDIGO]],SALIDAS111518[CANTIDAD])</f>
        <v>0</v>
      </c>
      <c r="J115" s="6">
        <f>PRODUCTOS31316[[#This Row],[EXISTENCIAS]]+PRODUCTOS31316[[#This Row],[ENTRADAS]]-PRODUCTOS31316[[#This Row],[SALIDAS]]</f>
        <v>0</v>
      </c>
      <c r="L115" s="2"/>
      <c r="M115" s="2"/>
      <c r="N115" s="2">
        <v>7716</v>
      </c>
      <c r="O115" s="276" t="s">
        <v>3754</v>
      </c>
      <c r="P115" s="16">
        <v>46037</v>
      </c>
      <c r="Q115" s="276" t="s">
        <v>407</v>
      </c>
      <c r="R115" s="2">
        <f>VLOOKUP(SALIDAS111518[[#This Row],[CÓDIGO]],PRODUCTOS31316[],2,FALSE)</f>
        <v>180121</v>
      </c>
      <c r="S115" s="1" t="str">
        <f>VLOOKUP(SALIDAS111518[[#This Row],[CÓDIGO]],PRODUCTOS31316[],3,FALSE)</f>
        <v>EZ FILTRO DE EMBRIONES</v>
      </c>
      <c r="T115" s="2">
        <v>2</v>
      </c>
      <c r="U115" s="2"/>
      <c r="V115" s="2"/>
      <c r="W115" s="2"/>
      <c r="X115" s="23"/>
      <c r="Y115" s="7"/>
      <c r="Z115" s="2" t="s">
        <v>4259</v>
      </c>
      <c r="AA115" s="1" t="s">
        <v>2983</v>
      </c>
      <c r="AB115" s="16">
        <v>46079</v>
      </c>
      <c r="AC115" s="2" t="s">
        <v>4227</v>
      </c>
      <c r="AD115" s="1" t="str">
        <f>VLOOKUP(ENTRADAS71417[[#This Row],[CÓDIGO]],PRODUCTOS31316[],2,FALSE)</f>
        <v>YM224AR0018536</v>
      </c>
      <c r="AE115" s="1" t="str">
        <f>VLOOKUP(ENTRADAS71417[[#This Row],[CÓDIGO]],PRODUCTOS31316[],3,FALSE)</f>
        <v>MICROPIPETA 100 - 1000 UL</v>
      </c>
      <c r="AF115" s="2">
        <v>1</v>
      </c>
      <c r="AG115" s="2"/>
      <c r="AH115" s="2"/>
    </row>
    <row r="116" spans="1:34" ht="49.95" customHeight="1" x14ac:dyDescent="0.3">
      <c r="A116" s="2" t="s">
        <v>481</v>
      </c>
      <c r="B116" s="1" t="s">
        <v>482</v>
      </c>
      <c r="C116" s="1" t="s">
        <v>483</v>
      </c>
      <c r="D116" s="1" t="s">
        <v>484</v>
      </c>
      <c r="E116" s="1" t="s">
        <v>485</v>
      </c>
      <c r="F116" s="1" t="s">
        <v>30</v>
      </c>
      <c r="G116" s="2">
        <v>0</v>
      </c>
      <c r="H116" s="14">
        <f>SUMIF(ENTRADAS71417[CÓDIGO],PRODUCTOS31316[[#This Row],[CÓDIGO]],ENTRADAS71417[CANTIDAD])</f>
        <v>0</v>
      </c>
      <c r="I116" s="11">
        <f>SUMIF(SALIDAS111518[CÓDIGO],PRODUCTOS31316[[#This Row],[CÓDIGO]],SALIDAS111518[CANTIDAD])</f>
        <v>0</v>
      </c>
      <c r="J116" s="6">
        <f>PRODUCTOS31316[[#This Row],[EXISTENCIAS]]+PRODUCTOS31316[[#This Row],[ENTRADAS]]-PRODUCTOS31316[[#This Row],[SALIDAS]]</f>
        <v>0</v>
      </c>
      <c r="L116" s="2"/>
      <c r="M116" s="2"/>
      <c r="N116" s="2">
        <v>7716</v>
      </c>
      <c r="O116" s="276" t="s">
        <v>3754</v>
      </c>
      <c r="P116" s="16">
        <v>46037</v>
      </c>
      <c r="Q116" s="276" t="s">
        <v>333</v>
      </c>
      <c r="R116" s="2" t="str">
        <f>VLOOKUP(SALIDAS111518[[#This Row],[CÓDIGO]],PRODUCTOS31316[],2,FALSE)</f>
        <v>CTB15</v>
      </c>
      <c r="S116" s="1" t="str">
        <f>VLOOKUP(SALIDAS111518[[#This Row],[CÓDIGO]],PRODUCTOS31316[],3,FALSE)</f>
        <v>TUBO CÓNICO DE 15 ML, TAPA ROSCA ESTÉRIL  RCF MAX: 10000xg, 
graduados, PCR puro. VENCE: 03/04/2028</v>
      </c>
      <c r="T116" s="2">
        <v>1</v>
      </c>
      <c r="U116" s="2"/>
      <c r="V116" s="2"/>
      <c r="W116" s="2"/>
      <c r="X116" s="2"/>
      <c r="Y116" s="7"/>
      <c r="Z116" s="2" t="s">
        <v>4259</v>
      </c>
      <c r="AA116" s="1" t="s">
        <v>2983</v>
      </c>
      <c r="AB116" s="16">
        <v>46079</v>
      </c>
      <c r="AC116" s="2" t="s">
        <v>4228</v>
      </c>
      <c r="AD116" s="1" t="str">
        <f>VLOOKUP(ENTRADAS71417[[#This Row],[CÓDIGO]],PRODUCTOS31316[],2,FALSE)</f>
        <v>YM222AQ0013700</v>
      </c>
      <c r="AE116" s="1" t="str">
        <f>VLOOKUP(ENTRADAS71417[[#This Row],[CÓDIGO]],PRODUCTOS31316[],3,FALSE)</f>
        <v>MICROPIPETA 20 - 200 UL</v>
      </c>
      <c r="AF116" s="2">
        <v>1</v>
      </c>
      <c r="AG116" s="2"/>
      <c r="AH116" s="2"/>
    </row>
    <row r="117" spans="1:34" ht="49.95" customHeight="1" x14ac:dyDescent="0.3">
      <c r="A117" s="2" t="s">
        <v>488</v>
      </c>
      <c r="B117" s="1" t="s">
        <v>489</v>
      </c>
      <c r="C117" s="1" t="s">
        <v>490</v>
      </c>
      <c r="D117" s="1" t="s">
        <v>484</v>
      </c>
      <c r="E117" s="68" t="s">
        <v>485</v>
      </c>
      <c r="F117" s="1" t="s">
        <v>30</v>
      </c>
      <c r="G117" s="2">
        <v>0</v>
      </c>
      <c r="H117" s="14">
        <f>SUMIF(ENTRADAS71417[CÓDIGO],PRODUCTOS31316[[#This Row],[CÓDIGO]],ENTRADAS71417[CANTIDAD])</f>
        <v>0</v>
      </c>
      <c r="I117" s="11">
        <f>SUMIF(SALIDAS111518[CÓDIGO],PRODUCTOS31316[[#This Row],[CÓDIGO]],SALIDAS111518[CANTIDAD])</f>
        <v>0</v>
      </c>
      <c r="J117" s="6">
        <f>PRODUCTOS31316[[#This Row],[EXISTENCIAS]]+PRODUCTOS31316[[#This Row],[ENTRADAS]]-PRODUCTOS31316[[#This Row],[SALIDAS]]</f>
        <v>0</v>
      </c>
      <c r="L117" s="2"/>
      <c r="M117" s="2"/>
      <c r="N117" s="2">
        <v>7716</v>
      </c>
      <c r="O117" s="276" t="s">
        <v>3754</v>
      </c>
      <c r="P117" s="16">
        <v>46037</v>
      </c>
      <c r="Q117" s="276" t="s">
        <v>679</v>
      </c>
      <c r="R117" s="2" t="str">
        <f>VLOOKUP(SALIDAS111518[[#This Row],[CÓDIGO]],PRODUCTOS31316[],2,FALSE)</f>
        <v>P31205</v>
      </c>
      <c r="S117" s="1" t="str">
        <f>VLOOKUP(SALIDAS111518[[#This Row],[CÓDIGO]],PRODUCTOS31316[],3,FALSE)</f>
        <v>PIPETA PASTEUR 3 ML</v>
      </c>
      <c r="T117" s="2">
        <v>1</v>
      </c>
      <c r="U117" s="2"/>
      <c r="V117" s="2"/>
      <c r="W117" s="2"/>
      <c r="X117" s="2"/>
      <c r="Y117" s="7"/>
      <c r="Z117" s="2" t="s">
        <v>4259</v>
      </c>
      <c r="AA117" s="1" t="s">
        <v>2983</v>
      </c>
      <c r="AB117" s="16">
        <v>46070</v>
      </c>
      <c r="AC117" s="297" t="s">
        <v>456</v>
      </c>
      <c r="AD117" s="1">
        <f>VLOOKUP(ENTRADAS71417[[#This Row],[CÓDIGO]],PRODUCTOS31316[],2,FALSE)</f>
        <v>23068</v>
      </c>
      <c r="AE117" s="1" t="str">
        <f>VLOOKUP(ENTRADAS71417[[#This Row],[CÓDIGO]],PRODUCTOS31316[],3,FALSE)</f>
        <v>TERMO DESCONGELADOR DE SEMEN DE EMBRIONES VERDE</v>
      </c>
      <c r="AF117" s="2">
        <v>1</v>
      </c>
      <c r="AG117" s="2"/>
      <c r="AH117" s="2"/>
    </row>
    <row r="118" spans="1:34" ht="49.95" customHeight="1" x14ac:dyDescent="0.3">
      <c r="A118" s="2" t="s">
        <v>492</v>
      </c>
      <c r="B118" s="1" t="s">
        <v>493</v>
      </c>
      <c r="C118" s="83" t="s">
        <v>2919</v>
      </c>
      <c r="D118" s="1" t="s">
        <v>364</v>
      </c>
      <c r="E118" s="1" t="s">
        <v>183</v>
      </c>
      <c r="F118" s="1" t="s">
        <v>139</v>
      </c>
      <c r="G118" s="2">
        <v>0</v>
      </c>
      <c r="H118" s="14">
        <f>SUMIF(ENTRADAS71417[CÓDIGO],PRODUCTOS31316[[#This Row],[CÓDIGO]],ENTRADAS71417[CANTIDAD])</f>
        <v>0</v>
      </c>
      <c r="I118" s="11">
        <f>SUMIF(SALIDAS111518[CÓDIGO],PRODUCTOS31316[[#This Row],[CÓDIGO]],SALIDAS111518[CANTIDAD])</f>
        <v>0</v>
      </c>
      <c r="J118" s="6">
        <f>PRODUCTOS31316[[#This Row],[EXISTENCIAS]]+PRODUCTOS31316[[#This Row],[ENTRADAS]]-PRODUCTOS31316[[#This Row],[SALIDAS]]</f>
        <v>0</v>
      </c>
      <c r="L118" s="2"/>
      <c r="M118" s="2"/>
      <c r="N118" s="2">
        <v>7716</v>
      </c>
      <c r="O118" s="276" t="s">
        <v>3754</v>
      </c>
      <c r="P118" s="16">
        <v>46037</v>
      </c>
      <c r="Q118" s="276" t="s">
        <v>2755</v>
      </c>
      <c r="R118" s="2" t="str">
        <f>VLOOKUP(SALIDAS111518[[#This Row],[CÓDIGO]],PRODUCTOS31316[],2,FALSE)</f>
        <v>MSLDO05</v>
      </c>
      <c r="S118" s="1" t="str">
        <f>VLOOKUP(SALIDAS111518[[#This Row],[CÓDIGO]],PRODUCTOS31316[],3,FALSE)</f>
        <v>TERMO DE RECOLECCIÓN DE SEMEN/ USO VETERINARIO</v>
      </c>
      <c r="T118" s="2">
        <v>1</v>
      </c>
      <c r="U118" s="2"/>
      <c r="V118" s="2"/>
      <c r="W118" s="2"/>
      <c r="X118" s="2"/>
      <c r="Y118" s="7"/>
      <c r="Z118" s="2" t="s">
        <v>4252</v>
      </c>
      <c r="AA118" s="1" t="s">
        <v>2411</v>
      </c>
      <c r="AB118" s="16">
        <v>46083</v>
      </c>
      <c r="AC118" s="2" t="s">
        <v>20</v>
      </c>
      <c r="AD118" s="1" t="str">
        <f>VLOOKUP(ENTRADAS71417[[#This Row],[CÓDIGO]],PRODUCTOS31316[],2,FALSE)</f>
        <v>L60</v>
      </c>
      <c r="AE118" s="1" t="str">
        <f>VLOOKUP(ENTRADAS71417[[#This Row],[CÓDIGO]],PRODUCTOS31316[],3,FALSE)</f>
        <v>ECOGRAFO POTATIL L60 CON SONDA LINEAL RECTAL</v>
      </c>
      <c r="AF118" s="2">
        <v>5</v>
      </c>
      <c r="AG118" s="2"/>
      <c r="AH118" s="2">
        <v>43</v>
      </c>
    </row>
    <row r="119" spans="1:34" ht="49.95" customHeight="1" x14ac:dyDescent="0.3">
      <c r="A119" s="2" t="s">
        <v>494</v>
      </c>
      <c r="B119" s="1" t="s">
        <v>495</v>
      </c>
      <c r="C119" s="1" t="s">
        <v>496</v>
      </c>
      <c r="D119" s="1" t="s">
        <v>484</v>
      </c>
      <c r="E119" s="1" t="s">
        <v>485</v>
      </c>
      <c r="F119" s="1" t="s">
        <v>30</v>
      </c>
      <c r="G119" s="2">
        <v>0</v>
      </c>
      <c r="H119" s="14">
        <f>SUMIF(ENTRADAS71417[CÓDIGO],PRODUCTOS31316[[#This Row],[CÓDIGO]],ENTRADAS71417[CANTIDAD])</f>
        <v>0</v>
      </c>
      <c r="I119" s="11">
        <f>SUMIF(SALIDAS111518[CÓDIGO],PRODUCTOS31316[[#This Row],[CÓDIGO]],SALIDAS111518[CANTIDAD])</f>
        <v>0</v>
      </c>
      <c r="J119" s="6">
        <f>PRODUCTOS31316[[#This Row],[EXISTENCIAS]]+PRODUCTOS31316[[#This Row],[ENTRADAS]]-PRODUCTOS31316[[#This Row],[SALIDAS]]</f>
        <v>0</v>
      </c>
      <c r="L119" s="276" t="s">
        <v>3521</v>
      </c>
      <c r="M119" s="276" t="s">
        <v>3653</v>
      </c>
      <c r="N119" s="276" t="s">
        <v>3773</v>
      </c>
      <c r="O119" s="275" t="s">
        <v>3757</v>
      </c>
      <c r="P119" s="16">
        <v>46037</v>
      </c>
      <c r="Q119" s="276" t="s">
        <v>3157</v>
      </c>
      <c r="R119" s="2" t="str">
        <f>VLOOKUP(SALIDAS111518[[#This Row],[CÓDIGO]],PRODUCTOS31316[],2,FALSE)</f>
        <v>SLIGHT</v>
      </c>
      <c r="S119" s="1" t="str">
        <f>VLOOKUP(SALIDAS111518[[#This Row],[CÓDIGO]],PRODUCTOS31316[],3,FALSE)</f>
        <v>ECOGRAFO SLITES S 1</v>
      </c>
      <c r="T119" s="2">
        <v>1</v>
      </c>
      <c r="U119" s="2"/>
      <c r="V119" s="276" t="s">
        <v>3251</v>
      </c>
      <c r="W119" s="2">
        <v>59</v>
      </c>
      <c r="X119" s="2"/>
      <c r="Y119" s="7"/>
      <c r="Z119" s="2" t="s">
        <v>4252</v>
      </c>
      <c r="AA119" s="1" t="s">
        <v>2411</v>
      </c>
      <c r="AB119" s="16">
        <v>46083</v>
      </c>
      <c r="AC119" s="2" t="s">
        <v>648</v>
      </c>
      <c r="AD119" s="1" t="str">
        <f>VLOOKUP(ENTRADAS71417[[#This Row],[CÓDIGO]],PRODUCTOS31316[],2,FALSE)</f>
        <v>S5</v>
      </c>
      <c r="AE119" s="1" t="str">
        <f>VLOOKUP(ENTRADAS71417[[#This Row],[CÓDIGO]],PRODUCTOS31316[],3,FALSE)</f>
        <v>SONDA S5 UNIDAD PRINCIPAL CON SONDA LINEAL RECTAL</v>
      </c>
      <c r="AF119" s="2">
        <v>10</v>
      </c>
      <c r="AG119" s="2"/>
      <c r="AH119" s="2"/>
    </row>
    <row r="120" spans="1:34" ht="49.95" customHeight="1" x14ac:dyDescent="0.3">
      <c r="A120" s="2" t="s">
        <v>497</v>
      </c>
      <c r="B120" s="1">
        <v>1715</v>
      </c>
      <c r="C120" s="1" t="s">
        <v>498</v>
      </c>
      <c r="D120" s="1" t="s">
        <v>414</v>
      </c>
      <c r="E120" s="1" t="s">
        <v>410</v>
      </c>
      <c r="F120" s="1" t="s">
        <v>30</v>
      </c>
      <c r="G120" s="2">
        <v>0</v>
      </c>
      <c r="H120" s="14">
        <f>SUMIF(ENTRADAS71417[CÓDIGO],PRODUCTOS31316[[#This Row],[CÓDIGO]],ENTRADAS71417[CANTIDAD])</f>
        <v>0</v>
      </c>
      <c r="I120" s="11">
        <f>SUMIF(SALIDAS111518[CÓDIGO],PRODUCTOS31316[[#This Row],[CÓDIGO]],SALIDAS111518[CANTIDAD])</f>
        <v>0</v>
      </c>
      <c r="J120" s="6">
        <f>PRODUCTOS31316[[#This Row],[EXISTENCIAS]]+PRODUCTOS31316[[#This Row],[ENTRADAS]]-PRODUCTOS31316[[#This Row],[SALIDAS]]</f>
        <v>0</v>
      </c>
      <c r="L120" s="2"/>
      <c r="M120" s="2"/>
      <c r="N120" s="2">
        <v>7719</v>
      </c>
      <c r="O120" s="275" t="s">
        <v>3757</v>
      </c>
      <c r="P120" s="16">
        <v>46037</v>
      </c>
      <c r="Q120" s="276" t="s">
        <v>273</v>
      </c>
      <c r="R120" s="2">
        <f>VLOOKUP(SALIDAS111518[[#This Row],[CÓDIGO]],PRODUCTOS31316[],2,FALSE)</f>
        <v>1003514</v>
      </c>
      <c r="S120" s="1" t="str">
        <f>VLOOKUP(SALIDAS111518[[#This Row],[CÓDIGO]],PRODUCTOS31316[],3,FALSE)</f>
        <v>JALEA CONDUCTIVA (GEL ULTRASONICO) GALON X 3785 ML AZUL</v>
      </c>
      <c r="T120" s="2">
        <v>1</v>
      </c>
      <c r="U120" s="2"/>
      <c r="V120" s="2"/>
      <c r="W120" s="2"/>
      <c r="X120" s="2"/>
      <c r="Y120" s="7"/>
      <c r="Z120" s="2" t="s">
        <v>4252</v>
      </c>
      <c r="AA120" s="1" t="s">
        <v>2411</v>
      </c>
      <c r="AB120" s="16">
        <v>46083</v>
      </c>
      <c r="AC120" s="2" t="s">
        <v>3346</v>
      </c>
      <c r="AD120" s="1" t="str">
        <f>VLOOKUP(ENTRADAS71417[[#This Row],[CÓDIGO]],PRODUCTOS31316[],2,FALSE)</f>
        <v>S7PRO</v>
      </c>
      <c r="AE120" s="1" t="str">
        <f>VLOOKUP(ENTRADAS71417[[#This Row],[CÓDIGO]],PRODUCTOS31316[],3,FALSE)</f>
        <v>ECÓGRAFO S7 PRO VET CON SONDA LINEAL RECTAL</v>
      </c>
      <c r="AF120" s="2">
        <v>3</v>
      </c>
      <c r="AG120" s="2"/>
      <c r="AH120" s="2"/>
    </row>
    <row r="121" spans="1:34" ht="49.95" customHeight="1" x14ac:dyDescent="0.3">
      <c r="A121" s="2" t="s">
        <v>501</v>
      </c>
      <c r="B121" s="1">
        <v>7246</v>
      </c>
      <c r="C121" s="1" t="s">
        <v>29</v>
      </c>
      <c r="D121" s="1" t="s">
        <v>156</v>
      </c>
      <c r="E121" s="1" t="s">
        <v>502</v>
      </c>
      <c r="F121" s="1" t="s">
        <v>30</v>
      </c>
      <c r="G121" s="2">
        <v>0</v>
      </c>
      <c r="H121" s="14">
        <f>SUMIF(ENTRADAS71417[CÓDIGO],PRODUCTOS31316[[#This Row],[CÓDIGO]],ENTRADAS71417[CANTIDAD])</f>
        <v>0</v>
      </c>
      <c r="I121" s="11">
        <f>SUMIF(SALIDAS111518[CÓDIGO],PRODUCTOS31316[[#This Row],[CÓDIGO]],SALIDAS111518[CANTIDAD])</f>
        <v>0</v>
      </c>
      <c r="J121" s="6">
        <f>PRODUCTOS31316[[#This Row],[EXISTENCIAS]]+PRODUCTOS31316[[#This Row],[ENTRADAS]]-PRODUCTOS31316[[#This Row],[SALIDAS]]</f>
        <v>0</v>
      </c>
      <c r="L121" s="2"/>
      <c r="M121" s="2"/>
      <c r="N121" s="2">
        <v>7719</v>
      </c>
      <c r="O121" s="275" t="s">
        <v>3757</v>
      </c>
      <c r="P121" s="16">
        <v>46037</v>
      </c>
      <c r="Q121" s="276" t="s">
        <v>210</v>
      </c>
      <c r="R121" s="2">
        <f>VLOOKUP(SALIDAS111518[[#This Row],[CÓDIGO]],PRODUCTOS31316[],2,FALSE)</f>
        <v>101257</v>
      </c>
      <c r="S121" s="1" t="str">
        <f>VLOOKUP(SALIDAS111518[[#This Row],[CÓDIGO]],PRODUCTOS31316[],3,FALSE)</f>
        <v>MANGA DESECHABLE SUPER SENSITIVA</v>
      </c>
      <c r="T121" s="2">
        <v>1</v>
      </c>
      <c r="U121" s="2"/>
      <c r="V121" s="2"/>
      <c r="W121" s="2"/>
      <c r="X121" s="2"/>
      <c r="Y121" s="7"/>
      <c r="Z121" s="2" t="s">
        <v>4252</v>
      </c>
      <c r="AA121" s="1" t="s">
        <v>2411</v>
      </c>
      <c r="AB121" s="16">
        <v>46083</v>
      </c>
      <c r="AC121" s="2" t="s">
        <v>3282</v>
      </c>
      <c r="AD121" s="1" t="str">
        <f>VLOOKUP(ENTRADAS71417[[#This Row],[CÓDIGO]],PRODUCTOS31316[],2,FALSE)</f>
        <v>S7/B-W</v>
      </c>
      <c r="AE121" s="1" t="str">
        <f>VLOOKUP(ENTRADAS71417[[#This Row],[CÓDIGO]],PRODUCTOS31316[],3,FALSE)</f>
        <v>ECÓGRAFO S7 B/W ( BLANCO Y NEGRO) BMV - Plataforma BLANCO Y NEGRO CON BATERÍA</v>
      </c>
      <c r="AF121" s="2">
        <v>2</v>
      </c>
      <c r="AG121" s="2"/>
      <c r="AH121" s="2"/>
    </row>
    <row r="122" spans="1:34" ht="49.95" customHeight="1" x14ac:dyDescent="0.3">
      <c r="A122" s="2" t="s">
        <v>504</v>
      </c>
      <c r="B122" s="1" t="s">
        <v>505</v>
      </c>
      <c r="C122" s="1" t="s">
        <v>506</v>
      </c>
      <c r="D122" s="1" t="s">
        <v>507</v>
      </c>
      <c r="E122" s="1" t="s">
        <v>190</v>
      </c>
      <c r="F122" s="1" t="s">
        <v>30</v>
      </c>
      <c r="G122" s="2">
        <v>0</v>
      </c>
      <c r="H122" s="14">
        <f>SUMIF(ENTRADAS71417[CÓDIGO],PRODUCTOS31316[[#This Row],[CÓDIGO]],ENTRADAS71417[CANTIDAD])</f>
        <v>0</v>
      </c>
      <c r="I122" s="11">
        <f>SUMIF(SALIDAS111518[CÓDIGO],PRODUCTOS31316[[#This Row],[CÓDIGO]],SALIDAS111518[CANTIDAD])</f>
        <v>0</v>
      </c>
      <c r="J122" s="6">
        <f>PRODUCTOS31316[[#This Row],[EXISTENCIAS]]+PRODUCTOS31316[[#This Row],[ENTRADAS]]-PRODUCTOS31316[[#This Row],[SALIDAS]]</f>
        <v>0</v>
      </c>
      <c r="L122" s="2"/>
      <c r="M122" s="2"/>
      <c r="N122" s="2">
        <v>7719</v>
      </c>
      <c r="O122" s="275" t="s">
        <v>3757</v>
      </c>
      <c r="P122" s="16">
        <v>46037</v>
      </c>
      <c r="Q122" s="276" t="s">
        <v>25</v>
      </c>
      <c r="R122" s="2">
        <f>VLOOKUP(SALIDAS111518[[#This Row],[CÓDIGO]],PRODUCTOS31316[],2,FALSE)</f>
        <v>0</v>
      </c>
      <c r="S122" s="1" t="str">
        <f>VLOOKUP(SALIDAS111518[[#This Row],[CÓDIGO]],PRODUCTOS31316[],3,FALSE)</f>
        <v>BOLSA TELA MAS CAMPO</v>
      </c>
      <c r="T122" s="2">
        <v>2</v>
      </c>
      <c r="U122" s="2"/>
      <c r="V122" s="2"/>
      <c r="W122" s="2"/>
      <c r="X122" s="2"/>
      <c r="Y122" s="7"/>
      <c r="Z122" s="2" t="s">
        <v>4252</v>
      </c>
      <c r="AA122" s="1" t="s">
        <v>2411</v>
      </c>
      <c r="AB122" s="16">
        <v>46083</v>
      </c>
      <c r="AC122" s="2" t="s">
        <v>3083</v>
      </c>
      <c r="AD122" s="1">
        <f>VLOOKUP(ENTRADAS71417[[#This Row],[CÓDIGO]],PRODUCTOS31316[],2,FALSE)</f>
        <v>0</v>
      </c>
      <c r="AE122" s="1" t="str">
        <f>VLOOKUP(ENTRADAS71417[[#This Row],[CÓDIGO]],PRODUCTOS31316[],3,FALSE)</f>
        <v>RECTAL PROBE INTRODUCER</v>
      </c>
      <c r="AF122" s="2">
        <v>1</v>
      </c>
      <c r="AG122" s="2"/>
      <c r="AH122" s="2"/>
    </row>
    <row r="123" spans="1:34" ht="49.95" customHeight="1" x14ac:dyDescent="0.3">
      <c r="A123" s="2" t="s">
        <v>509</v>
      </c>
      <c r="B123" s="1" t="s">
        <v>510</v>
      </c>
      <c r="C123" s="1" t="s">
        <v>511</v>
      </c>
      <c r="D123" s="1" t="s">
        <v>512</v>
      </c>
      <c r="E123" s="1" t="s">
        <v>190</v>
      </c>
      <c r="F123" s="1" t="s">
        <v>513</v>
      </c>
      <c r="G123" s="2">
        <v>0</v>
      </c>
      <c r="H123" s="14">
        <f>SUMIF(ENTRADAS71417[CÓDIGO],PRODUCTOS31316[[#This Row],[CÓDIGO]],ENTRADAS71417[CANTIDAD])</f>
        <v>0</v>
      </c>
      <c r="I123" s="11">
        <f>SUMIF(SALIDAS111518[CÓDIGO],PRODUCTOS31316[[#This Row],[CÓDIGO]],SALIDAS111518[CANTIDAD])</f>
        <v>0</v>
      </c>
      <c r="J123" s="6">
        <f>PRODUCTOS31316[[#This Row],[EXISTENCIAS]]+PRODUCTOS31316[[#This Row],[ENTRADAS]]-PRODUCTOS31316[[#This Row],[SALIDAS]]</f>
        <v>0</v>
      </c>
      <c r="L123" s="2"/>
      <c r="M123" s="2"/>
      <c r="N123" s="276" t="s">
        <v>3774</v>
      </c>
      <c r="O123" s="275" t="s">
        <v>2379</v>
      </c>
      <c r="P123" s="16">
        <v>45672</v>
      </c>
      <c r="Q123" s="276" t="s">
        <v>3095</v>
      </c>
      <c r="R123" s="2">
        <f>VLOOKUP(SALIDAS111518[[#This Row],[CÓDIGO]],PRODUCTOS31316[],2,FALSE)</f>
        <v>0</v>
      </c>
      <c r="S123" s="1" t="str">
        <f>VLOOKUP(SALIDAS111518[[#This Row],[CÓDIGO]],PRODUCTOS31316[],3,FALSE)</f>
        <v>GORRA MAS CAMPO</v>
      </c>
      <c r="T123" s="2">
        <v>3</v>
      </c>
      <c r="U123" s="2"/>
      <c r="V123" s="2"/>
      <c r="W123" s="2"/>
      <c r="X123" s="2"/>
      <c r="Y123" s="7"/>
      <c r="Z123" s="2" t="s">
        <v>4252</v>
      </c>
      <c r="AA123" s="1" t="s">
        <v>2411</v>
      </c>
      <c r="AB123" s="16">
        <v>46083</v>
      </c>
      <c r="AC123" s="2" t="s">
        <v>3202</v>
      </c>
      <c r="AD123" s="1">
        <f>VLOOKUP(ENTRADAS71417[[#This Row],[CÓDIGO]],PRODUCTOS31316[],2,FALSE)</f>
        <v>0</v>
      </c>
      <c r="AE123" s="1" t="str">
        <f>VLOOKUP(ENTRADAS71417[[#This Row],[CÓDIGO]],PRODUCTOS31316[],3,FALSE)</f>
        <v>CABLE REPUESTO ECOGRAFO S5</v>
      </c>
      <c r="AF123" s="2">
        <v>17</v>
      </c>
      <c r="AG123" s="2"/>
      <c r="AH123" s="2"/>
    </row>
    <row r="124" spans="1:34" ht="49.95" customHeight="1" x14ac:dyDescent="0.3">
      <c r="A124" s="2" t="s">
        <v>514</v>
      </c>
      <c r="B124" s="1" t="s">
        <v>515</v>
      </c>
      <c r="C124" s="1" t="s">
        <v>516</v>
      </c>
      <c r="D124" s="1" t="s">
        <v>484</v>
      </c>
      <c r="E124" s="1" t="s">
        <v>485</v>
      </c>
      <c r="F124" s="1" t="s">
        <v>30</v>
      </c>
      <c r="G124" s="2">
        <v>0</v>
      </c>
      <c r="H124" s="14">
        <f>SUMIF(ENTRADAS71417[CÓDIGO],PRODUCTOS31316[[#This Row],[CÓDIGO]],ENTRADAS71417[CANTIDAD])</f>
        <v>0</v>
      </c>
      <c r="I124" s="11">
        <f>SUMIF(SALIDAS111518[CÓDIGO],PRODUCTOS31316[[#This Row],[CÓDIGO]],SALIDAS111518[CANTIDAD])</f>
        <v>0</v>
      </c>
      <c r="J124" s="6">
        <f>PRODUCTOS31316[[#This Row],[EXISTENCIAS]]+PRODUCTOS31316[[#This Row],[ENTRADAS]]-PRODUCTOS31316[[#This Row],[SALIDAS]]</f>
        <v>0</v>
      </c>
      <c r="L124" s="276" t="s">
        <v>3521</v>
      </c>
      <c r="M124" s="276" t="s">
        <v>3653</v>
      </c>
      <c r="N124" s="288" t="s">
        <v>3779</v>
      </c>
      <c r="O124" s="276" t="s">
        <v>3759</v>
      </c>
      <c r="P124" s="16">
        <v>46038</v>
      </c>
      <c r="Q124" s="276" t="s">
        <v>369</v>
      </c>
      <c r="R124" s="2">
        <f>VLOOKUP(SALIDAS111518[[#This Row],[CÓDIGO]],PRODUCTOS31316[],2,FALSE)</f>
        <v>0</v>
      </c>
      <c r="S124" s="1" t="str">
        <f>VLOOKUP(SALIDAS111518[[#This Row],[CÓDIGO]],PRODUCTOS31316[],3,FALSE)</f>
        <v>FUNDA UNIVERSAL PARA I.A. RANURADA</v>
      </c>
      <c r="T124" s="2">
        <v>3</v>
      </c>
      <c r="U124" s="2">
        <v>61</v>
      </c>
      <c r="V124" s="2"/>
      <c r="W124" s="305" t="s">
        <v>2823</v>
      </c>
      <c r="X124" s="2"/>
      <c r="Y124" s="7"/>
      <c r="Z124" s="2" t="s">
        <v>4252</v>
      </c>
      <c r="AA124" s="1" t="s">
        <v>2411</v>
      </c>
      <c r="AB124" s="16">
        <v>46083</v>
      </c>
      <c r="AC124" s="2" t="s">
        <v>3286</v>
      </c>
      <c r="AD124" s="1">
        <f>VLOOKUP(ENTRADAS71417[[#This Row],[CÓDIGO]],PRODUCTOS31316[],2,FALSE)</f>
        <v>0</v>
      </c>
      <c r="AE124" s="1" t="str">
        <f>VLOOKUP(ENTRADAS71417[[#This Row],[CÓDIGO]],PRODUCTOS31316[],3,FALSE)</f>
        <v>CARCASA TABLET BMV</v>
      </c>
      <c r="AF124" s="2">
        <v>15</v>
      </c>
      <c r="AG124" s="2"/>
      <c r="AH124" s="2"/>
    </row>
    <row r="125" spans="1:34" ht="49.95" customHeight="1" x14ac:dyDescent="0.3">
      <c r="A125" s="2" t="s">
        <v>47</v>
      </c>
      <c r="B125" s="1">
        <v>1135</v>
      </c>
      <c r="C125" s="1" t="s">
        <v>518</v>
      </c>
      <c r="D125" s="1" t="s">
        <v>103</v>
      </c>
      <c r="E125" s="1" t="s">
        <v>233</v>
      </c>
      <c r="F125" s="1" t="s">
        <v>30</v>
      </c>
      <c r="G125" s="2">
        <v>0</v>
      </c>
      <c r="H125" s="14">
        <f>SUMIF(ENTRADAS71417[CÓDIGO],PRODUCTOS31316[[#This Row],[CÓDIGO]],ENTRADAS71417[CANTIDAD])</f>
        <v>37</v>
      </c>
      <c r="I125" s="11">
        <f>SUMIF(SALIDAS111518[CÓDIGO],PRODUCTOS31316[[#This Row],[CÓDIGO]],SALIDAS111518[CANTIDAD])</f>
        <v>34</v>
      </c>
      <c r="J125" s="6">
        <f>PRODUCTOS31316[[#This Row],[EXISTENCIAS]]+PRODUCTOS31316[[#This Row],[ENTRADAS]]-PRODUCTOS31316[[#This Row],[SALIDAS]]</f>
        <v>3</v>
      </c>
      <c r="L125" s="2"/>
      <c r="M125" s="2"/>
      <c r="N125" s="2">
        <v>7722</v>
      </c>
      <c r="O125" s="276" t="s">
        <v>3759</v>
      </c>
      <c r="P125" s="278" t="s">
        <v>3777</v>
      </c>
      <c r="Q125" s="276" t="s">
        <v>2755</v>
      </c>
      <c r="R125" s="2" t="str">
        <f>VLOOKUP(SALIDAS111518[[#This Row],[CÓDIGO]],PRODUCTOS31316[],2,FALSE)</f>
        <v>MSLDO05</v>
      </c>
      <c r="S125" s="1" t="str">
        <f>VLOOKUP(SALIDAS111518[[#This Row],[CÓDIGO]],PRODUCTOS31316[],3,FALSE)</f>
        <v>TERMO DE RECOLECCIÓN DE SEMEN/ USO VETERINARIO</v>
      </c>
      <c r="T125" s="2">
        <v>1</v>
      </c>
      <c r="U125" s="2"/>
      <c r="V125" s="2"/>
      <c r="W125" s="2"/>
      <c r="X125" s="2"/>
      <c r="Y125" s="7"/>
      <c r="Z125" s="2" t="s">
        <v>4252</v>
      </c>
      <c r="AA125" s="1" t="s">
        <v>2411</v>
      </c>
      <c r="AB125" s="16">
        <v>46083</v>
      </c>
      <c r="AC125" s="2" t="s">
        <v>4253</v>
      </c>
      <c r="AD125" s="1">
        <f>VLOOKUP(ENTRADAS71417[[#This Row],[CÓDIGO]],PRODUCTOS31316[],2,FALSE)</f>
        <v>0</v>
      </c>
      <c r="AE125" s="1" t="str">
        <f>VLOOKUP(ENTRADAS71417[[#This Row],[CÓDIGO]],PRODUCTOS31316[],3,FALSE)</f>
        <v>TUBO 0.25 PARA PISTOLA DE INSEMINACIÓN CON CÁMARA BMV</v>
      </c>
      <c r="AF125" s="2">
        <v>2</v>
      </c>
      <c r="AG125" s="2"/>
      <c r="AH125" s="2"/>
    </row>
    <row r="126" spans="1:34" ht="49.95" customHeight="1" x14ac:dyDescent="0.3">
      <c r="A126" s="2" t="s">
        <v>520</v>
      </c>
      <c r="B126" s="1">
        <v>101010</v>
      </c>
      <c r="C126" s="1" t="s">
        <v>521</v>
      </c>
      <c r="D126" s="1" t="s">
        <v>18</v>
      </c>
      <c r="E126" s="1" t="s">
        <v>18</v>
      </c>
      <c r="F126" s="1" t="s">
        <v>30</v>
      </c>
      <c r="G126" s="2">
        <v>0</v>
      </c>
      <c r="H126" s="14">
        <f>SUMIF(ENTRADAS71417[CÓDIGO],PRODUCTOS31316[[#This Row],[CÓDIGO]],ENTRADAS71417[CANTIDAD])</f>
        <v>0</v>
      </c>
      <c r="I126" s="11">
        <f>SUMIF(SALIDAS111518[CÓDIGO],PRODUCTOS31316[[#This Row],[CÓDIGO]],SALIDAS111518[CANTIDAD])</f>
        <v>0</v>
      </c>
      <c r="J126" s="6">
        <f>PRODUCTOS31316[[#This Row],[EXISTENCIAS]]+PRODUCTOS31316[[#This Row],[ENTRADAS]]-PRODUCTOS31316[[#This Row],[SALIDAS]]</f>
        <v>0</v>
      </c>
      <c r="L126" s="276" t="s">
        <v>3520</v>
      </c>
      <c r="M126" s="276" t="s">
        <v>3653</v>
      </c>
      <c r="N126" s="276" t="s">
        <v>3771</v>
      </c>
      <c r="O126" s="275" t="s">
        <v>3770</v>
      </c>
      <c r="P126" s="16">
        <v>46037</v>
      </c>
      <c r="Q126" s="275" t="s">
        <v>2697</v>
      </c>
      <c r="R126" s="2" t="e">
        <f>VLOOKUP(SALIDAS111518[[#This Row],[CÓDIGO]],PRODUCTOS31316[],2,FALSE)</f>
        <v>#N/A</v>
      </c>
      <c r="S126" s="1" t="e">
        <f>VLOOKUP(SALIDAS111518[[#This Row],[CÓDIGO]],PRODUCTOS31316[],3,FALSE)</f>
        <v>#N/A</v>
      </c>
      <c r="T126" s="2">
        <v>1</v>
      </c>
      <c r="U126" s="2"/>
      <c r="V126" s="2"/>
      <c r="W126" s="2"/>
      <c r="X126" s="2"/>
      <c r="Y126" s="7"/>
      <c r="Z126" s="2" t="s">
        <v>4252</v>
      </c>
      <c r="AA126" s="1" t="s">
        <v>2411</v>
      </c>
      <c r="AB126" s="16">
        <v>46083</v>
      </c>
      <c r="AC126" s="2" t="s">
        <v>4254</v>
      </c>
      <c r="AD126" s="1">
        <f>VLOOKUP(ENTRADAS71417[[#This Row],[CÓDIGO]],PRODUCTOS31316[],2,FALSE)</f>
        <v>0</v>
      </c>
      <c r="AE126" s="1" t="str">
        <f>VLOOKUP(ENTRADAS71417[[#This Row],[CÓDIGO]],PRODUCTOS31316[],3,FALSE)</f>
        <v>TUBO 0.50 PARA PISTOLA DE INSEMINACIÓN CON CÁMARA BMV</v>
      </c>
      <c r="AF126" s="2">
        <v>2</v>
      </c>
      <c r="AG126" s="2"/>
      <c r="AH126" s="2"/>
    </row>
    <row r="127" spans="1:34" ht="49.95" customHeight="1" x14ac:dyDescent="0.3">
      <c r="A127" s="2" t="s">
        <v>523</v>
      </c>
      <c r="B127" s="1" t="s">
        <v>524</v>
      </c>
      <c r="C127" s="1" t="s">
        <v>525</v>
      </c>
      <c r="D127" s="1" t="s">
        <v>364</v>
      </c>
      <c r="E127" s="1" t="s">
        <v>183</v>
      </c>
      <c r="F127" s="1" t="s">
        <v>526</v>
      </c>
      <c r="G127" s="2">
        <v>0</v>
      </c>
      <c r="H127" s="14">
        <f>SUMIF(ENTRADAS71417[CÓDIGO],PRODUCTOS31316[[#This Row],[CÓDIGO]],ENTRADAS71417[CANTIDAD])</f>
        <v>0</v>
      </c>
      <c r="I127" s="11">
        <f>SUMIF(SALIDAS111518[CÓDIGO],PRODUCTOS31316[[#This Row],[CÓDIGO]],SALIDAS111518[CANTIDAD])</f>
        <v>0</v>
      </c>
      <c r="J127" s="6">
        <f>PRODUCTOS31316[[#This Row],[EXISTENCIAS]]+PRODUCTOS31316[[#This Row],[ENTRADAS]]-PRODUCTOS31316[[#This Row],[SALIDAS]]</f>
        <v>0</v>
      </c>
      <c r="L127" s="39"/>
      <c r="M127" s="39"/>
      <c r="N127" s="279" t="s">
        <v>2224</v>
      </c>
      <c r="O127" s="276" t="s">
        <v>3590</v>
      </c>
      <c r="P127" s="16">
        <v>46036</v>
      </c>
      <c r="Q127" s="276" t="s">
        <v>714</v>
      </c>
      <c r="R127" s="2" t="str">
        <f>VLOOKUP(SALIDAS111518[[#This Row],[CÓDIGO]],PRODUCTOS31316[],2,FALSE)</f>
        <v>S1</v>
      </c>
      <c r="S127" s="1" t="str">
        <f>VLOOKUP(SALIDAS111518[[#This Row],[CÓDIGO]],PRODUCTOS31316[],3,FALSE)</f>
        <v>ECÓGRAFO PORTATIL S1, PROBE RECTAL  Y PROTECTOR SOLAR</v>
      </c>
      <c r="T127" s="2"/>
      <c r="U127" s="2">
        <v>1</v>
      </c>
      <c r="V127" s="2"/>
      <c r="W127" s="2"/>
      <c r="X127" s="2"/>
      <c r="Y127" s="7"/>
      <c r="Z127" s="2" t="s">
        <v>4252</v>
      </c>
      <c r="AA127" s="1" t="s">
        <v>2411</v>
      </c>
      <c r="AB127" s="16">
        <v>46083</v>
      </c>
      <c r="AC127" s="2" t="s">
        <v>3577</v>
      </c>
      <c r="AD127" s="1">
        <f>VLOOKUP(ENTRADAS71417[[#This Row],[CÓDIGO]],PRODUCTOS31316[],2,FALSE)</f>
        <v>0</v>
      </c>
      <c r="AE127" s="1" t="str">
        <f>VLOOKUP(ENTRADAS71417[[#This Row],[CÓDIGO]],PRODUCTOS31316[],3,FALSE)</f>
        <v>ECOGRAFO MX5C CON SONDA CONVEXA CON DOPPLER COLOR</v>
      </c>
      <c r="AF127" s="2">
        <v>2</v>
      </c>
      <c r="AG127" s="2"/>
      <c r="AH127" s="2"/>
    </row>
    <row r="128" spans="1:34" ht="49.95" customHeight="1" x14ac:dyDescent="0.3">
      <c r="A128" s="2" t="s">
        <v>527</v>
      </c>
      <c r="B128" s="1">
        <v>627025</v>
      </c>
      <c r="C128" s="1" t="s">
        <v>528</v>
      </c>
      <c r="D128" s="1" t="s">
        <v>244</v>
      </c>
      <c r="E128" s="1" t="s">
        <v>24</v>
      </c>
      <c r="F128" s="1" t="s">
        <v>30</v>
      </c>
      <c r="G128" s="2">
        <v>0</v>
      </c>
      <c r="H128" s="14">
        <f>SUMIF(ENTRADAS71417[CÓDIGO],PRODUCTOS31316[[#This Row],[CÓDIGO]],ENTRADAS71417[CANTIDAD])</f>
        <v>0</v>
      </c>
      <c r="I128" s="11">
        <f>SUMIF(SALIDAS111518[CÓDIGO],PRODUCTOS31316[[#This Row],[CÓDIGO]],SALIDAS111518[CANTIDAD])</f>
        <v>0</v>
      </c>
      <c r="J128" s="6">
        <f>PRODUCTOS31316[[#This Row],[EXISTENCIAS]]+PRODUCTOS31316[[#This Row],[ENTRADAS]]-PRODUCTOS31316[[#This Row],[SALIDAS]]</f>
        <v>0</v>
      </c>
      <c r="L128" s="276" t="s">
        <v>3520</v>
      </c>
      <c r="M128" s="276" t="s">
        <v>3653</v>
      </c>
      <c r="N128" s="276" t="s">
        <v>3776</v>
      </c>
      <c r="O128" s="275" t="s">
        <v>2850</v>
      </c>
      <c r="P128" s="16">
        <v>46038</v>
      </c>
      <c r="Q128" s="276" t="s">
        <v>3500</v>
      </c>
      <c r="R128" s="2">
        <f>VLOOKUP(SALIDAS111518[[#This Row],[CÓDIGO]],PRODUCTOS31316[],2,FALSE)</f>
        <v>25</v>
      </c>
      <c r="S128" s="1" t="str">
        <f>VLOOKUP(SALIDAS111518[[#This Row],[CÓDIGO]],PRODUCTOS31316[],3,FALSE)</f>
        <v>TUBO RIGIDO EQUINO BOTUPHARMA</v>
      </c>
      <c r="T128" s="2">
        <v>1</v>
      </c>
      <c r="U128" s="295" t="s">
        <v>4085</v>
      </c>
      <c r="V128" s="276" t="s">
        <v>3784</v>
      </c>
      <c r="W128" s="2"/>
      <c r="X128" s="2"/>
      <c r="Y128" s="7"/>
      <c r="Z128" s="2" t="s">
        <v>4252</v>
      </c>
      <c r="AA128" s="1" t="s">
        <v>2411</v>
      </c>
      <c r="AB128" s="16">
        <v>46083</v>
      </c>
      <c r="AC128" s="2" t="s">
        <v>2412</v>
      </c>
      <c r="AD128" s="1" t="str">
        <f>VLOOKUP(ENTRADAS71417[[#This Row],[CÓDIGO]],PRODUCTOS31316[],2,FALSE)</f>
        <v>PTC</v>
      </c>
      <c r="AE128" s="1" t="str">
        <f>VLOOKUP(ENTRADAS71417[[#This Row],[CÓDIGO]],PRODUCTOS31316[],3,FALSE)</f>
        <v>PISTOLA DE INSEMINACIÓN ARTIFICIAL CON CÁMARA</v>
      </c>
      <c r="AF128" s="2">
        <v>1</v>
      </c>
      <c r="AG128" s="2"/>
      <c r="AH128" s="2"/>
    </row>
    <row r="129" spans="1:34" ht="49.95" customHeight="1" x14ac:dyDescent="0.3">
      <c r="A129" s="2" t="s">
        <v>530</v>
      </c>
      <c r="B129" s="1" t="s">
        <v>531</v>
      </c>
      <c r="C129" s="1" t="s">
        <v>532</v>
      </c>
      <c r="D129" s="1" t="s">
        <v>223</v>
      </c>
      <c r="E129" s="1" t="s">
        <v>177</v>
      </c>
      <c r="F129" s="1" t="s">
        <v>533</v>
      </c>
      <c r="G129" s="2">
        <v>0</v>
      </c>
      <c r="H129" s="14">
        <f>SUMIF(ENTRADAS71417[CÓDIGO],PRODUCTOS31316[[#This Row],[CÓDIGO]],ENTRADAS71417[CANTIDAD])</f>
        <v>0</v>
      </c>
      <c r="I129" s="11">
        <f>SUMIF(SALIDAS111518[CÓDIGO],PRODUCTOS31316[[#This Row],[CÓDIGO]],SALIDAS111518[CANTIDAD])</f>
        <v>0</v>
      </c>
      <c r="J129" s="6">
        <f>PRODUCTOS31316[[#This Row],[EXISTENCIAS]]+PRODUCTOS31316[[#This Row],[ENTRADAS]]-PRODUCTOS31316[[#This Row],[SALIDAS]]</f>
        <v>0</v>
      </c>
      <c r="L129" s="2"/>
      <c r="M129" s="2"/>
      <c r="N129" s="276">
        <v>7720</v>
      </c>
      <c r="O129" s="275" t="s">
        <v>2850</v>
      </c>
      <c r="P129" s="16">
        <v>46038</v>
      </c>
      <c r="Q129" s="276" t="s">
        <v>3502</v>
      </c>
      <c r="R129" s="2">
        <f>VLOOKUP(SALIDAS111518[[#This Row],[CÓDIGO]],PRODUCTOS31316[],2,FALSE)</f>
        <v>24</v>
      </c>
      <c r="S129" s="1" t="str">
        <f>VLOOKUP(SALIDAS111518[[#This Row],[CÓDIGO]],PRODUCTOS31316[],3,FALSE)</f>
        <v>MUCOSA DE LATEX EQUINA  BOTUPHARMA</v>
      </c>
      <c r="T129" s="2">
        <v>1</v>
      </c>
      <c r="U129" s="2"/>
      <c r="V129" s="2"/>
      <c r="W129" s="2"/>
      <c r="X129" s="2"/>
      <c r="Y129" s="7"/>
      <c r="Z129" s="2" t="s">
        <v>4257</v>
      </c>
      <c r="AA129" s="390" t="s">
        <v>4258</v>
      </c>
      <c r="AB129" s="16">
        <v>46083</v>
      </c>
      <c r="AC129" s="2" t="s">
        <v>3233</v>
      </c>
      <c r="AD129" s="1" t="str">
        <f>VLOOKUP(ENTRADAS71417[[#This Row],[CÓDIGO]],PRODUCTOS31316[],2,FALSE)</f>
        <v>JA3022</v>
      </c>
      <c r="AE129" s="1" t="str">
        <f>VLOOKUP(ENTRADAS71417[[#This Row],[CÓDIGO]],PRODUCTOS31316[],3,FALSE)</f>
        <v>PIPETA AUTOMÁTICA VOLUMEN DE 0.5A 10UL</v>
      </c>
      <c r="AF129" s="2">
        <v>10</v>
      </c>
      <c r="AG129" s="2"/>
      <c r="AH129" s="2">
        <v>42</v>
      </c>
    </row>
    <row r="130" spans="1:34" ht="49.95" customHeight="1" x14ac:dyDescent="0.3">
      <c r="A130" s="2" t="s">
        <v>535</v>
      </c>
      <c r="B130" s="1">
        <v>352350</v>
      </c>
      <c r="C130" s="74" t="s">
        <v>536</v>
      </c>
      <c r="D130" s="1" t="s">
        <v>182</v>
      </c>
      <c r="E130" s="1" t="s">
        <v>183</v>
      </c>
      <c r="F130" s="1" t="s">
        <v>537</v>
      </c>
      <c r="G130" s="2">
        <v>0</v>
      </c>
      <c r="H130" s="14">
        <f>SUMIF(ENTRADAS71417[CÓDIGO],PRODUCTOS31316[[#This Row],[CÓDIGO]],ENTRADAS71417[CANTIDAD])</f>
        <v>0</v>
      </c>
      <c r="I130" s="11">
        <f>SUMIF(SALIDAS111518[CÓDIGO],PRODUCTOS31316[[#This Row],[CÓDIGO]],SALIDAS111518[CANTIDAD])</f>
        <v>0</v>
      </c>
      <c r="J130" s="6">
        <f>PRODUCTOS31316[[#This Row],[EXISTENCIAS]]+PRODUCTOS31316[[#This Row],[ENTRADAS]]-PRODUCTOS31316[[#This Row],[SALIDAS]]</f>
        <v>0</v>
      </c>
      <c r="L130" s="2"/>
      <c r="M130" s="2"/>
      <c r="N130" s="276">
        <v>7720</v>
      </c>
      <c r="O130" s="275" t="s">
        <v>2850</v>
      </c>
      <c r="P130" s="16">
        <v>46038</v>
      </c>
      <c r="Q130" s="276" t="s">
        <v>3504</v>
      </c>
      <c r="R130" s="2">
        <f>VLOOKUP(SALIDAS111518[[#This Row],[CÓDIGO]],PRODUCTOS31316[],2,FALSE)</f>
        <v>26</v>
      </c>
      <c r="S130" s="1" t="str">
        <f>VLOOKUP(SALIDAS111518[[#This Row],[CÓDIGO]],PRODUCTOS31316[],3,FALSE)</f>
        <v>MUCOSA DE PLÁSTICA EQUINA  BOTUPHARMA</v>
      </c>
      <c r="T130" s="2">
        <v>1</v>
      </c>
      <c r="U130" s="2"/>
      <c r="V130" s="2"/>
      <c r="W130" s="2"/>
      <c r="X130" s="2"/>
      <c r="Y130" s="7"/>
      <c r="Z130" s="2" t="s">
        <v>4257</v>
      </c>
      <c r="AA130" s="1" t="s">
        <v>4258</v>
      </c>
      <c r="AB130" s="16">
        <v>46083</v>
      </c>
      <c r="AC130" s="2" t="s">
        <v>3440</v>
      </c>
      <c r="AD130" s="1" t="str">
        <f>VLOOKUP(ENTRADAS71417[[#This Row],[CÓDIGO]],PRODUCTOS31316[],2,FALSE)</f>
        <v>M100</v>
      </c>
      <c r="AE130" s="1" t="str">
        <f>VLOOKUP(ENTRADAS71417[[#This Row],[CÓDIGO]],PRODUCTOS31316[],3,FALSE)</f>
        <v>MICROPIPETA AUTOMATICA VOLUMEN VARIABLE DE 100 - 1000</v>
      </c>
      <c r="AF130" s="2">
        <v>2</v>
      </c>
      <c r="AG130" s="2"/>
      <c r="AH130" s="2"/>
    </row>
    <row r="131" spans="1:34" ht="49.95" customHeight="1" x14ac:dyDescent="0.3">
      <c r="A131" s="2" t="s">
        <v>539</v>
      </c>
      <c r="B131" s="1">
        <v>2155</v>
      </c>
      <c r="C131" s="1" t="s">
        <v>540</v>
      </c>
      <c r="D131" s="1" t="s">
        <v>156</v>
      </c>
      <c r="E131" s="1" t="s">
        <v>410</v>
      </c>
      <c r="F131" s="1" t="s">
        <v>541</v>
      </c>
      <c r="G131" s="2">
        <v>0</v>
      </c>
      <c r="H131" s="14">
        <f>SUMIF(ENTRADAS71417[CÓDIGO],PRODUCTOS31316[[#This Row],[CÓDIGO]],ENTRADAS71417[CANTIDAD])</f>
        <v>0</v>
      </c>
      <c r="I131" s="11">
        <f>SUMIF(SALIDAS111518[CÓDIGO],PRODUCTOS31316[[#This Row],[CÓDIGO]],SALIDAS111518[CANTIDAD])</f>
        <v>0</v>
      </c>
      <c r="J131" s="6">
        <f>PRODUCTOS31316[[#This Row],[EXISTENCIAS]]+PRODUCTOS31316[[#This Row],[ENTRADAS]]-PRODUCTOS31316[[#This Row],[SALIDAS]]</f>
        <v>0</v>
      </c>
      <c r="L131" s="2"/>
      <c r="M131" s="2"/>
      <c r="N131" s="276">
        <v>7720</v>
      </c>
      <c r="O131" s="275" t="s">
        <v>2850</v>
      </c>
      <c r="P131" s="16">
        <v>46038</v>
      </c>
      <c r="Q131" s="276" t="s">
        <v>3506</v>
      </c>
      <c r="R131" s="2">
        <f>VLOOKUP(SALIDAS111518[[#This Row],[CÓDIGO]],PRODUCTOS31316[],2,FALSE)</f>
        <v>27</v>
      </c>
      <c r="S131" s="1" t="str">
        <f>VLOOKUP(SALIDAS111518[[#This Row],[CÓDIGO]],PRODUCTOS31316[],3,FALSE)</f>
        <v>VASO COLECTOR EQUINO BOTUPHARMA</v>
      </c>
      <c r="T131" s="2">
        <v>1</v>
      </c>
      <c r="U131" s="2"/>
      <c r="V131" s="2"/>
      <c r="W131" s="2"/>
      <c r="X131" s="2"/>
      <c r="Y131" s="7"/>
      <c r="Z131" s="307" t="s">
        <v>4293</v>
      </c>
      <c r="AA131" s="308" t="s">
        <v>4294</v>
      </c>
      <c r="AB131" s="16">
        <v>46084</v>
      </c>
      <c r="AC131" s="307" t="s">
        <v>3275</v>
      </c>
      <c r="AD131" s="1">
        <f>VLOOKUP(ENTRADAS71417[[#This Row],[CÓDIGO]],PRODUCTOS31316[],2,FALSE)</f>
        <v>0</v>
      </c>
      <c r="AE131" s="1" t="str">
        <f>VLOOKUP(ENTRADAS71417[[#This Row],[CÓDIGO]],PRODUCTOS31316[],3,FALSE)</f>
        <v>IPAD MINI 7.9" PLATA 128 GB</v>
      </c>
      <c r="AF131" s="2">
        <v>3</v>
      </c>
      <c r="AG131" s="2"/>
      <c r="AH131" s="2">
        <v>45</v>
      </c>
    </row>
    <row r="132" spans="1:34" ht="49.95" customHeight="1" x14ac:dyDescent="0.3">
      <c r="A132" s="2" t="s">
        <v>543</v>
      </c>
      <c r="B132" s="1" t="s">
        <v>544</v>
      </c>
      <c r="C132" s="1" t="s">
        <v>545</v>
      </c>
      <c r="D132" s="1" t="s">
        <v>103</v>
      </c>
      <c r="E132" s="1" t="s">
        <v>233</v>
      </c>
      <c r="F132" s="1" t="s">
        <v>30</v>
      </c>
      <c r="G132" s="2">
        <v>0</v>
      </c>
      <c r="H132" s="14">
        <f>SUMIF(ENTRADAS71417[CÓDIGO],PRODUCTOS31316[[#This Row],[CÓDIGO]],ENTRADAS71417[CANTIDAD])</f>
        <v>0</v>
      </c>
      <c r="I132" s="11">
        <f>SUMIF(SALIDAS111518[CÓDIGO],PRODUCTOS31316[[#This Row],[CÓDIGO]],SALIDAS111518[CANTIDAD])</f>
        <v>0</v>
      </c>
      <c r="J132" s="6">
        <f>PRODUCTOS31316[[#This Row],[EXISTENCIAS]]+PRODUCTOS31316[[#This Row],[ENTRADAS]]-PRODUCTOS31316[[#This Row],[SALIDAS]]</f>
        <v>0</v>
      </c>
      <c r="L132" s="2"/>
      <c r="M132" s="2"/>
      <c r="N132" s="276">
        <v>7720</v>
      </c>
      <c r="O132" s="275" t="s">
        <v>2850</v>
      </c>
      <c r="P132" s="16">
        <v>46038</v>
      </c>
      <c r="Q132" s="276" t="s">
        <v>3508</v>
      </c>
      <c r="R132" s="2">
        <f>VLOOKUP(SALIDAS111518[[#This Row],[CÓDIGO]],PRODUCTOS31316[],2,FALSE)</f>
        <v>28</v>
      </c>
      <c r="S132" s="1" t="str">
        <f>VLOOKUP(SALIDAS111518[[#This Row],[CÓDIGO]],PRODUCTOS31316[],3,FALSE)</f>
        <v>CAMISA SANITARIA PARA VASO COLECTOR EQUINO BOTUPHARMA</v>
      </c>
      <c r="T132" s="2">
        <v>1</v>
      </c>
      <c r="U132" s="2"/>
      <c r="V132" s="2"/>
      <c r="W132" s="2"/>
      <c r="X132" s="2"/>
      <c r="Y132" s="7"/>
      <c r="Z132" s="2">
        <v>3779</v>
      </c>
      <c r="AA132" s="1" t="s">
        <v>3887</v>
      </c>
      <c r="AB132" s="16">
        <v>46086</v>
      </c>
      <c r="AC132" s="2" t="s">
        <v>561</v>
      </c>
      <c r="AD132" s="1">
        <f>VLOOKUP(ENTRADAS71417[[#This Row],[CÓDIGO]],PRODUCTOS31316[],2,FALSE)</f>
        <v>502018</v>
      </c>
      <c r="AE132" s="1" t="str">
        <f>VLOOKUP(ENTRADAS71417[[#This Row],[CÓDIGO]],PRODUCTOS31316[],3,FALSE)</f>
        <v>PLATINA DE MESA MA 3320/ MA 3322</v>
      </c>
      <c r="AF132" s="2">
        <v>2</v>
      </c>
      <c r="AG132" s="2"/>
      <c r="AH132" s="2">
        <v>46</v>
      </c>
    </row>
    <row r="133" spans="1:34" ht="49.95" customHeight="1" x14ac:dyDescent="0.3">
      <c r="A133" s="2" t="s">
        <v>547</v>
      </c>
      <c r="C133" s="1" t="s">
        <v>548</v>
      </c>
      <c r="D133" s="1" t="s">
        <v>223</v>
      </c>
      <c r="E133" s="1" t="s">
        <v>177</v>
      </c>
      <c r="F133" s="1" t="s">
        <v>377</v>
      </c>
      <c r="G133" s="2">
        <v>0</v>
      </c>
      <c r="H133" s="14">
        <f>SUMIF(ENTRADAS71417[CÓDIGO],PRODUCTOS31316[[#This Row],[CÓDIGO]],ENTRADAS71417[CANTIDAD])</f>
        <v>0</v>
      </c>
      <c r="I133" s="11">
        <f>SUMIF(SALIDAS111518[CÓDIGO],PRODUCTOS31316[[#This Row],[CÓDIGO]],SALIDAS111518[CANTIDAD])</f>
        <v>0</v>
      </c>
      <c r="J133" s="6">
        <f>PRODUCTOS31316[[#This Row],[EXISTENCIAS]]+PRODUCTOS31316[[#This Row],[ENTRADAS]]-PRODUCTOS31316[[#This Row],[SALIDAS]]</f>
        <v>0</v>
      </c>
      <c r="L133" s="276" t="s">
        <v>3521</v>
      </c>
      <c r="M133" s="276" t="s">
        <v>3653</v>
      </c>
      <c r="N133" s="288" t="s">
        <v>3778</v>
      </c>
      <c r="O133" s="275" t="s">
        <v>3775</v>
      </c>
      <c r="P133" s="16">
        <v>46038</v>
      </c>
      <c r="Q133" s="276" t="s">
        <v>273</v>
      </c>
      <c r="R133" s="2">
        <f>VLOOKUP(SALIDAS111518[[#This Row],[CÓDIGO]],PRODUCTOS31316[],2,FALSE)</f>
        <v>1003514</v>
      </c>
      <c r="S133" s="1" t="str">
        <f>VLOOKUP(SALIDAS111518[[#This Row],[CÓDIGO]],PRODUCTOS31316[],3,FALSE)</f>
        <v>JALEA CONDUCTIVA (GEL ULTRASONICO) GALON X 3785 ML AZUL</v>
      </c>
      <c r="T133" s="2">
        <v>1</v>
      </c>
      <c r="U133" s="2">
        <v>63</v>
      </c>
      <c r="V133" s="2"/>
      <c r="W133" s="276" t="s">
        <v>2823</v>
      </c>
      <c r="X133" s="2"/>
      <c r="Y133" s="7"/>
      <c r="Z133" s="2" t="s">
        <v>4337</v>
      </c>
      <c r="AA133" s="312" t="s">
        <v>3915</v>
      </c>
      <c r="AB133" s="16">
        <v>46087</v>
      </c>
      <c r="AC133" s="311" t="s">
        <v>153</v>
      </c>
      <c r="AD133" s="1">
        <f>VLOOKUP(ENTRADAS71417[[#This Row],[CÓDIGO]],PRODUCTOS31316[],2,FALSE)</f>
        <v>1132</v>
      </c>
      <c r="AE133" s="1" t="str">
        <f>VLOOKUP(ENTRADAS71417[[#This Row],[CÓDIGO]],PRODUCTOS31316[],3,FALSE)</f>
        <v>PISTOLA QUICKLOCK CLASIC</v>
      </c>
      <c r="AF133" s="2">
        <v>30</v>
      </c>
      <c r="AG133" s="2"/>
      <c r="AH133" s="2">
        <v>47</v>
      </c>
    </row>
    <row r="134" spans="1:34" ht="49.95" customHeight="1" x14ac:dyDescent="0.3">
      <c r="A134" s="2" t="s">
        <v>550</v>
      </c>
      <c r="B134" s="1">
        <v>11589</v>
      </c>
      <c r="C134" s="1" t="s">
        <v>551</v>
      </c>
      <c r="D134" s="1" t="s">
        <v>166</v>
      </c>
      <c r="E134" s="1" t="s">
        <v>340</v>
      </c>
      <c r="F134" s="1" t="s">
        <v>30</v>
      </c>
      <c r="G134" s="2">
        <v>0</v>
      </c>
      <c r="H134" s="14">
        <f>SUMIF(ENTRADAS71417[CÓDIGO],PRODUCTOS31316[[#This Row],[CÓDIGO]],ENTRADAS71417[CANTIDAD])</f>
        <v>0</v>
      </c>
      <c r="I134" s="11">
        <f>SUMIF(SALIDAS111518[CÓDIGO],PRODUCTOS31316[[#This Row],[CÓDIGO]],SALIDAS111518[CANTIDAD])</f>
        <v>0</v>
      </c>
      <c r="J134" s="6">
        <f>PRODUCTOS31316[[#This Row],[EXISTENCIAS]]+PRODUCTOS31316[[#This Row],[ENTRADAS]]-PRODUCTOS31316[[#This Row],[SALIDAS]]</f>
        <v>0</v>
      </c>
      <c r="L134" s="276" t="s">
        <v>3520</v>
      </c>
      <c r="M134" s="276" t="s">
        <v>3653</v>
      </c>
      <c r="N134" s="276" t="s">
        <v>3780</v>
      </c>
      <c r="O134" s="276" t="s">
        <v>2344</v>
      </c>
      <c r="P134" s="16">
        <v>46038</v>
      </c>
      <c r="Q134" s="276" t="s">
        <v>2755</v>
      </c>
      <c r="R134" s="2" t="str">
        <f>VLOOKUP(SALIDAS111518[[#This Row],[CÓDIGO]],PRODUCTOS31316[],2,FALSE)</f>
        <v>MSLDO05</v>
      </c>
      <c r="S134" s="1" t="str">
        <f>VLOOKUP(SALIDAS111518[[#This Row],[CÓDIGO]],PRODUCTOS31316[],3,FALSE)</f>
        <v>TERMO DE RECOLECCIÓN DE SEMEN/ USO VETERINARIO</v>
      </c>
      <c r="T134" s="2">
        <v>2</v>
      </c>
      <c r="U134" s="276" t="s">
        <v>2709</v>
      </c>
      <c r="V134" s="2">
        <v>64</v>
      </c>
      <c r="W134" s="276"/>
      <c r="X134" s="2"/>
      <c r="Y134" s="7"/>
      <c r="Z134" s="2" t="s">
        <v>627</v>
      </c>
      <c r="AA134" s="312" t="s">
        <v>2778</v>
      </c>
      <c r="AB134" s="311" t="s">
        <v>4333</v>
      </c>
      <c r="AC134" s="311" t="s">
        <v>2433</v>
      </c>
      <c r="AD134" s="1">
        <f>VLOOKUP(ENTRADAS71417[[#This Row],[CÓDIGO]],PRODUCTOS31316[],2,FALSE)</f>
        <v>0</v>
      </c>
      <c r="AE134" s="1" t="str">
        <f>VLOOKUP(ENTRADAS71417[[#This Row],[CÓDIGO]],PRODUCTOS31316[],3,FALSE)</f>
        <v>SONDA LINEAL RECTAL DAWEI</v>
      </c>
      <c r="AF134" s="2">
        <v>1</v>
      </c>
      <c r="AG134" s="2"/>
      <c r="AH134" s="2">
        <v>48</v>
      </c>
    </row>
    <row r="135" spans="1:34" ht="49.95" customHeight="1" x14ac:dyDescent="0.3">
      <c r="A135" s="2" t="s">
        <v>553</v>
      </c>
      <c r="B135" s="1" t="s">
        <v>554</v>
      </c>
      <c r="C135" s="1" t="s">
        <v>555</v>
      </c>
      <c r="E135" s="1" t="s">
        <v>183</v>
      </c>
      <c r="F135" s="1" t="s">
        <v>30</v>
      </c>
      <c r="G135" s="2">
        <v>0</v>
      </c>
      <c r="H135" s="14">
        <f>SUMIF(ENTRADAS71417[CÓDIGO],PRODUCTOS31316[[#This Row],[CÓDIGO]],ENTRADAS71417[CANTIDAD])</f>
        <v>0</v>
      </c>
      <c r="I135" s="11">
        <f>SUMIF(SALIDAS111518[CÓDIGO],PRODUCTOS31316[[#This Row],[CÓDIGO]],SALIDAS111518[CANTIDAD])</f>
        <v>0</v>
      </c>
      <c r="J135" s="6">
        <f>PRODUCTOS31316[[#This Row],[EXISTENCIAS]]+PRODUCTOS31316[[#This Row],[ENTRADAS]]-PRODUCTOS31316[[#This Row],[SALIDAS]]</f>
        <v>0</v>
      </c>
      <c r="L135" s="276"/>
      <c r="M135" s="276"/>
      <c r="N135" s="276" t="s">
        <v>3780</v>
      </c>
      <c r="O135" s="276" t="s">
        <v>2344</v>
      </c>
      <c r="P135" s="16">
        <v>46048</v>
      </c>
      <c r="Q135" s="276" t="s">
        <v>15</v>
      </c>
      <c r="R135" s="2" t="str">
        <f>VLOOKUP(SALIDAS111518[[#This Row],[CÓDIGO]],PRODUCTOS31316[],2,FALSE)</f>
        <v>BTE-025PT/ 504002</v>
      </c>
      <c r="S135" s="1" t="str">
        <f>VLOOKUP(SALIDAS111518[[#This Row],[CÓDIGO]],PRODUCTOS31316[],3,FALSE)</f>
        <v>FUNDAS PARA TRANSFERENCIA DE EMBRIONES</v>
      </c>
      <c r="T135" s="2">
        <v>20</v>
      </c>
      <c r="U135" s="2"/>
      <c r="V135" s="2"/>
      <c r="W135" s="276"/>
      <c r="X135" s="2"/>
      <c r="Y135" s="7"/>
      <c r="Z135" s="2" t="s">
        <v>627</v>
      </c>
      <c r="AA135" s="312" t="s">
        <v>2778</v>
      </c>
      <c r="AB135" s="311" t="s">
        <v>4333</v>
      </c>
      <c r="AC135" s="314" t="s">
        <v>3427</v>
      </c>
      <c r="AD135" s="1">
        <f>VLOOKUP(ENTRADAS71417[[#This Row],[CÓDIGO]],PRODUCTOS31316[],2,FALSE)</f>
        <v>0</v>
      </c>
      <c r="AE135" s="1" t="str">
        <f>VLOOKUP(ENTRADAS71417[[#This Row],[CÓDIGO]],PRODUCTOS31316[],3,FALSE)</f>
        <v>PROTECTOR SOLAR ECÓGRAFO DAWEI S1</v>
      </c>
      <c r="AF135" s="2">
        <v>3</v>
      </c>
      <c r="AG135" s="2"/>
      <c r="AH135" s="2"/>
    </row>
    <row r="136" spans="1:34" ht="49.95" customHeight="1" x14ac:dyDescent="0.3">
      <c r="A136" s="2" t="s">
        <v>42</v>
      </c>
      <c r="B136" s="1" t="s">
        <v>558</v>
      </c>
      <c r="C136" s="1" t="s">
        <v>238</v>
      </c>
      <c r="D136" s="1" t="s">
        <v>239</v>
      </c>
      <c r="E136" s="1" t="s">
        <v>239</v>
      </c>
      <c r="F136" s="1" t="s">
        <v>172</v>
      </c>
      <c r="G136" s="2">
        <v>0</v>
      </c>
      <c r="H136" s="14">
        <f>SUMIF(ENTRADAS71417[CÓDIGO],PRODUCTOS31316[[#This Row],[CÓDIGO]],ENTRADAS71417[CANTIDAD])</f>
        <v>0</v>
      </c>
      <c r="I136" s="11">
        <f>SUMIF(SALIDAS111518[CÓDIGO],PRODUCTOS31316[[#This Row],[CÓDIGO]],SALIDAS111518[CANTIDAD])</f>
        <v>0</v>
      </c>
      <c r="J136" s="6">
        <f>PRODUCTOS31316[[#This Row],[EXISTENCIAS]]+PRODUCTOS31316[[#This Row],[ENTRADAS]]-PRODUCTOS31316[[#This Row],[SALIDAS]]</f>
        <v>0</v>
      </c>
      <c r="L136" s="276"/>
      <c r="M136" s="276"/>
      <c r="N136" s="276" t="s">
        <v>3780</v>
      </c>
      <c r="O136" s="276" t="s">
        <v>2344</v>
      </c>
      <c r="P136" s="16">
        <v>46048</v>
      </c>
      <c r="Q136" s="276" t="s">
        <v>27</v>
      </c>
      <c r="R136" s="2" t="str">
        <f>VLOOKUP(SALIDAS111518[[#This Row],[CÓDIGO]],PRODUCTOS31316[],2,FALSE)</f>
        <v>INO-025/ 508001</v>
      </c>
      <c r="S136" s="1" t="str">
        <f>VLOOKUP(SALIDAS111518[[#This Row],[CÓDIGO]],PRODUCTOS31316[],3,FALSE)</f>
        <v>PISTOLA DE TRANSFERENCIA DE EMBRIONES</v>
      </c>
      <c r="T136" s="2">
        <v>1</v>
      </c>
      <c r="U136" s="2"/>
      <c r="V136" s="2"/>
      <c r="W136" s="276"/>
      <c r="X136" s="2"/>
      <c r="Y136" s="7"/>
      <c r="Z136" s="2">
        <v>16275</v>
      </c>
      <c r="AA136" s="312" t="s">
        <v>2744</v>
      </c>
      <c r="AB136" s="16">
        <v>46087</v>
      </c>
      <c r="AC136" s="311" t="s">
        <v>455</v>
      </c>
      <c r="AD136" s="1">
        <f>VLOOKUP(ENTRADAS71417[[#This Row],[CÓDIGO]],PRODUCTOS31316[],2,FALSE)</f>
        <v>0</v>
      </c>
      <c r="AE136" s="1" t="str">
        <f>VLOOKUP(ENTRADAS71417[[#This Row],[CÓDIGO]],PRODUCTOS31316[],3,FALSE)</f>
        <v>ESCALERILLAS PARA GOBLETS DE 13 MM</v>
      </c>
      <c r="AF136" s="2">
        <v>10</v>
      </c>
      <c r="AG136" s="2"/>
      <c r="AH136" s="2">
        <v>53</v>
      </c>
    </row>
    <row r="137" spans="1:34" ht="49.95" customHeight="1" x14ac:dyDescent="0.3">
      <c r="A137" s="2" t="s">
        <v>561</v>
      </c>
      <c r="B137" s="1">
        <v>502018</v>
      </c>
      <c r="C137" s="133" t="s">
        <v>3096</v>
      </c>
      <c r="D137" s="1" t="s">
        <v>18</v>
      </c>
      <c r="E137" s="1" t="s">
        <v>18</v>
      </c>
      <c r="F137" s="1" t="s">
        <v>30</v>
      </c>
      <c r="G137" s="2">
        <v>0</v>
      </c>
      <c r="H137" s="14">
        <f>SUMIF(ENTRADAS71417[CÓDIGO],PRODUCTOS31316[[#This Row],[CÓDIGO]],ENTRADAS71417[CANTIDAD])</f>
        <v>2</v>
      </c>
      <c r="I137" s="11">
        <f>SUMIF(SALIDAS111518[CÓDIGO],PRODUCTOS31316[[#This Row],[CÓDIGO]],SALIDAS111518[CANTIDAD])</f>
        <v>2</v>
      </c>
      <c r="J137" s="6">
        <f>PRODUCTOS31316[[#This Row],[EXISTENCIAS]]+PRODUCTOS31316[[#This Row],[ENTRADAS]]-PRODUCTOS31316[[#This Row],[SALIDAS]]</f>
        <v>0</v>
      </c>
      <c r="L137" s="276"/>
      <c r="M137" s="276"/>
      <c r="N137" s="276">
        <v>7723</v>
      </c>
      <c r="O137" s="276" t="s">
        <v>2344</v>
      </c>
      <c r="P137" s="16">
        <v>46038</v>
      </c>
      <c r="Q137" s="276" t="s">
        <v>36</v>
      </c>
      <c r="R137" s="2">
        <f>VLOOKUP(SALIDAS111518[[#This Row],[CÓDIGO]],PRODUCTOS31316[],2,FALSE)</f>
        <v>1</v>
      </c>
      <c r="S137" s="1" t="str">
        <f>VLOOKUP(SALIDAS111518[[#This Row],[CÓDIGO]],PRODUCTOS31316[],3,FALSE)</f>
        <v xml:space="preserve">PARCHE ESTROTECT </v>
      </c>
      <c r="T137" s="2">
        <v>4</v>
      </c>
      <c r="U137" s="2"/>
      <c r="V137" s="2"/>
      <c r="W137" s="276"/>
      <c r="X137" s="2"/>
      <c r="Y137" s="7"/>
      <c r="Z137" s="2">
        <v>16275</v>
      </c>
      <c r="AA137" s="312" t="s">
        <v>2744</v>
      </c>
      <c r="AB137" s="311" t="s">
        <v>4333</v>
      </c>
      <c r="AC137" s="311" t="s">
        <v>748</v>
      </c>
      <c r="AD137" s="1" t="str">
        <f>VLOOKUP(ENTRADAS71417[[#This Row],[CÓDIGO]],PRODUCTOS31316[],2,FALSE)</f>
        <v>TY</v>
      </c>
      <c r="AE137" s="1" t="str">
        <f>VLOOKUP(ENTRADAS71417[[#This Row],[CÓDIGO]],PRODUCTOS31316[],3,FALSE)</f>
        <v>TABS AMARILLOS</v>
      </c>
      <c r="AF137" s="2">
        <v>10</v>
      </c>
      <c r="AG137" s="2"/>
      <c r="AH137" s="2"/>
    </row>
    <row r="138" spans="1:34" ht="49.95" customHeight="1" x14ac:dyDescent="0.3">
      <c r="A138" s="2" t="s">
        <v>563</v>
      </c>
      <c r="B138" s="1">
        <v>500004</v>
      </c>
      <c r="C138" s="133" t="s">
        <v>564</v>
      </c>
      <c r="D138" s="1" t="s">
        <v>18</v>
      </c>
      <c r="E138" s="1" t="s">
        <v>18</v>
      </c>
      <c r="F138" s="1" t="s">
        <v>30</v>
      </c>
      <c r="G138" s="2">
        <v>0</v>
      </c>
      <c r="H138" s="14">
        <f>SUMIF(ENTRADAS71417[CÓDIGO],PRODUCTOS31316[[#This Row],[CÓDIGO]],ENTRADAS71417[CANTIDAD])</f>
        <v>0</v>
      </c>
      <c r="I138" s="11">
        <f>SUMIF(SALIDAS111518[CÓDIGO],PRODUCTOS31316[[#This Row],[CÓDIGO]],SALIDAS111518[CANTIDAD])</f>
        <v>0</v>
      </c>
      <c r="J138" s="6">
        <f>PRODUCTOS31316[[#This Row],[EXISTENCIAS]]+PRODUCTOS31316[[#This Row],[ENTRADAS]]-PRODUCTOS31316[[#This Row],[SALIDAS]]</f>
        <v>0</v>
      </c>
      <c r="L138" s="2"/>
      <c r="M138" s="276"/>
      <c r="N138" s="276">
        <v>7723</v>
      </c>
      <c r="O138" s="276" t="s">
        <v>2344</v>
      </c>
      <c r="P138" s="16">
        <v>46038</v>
      </c>
      <c r="Q138" s="276" t="s">
        <v>2377</v>
      </c>
      <c r="R138" s="2">
        <f>VLOOKUP(SALIDAS111518[[#This Row],[CÓDIGO]],PRODUCTOS31316[],2,FALSE)</f>
        <v>347439</v>
      </c>
      <c r="S138" s="1" t="str">
        <f>VLOOKUP(SALIDAS111518[[#This Row],[CÓDIGO]],PRODUCTOS31316[],3,FALSE)</f>
        <v>GOBLET AMARILLO 10 MM</v>
      </c>
      <c r="T138" s="2">
        <v>12</v>
      </c>
      <c r="U138" s="2"/>
      <c r="V138" s="2"/>
      <c r="W138" s="276"/>
      <c r="X138" s="2"/>
      <c r="Y138" s="7"/>
      <c r="Z138" s="2" t="s">
        <v>4336</v>
      </c>
      <c r="AA138" s="1" t="s">
        <v>2230</v>
      </c>
      <c r="AB138" s="16">
        <v>46072</v>
      </c>
      <c r="AC138" s="2" t="s">
        <v>168</v>
      </c>
      <c r="AD138" s="1">
        <f>VLOOKUP(ENTRADAS71417[[#This Row],[CÓDIGO]],PRODUCTOS31316[],2,FALSE)</f>
        <v>4840</v>
      </c>
      <c r="AE138" s="1" t="str">
        <f>VLOOKUP(ENTRADAS71417[[#This Row],[CÓDIGO]],PRODUCTOS31316[],3,FALSE)</f>
        <v>PUNTAS BLANCAS UNIVERSALES, PLÁSTICAS, LIBRES DE DNASAS, RNASA Y PIROGENOS, RANGO DE 0.1 A 10UL. (CORTAS).</v>
      </c>
      <c r="AF138" s="2">
        <v>10</v>
      </c>
      <c r="AG138" s="2"/>
      <c r="AH138" s="2">
        <v>49</v>
      </c>
    </row>
    <row r="139" spans="1:34" ht="49.95" customHeight="1" x14ac:dyDescent="0.3">
      <c r="A139" s="2" t="s">
        <v>566</v>
      </c>
      <c r="B139" s="1">
        <v>4402784</v>
      </c>
      <c r="C139" s="1" t="s">
        <v>567</v>
      </c>
      <c r="D139" s="1" t="s">
        <v>568</v>
      </c>
      <c r="E139" s="1" t="s">
        <v>569</v>
      </c>
      <c r="F139" s="1" t="s">
        <v>124</v>
      </c>
      <c r="G139" s="2">
        <v>0</v>
      </c>
      <c r="H139" s="14">
        <f>SUMIF(ENTRADAS71417[CÓDIGO],PRODUCTOS31316[[#This Row],[CÓDIGO]],ENTRADAS71417[CANTIDAD])</f>
        <v>0</v>
      </c>
      <c r="I139" s="11">
        <f>SUMIF(SALIDAS111518[CÓDIGO],PRODUCTOS31316[[#This Row],[CÓDIGO]],SALIDAS111518[CANTIDAD])</f>
        <v>0</v>
      </c>
      <c r="J139" s="6">
        <f>PRODUCTOS31316[[#This Row],[EXISTENCIAS]]+PRODUCTOS31316[[#This Row],[ENTRADAS]]-PRODUCTOS31316[[#This Row],[SALIDAS]]</f>
        <v>0</v>
      </c>
      <c r="L139" s="276" t="s">
        <v>3520</v>
      </c>
      <c r="M139" s="276" t="s">
        <v>3653</v>
      </c>
      <c r="N139" s="2" t="s">
        <v>3804</v>
      </c>
      <c r="O139" s="276" t="s">
        <v>2204</v>
      </c>
      <c r="P139" s="16">
        <v>46041</v>
      </c>
      <c r="Q139" s="276" t="s">
        <v>3026</v>
      </c>
      <c r="R139" s="2" t="str">
        <f>VLOOKUP(SALIDAS111518[[#This Row],[CÓDIGO]],PRODUCTOS31316[],2,FALSE)</f>
        <v>MCTB020</v>
      </c>
      <c r="S139" s="1" t="str">
        <f>VLOOKUP(SALIDAS111518[[#This Row],[CÓDIGO]],PRODUCTOS31316[],3,FALSE)</f>
        <v>TUBO EPPENDORF DE 2,0 ML</v>
      </c>
      <c r="T139" s="2">
        <v>2</v>
      </c>
      <c r="U139" s="2">
        <v>31</v>
      </c>
      <c r="V139" s="2"/>
      <c r="W139" s="2"/>
      <c r="X139" s="2"/>
      <c r="Y139" s="7"/>
      <c r="Z139" s="2" t="s">
        <v>4372</v>
      </c>
      <c r="AA139" s="1" t="s">
        <v>4373</v>
      </c>
      <c r="AB139" s="16">
        <v>46092</v>
      </c>
      <c r="AC139" s="2" t="s">
        <v>2938</v>
      </c>
      <c r="AD139" s="1" t="str">
        <f>VLOOKUP(ENTRADAS71417[[#This Row],[CÓDIGO]],PRODUCTOS31316[],2,FALSE)</f>
        <v>UT01</v>
      </c>
      <c r="AE139" s="1" t="str">
        <f>VLOOKUP(ENTRADAS71417[[#This Row],[CÓDIGO]],PRODUCTOS31316[],3,FALSE)</f>
        <v>MEDIDOR DE GRASA DORSAL UT01</v>
      </c>
      <c r="AF139" s="2">
        <v>1</v>
      </c>
      <c r="AG139" s="2"/>
      <c r="AH139" s="2">
        <v>50</v>
      </c>
    </row>
    <row r="140" spans="1:34" ht="49.95" customHeight="1" x14ac:dyDescent="0.3">
      <c r="A140" s="2" t="s">
        <v>202</v>
      </c>
      <c r="B140" s="1">
        <v>4402698</v>
      </c>
      <c r="C140" s="1" t="s">
        <v>571</v>
      </c>
      <c r="D140" s="1" t="s">
        <v>568</v>
      </c>
      <c r="E140" s="1" t="s">
        <v>569</v>
      </c>
      <c r="F140" s="1" t="s">
        <v>124</v>
      </c>
      <c r="G140" s="2">
        <v>0</v>
      </c>
      <c r="H140" s="14">
        <f>SUMIF(ENTRADAS71417[CÓDIGO],PRODUCTOS31316[[#This Row],[CÓDIGO]],ENTRADAS71417[CANTIDAD])</f>
        <v>0</v>
      </c>
      <c r="I140" s="11">
        <f>SUMIF(SALIDAS111518[CÓDIGO],PRODUCTOS31316[[#This Row],[CÓDIGO]],SALIDAS111518[CANTIDAD])</f>
        <v>0</v>
      </c>
      <c r="J140" s="6">
        <f>PRODUCTOS31316[[#This Row],[EXISTENCIAS]]+PRODUCTOS31316[[#This Row],[ENTRADAS]]-PRODUCTOS31316[[#This Row],[SALIDAS]]</f>
        <v>0</v>
      </c>
      <c r="L140" s="2"/>
      <c r="M140" s="2"/>
      <c r="N140" s="2">
        <v>7733</v>
      </c>
      <c r="O140" s="276" t="s">
        <v>2204</v>
      </c>
      <c r="P140" s="16">
        <v>46041</v>
      </c>
      <c r="Q140" s="276" t="s">
        <v>602</v>
      </c>
      <c r="R140" s="2">
        <f>VLOOKUP(SALIDAS111518[[#This Row],[CÓDIGO]],PRODUCTOS31316[],2,FALSE)</f>
        <v>4845</v>
      </c>
      <c r="S140" s="1" t="str">
        <f>VLOOKUP(SALIDAS111518[[#This Row],[CÓDIGO]],PRODUCTOS31316[],3,FALSE)</f>
        <v>PUNTAS AMARILLAS, UNIVERSALES. PLASTICAS, NO ESTERIL. LIBRES DE RNASE, DNASE Y PYROGENOS. RANGO DE 1-200UL. BOLSA X1000UDS.</v>
      </c>
      <c r="T140" s="2">
        <v>20</v>
      </c>
      <c r="U140" s="2"/>
      <c r="V140" s="2"/>
      <c r="W140" s="2"/>
      <c r="X140" s="2"/>
      <c r="Y140" s="7"/>
      <c r="Z140" s="2">
        <v>26838</v>
      </c>
      <c r="AA140" s="313" t="s">
        <v>4194</v>
      </c>
      <c r="AB140" s="16">
        <v>46093</v>
      </c>
      <c r="AC140" s="314" t="s">
        <v>4386</v>
      </c>
      <c r="AD140" s="1">
        <f>VLOOKUP(ENTRADAS71417[[#This Row],[CÓDIGO]],PRODUCTOS31316[],2,FALSE)</f>
        <v>754001</v>
      </c>
      <c r="AE140" s="1" t="str">
        <f>VLOOKUP(ENTRADAS71417[[#This Row],[CÓDIGO]],PRODUCTOS31316[],3,FALSE)</f>
        <v>CAJA PETRI DESECHABLE ESTERIL 60X15MM MARCA: NEST</v>
      </c>
      <c r="AF140" s="2">
        <v>75</v>
      </c>
      <c r="AG140" s="2"/>
      <c r="AH140" s="314" t="s">
        <v>4395</v>
      </c>
    </row>
    <row r="141" spans="1:34" ht="49.95" customHeight="1" x14ac:dyDescent="0.3">
      <c r="A141" s="2" t="s">
        <v>573</v>
      </c>
      <c r="B141" s="1" t="s">
        <v>574</v>
      </c>
      <c r="C141" s="1" t="s">
        <v>575</v>
      </c>
      <c r="D141" s="1" t="s">
        <v>364</v>
      </c>
      <c r="E141" s="1" t="s">
        <v>183</v>
      </c>
      <c r="F141" s="1" t="s">
        <v>377</v>
      </c>
      <c r="G141" s="2">
        <v>0</v>
      </c>
      <c r="H141" s="14">
        <f>SUMIF(ENTRADAS71417[CÓDIGO],PRODUCTOS31316[[#This Row],[CÓDIGO]],ENTRADAS71417[CANTIDAD])</f>
        <v>0</v>
      </c>
      <c r="I141" s="11">
        <f>SUMIF(SALIDAS111518[CÓDIGO],PRODUCTOS31316[[#This Row],[CÓDIGO]],SALIDAS111518[CANTIDAD])</f>
        <v>0</v>
      </c>
      <c r="J141" s="6">
        <f>PRODUCTOS31316[[#This Row],[EXISTENCIAS]]+PRODUCTOS31316[[#This Row],[ENTRADAS]]-PRODUCTOS31316[[#This Row],[SALIDAS]]</f>
        <v>0</v>
      </c>
      <c r="L141" s="2"/>
      <c r="M141" s="2"/>
      <c r="N141" s="2">
        <v>7733</v>
      </c>
      <c r="O141" s="276" t="s">
        <v>2204</v>
      </c>
      <c r="P141" s="16">
        <v>46041</v>
      </c>
      <c r="Q141" s="276" t="s">
        <v>3639</v>
      </c>
      <c r="R141" s="2">
        <f>VLOOKUP(SALIDAS111518[[#This Row],[CÓDIGO]],PRODUCTOS31316[],2,FALSE)</f>
        <v>5565</v>
      </c>
      <c r="S141" s="1" t="str">
        <f>VLOOKUP(SALIDAS111518[[#This Row],[CÓDIGO]],PRODUCTOS31316[],3,FALSE)</f>
        <v>PAJUELA TRANSPARENTE 0.25/ PAQ. X 2000 MARCA IMV</v>
      </c>
      <c r="T141" s="2">
        <v>2</v>
      </c>
      <c r="U141" s="2"/>
      <c r="V141" s="2"/>
      <c r="W141" s="2"/>
      <c r="X141" s="2"/>
      <c r="Y141" s="7"/>
      <c r="Z141" s="2">
        <v>26760</v>
      </c>
      <c r="AA141" s="313" t="s">
        <v>4194</v>
      </c>
      <c r="AB141" s="16">
        <v>46093</v>
      </c>
      <c r="AC141" s="314" t="s">
        <v>1637</v>
      </c>
      <c r="AD141" s="1" t="str">
        <f>VLOOKUP(ENTRADAS71417[[#This Row],[CÓDIGO]],PRODUCTOS31316[],2,FALSE)</f>
        <v>P22X22</v>
      </c>
      <c r="AE141" s="1" t="str">
        <f>VLOOKUP(ENTRADAS71417[[#This Row],[CÓDIGO]],PRODUCTOS31316[],3,FALSE)</f>
        <v>LAMINA CUBRE OBJETO EN VIDRIO 22X22</v>
      </c>
      <c r="AF141" s="2">
        <v>8</v>
      </c>
      <c r="AG141" s="2"/>
      <c r="AH141" s="2">
        <v>52</v>
      </c>
    </row>
    <row r="142" spans="1:34" ht="49.95" customHeight="1" x14ac:dyDescent="0.3">
      <c r="A142" s="2" t="s">
        <v>577</v>
      </c>
      <c r="B142" s="1" t="s">
        <v>578</v>
      </c>
      <c r="C142" s="1" t="s">
        <v>579</v>
      </c>
      <c r="D142" s="1" t="s">
        <v>580</v>
      </c>
      <c r="F142" s="1" t="s">
        <v>124</v>
      </c>
      <c r="G142" s="2">
        <v>0</v>
      </c>
      <c r="H142" s="14">
        <f>SUMIF(ENTRADAS71417[CÓDIGO],PRODUCTOS31316[[#This Row],[CÓDIGO]],ENTRADAS71417[CANTIDAD])</f>
        <v>0</v>
      </c>
      <c r="I142" s="11">
        <f>SUMIF(SALIDAS111518[CÓDIGO],PRODUCTOS31316[[#This Row],[CÓDIGO]],SALIDAS111518[CANTIDAD])</f>
        <v>0</v>
      </c>
      <c r="J142" s="6">
        <f>PRODUCTOS31316[[#This Row],[EXISTENCIAS]]+PRODUCTOS31316[[#This Row],[ENTRADAS]]-PRODUCTOS31316[[#This Row],[SALIDAS]]</f>
        <v>0</v>
      </c>
      <c r="L142" s="2"/>
      <c r="M142" s="2"/>
      <c r="N142" s="2">
        <v>7733</v>
      </c>
      <c r="O142" s="276" t="s">
        <v>2204</v>
      </c>
      <c r="P142" s="16">
        <v>46041</v>
      </c>
      <c r="Q142" s="276" t="s">
        <v>3323</v>
      </c>
      <c r="R142" s="2">
        <f>VLOOKUP(SALIDAS111518[[#This Row],[CÓDIGO]],PRODUCTOS31316[],2,FALSE)</f>
        <v>9006007</v>
      </c>
      <c r="S142" s="1" t="str">
        <f>VLOOKUP(SALIDAS111518[[#This Row],[CÓDIGO]],PRODUCTOS31316[],3,FALSE)</f>
        <v>LACRADOR LARGO GRIS</v>
      </c>
      <c r="T142" s="2">
        <v>5</v>
      </c>
      <c r="U142" s="2"/>
      <c r="V142" s="2"/>
      <c r="W142" s="2"/>
      <c r="X142" s="2"/>
      <c r="Y142" s="7"/>
      <c r="Z142" s="2">
        <v>26760</v>
      </c>
      <c r="AA142" s="313" t="s">
        <v>4194</v>
      </c>
      <c r="AB142" s="16">
        <v>46093</v>
      </c>
      <c r="AC142" s="314" t="s">
        <v>3165</v>
      </c>
      <c r="AD142" s="1">
        <f>VLOOKUP(ENTRADAS71417[[#This Row],[CÓDIGO]],PRODUCTOS31316[],2,FALSE)</f>
        <v>30943</v>
      </c>
      <c r="AE142" s="1" t="str">
        <f>VLOOKUP(ENTRADAS71417[[#This Row],[CÓDIGO]],PRODUCTOS31316[],3,FALSE)</f>
        <v xml:space="preserve">CAJA PETRI DESECHABLE ESTERIL 90X 15 </v>
      </c>
      <c r="AF142" s="2">
        <v>50</v>
      </c>
      <c r="AG142" s="2"/>
      <c r="AH142" s="2"/>
    </row>
    <row r="143" spans="1:34" ht="49.95" customHeight="1" x14ac:dyDescent="0.3">
      <c r="A143" s="2" t="s">
        <v>582</v>
      </c>
      <c r="B143" s="1">
        <v>501007</v>
      </c>
      <c r="C143" s="133" t="s">
        <v>583</v>
      </c>
      <c r="D143" s="1" t="s">
        <v>18</v>
      </c>
      <c r="E143" s="1" t="s">
        <v>18</v>
      </c>
      <c r="F143" s="1" t="s">
        <v>30</v>
      </c>
      <c r="G143" s="2">
        <v>0</v>
      </c>
      <c r="H143" s="14">
        <f>SUMIF(ENTRADAS71417[CÓDIGO],PRODUCTOS31316[[#This Row],[CÓDIGO]],ENTRADAS71417[CANTIDAD])</f>
        <v>0</v>
      </c>
      <c r="I143" s="11">
        <f>SUMIF(SALIDAS111518[CÓDIGO],PRODUCTOS31316[[#This Row],[CÓDIGO]],SALIDAS111518[CANTIDAD])</f>
        <v>0</v>
      </c>
      <c r="J143" s="6">
        <f>PRODUCTOS31316[[#This Row],[EXISTENCIAS]]+PRODUCTOS31316[[#This Row],[ENTRADAS]]-PRODUCTOS31316[[#This Row],[SALIDAS]]</f>
        <v>0</v>
      </c>
      <c r="L143" s="276" t="s">
        <v>3520</v>
      </c>
      <c r="M143" s="276" t="s">
        <v>3653</v>
      </c>
      <c r="N143" s="1" t="s">
        <v>4316</v>
      </c>
      <c r="O143" s="276" t="s">
        <v>3272</v>
      </c>
      <c r="P143" s="16">
        <v>46086</v>
      </c>
      <c r="Q143" s="276" t="s">
        <v>561</v>
      </c>
      <c r="R143" s="2">
        <f>VLOOKUP(SALIDAS111518[[#This Row],[CÓDIGO]],PRODUCTOS31316[],2,FALSE)</f>
        <v>502018</v>
      </c>
      <c r="S143" s="1" t="str">
        <f>VLOOKUP(SALIDAS111518[[#This Row],[CÓDIGO]],PRODUCTOS31316[],3,FALSE)</f>
        <v>PLATINA DE MESA MA 3320/ MA 3322</v>
      </c>
      <c r="T143" s="2">
        <v>1</v>
      </c>
      <c r="U143" s="2">
        <v>403</v>
      </c>
      <c r="V143" s="2"/>
      <c r="W143" s="2"/>
      <c r="X143" s="2"/>
      <c r="Y143" s="7"/>
      <c r="Z143" s="15">
        <v>26760</v>
      </c>
      <c r="AA143" s="315" t="s">
        <v>4194</v>
      </c>
      <c r="AB143" s="15"/>
      <c r="AC143" s="302" t="s">
        <v>75</v>
      </c>
      <c r="AD143" s="54" t="str">
        <f>VLOOKUP(ENTRADAS71417[[#This Row],[CÓDIGO]],PRODUCTOS31316[],2,FALSE)</f>
        <v>18130E</v>
      </c>
      <c r="AE143" s="54" t="str">
        <f>VLOOKUP(ENTRADAS71417[[#This Row],[CÓDIGO]],PRODUCTOS31316[],3,FALSE)</f>
        <v>CAJA PETRI DESECHABLE ESTERIL 60X15 MM</v>
      </c>
      <c r="AF143" s="15"/>
      <c r="AG143" s="15">
        <v>420</v>
      </c>
      <c r="AH143" s="15"/>
    </row>
    <row r="144" spans="1:34" ht="49.95" customHeight="1" x14ac:dyDescent="0.3">
      <c r="A144" s="2" t="s">
        <v>585</v>
      </c>
      <c r="C144" s="1" t="s">
        <v>586</v>
      </c>
      <c r="D144" s="1" t="s">
        <v>103</v>
      </c>
      <c r="F144" s="1" t="s">
        <v>41</v>
      </c>
      <c r="G144" s="2">
        <v>0</v>
      </c>
      <c r="H144" s="14">
        <f>SUMIF(ENTRADAS71417[CÓDIGO],PRODUCTOS31316[[#This Row],[CÓDIGO]],ENTRADAS71417[CANTIDAD])</f>
        <v>0</v>
      </c>
      <c r="I144" s="11">
        <f>SUMIF(SALIDAS111518[CÓDIGO],PRODUCTOS31316[[#This Row],[CÓDIGO]],SALIDAS111518[CANTIDAD])</f>
        <v>0</v>
      </c>
      <c r="J144" s="6">
        <f>PRODUCTOS31316[[#This Row],[EXISTENCIAS]]+PRODUCTOS31316[[#This Row],[ENTRADAS]]-PRODUCTOS31316[[#This Row],[SALIDAS]]</f>
        <v>0</v>
      </c>
      <c r="L144" s="276" t="s">
        <v>3520</v>
      </c>
      <c r="M144" s="276" t="s">
        <v>3653</v>
      </c>
      <c r="N144" s="290" t="s">
        <v>3975</v>
      </c>
      <c r="O144" s="276" t="s">
        <v>3272</v>
      </c>
      <c r="P144" s="16">
        <v>46050</v>
      </c>
      <c r="Q144" s="276" t="s">
        <v>273</v>
      </c>
      <c r="R144" s="2">
        <f>VLOOKUP(SALIDAS111518[[#This Row],[CÓDIGO]],PRODUCTOS31316[],2,FALSE)</f>
        <v>1003514</v>
      </c>
      <c r="S144" s="1" t="str">
        <f>VLOOKUP(SALIDAS111518[[#This Row],[CÓDIGO]],PRODUCTOS31316[],3,FALSE)</f>
        <v>JALEA CONDUCTIVA (GEL ULTRASONICO) GALON X 3785 ML AZUL</v>
      </c>
      <c r="T144" s="2">
        <v>1</v>
      </c>
      <c r="U144" s="2">
        <v>198</v>
      </c>
      <c r="V144" s="2"/>
      <c r="W144" s="2"/>
      <c r="X144" s="2"/>
      <c r="Y144" s="7"/>
      <c r="Z144" s="2">
        <v>16362</v>
      </c>
      <c r="AA144" s="313" t="s">
        <v>2744</v>
      </c>
      <c r="AB144" s="16">
        <v>46101</v>
      </c>
      <c r="AC144" s="314" t="s">
        <v>458</v>
      </c>
      <c r="AD144" s="1">
        <f>VLOOKUP(ENTRADAS71417[[#This Row],[CÓDIGO]],PRODUCTOS31316[],2,FALSE)</f>
        <v>0</v>
      </c>
      <c r="AE144" s="1" t="str">
        <f>VLOOKUP(ENTRADAS71417[[#This Row],[CÓDIGO]],PRODUCTOS31316[],3,FALSE)</f>
        <v>GOBLET DE 13 MM BLANCOS</v>
      </c>
      <c r="AF144" s="2">
        <v>20</v>
      </c>
      <c r="AG144" s="2"/>
      <c r="AH144" s="2">
        <v>65</v>
      </c>
    </row>
    <row r="145" spans="1:34" ht="49.95" customHeight="1" x14ac:dyDescent="0.3">
      <c r="A145" s="2" t="s">
        <v>25</v>
      </c>
      <c r="C145" s="1" t="s">
        <v>589</v>
      </c>
      <c r="D145" s="1" t="s">
        <v>166</v>
      </c>
      <c r="E145" s="1" t="s">
        <v>590</v>
      </c>
      <c r="F145" s="1" t="s">
        <v>30</v>
      </c>
      <c r="G145" s="2">
        <v>303</v>
      </c>
      <c r="H145" s="14">
        <f>SUMIF(ENTRADAS71417[CÓDIGO],PRODUCTOS31316[[#This Row],[CÓDIGO]],ENTRADAS71417[CANTIDAD])</f>
        <v>0</v>
      </c>
      <c r="I145" s="11">
        <f>SUMIF(SALIDAS111518[CÓDIGO],PRODUCTOS31316[[#This Row],[CÓDIGO]],SALIDAS111518[CANTIDAD])</f>
        <v>124</v>
      </c>
      <c r="J145" s="6">
        <f>PRODUCTOS31316[[#This Row],[EXISTENCIAS]]+PRODUCTOS31316[[#This Row],[ENTRADAS]]-PRODUCTOS31316[[#This Row],[SALIDAS]]</f>
        <v>179</v>
      </c>
      <c r="L145" s="2"/>
      <c r="M145" s="2"/>
      <c r="N145" s="2">
        <v>7833</v>
      </c>
      <c r="O145" s="276" t="s">
        <v>3272</v>
      </c>
      <c r="P145" s="16">
        <v>46050</v>
      </c>
      <c r="Q145" s="276" t="s">
        <v>33</v>
      </c>
      <c r="R145" s="2" t="str">
        <f>VLOOKUP(SALIDAS111518[[#This Row],[CÓDIGO]],PRODUCTOS31316[],2,FALSE)</f>
        <v>LA-120 /506003</v>
      </c>
      <c r="S145" s="1" t="str">
        <f>VLOOKUP(SALIDAS111518[[#This Row],[CÓDIGO]],PRODUCTOS31316[],3,FALSE)</f>
        <v>LíNEA PARA OPU 1,2 METROS</v>
      </c>
      <c r="T145" s="2">
        <v>6</v>
      </c>
      <c r="U145" s="2"/>
      <c r="V145" s="2"/>
      <c r="W145" s="2"/>
      <c r="X145" s="2"/>
      <c r="Y145" s="7"/>
      <c r="Z145" s="2">
        <v>16362</v>
      </c>
      <c r="AA145" s="313" t="s">
        <v>2744</v>
      </c>
      <c r="AB145" s="16">
        <v>46101</v>
      </c>
      <c r="AC145" s="314" t="s">
        <v>382</v>
      </c>
      <c r="AD145" s="1">
        <f>VLOOKUP(ENTRADAS71417[[#This Row],[CÓDIGO]],PRODUCTOS31316[],2,FALSE)</f>
        <v>605032</v>
      </c>
      <c r="AE145" s="1" t="str">
        <f>VLOOKUP(ENTRADAS71417[[#This Row],[CÓDIGO]],PRODUCTOS31316[],3,FALSE)</f>
        <v>LUBRICANTE OB, NO ESPERMICIDA</v>
      </c>
      <c r="AF145" s="2">
        <v>12</v>
      </c>
      <c r="AG145" s="2"/>
      <c r="AH145" s="2"/>
    </row>
    <row r="146" spans="1:34" ht="49.95" customHeight="1" x14ac:dyDescent="0.3">
      <c r="A146" s="2" t="s">
        <v>591</v>
      </c>
      <c r="C146" s="1" t="s">
        <v>592</v>
      </c>
      <c r="D146" s="1" t="s">
        <v>822</v>
      </c>
      <c r="E146" s="1" t="s">
        <v>593</v>
      </c>
      <c r="F146" s="1" t="s">
        <v>124</v>
      </c>
      <c r="G146" s="2">
        <v>0</v>
      </c>
      <c r="H146" s="14">
        <f>SUMIF(ENTRADAS71417[CÓDIGO],PRODUCTOS31316[[#This Row],[CÓDIGO]],ENTRADAS71417[CANTIDAD])</f>
        <v>0</v>
      </c>
      <c r="I146" s="11">
        <f>SUMIF(SALIDAS111518[CÓDIGO],PRODUCTOS31316[[#This Row],[CÓDIGO]],SALIDAS111518[CANTIDAD])</f>
        <v>0</v>
      </c>
      <c r="J146" s="6">
        <f>PRODUCTOS31316[[#This Row],[EXISTENCIAS]]+PRODUCTOS31316[[#This Row],[ENTRADAS]]-PRODUCTOS31316[[#This Row],[SALIDAS]]</f>
        <v>0</v>
      </c>
      <c r="L146" s="2"/>
      <c r="M146" s="276"/>
      <c r="N146" s="276">
        <v>7833</v>
      </c>
      <c r="O146" s="276" t="s">
        <v>3272</v>
      </c>
      <c r="P146" s="16">
        <v>46050</v>
      </c>
      <c r="Q146" s="276" t="s">
        <v>167</v>
      </c>
      <c r="R146" s="2" t="str">
        <f>VLOOKUP(SALIDAS111518[[#This Row],[CÓDIGO]],PRODUCTOS31316[],2,FALSE)</f>
        <v>50050-1</v>
      </c>
      <c r="S146" s="1" t="str">
        <f>VLOOKUP(SALIDAS111518[[#This Row],[CÓDIGO]],PRODUCTOS31316[],3,FALSE)</f>
        <v>TUBO CONICO PLUG, AUTOCLAVABLE ESTERIL  TAPA ROSCA DE 50 ML</v>
      </c>
      <c r="T146" s="2">
        <v>1</v>
      </c>
      <c r="U146" s="2"/>
      <c r="V146" s="2"/>
      <c r="W146" s="276"/>
      <c r="X146" s="2"/>
      <c r="Y146" s="7"/>
      <c r="Z146" s="2">
        <v>16362</v>
      </c>
      <c r="AA146" s="313" t="s">
        <v>2744</v>
      </c>
      <c r="AB146" s="16">
        <v>46101</v>
      </c>
      <c r="AC146" s="314" t="s">
        <v>1006</v>
      </c>
      <c r="AD146" s="1" t="str">
        <f>VLOOKUP(ENTRADAS71417[[#This Row],[CÓDIGO]],PRODUCTOS31316[],2,FALSE)</f>
        <v>44-0200</v>
      </c>
      <c r="AE146" s="1" t="str">
        <f>VLOOKUP(ENTRADAS71417[[#This Row],[CÓDIGO]],PRODUCTOS31316[],3,FALSE)</f>
        <v>POLVO SELLADOR DE PAJILLAS COLOR BLANCO, 750GR</v>
      </c>
      <c r="AF146" s="2">
        <v>1</v>
      </c>
      <c r="AG146" s="2"/>
      <c r="AH146" s="2"/>
    </row>
    <row r="147" spans="1:34" ht="49.95" customHeight="1" x14ac:dyDescent="0.3">
      <c r="A147" s="2" t="s">
        <v>594</v>
      </c>
      <c r="B147" s="1">
        <v>132030</v>
      </c>
      <c r="C147" s="74" t="s">
        <v>595</v>
      </c>
      <c r="D147" s="1" t="s">
        <v>88</v>
      </c>
      <c r="E147" s="1" t="s">
        <v>24</v>
      </c>
      <c r="F147" s="1" t="s">
        <v>30</v>
      </c>
      <c r="G147" s="2">
        <v>0</v>
      </c>
      <c r="H147" s="14">
        <f>SUMIF(ENTRADAS71417[CÓDIGO],PRODUCTOS31316[[#This Row],[CÓDIGO]],ENTRADAS71417[CANTIDAD])</f>
        <v>0</v>
      </c>
      <c r="I147" s="11">
        <f>SUMIF(SALIDAS111518[CÓDIGO],PRODUCTOS31316[[#This Row],[CÓDIGO]],SALIDAS111518[CANTIDAD])</f>
        <v>0</v>
      </c>
      <c r="J147" s="6">
        <f>PRODUCTOS31316[[#This Row],[EXISTENCIAS]]+PRODUCTOS31316[[#This Row],[ENTRADAS]]-PRODUCTOS31316[[#This Row],[SALIDAS]]</f>
        <v>0</v>
      </c>
      <c r="L147" s="2"/>
      <c r="M147" s="2"/>
      <c r="N147" s="276">
        <v>7833</v>
      </c>
      <c r="O147" s="276" t="s">
        <v>3272</v>
      </c>
      <c r="P147" s="16">
        <v>46050</v>
      </c>
      <c r="Q147" s="276" t="s">
        <v>3095</v>
      </c>
      <c r="R147" s="2">
        <f>VLOOKUP(SALIDAS111518[[#This Row],[CÓDIGO]],PRODUCTOS31316[],2,FALSE)</f>
        <v>0</v>
      </c>
      <c r="S147" s="1" t="str">
        <f>VLOOKUP(SALIDAS111518[[#This Row],[CÓDIGO]],PRODUCTOS31316[],3,FALSE)</f>
        <v>GORRA MAS CAMPO</v>
      </c>
      <c r="T147" s="2">
        <v>1</v>
      </c>
      <c r="U147" s="2"/>
      <c r="V147" s="2"/>
      <c r="W147" s="2"/>
      <c r="X147" s="2"/>
      <c r="Y147" s="7"/>
      <c r="Z147" s="2">
        <v>16363</v>
      </c>
      <c r="AA147" s="313" t="s">
        <v>2744</v>
      </c>
      <c r="AB147" s="16">
        <v>46101</v>
      </c>
      <c r="AC147" s="314" t="s">
        <v>2306</v>
      </c>
      <c r="AD147" s="1">
        <f>VLOOKUP(ENTRADAS71417[[#This Row],[CÓDIGO]],PRODUCTOS31316[],2,FALSE)</f>
        <v>0</v>
      </c>
      <c r="AE147" s="1" t="str">
        <f>VLOOKUP(ENTRADAS71417[[#This Row],[CÓDIGO]],PRODUCTOS31316[],3,FALSE)</f>
        <v>ESCALERILLAS METÁLICAS DE 10 MM</v>
      </c>
      <c r="AF147" s="2">
        <v>10</v>
      </c>
      <c r="AG147" s="2"/>
      <c r="AH147" s="2">
        <v>66</v>
      </c>
    </row>
    <row r="148" spans="1:34" ht="49.95" customHeight="1" x14ac:dyDescent="0.3">
      <c r="A148" s="2" t="s">
        <v>597</v>
      </c>
      <c r="B148" s="1">
        <v>347510</v>
      </c>
      <c r="C148" s="1" t="s">
        <v>598</v>
      </c>
      <c r="D148" s="1" t="s">
        <v>166</v>
      </c>
      <c r="E148" s="1" t="s">
        <v>24</v>
      </c>
      <c r="F148" s="1" t="s">
        <v>30</v>
      </c>
      <c r="G148" s="2">
        <v>0</v>
      </c>
      <c r="H148" s="14">
        <f>SUMIF(ENTRADAS71417[CÓDIGO],PRODUCTOS31316[[#This Row],[CÓDIGO]],ENTRADAS71417[CANTIDAD])</f>
        <v>0</v>
      </c>
      <c r="I148" s="11">
        <f>SUMIF(SALIDAS111518[CÓDIGO],PRODUCTOS31316[[#This Row],[CÓDIGO]],SALIDAS111518[CANTIDAD])</f>
        <v>0</v>
      </c>
      <c r="J148" s="6">
        <f>PRODUCTOS31316[[#This Row],[EXISTENCIAS]]+PRODUCTOS31316[[#This Row],[ENTRADAS]]-PRODUCTOS31316[[#This Row],[SALIDAS]]</f>
        <v>0</v>
      </c>
      <c r="L148" s="276" t="s">
        <v>3520</v>
      </c>
      <c r="M148" s="276" t="s">
        <v>3653</v>
      </c>
      <c r="N148" s="280" t="s">
        <v>3801</v>
      </c>
      <c r="O148" s="276" t="s">
        <v>713</v>
      </c>
      <c r="P148" s="16">
        <v>46041</v>
      </c>
      <c r="Q148" s="276" t="s">
        <v>75</v>
      </c>
      <c r="R148" s="2" t="str">
        <f>VLOOKUP(SALIDAS111518[[#This Row],[CÓDIGO]],PRODUCTOS31316[],2,FALSE)</f>
        <v>18130E</v>
      </c>
      <c r="S148" s="1" t="str">
        <f>VLOOKUP(SALIDAS111518[[#This Row],[CÓDIGO]],PRODUCTOS31316[],3,FALSE)</f>
        <v>CAJA PETRI DESECHABLE ESTERIL 60X15 MM</v>
      </c>
      <c r="T148" s="2">
        <v>100</v>
      </c>
      <c r="U148" s="2">
        <v>71</v>
      </c>
      <c r="V148" s="2"/>
      <c r="W148" s="2"/>
      <c r="X148" s="2"/>
      <c r="Y148" s="7"/>
      <c r="Z148" s="2">
        <v>16361</v>
      </c>
      <c r="AA148" s="313" t="s">
        <v>2744</v>
      </c>
      <c r="AB148" s="16">
        <v>46101</v>
      </c>
      <c r="AC148" s="314" t="s">
        <v>1681</v>
      </c>
      <c r="AD148" s="1">
        <f>VLOOKUP(ENTRADAS71417[[#This Row],[CÓDIGO]],PRODUCTOS31316[],2,FALSE)</f>
        <v>347430</v>
      </c>
      <c r="AE148" s="1" t="str">
        <f>VLOOKUP(ENTRADAS71417[[#This Row],[CÓDIGO]],PRODUCTOS31316[],3,FALSE)</f>
        <v>GOBLETS BLANCOS DE 10 MM</v>
      </c>
      <c r="AF148" s="2">
        <v>20</v>
      </c>
      <c r="AG148" s="2"/>
      <c r="AH148" s="2">
        <v>67</v>
      </c>
    </row>
    <row r="149" spans="1:34" ht="49.95" customHeight="1" x14ac:dyDescent="0.3">
      <c r="A149" s="2" t="s">
        <v>599</v>
      </c>
      <c r="B149" s="1">
        <v>100851108</v>
      </c>
      <c r="C149" s="93" t="s">
        <v>600</v>
      </c>
      <c r="D149" s="1" t="s">
        <v>601</v>
      </c>
      <c r="E149" s="1" t="s">
        <v>352</v>
      </c>
      <c r="F149" s="1" t="s">
        <v>30</v>
      </c>
      <c r="G149" s="2">
        <v>0</v>
      </c>
      <c r="H149" s="14">
        <f>SUMIF(ENTRADAS71417[CÓDIGO],PRODUCTOS31316[[#This Row],[CÓDIGO]],ENTRADAS71417[CANTIDAD])</f>
        <v>0</v>
      </c>
      <c r="I149" s="11">
        <f>SUMIF(SALIDAS111518[CÓDIGO],PRODUCTOS31316[[#This Row],[CÓDIGO]],SALIDAS111518[CANTIDAD])</f>
        <v>0</v>
      </c>
      <c r="J149" s="6">
        <f>PRODUCTOS31316[[#This Row],[EXISTENCIAS]]+PRODUCTOS31316[[#This Row],[ENTRADAS]]-PRODUCTOS31316[[#This Row],[SALIDAS]]</f>
        <v>0</v>
      </c>
      <c r="L149" s="2"/>
      <c r="M149" s="2"/>
      <c r="N149" s="276">
        <v>7730</v>
      </c>
      <c r="O149" s="276" t="s">
        <v>713</v>
      </c>
      <c r="P149" s="16">
        <v>46041</v>
      </c>
      <c r="Q149" s="276" t="s">
        <v>3639</v>
      </c>
      <c r="R149" s="2">
        <f>VLOOKUP(SALIDAS111518[[#This Row],[CÓDIGO]],PRODUCTOS31316[],2,FALSE)</f>
        <v>5565</v>
      </c>
      <c r="S149" s="1" t="str">
        <f>VLOOKUP(SALIDAS111518[[#This Row],[CÓDIGO]],PRODUCTOS31316[],3,FALSE)</f>
        <v>PAJUELA TRANSPARENTE 0.25/ PAQ. X 2000 MARCA IMV</v>
      </c>
      <c r="T149" s="2">
        <v>2</v>
      </c>
      <c r="U149" s="2"/>
      <c r="V149" s="2"/>
      <c r="W149" s="2"/>
      <c r="X149" s="2"/>
      <c r="Y149" s="7"/>
      <c r="Z149" s="2">
        <v>16361</v>
      </c>
      <c r="AA149" s="313" t="s">
        <v>2744</v>
      </c>
      <c r="AB149" s="16">
        <v>46101</v>
      </c>
      <c r="AC149" s="314" t="s">
        <v>336</v>
      </c>
      <c r="AD149" s="1">
        <f>VLOOKUP(ENTRADAS71417[[#This Row],[CÓDIGO]],PRODUCTOS31316[],2,FALSE)</f>
        <v>0</v>
      </c>
      <c r="AE149" s="1" t="str">
        <f>VLOOKUP(ENTRADAS71417[[#This Row],[CÓDIGO]],PRODUCTOS31316[],3,FALSE)</f>
        <v>ABT PVA CONCENTRAD 20 ML VC ENERO 2027</v>
      </c>
      <c r="AF149" s="2">
        <v>15</v>
      </c>
      <c r="AG149" s="2"/>
      <c r="AH149" s="2"/>
    </row>
    <row r="150" spans="1:34" ht="49.95" customHeight="1" x14ac:dyDescent="0.3">
      <c r="A150" s="2" t="s">
        <v>603</v>
      </c>
      <c r="C150" s="1" t="s">
        <v>604</v>
      </c>
      <c r="D150" s="1" t="s">
        <v>822</v>
      </c>
      <c r="E150" s="1" t="s">
        <v>593</v>
      </c>
      <c r="F150" s="1" t="s">
        <v>605</v>
      </c>
      <c r="G150" s="2">
        <v>0</v>
      </c>
      <c r="H150" s="14">
        <f>SUMIF(ENTRADAS71417[CÓDIGO],PRODUCTOS31316[[#This Row],[CÓDIGO]],ENTRADAS71417[CANTIDAD])</f>
        <v>0</v>
      </c>
      <c r="I150" s="11">
        <f>SUMIF(SALIDAS111518[CÓDIGO],PRODUCTOS31316[[#This Row],[CÓDIGO]],SALIDAS111518[CANTIDAD])</f>
        <v>0</v>
      </c>
      <c r="J150" s="6">
        <f>PRODUCTOS31316[[#This Row],[EXISTENCIAS]]+PRODUCTOS31316[[#This Row],[ENTRADAS]]-PRODUCTOS31316[[#This Row],[SALIDAS]]</f>
        <v>0</v>
      </c>
      <c r="L150" s="2" t="s">
        <v>3520</v>
      </c>
      <c r="M150" s="288" t="s">
        <v>3651</v>
      </c>
      <c r="N150" s="296" t="s">
        <v>4088</v>
      </c>
      <c r="O150" s="276" t="s">
        <v>3788</v>
      </c>
      <c r="P150" s="16">
        <v>46008</v>
      </c>
      <c r="Q150" s="282" t="s">
        <v>648</v>
      </c>
      <c r="R150" s="2" t="str">
        <f>VLOOKUP(SALIDAS111518[[#This Row],[CÓDIGO]],PRODUCTOS31316[],2,FALSE)</f>
        <v>S5</v>
      </c>
      <c r="S150" s="1" t="str">
        <f>VLOOKUP(SALIDAS111518[[#This Row],[CÓDIGO]],PRODUCTOS31316[],3,FALSE)</f>
        <v>SONDA S5 UNIDAD PRINCIPAL CON SONDA LINEAL RECTAL</v>
      </c>
      <c r="T150" s="2">
        <v>1</v>
      </c>
      <c r="U150" s="2">
        <v>269</v>
      </c>
      <c r="V150" s="2"/>
      <c r="W150" s="2"/>
      <c r="X150" s="2"/>
      <c r="Y150" s="7"/>
      <c r="Z150" s="2">
        <v>16361</v>
      </c>
      <c r="AA150" s="313" t="s">
        <v>2744</v>
      </c>
      <c r="AB150" s="16">
        <v>46101</v>
      </c>
      <c r="AC150" s="314" t="s">
        <v>382</v>
      </c>
      <c r="AD150" s="1">
        <f>VLOOKUP(ENTRADAS71417[[#This Row],[CÓDIGO]],PRODUCTOS31316[],2,FALSE)</f>
        <v>605032</v>
      </c>
      <c r="AE150" s="1" t="str">
        <f>VLOOKUP(ENTRADAS71417[[#This Row],[CÓDIGO]],PRODUCTOS31316[],3,FALSE)</f>
        <v>LUBRICANTE OB, NO ESPERMICIDA</v>
      </c>
      <c r="AF150" s="2">
        <v>12</v>
      </c>
      <c r="AG150" s="2"/>
      <c r="AH150" s="2"/>
    </row>
    <row r="151" spans="1:34" ht="49.95" customHeight="1" x14ac:dyDescent="0.3">
      <c r="A151" s="2" t="s">
        <v>608</v>
      </c>
      <c r="B151" s="1">
        <v>1126</v>
      </c>
      <c r="C151" s="1" t="s">
        <v>609</v>
      </c>
      <c r="D151" s="1" t="s">
        <v>103</v>
      </c>
      <c r="E151" s="1" t="s">
        <v>233</v>
      </c>
      <c r="F151" s="1" t="s">
        <v>422</v>
      </c>
      <c r="G151" s="2">
        <v>0</v>
      </c>
      <c r="H151" s="14">
        <f>SUMIF(ENTRADAS71417[CÓDIGO],PRODUCTOS31316[[#This Row],[CÓDIGO]],ENTRADAS71417[CANTIDAD])</f>
        <v>0</v>
      </c>
      <c r="I151" s="11">
        <f>SUMIF(SALIDAS111518[CÓDIGO],PRODUCTOS31316[[#This Row],[CÓDIGO]],SALIDAS111518[CANTIDAD])</f>
        <v>0</v>
      </c>
      <c r="J151" s="6">
        <f>PRODUCTOS31316[[#This Row],[EXISTENCIAS]]+PRODUCTOS31316[[#This Row],[ENTRADAS]]-PRODUCTOS31316[[#This Row],[SALIDAS]]</f>
        <v>0</v>
      </c>
      <c r="L151" s="2"/>
      <c r="M151" s="2"/>
      <c r="N151" s="276">
        <v>7883</v>
      </c>
      <c r="O151" s="276" t="s">
        <v>3788</v>
      </c>
      <c r="P151" s="16">
        <v>46009</v>
      </c>
      <c r="Q151" s="282" t="s">
        <v>3077</v>
      </c>
      <c r="R151" s="2">
        <f>VLOOKUP(SALIDAS111518[[#This Row],[CÓDIGO]],PRODUCTOS31316[],2,FALSE)</f>
        <v>0</v>
      </c>
      <c r="S151" s="1" t="str">
        <f>VLOOKUP(SALIDAS111518[[#This Row],[CÓDIGO]],PRODUCTOS31316[],3,FALSE)</f>
        <v>TABLET GALAXY TAB A 9+ MARCA SANSUNG</v>
      </c>
      <c r="T151" s="2">
        <v>1</v>
      </c>
      <c r="U151" s="2"/>
      <c r="V151" s="2"/>
      <c r="W151" s="2"/>
      <c r="X151" s="2"/>
      <c r="Y151" s="7"/>
      <c r="Z151" s="2">
        <v>16361</v>
      </c>
      <c r="AA151" s="313" t="s">
        <v>2744</v>
      </c>
      <c r="AB151" s="16">
        <v>46101</v>
      </c>
      <c r="AC151" s="314" t="s">
        <v>1006</v>
      </c>
      <c r="AD151" s="1" t="str">
        <f>VLOOKUP(ENTRADAS71417[[#This Row],[CÓDIGO]],PRODUCTOS31316[],2,FALSE)</f>
        <v>44-0200</v>
      </c>
      <c r="AE151" s="1" t="str">
        <f>VLOOKUP(ENTRADAS71417[[#This Row],[CÓDIGO]],PRODUCTOS31316[],3,FALSE)</f>
        <v>POLVO SELLADOR DE PAJILLAS COLOR BLANCO, 750GR</v>
      </c>
      <c r="AF151" s="2">
        <v>2</v>
      </c>
      <c r="AG151" s="2"/>
      <c r="AH151" s="2"/>
    </row>
    <row r="152" spans="1:34" ht="49.95" customHeight="1" x14ac:dyDescent="0.3">
      <c r="A152" s="2" t="s">
        <v>273</v>
      </c>
      <c r="B152" s="1">
        <v>1003514</v>
      </c>
      <c r="C152" s="313" t="s">
        <v>611</v>
      </c>
      <c r="D152" s="1" t="s">
        <v>612</v>
      </c>
      <c r="E152" s="1" t="s">
        <v>569</v>
      </c>
      <c r="F152" s="1" t="s">
        <v>613</v>
      </c>
      <c r="G152" s="2">
        <v>4</v>
      </c>
      <c r="H152" s="14">
        <f>SUMIF(ENTRADAS71417[CÓDIGO],PRODUCTOS31316[[#This Row],[CÓDIGO]],ENTRADAS71417[CANTIDAD])</f>
        <v>36</v>
      </c>
      <c r="I152" s="11">
        <f>SUMIF(SALIDAS111518[CÓDIGO],PRODUCTOS31316[[#This Row],[CÓDIGO]],SALIDAS111518[CANTIDAD])</f>
        <v>41</v>
      </c>
      <c r="J152" s="6">
        <f>PRODUCTOS31316[[#This Row],[EXISTENCIAS]]+PRODUCTOS31316[[#This Row],[ENTRADAS]]-PRODUCTOS31316[[#This Row],[SALIDAS]]</f>
        <v>-1</v>
      </c>
      <c r="L152" s="2"/>
      <c r="M152" s="2"/>
      <c r="N152" s="276">
        <v>7883</v>
      </c>
      <c r="O152" s="276" t="s">
        <v>3788</v>
      </c>
      <c r="P152" s="16">
        <v>46010</v>
      </c>
      <c r="Q152" s="282" t="s">
        <v>3286</v>
      </c>
      <c r="R152" s="2">
        <f>VLOOKUP(SALIDAS111518[[#This Row],[CÓDIGO]],PRODUCTOS31316[],2,FALSE)</f>
        <v>0</v>
      </c>
      <c r="S152" s="1" t="str">
        <f>VLOOKUP(SALIDAS111518[[#This Row],[CÓDIGO]],PRODUCTOS31316[],3,FALSE)</f>
        <v>CARCASA TABLET BMV</v>
      </c>
      <c r="T152" s="2">
        <v>1</v>
      </c>
      <c r="U152" s="2"/>
      <c r="V152" s="2"/>
      <c r="W152" s="2"/>
      <c r="X152" s="2"/>
      <c r="Y152" s="7"/>
      <c r="Z152" s="314" t="s">
        <v>3742</v>
      </c>
      <c r="AA152" s="313" t="s">
        <v>3741</v>
      </c>
      <c r="AB152" s="16">
        <v>46094</v>
      </c>
      <c r="AC152" s="314" t="s">
        <v>4402</v>
      </c>
      <c r="AD152" s="1">
        <f>VLOOKUP(ENTRADAS71417[[#This Row],[CÓDIGO]],PRODUCTOS31316[],2,FALSE)</f>
        <v>0</v>
      </c>
      <c r="AE152" s="1" t="str">
        <f>VLOOKUP(ENTRADAS71417[[#This Row],[CÓDIGO]],PRODUCTOS31316[],3,FALSE)</f>
        <v>PAJILLA TRANSPARENTE DE 0.5 IMV PAQ.X 200 UND</v>
      </c>
      <c r="AF152" s="2">
        <v>20</v>
      </c>
      <c r="AG152" s="2"/>
      <c r="AH152" s="2"/>
    </row>
    <row r="153" spans="1:34" ht="49.95" customHeight="1" x14ac:dyDescent="0.3">
      <c r="A153" s="2" t="s">
        <v>614</v>
      </c>
      <c r="B153" s="1">
        <v>503002</v>
      </c>
      <c r="C153" s="1" t="s">
        <v>615</v>
      </c>
      <c r="D153" s="1" t="s">
        <v>18</v>
      </c>
      <c r="E153" s="1" t="s">
        <v>18</v>
      </c>
      <c r="F153" s="1" t="s">
        <v>30</v>
      </c>
      <c r="G153" s="2">
        <v>0</v>
      </c>
      <c r="H153" s="14">
        <f>SUMIF(ENTRADAS71417[CÓDIGO],PRODUCTOS31316[[#This Row],[CÓDIGO]],ENTRADAS71417[CANTIDAD])</f>
        <v>0</v>
      </c>
      <c r="I153" s="11">
        <f>SUMIF(SALIDAS111518[CÓDIGO],PRODUCTOS31316[[#This Row],[CÓDIGO]],SALIDAS111518[CANTIDAD])</f>
        <v>0</v>
      </c>
      <c r="J153" s="6">
        <f>PRODUCTOS31316[[#This Row],[EXISTENCIAS]]+PRODUCTOS31316[[#This Row],[ENTRADAS]]-PRODUCTOS31316[[#This Row],[SALIDAS]]</f>
        <v>0</v>
      </c>
      <c r="L153" s="276" t="s">
        <v>3520</v>
      </c>
      <c r="M153" s="276" t="s">
        <v>3653</v>
      </c>
      <c r="N153" s="276">
        <v>7883</v>
      </c>
      <c r="O153" s="276" t="s">
        <v>3788</v>
      </c>
      <c r="P153" s="16">
        <v>45674</v>
      </c>
      <c r="Q153" s="276" t="s">
        <v>3075</v>
      </c>
      <c r="R153" s="2">
        <f>VLOOKUP(SALIDAS111518[[#This Row],[CÓDIGO]],PRODUCTOS31316[],2,FALSE)</f>
        <v>0</v>
      </c>
      <c r="S153" s="1" t="str">
        <f>VLOOKUP(SALIDAS111518[[#This Row],[CÓDIGO]],PRODUCTOS31316[],3,FALSE)</f>
        <v>AUTOJAC V3 ELECTROEYACUALADOR MANUAL Y AUTOMÁTICO</v>
      </c>
      <c r="T153" s="2">
        <v>1</v>
      </c>
      <c r="U153" s="2"/>
      <c r="V153" s="2"/>
      <c r="W153" s="2"/>
      <c r="X153" s="2"/>
      <c r="Y153" s="7"/>
      <c r="Z153" s="329" t="s">
        <v>4415</v>
      </c>
      <c r="AA153" s="313" t="s">
        <v>2230</v>
      </c>
      <c r="AB153" s="16">
        <v>46097</v>
      </c>
      <c r="AC153" s="314" t="s">
        <v>168</v>
      </c>
      <c r="AD153" s="1">
        <f>VLOOKUP(ENTRADAS71417[[#This Row],[CÓDIGO]],PRODUCTOS31316[],2,FALSE)</f>
        <v>4840</v>
      </c>
      <c r="AE153" s="1" t="str">
        <f>VLOOKUP(ENTRADAS71417[[#This Row],[CÓDIGO]],PRODUCTOS31316[],3,FALSE)</f>
        <v>PUNTAS BLANCAS UNIVERSALES, PLÁSTICAS, LIBRES DE DNASAS, RNASA Y PIROGENOS, RANGO DE 0.1 A 10UL. (CORTAS).</v>
      </c>
      <c r="AF153" s="2">
        <v>7</v>
      </c>
      <c r="AG153" s="2"/>
      <c r="AH153" s="2">
        <v>56</v>
      </c>
    </row>
    <row r="154" spans="1:34" ht="49.95" customHeight="1" x14ac:dyDescent="0.3">
      <c r="A154" s="2" t="s">
        <v>2301</v>
      </c>
      <c r="B154" s="1">
        <v>4135</v>
      </c>
      <c r="C154" s="1" t="s">
        <v>2302</v>
      </c>
      <c r="D154" s="1" t="s">
        <v>93</v>
      </c>
      <c r="E154" s="1" t="s">
        <v>619</v>
      </c>
      <c r="F154" s="1" t="s">
        <v>30</v>
      </c>
      <c r="G154" s="2">
        <v>0</v>
      </c>
      <c r="H154" s="14">
        <f>SUMIF(ENTRADAS71417[CÓDIGO],PRODUCTOS31316[[#This Row],[CÓDIGO]],ENTRADAS71417[CANTIDAD])</f>
        <v>0</v>
      </c>
      <c r="I154" s="11">
        <f>SUMIF(SALIDAS111518[CÓDIGO],PRODUCTOS31316[[#This Row],[CÓDIGO]],SALIDAS111518[CANTIDAD])</f>
        <v>0</v>
      </c>
      <c r="J154" s="6">
        <f>PRODUCTOS31316[[#This Row],[EXISTENCIAS]]+PRODUCTOS31316[[#This Row],[ENTRADAS]]-PRODUCTOS31316[[#This Row],[SALIDAS]]</f>
        <v>0</v>
      </c>
      <c r="L154" s="276" t="s">
        <v>3520</v>
      </c>
      <c r="M154" s="276" t="s">
        <v>3653</v>
      </c>
      <c r="N154" s="282" t="s">
        <v>3811</v>
      </c>
      <c r="O154" s="276" t="s">
        <v>3789</v>
      </c>
      <c r="P154" s="16">
        <v>46035</v>
      </c>
      <c r="Q154" s="275" t="s">
        <v>2697</v>
      </c>
      <c r="R154" s="2" t="e">
        <f>VLOOKUP(SALIDAS111518[[#This Row],[CÓDIGO]],PRODUCTOS31316[],2,FALSE)</f>
        <v>#N/A</v>
      </c>
      <c r="S154" s="1" t="e">
        <f>VLOOKUP(SALIDAS111518[[#This Row],[CÓDIGO]],PRODUCTOS31316[],3,FALSE)</f>
        <v>#N/A</v>
      </c>
      <c r="T154" s="2">
        <v>1</v>
      </c>
      <c r="U154" s="2"/>
      <c r="V154" s="2"/>
      <c r="W154" s="2"/>
      <c r="X154" s="2"/>
      <c r="Y154" s="7"/>
      <c r="Z154" s="326" t="s">
        <v>4415</v>
      </c>
      <c r="AA154" s="313" t="s">
        <v>2230</v>
      </c>
      <c r="AB154" s="16">
        <v>46097</v>
      </c>
      <c r="AC154" s="314" t="s">
        <v>602</v>
      </c>
      <c r="AD154" s="1">
        <f>VLOOKUP(ENTRADAS71417[[#This Row],[CÓDIGO]],PRODUCTOS31316[],2,FALSE)</f>
        <v>4845</v>
      </c>
      <c r="AE154" s="1" t="str">
        <f>VLOOKUP(ENTRADAS71417[[#This Row],[CÓDIGO]],PRODUCTOS31316[],3,FALSE)</f>
        <v>PUNTAS AMARILLAS, UNIVERSALES. PLASTICAS, NO ESTERIL. LIBRES DE RNASE, DNASE Y PYROGENOS. RANGO DE 1-200UL. BOLSA X1000UDS.</v>
      </c>
      <c r="AF154" s="2">
        <v>30</v>
      </c>
      <c r="AG154" s="2"/>
      <c r="AH154" s="2"/>
    </row>
    <row r="155" spans="1:34" ht="49.95" customHeight="1" x14ac:dyDescent="0.3">
      <c r="A155" s="2" t="s">
        <v>616</v>
      </c>
      <c r="B155" s="1" t="s">
        <v>617</v>
      </c>
      <c r="C155" s="1" t="s">
        <v>82</v>
      </c>
      <c r="D155" s="1" t="s">
        <v>618</v>
      </c>
      <c r="E155" s="1" t="s">
        <v>619</v>
      </c>
      <c r="F155" s="1" t="s">
        <v>30</v>
      </c>
      <c r="G155" s="2">
        <v>0</v>
      </c>
      <c r="H155" s="14">
        <f>SUMIF(ENTRADAS71417[CÓDIGO],PRODUCTOS31316[[#This Row],[CÓDIGO]],ENTRADAS71417[CANTIDAD])</f>
        <v>0</v>
      </c>
      <c r="I155" s="11">
        <f>SUMIF(SALIDAS111518[CÓDIGO],PRODUCTOS31316[[#This Row],[CÓDIGO]],SALIDAS111518[CANTIDAD])</f>
        <v>0</v>
      </c>
      <c r="J155" s="6">
        <f>PRODUCTOS31316[[#This Row],[EXISTENCIAS]]+PRODUCTOS31316[[#This Row],[ENTRADAS]]-PRODUCTOS31316[[#This Row],[SALIDAS]]</f>
        <v>0</v>
      </c>
      <c r="L155" s="276" t="s">
        <v>3520</v>
      </c>
      <c r="M155" s="276" t="s">
        <v>3653</v>
      </c>
      <c r="N155" s="280" t="s">
        <v>3806</v>
      </c>
      <c r="O155" s="276" t="s">
        <v>2693</v>
      </c>
      <c r="P155" s="16">
        <v>46041</v>
      </c>
      <c r="Q155" s="276" t="s">
        <v>2246</v>
      </c>
      <c r="R155" s="2" t="str">
        <f>VLOOKUP(SALIDAS111518[[#This Row],[CÓDIGO]],PRODUCTOS31316[],2,FALSE)</f>
        <v>00051076-02</v>
      </c>
      <c r="S155" s="1" t="str">
        <f>VLOOKUP(SALIDAS111518[[#This Row],[CÓDIGO]],PRODUCTOS31316[],3,FALSE)</f>
        <v>LIDOCAÍNA  HCL 2 % X 100 ML/ 2025-12-16</v>
      </c>
      <c r="T155" s="2">
        <v>60</v>
      </c>
      <c r="U155" s="2">
        <v>82</v>
      </c>
      <c r="V155" s="2"/>
      <c r="W155" s="2"/>
      <c r="X155" s="2"/>
      <c r="Y155" s="7"/>
      <c r="Z155" s="317" t="s">
        <v>4416</v>
      </c>
      <c r="AA155" s="318" t="s">
        <v>4477</v>
      </c>
      <c r="AB155" s="16">
        <v>46097</v>
      </c>
      <c r="AC155" s="314" t="s">
        <v>4417</v>
      </c>
      <c r="AD155" s="1">
        <f>VLOOKUP(ENTRADAS71417[[#This Row],[CÓDIGO]],PRODUCTOS31316[],2,FALSE)</f>
        <v>0</v>
      </c>
      <c r="AE155" s="1" t="str">
        <f>VLOOKUP(ENTRADAS71417[[#This Row],[CÓDIGO]],PRODUCTOS31316[],3,FALSE)</f>
        <v>DISPOSITIVO DE SEPARACIÓN DE ESPERMA BOVINO VETMOTL</v>
      </c>
      <c r="AF155" s="2">
        <v>100</v>
      </c>
      <c r="AG155" s="2"/>
      <c r="AH155" s="2">
        <v>63</v>
      </c>
    </row>
    <row r="156" spans="1:34" ht="49.95" customHeight="1" x14ac:dyDescent="0.3">
      <c r="A156" s="2" t="s">
        <v>620</v>
      </c>
      <c r="B156" s="1">
        <v>1199</v>
      </c>
      <c r="C156" s="1" t="s">
        <v>621</v>
      </c>
      <c r="D156" s="1" t="s">
        <v>103</v>
      </c>
      <c r="E156" s="1" t="s">
        <v>233</v>
      </c>
      <c r="F156" s="1" t="s">
        <v>124</v>
      </c>
      <c r="G156" s="2">
        <v>0</v>
      </c>
      <c r="H156" s="14">
        <f>SUMIF(ENTRADAS71417[CÓDIGO],PRODUCTOS31316[[#This Row],[CÓDIGO]],ENTRADAS71417[CANTIDAD])</f>
        <v>0</v>
      </c>
      <c r="I156" s="11">
        <f>SUMIF(SALIDAS111518[CÓDIGO],PRODUCTOS31316[[#This Row],[CÓDIGO]],SALIDAS111518[CANTIDAD])</f>
        <v>0</v>
      </c>
      <c r="J156" s="6">
        <f>PRODUCTOS31316[[#This Row],[EXISTENCIAS]]+PRODUCTOS31316[[#This Row],[ENTRADAS]]-PRODUCTOS31316[[#This Row],[SALIDAS]]</f>
        <v>0</v>
      </c>
      <c r="L156" s="276"/>
      <c r="M156" s="276"/>
      <c r="N156" s="276">
        <v>7735</v>
      </c>
      <c r="O156" s="402" t="s">
        <v>2693</v>
      </c>
      <c r="P156" s="16">
        <v>46041</v>
      </c>
      <c r="Q156" s="276" t="s">
        <v>360</v>
      </c>
      <c r="R156" s="2">
        <f>VLOOKUP(SALIDAS111518[[#This Row],[CÓDIGO]],PRODUCTOS31316[],2,FALSE)</f>
        <v>505006</v>
      </c>
      <c r="S156" s="1" t="str">
        <f>VLOOKUP(SALIDAS111518[[#This Row],[CÓDIGO]],PRODUCTOS31316[],3,FALSE)</f>
        <v>LACRADOR REDONDO AMARILLO</v>
      </c>
      <c r="T156" s="2">
        <v>2</v>
      </c>
      <c r="U156" s="2"/>
      <c r="V156" s="2"/>
      <c r="W156" s="2"/>
      <c r="X156" s="2"/>
      <c r="Y156" s="7"/>
      <c r="Z156" s="314" t="s">
        <v>4416</v>
      </c>
      <c r="AA156" s="318" t="s">
        <v>4477</v>
      </c>
      <c r="AB156" s="16">
        <v>46097</v>
      </c>
      <c r="AC156" s="2" t="s">
        <v>4435</v>
      </c>
      <c r="AD156" s="1">
        <f>VLOOKUP(ENTRADAS71417[[#This Row],[CÓDIGO]],PRODUCTOS31316[],2,FALSE)</f>
        <v>0</v>
      </c>
      <c r="AE156" s="1" t="str">
        <f>VLOOKUP(ENTRADAS71417[[#This Row],[CÓDIGO]],PRODUCTOS31316[],3,FALSE)</f>
        <v>DISPOSITIVO DE SEPARACIÓN DE ESPERMA EQUINO VETMOTL 3 ML</v>
      </c>
      <c r="AF156" s="2">
        <v>50</v>
      </c>
      <c r="AG156" s="2"/>
      <c r="AH156" s="2"/>
    </row>
    <row r="157" spans="1:34" ht="49.95" customHeight="1" x14ac:dyDescent="0.3">
      <c r="A157" s="2" t="s">
        <v>622</v>
      </c>
      <c r="B157" s="1">
        <v>164056</v>
      </c>
      <c r="C157" s="1" t="s">
        <v>623</v>
      </c>
      <c r="D157" s="1" t="s">
        <v>271</v>
      </c>
      <c r="E157" s="1" t="s">
        <v>24</v>
      </c>
      <c r="F157" s="1" t="s">
        <v>172</v>
      </c>
      <c r="G157" s="2">
        <v>0</v>
      </c>
      <c r="H157" s="14">
        <f>SUMIF(ENTRADAS71417[CÓDIGO],PRODUCTOS31316[[#This Row],[CÓDIGO]],ENTRADAS71417[CANTIDAD])</f>
        <v>0</v>
      </c>
      <c r="I157" s="11">
        <f>SUMIF(SALIDAS111518[CÓDIGO],PRODUCTOS31316[[#This Row],[CÓDIGO]],SALIDAS111518[CANTIDAD])</f>
        <v>0</v>
      </c>
      <c r="J157" s="6">
        <f>PRODUCTOS31316[[#This Row],[EXISTENCIAS]]+PRODUCTOS31316[[#This Row],[ENTRADAS]]-PRODUCTOS31316[[#This Row],[SALIDAS]]</f>
        <v>0</v>
      </c>
      <c r="L157" s="276"/>
      <c r="M157" s="276"/>
      <c r="N157" s="276">
        <v>7735</v>
      </c>
      <c r="O157" s="276" t="s">
        <v>2693</v>
      </c>
      <c r="P157" s="16">
        <v>46041</v>
      </c>
      <c r="Q157" s="276" t="s">
        <v>336</v>
      </c>
      <c r="R157" s="2">
        <f>VLOOKUP(SALIDAS111518[[#This Row],[CÓDIGO]],PRODUCTOS31316[],2,FALSE)</f>
        <v>0</v>
      </c>
      <c r="S157" s="1" t="str">
        <f>VLOOKUP(SALIDAS111518[[#This Row],[CÓDIGO]],PRODUCTOS31316[],3,FALSE)</f>
        <v>ABT PVA CONCENTRAD 20 ML VC ENERO 2027</v>
      </c>
      <c r="T157" s="2">
        <v>2</v>
      </c>
      <c r="U157" s="2"/>
      <c r="V157" s="2"/>
      <c r="W157" s="2"/>
      <c r="X157" s="2"/>
      <c r="Y157" s="7"/>
      <c r="Z157" s="314" t="s">
        <v>4416</v>
      </c>
      <c r="AA157" s="318" t="s">
        <v>4477</v>
      </c>
      <c r="AB157" s="16">
        <v>46097</v>
      </c>
      <c r="AC157" s="2" t="s">
        <v>4447</v>
      </c>
      <c r="AD157" s="1">
        <f>VLOOKUP(ENTRADAS71417[[#This Row],[CÓDIGO]],PRODUCTOS31316[],2,FALSE)</f>
        <v>0</v>
      </c>
      <c r="AE157" s="1" t="str">
        <f>VLOOKUP(ENTRADAS71417[[#This Row],[CÓDIGO]],PRODUCTOS31316[],3,FALSE)</f>
        <v>DISPOSITIVO DE SEPARACIÓN DE ESPERMA EQUINO VETMOTL 850 UL</v>
      </c>
      <c r="AF157" s="2">
        <v>50</v>
      </c>
      <c r="AG157" s="2"/>
      <c r="AH157" s="2"/>
    </row>
    <row r="158" spans="1:34" ht="49.95" customHeight="1" x14ac:dyDescent="0.3">
      <c r="A158" s="2" t="s">
        <v>624</v>
      </c>
      <c r="C158" s="1" t="s">
        <v>625</v>
      </c>
      <c r="E158" s="1" t="s">
        <v>626</v>
      </c>
      <c r="F158" s="1" t="s">
        <v>30</v>
      </c>
      <c r="G158" s="2">
        <v>0</v>
      </c>
      <c r="H158" s="14">
        <f>SUMIF(ENTRADAS71417[CÓDIGO],PRODUCTOS31316[[#This Row],[CÓDIGO]],ENTRADAS71417[CANTIDAD])</f>
        <v>0</v>
      </c>
      <c r="I158" s="11">
        <f>SUMIF(SALIDAS111518[CÓDIGO],PRODUCTOS31316[[#This Row],[CÓDIGO]],SALIDAS111518[CANTIDAD])</f>
        <v>0</v>
      </c>
      <c r="J158" s="6">
        <f>PRODUCTOS31316[[#This Row],[EXISTENCIAS]]+PRODUCTOS31316[[#This Row],[ENTRADAS]]-PRODUCTOS31316[[#This Row],[SALIDAS]]</f>
        <v>0</v>
      </c>
      <c r="L158" s="276"/>
      <c r="M158" s="276"/>
      <c r="N158" s="276">
        <v>7735</v>
      </c>
      <c r="O158" s="276" t="s">
        <v>2693</v>
      </c>
      <c r="P158" s="16">
        <v>46041</v>
      </c>
      <c r="Q158" s="276" t="s">
        <v>1779</v>
      </c>
      <c r="R158" s="2">
        <f>VLOOKUP(SALIDAS111518[[#This Row],[CÓDIGO]],PRODUCTOS31316[],2,FALSE)</f>
        <v>5563</v>
      </c>
      <c r="S158" s="1" t="str">
        <f>VLOOKUP(SALIDAS111518[[#This Row],[CÓDIGO]],PRODUCTOS31316[],3,FALSE)</f>
        <v>CAMISA SANITARIA ROLLO X 80</v>
      </c>
      <c r="T158" s="2">
        <v>5</v>
      </c>
      <c r="U158" s="2"/>
      <c r="V158" s="2"/>
      <c r="W158" s="2"/>
      <c r="X158" s="24"/>
      <c r="Y158" s="7"/>
      <c r="Z158" s="314" t="s">
        <v>4416</v>
      </c>
      <c r="AA158" s="318" t="s">
        <v>4477</v>
      </c>
      <c r="AB158" s="16">
        <v>46119</v>
      </c>
      <c r="AC158" s="1" t="s">
        <v>4440</v>
      </c>
      <c r="AD158" s="1">
        <f>VLOOKUP(ENTRADAS71417[[#This Row],[CÓDIGO]],PRODUCTOS31316[],2,FALSE)</f>
        <v>0</v>
      </c>
      <c r="AE158" s="1" t="str">
        <f>VLOOKUP(ENTRADAS71417[[#This Row],[CÓDIGO]],PRODUCTOS31316[],3,FALSE)</f>
        <v>MUESTRA DISPOSITIVO DE SEPACIÓN DE ESPERMA PARA BOVINOS</v>
      </c>
      <c r="AF158" s="2">
        <v>10</v>
      </c>
      <c r="AG158" s="2"/>
      <c r="AH158" s="2">
        <v>75</v>
      </c>
    </row>
    <row r="159" spans="1:34" ht="49.95" customHeight="1" x14ac:dyDescent="0.3">
      <c r="A159" s="2" t="s">
        <v>629</v>
      </c>
      <c r="C159" s="1" t="s">
        <v>295</v>
      </c>
      <c r="D159" s="1" t="s">
        <v>156</v>
      </c>
      <c r="E159" s="1" t="s">
        <v>475</v>
      </c>
      <c r="F159" s="1" t="s">
        <v>30</v>
      </c>
      <c r="G159" s="2">
        <v>0</v>
      </c>
      <c r="H159" s="14">
        <f>SUMIF(ENTRADAS71417[CÓDIGO],PRODUCTOS31316[[#This Row],[CÓDIGO]],ENTRADAS71417[CANTIDAD])</f>
        <v>0</v>
      </c>
      <c r="I159" s="11">
        <f>SUMIF(SALIDAS111518[CÓDIGO],PRODUCTOS31316[[#This Row],[CÓDIGO]],SALIDAS111518[CANTIDAD])</f>
        <v>0</v>
      </c>
      <c r="J159" s="6">
        <f>PRODUCTOS31316[[#This Row],[EXISTENCIAS]]+PRODUCTOS31316[[#This Row],[ENTRADAS]]-PRODUCTOS31316[[#This Row],[SALIDAS]]</f>
        <v>0</v>
      </c>
      <c r="L159" s="276"/>
      <c r="M159" s="276"/>
      <c r="N159" s="276">
        <v>7735</v>
      </c>
      <c r="O159" s="276" t="s">
        <v>2693</v>
      </c>
      <c r="P159" s="16">
        <v>46041</v>
      </c>
      <c r="Q159" s="276" t="s">
        <v>455</v>
      </c>
      <c r="R159" s="2">
        <f>VLOOKUP(SALIDAS111518[[#This Row],[CÓDIGO]],PRODUCTOS31316[],2,FALSE)</f>
        <v>0</v>
      </c>
      <c r="S159" s="1" t="str">
        <f>VLOOKUP(SALIDAS111518[[#This Row],[CÓDIGO]],PRODUCTOS31316[],3,FALSE)</f>
        <v>ESCALERILLAS PARA GOBLETS DE 13 MM</v>
      </c>
      <c r="T159" s="2">
        <v>1</v>
      </c>
      <c r="U159" s="2"/>
      <c r="V159" s="2"/>
      <c r="W159" s="2"/>
      <c r="X159" s="24"/>
      <c r="Y159" s="7"/>
      <c r="Z159" s="314" t="s">
        <v>4416</v>
      </c>
      <c r="AA159" s="318" t="s">
        <v>4477</v>
      </c>
      <c r="AB159" s="328" t="s">
        <v>4620</v>
      </c>
      <c r="AC159" s="1" t="s">
        <v>4443</v>
      </c>
      <c r="AD159" s="1">
        <f>VLOOKUP(ENTRADAS71417[[#This Row],[CÓDIGO]],PRODUCTOS31316[],2,FALSE)</f>
        <v>0</v>
      </c>
      <c r="AE159" s="1" t="str">
        <f>VLOOKUP(ENTRADAS71417[[#This Row],[CÓDIGO]],PRODUCTOS31316[],3,FALSE)</f>
        <v>MUESTRA DISPOSITIVO DE SEPACIÓN DE ESPERMA PARA EQUINOS 850 UL</v>
      </c>
      <c r="AF159" s="2">
        <v>10</v>
      </c>
      <c r="AG159" s="2"/>
      <c r="AH159" s="2"/>
    </row>
    <row r="160" spans="1:34" ht="49.95" customHeight="1" x14ac:dyDescent="0.3">
      <c r="A160" s="2" t="s">
        <v>631</v>
      </c>
      <c r="B160" s="1" t="s">
        <v>632</v>
      </c>
      <c r="C160" s="1" t="s">
        <v>633</v>
      </c>
      <c r="D160" s="1" t="s">
        <v>634</v>
      </c>
      <c r="F160" s="1" t="s">
        <v>30</v>
      </c>
      <c r="G160" s="2">
        <v>0</v>
      </c>
      <c r="H160" s="14">
        <f>SUMIF(ENTRADAS71417[CÓDIGO],PRODUCTOS31316[[#This Row],[CÓDIGO]],ENTRADAS71417[CANTIDAD])</f>
        <v>0</v>
      </c>
      <c r="I160" s="11">
        <f>SUMIF(SALIDAS111518[CÓDIGO],PRODUCTOS31316[[#This Row],[CÓDIGO]],SALIDAS111518[CANTIDAD])</f>
        <v>0</v>
      </c>
      <c r="J160" s="6">
        <f>PRODUCTOS31316[[#This Row],[EXISTENCIAS]]+PRODUCTOS31316[[#This Row],[ENTRADAS]]-PRODUCTOS31316[[#This Row],[SALIDAS]]</f>
        <v>0</v>
      </c>
      <c r="L160" s="276"/>
      <c r="M160" s="276"/>
      <c r="N160" s="276">
        <v>7735</v>
      </c>
      <c r="O160" s="276" t="s">
        <v>2693</v>
      </c>
      <c r="P160" s="16">
        <v>46041</v>
      </c>
      <c r="Q160" s="276" t="s">
        <v>2306</v>
      </c>
      <c r="R160" s="2">
        <f>VLOOKUP(SALIDAS111518[[#This Row],[CÓDIGO]],PRODUCTOS31316[],2,FALSE)</f>
        <v>0</v>
      </c>
      <c r="S160" s="1" t="str">
        <f>VLOOKUP(SALIDAS111518[[#This Row],[CÓDIGO]],PRODUCTOS31316[],3,FALSE)</f>
        <v>ESCALERILLAS METÁLICAS DE 10 MM</v>
      </c>
      <c r="T160" s="2">
        <v>1</v>
      </c>
      <c r="U160" s="2"/>
      <c r="V160" s="2"/>
      <c r="W160" s="2"/>
      <c r="X160" s="24"/>
      <c r="Y160" s="7"/>
      <c r="Z160" s="314" t="s">
        <v>4416</v>
      </c>
      <c r="AA160" s="318" t="s">
        <v>4477</v>
      </c>
      <c r="AB160" s="16">
        <v>46097</v>
      </c>
      <c r="AC160" s="1" t="s">
        <v>4442</v>
      </c>
      <c r="AD160" s="1">
        <f>VLOOKUP(ENTRADAS71417[[#This Row],[CÓDIGO]],PRODUCTOS31316[],2,FALSE)</f>
        <v>0</v>
      </c>
      <c r="AE160" s="1" t="str">
        <f>VLOOKUP(ENTRADAS71417[[#This Row],[CÓDIGO]],PRODUCTOS31316[],3,FALSE)</f>
        <v>MUESTRA DISPOSITIVO DE SEPACIÓN DE ESPERMA PARA EQUINOS 3 UL</v>
      </c>
      <c r="AF160" s="2">
        <v>0</v>
      </c>
      <c r="AG160" s="2"/>
      <c r="AH160" s="2"/>
    </row>
    <row r="161" spans="1:34" ht="49.95" customHeight="1" x14ac:dyDescent="0.3">
      <c r="A161" s="2" t="s">
        <v>636</v>
      </c>
      <c r="B161" s="1" t="s">
        <v>637</v>
      </c>
      <c r="C161" s="1" t="s">
        <v>638</v>
      </c>
      <c r="D161" s="1" t="s">
        <v>639</v>
      </c>
      <c r="E161" s="1" t="s">
        <v>640</v>
      </c>
      <c r="F161" s="1" t="s">
        <v>641</v>
      </c>
      <c r="G161" s="2">
        <v>0</v>
      </c>
      <c r="H161" s="14">
        <f>SUMIF(ENTRADAS71417[CÓDIGO],PRODUCTOS31316[[#This Row],[CÓDIGO]],ENTRADAS71417[CANTIDAD])</f>
        <v>0</v>
      </c>
      <c r="I161" s="11">
        <f>SUMIF(SALIDAS111518[CÓDIGO],PRODUCTOS31316[[#This Row],[CÓDIGO]],SALIDAS111518[CANTIDAD])</f>
        <v>0</v>
      </c>
      <c r="J161" s="6">
        <f>PRODUCTOS31316[[#This Row],[EXISTENCIAS]]+PRODUCTOS31316[[#This Row],[ENTRADAS]]-PRODUCTOS31316[[#This Row],[SALIDAS]]</f>
        <v>0</v>
      </c>
      <c r="L161" s="276"/>
      <c r="M161" s="276"/>
      <c r="N161" s="276">
        <v>7735</v>
      </c>
      <c r="O161" s="276" t="s">
        <v>2693</v>
      </c>
      <c r="P161" s="16">
        <v>46041</v>
      </c>
      <c r="Q161" s="276" t="s">
        <v>458</v>
      </c>
      <c r="R161" s="2">
        <f>VLOOKUP(SALIDAS111518[[#This Row],[CÓDIGO]],PRODUCTOS31316[],2,FALSE)</f>
        <v>0</v>
      </c>
      <c r="S161" s="1" t="str">
        <f>VLOOKUP(SALIDAS111518[[#This Row],[CÓDIGO]],PRODUCTOS31316[],3,FALSE)</f>
        <v>GOBLET DE 13 MM BLANCOS</v>
      </c>
      <c r="T161" s="2">
        <v>3</v>
      </c>
      <c r="U161" s="2"/>
      <c r="V161" s="2"/>
      <c r="W161" s="2"/>
      <c r="X161" s="2"/>
      <c r="Y161" s="7"/>
      <c r="Z161" s="2">
        <v>1801</v>
      </c>
      <c r="AA161" s="318" t="s">
        <v>3970</v>
      </c>
      <c r="AB161" s="16">
        <v>46098</v>
      </c>
      <c r="AC161" s="317" t="s">
        <v>3504</v>
      </c>
      <c r="AD161" s="1">
        <f>VLOOKUP(ENTRADAS71417[[#This Row],[CÓDIGO]],PRODUCTOS31316[],2,FALSE)</f>
        <v>26</v>
      </c>
      <c r="AE161" s="1" t="str">
        <f>VLOOKUP(ENTRADAS71417[[#This Row],[CÓDIGO]],PRODUCTOS31316[],3,FALSE)</f>
        <v>MUCOSA DE PLÁSTICA EQUINA  BOTUPHARMA</v>
      </c>
      <c r="AF161" s="2">
        <v>5</v>
      </c>
      <c r="AG161" s="2"/>
      <c r="AH161" s="2">
        <v>57</v>
      </c>
    </row>
    <row r="162" spans="1:34" ht="49.95" customHeight="1" x14ac:dyDescent="0.3">
      <c r="A162" s="2" t="s">
        <v>643</v>
      </c>
      <c r="B162" s="1" t="s">
        <v>644</v>
      </c>
      <c r="C162" s="1" t="s">
        <v>645</v>
      </c>
      <c r="D162" s="1" t="s">
        <v>646</v>
      </c>
      <c r="E162" s="1" t="s">
        <v>183</v>
      </c>
      <c r="F162" s="1" t="s">
        <v>647</v>
      </c>
      <c r="G162" s="2">
        <v>0</v>
      </c>
      <c r="H162" s="14">
        <f>SUMIF(ENTRADAS71417[CÓDIGO],PRODUCTOS31316[[#This Row],[CÓDIGO]],ENTRADAS71417[CANTIDAD])</f>
        <v>0</v>
      </c>
      <c r="I162" s="11">
        <f>SUMIF(SALIDAS111518[CÓDIGO],PRODUCTOS31316[[#This Row],[CÓDIGO]],SALIDAS111518[CANTIDAD])</f>
        <v>0</v>
      </c>
      <c r="J162" s="6">
        <f>PRODUCTOS31316[[#This Row],[EXISTENCIAS]]+PRODUCTOS31316[[#This Row],[ENTRADAS]]-PRODUCTOS31316[[#This Row],[SALIDAS]]</f>
        <v>0</v>
      </c>
      <c r="L162" s="276"/>
      <c r="M162" s="276"/>
      <c r="N162" s="276">
        <v>7735</v>
      </c>
      <c r="O162" s="276" t="s">
        <v>2693</v>
      </c>
      <c r="P162" s="16">
        <v>46041</v>
      </c>
      <c r="Q162" s="276" t="s">
        <v>3052</v>
      </c>
      <c r="R162" s="2">
        <f>VLOOKUP(SALIDAS111518[[#This Row],[CÓDIGO]],PRODUCTOS31316[],2,FALSE)</f>
        <v>0</v>
      </c>
      <c r="S162" s="1" t="str">
        <f>VLOOKUP(SALIDAS111518[[#This Row],[CÓDIGO]],PRODUCTOS31316[],3,FALSE)</f>
        <v>GOBLET DE 10 AZULES</v>
      </c>
      <c r="T162" s="2">
        <v>1</v>
      </c>
      <c r="U162" s="2"/>
      <c r="V162" s="2"/>
      <c r="W162" s="2"/>
      <c r="X162" s="2"/>
      <c r="Y162" s="7"/>
      <c r="Z162" s="2">
        <v>16662</v>
      </c>
      <c r="AA162" s="1" t="s">
        <v>3598</v>
      </c>
      <c r="AB162" s="16">
        <v>46100</v>
      </c>
      <c r="AC162" s="2" t="s">
        <v>4470</v>
      </c>
      <c r="AD162" s="1" t="str">
        <f>VLOOKUP(ENTRADAS71417[[#This Row],[CÓDIGO]],PRODUCTOS31316[],2,FALSE)</f>
        <v>SCN-101-/100</v>
      </c>
      <c r="AE162" s="1" t="str">
        <f>VLOOKUP(ENTRADAS71417[[#This Row],[CÓDIGO]],PRODUCTOS31316[],3,FALSE)</f>
        <v>TUERCA DE ACOPLAMIENTO DE FILTRO PARA FRASCO COLECTOR DE SEMEN EQUINO</v>
      </c>
      <c r="AF162" s="2">
        <v>100</v>
      </c>
      <c r="AG162" s="2"/>
      <c r="AH162" s="2">
        <v>60</v>
      </c>
    </row>
    <row r="163" spans="1:34" ht="49.95" customHeight="1" x14ac:dyDescent="0.3">
      <c r="A163" s="203" t="s">
        <v>648</v>
      </c>
      <c r="B163" s="1" t="s">
        <v>649</v>
      </c>
      <c r="C163" s="216" t="s">
        <v>650</v>
      </c>
      <c r="D163" s="1" t="s">
        <v>467</v>
      </c>
      <c r="E163" s="1" t="s">
        <v>467</v>
      </c>
      <c r="F163" s="1" t="s">
        <v>30</v>
      </c>
      <c r="G163" s="31">
        <f>6+1</f>
        <v>7</v>
      </c>
      <c r="H163" s="14">
        <f>SUMIF(ENTRADAS71417[CÓDIGO],PRODUCTOS31316[[#This Row],[CÓDIGO]],ENTRADAS71417[CANTIDAD])</f>
        <v>31</v>
      </c>
      <c r="I163" s="11">
        <f>SUMIF(SALIDAS111518[CÓDIGO],PRODUCTOS31316[[#This Row],[CÓDIGO]],SALIDAS111518[CANTIDAD])</f>
        <v>30</v>
      </c>
      <c r="J163" s="6">
        <f>PRODUCTOS31316[[#This Row],[EXISTENCIAS]]+PRODUCTOS31316[[#This Row],[ENTRADAS]]-PRODUCTOS31316[[#This Row],[SALIDAS]]</f>
        <v>8</v>
      </c>
      <c r="L163" s="276"/>
      <c r="M163" s="276"/>
      <c r="N163" s="276">
        <v>7735</v>
      </c>
      <c r="O163" s="276" t="s">
        <v>2693</v>
      </c>
      <c r="P163" s="16">
        <v>46041</v>
      </c>
      <c r="Q163" s="276" t="s">
        <v>210</v>
      </c>
      <c r="R163" s="2">
        <f>VLOOKUP(SALIDAS111518[[#This Row],[CÓDIGO]],PRODUCTOS31316[],2,FALSE)</f>
        <v>101257</v>
      </c>
      <c r="S163" s="1" t="str">
        <f>VLOOKUP(SALIDAS111518[[#This Row],[CÓDIGO]],PRODUCTOS31316[],3,FALSE)</f>
        <v>MANGA DESECHABLE SUPER SENSITIVA</v>
      </c>
      <c r="T163" s="2">
        <v>8</v>
      </c>
      <c r="U163" s="2"/>
      <c r="V163" s="2"/>
      <c r="W163" s="2"/>
      <c r="X163" s="2"/>
      <c r="Y163" s="7"/>
      <c r="Z163" s="2">
        <v>16662</v>
      </c>
      <c r="AA163" s="1" t="s">
        <v>3598</v>
      </c>
      <c r="AB163" s="16">
        <v>46100</v>
      </c>
      <c r="AC163" s="2" t="s">
        <v>4472</v>
      </c>
      <c r="AD163" s="1" t="str">
        <f>VLOOKUP(ENTRADAS71417[[#This Row],[CÓDIGO]],PRODUCTOS31316[],2,FALSE)</f>
        <v>CAP-102/100</v>
      </c>
      <c r="AE163" s="1" t="str">
        <f>VLOOKUP(ENTRADAS71417[[#This Row],[CÓDIGO]],PRODUCTOS31316[],3,FALSE)</f>
        <v>TAPA DE FRASCO DE RECOLECCION DE SEMEN EQUINO</v>
      </c>
      <c r="AF163" s="2">
        <v>100</v>
      </c>
      <c r="AG163" s="2"/>
      <c r="AH163" s="2"/>
    </row>
    <row r="164" spans="1:34" ht="49.95" customHeight="1" x14ac:dyDescent="0.3">
      <c r="A164" s="2" t="s">
        <v>652</v>
      </c>
      <c r="B164" s="1">
        <v>671</v>
      </c>
      <c r="C164" s="1" t="s">
        <v>653</v>
      </c>
      <c r="D164" s="1" t="s">
        <v>429</v>
      </c>
      <c r="E164" s="1" t="s">
        <v>410</v>
      </c>
      <c r="F164" s="1" t="s">
        <v>30</v>
      </c>
      <c r="G164" s="2">
        <v>0</v>
      </c>
      <c r="H164" s="14">
        <f>SUMIF(ENTRADAS71417[CÓDIGO],PRODUCTOS31316[[#This Row],[CÓDIGO]],ENTRADAS71417[CANTIDAD])</f>
        <v>0</v>
      </c>
      <c r="I164" s="11">
        <f>SUMIF(SALIDAS111518[CÓDIGO],PRODUCTOS31316[[#This Row],[CÓDIGO]],SALIDAS111518[CANTIDAD])</f>
        <v>0</v>
      </c>
      <c r="J164" s="6">
        <f>PRODUCTOS31316[[#This Row],[EXISTENCIAS]]+PRODUCTOS31316[[#This Row],[ENTRADAS]]-PRODUCTOS31316[[#This Row],[SALIDAS]]</f>
        <v>0</v>
      </c>
      <c r="L164" s="276"/>
      <c r="M164" s="276"/>
      <c r="N164" s="276">
        <v>7735</v>
      </c>
      <c r="O164" s="276" t="s">
        <v>2693</v>
      </c>
      <c r="P164" s="16">
        <v>46041</v>
      </c>
      <c r="Q164" s="301" t="s">
        <v>3165</v>
      </c>
      <c r="R164" s="2">
        <f>VLOOKUP(SALIDAS111518[[#This Row],[CÓDIGO]],PRODUCTOS31316[],2,FALSE)</f>
        <v>30943</v>
      </c>
      <c r="S164" s="1" t="str">
        <f>VLOOKUP(SALIDAS111518[[#This Row],[CÓDIGO]],PRODUCTOS31316[],3,FALSE)</f>
        <v xml:space="preserve">CAJA PETRI DESECHABLE ESTERIL 90X 15 </v>
      </c>
      <c r="T164" s="2">
        <v>10</v>
      </c>
      <c r="U164" s="2"/>
      <c r="V164" s="2"/>
      <c r="W164" s="2"/>
      <c r="X164" s="2"/>
      <c r="Y164" s="7"/>
      <c r="Z164" s="2">
        <v>1662</v>
      </c>
      <c r="AA164" s="1" t="s">
        <v>3598</v>
      </c>
      <c r="AB164" s="16">
        <v>46100</v>
      </c>
      <c r="AC164" s="2" t="s">
        <v>3524</v>
      </c>
      <c r="AD164" s="1" t="str">
        <f>VLOOKUP(ENTRADAS71417[[#This Row],[CÓDIGO]],PRODUCTOS31316[],2,FALSE)</f>
        <v>SAVF-102/25</v>
      </c>
      <c r="AE164" s="1" t="str">
        <f>VLOOKUP(ENTRADAS71417[[#This Row],[CÓDIGO]],PRODUCTOS31316[],3,FALSE)</f>
        <v>FILTRO DE GEL NYLON DESECHABLE, 3.5"</v>
      </c>
      <c r="AF164" s="2">
        <v>4</v>
      </c>
      <c r="AG164" s="2"/>
      <c r="AH164" s="2"/>
    </row>
    <row r="165" spans="1:34" ht="49.95" customHeight="1" x14ac:dyDescent="0.3">
      <c r="A165" s="2" t="s">
        <v>654</v>
      </c>
      <c r="C165" s="1" t="s">
        <v>655</v>
      </c>
      <c r="E165" s="1" t="s">
        <v>344</v>
      </c>
      <c r="F165" s="1" t="s">
        <v>30</v>
      </c>
      <c r="G165" s="2">
        <v>0</v>
      </c>
      <c r="H165" s="14">
        <f>SUMIF(ENTRADAS71417[CÓDIGO],PRODUCTOS31316[[#This Row],[CÓDIGO]],ENTRADAS71417[CANTIDAD])</f>
        <v>0</v>
      </c>
      <c r="I165" s="11">
        <f>SUMIF(SALIDAS111518[CÓDIGO],PRODUCTOS31316[[#This Row],[CÓDIGO]],SALIDAS111518[CANTIDAD])</f>
        <v>0</v>
      </c>
      <c r="J165" s="6">
        <f>PRODUCTOS31316[[#This Row],[EXISTENCIAS]]+PRODUCTOS31316[[#This Row],[ENTRADAS]]-PRODUCTOS31316[[#This Row],[SALIDAS]]</f>
        <v>0</v>
      </c>
      <c r="L165" s="276"/>
      <c r="M165" s="276"/>
      <c r="N165" s="276">
        <v>7735</v>
      </c>
      <c r="O165" s="276" t="s">
        <v>2693</v>
      </c>
      <c r="P165" s="16">
        <v>46041</v>
      </c>
      <c r="Q165" s="276" t="s">
        <v>3703</v>
      </c>
      <c r="R165" s="2" t="str">
        <f>VLOOKUP(SALIDAS111518[[#This Row],[CÓDIGO]],PRODUCTOS31316[],2,FALSE)</f>
        <v>13407-010</v>
      </c>
      <c r="S165" s="1" t="str">
        <f>VLOOKUP(SALIDAS111518[[#This Row],[CÓDIGO]],PRODUCTOS31316[],3,FALSE)</f>
        <v>PAJUELA TRANSPARENTES 0.25/ PAQ. X 2000 MARCA MINITUBE</v>
      </c>
      <c r="T165" s="2">
        <v>3</v>
      </c>
      <c r="U165" s="2"/>
      <c r="V165" s="2"/>
      <c r="W165" s="2"/>
      <c r="X165" s="2"/>
      <c r="Y165" s="7"/>
      <c r="Z165" s="2">
        <v>109800</v>
      </c>
      <c r="AA165" s="1" t="s">
        <v>3808</v>
      </c>
      <c r="AB165" s="16">
        <v>46100</v>
      </c>
      <c r="AC165" s="2" t="s">
        <v>3273</v>
      </c>
      <c r="AD165" s="1">
        <f>VLOOKUP(ENTRADAS71417[[#This Row],[CÓDIGO]],PRODUCTOS31316[],2,FALSE)</f>
        <v>4452</v>
      </c>
      <c r="AE165" s="1" t="str">
        <f>VLOOKUP(ENTRADAS71417[[#This Row],[CÓDIGO]],PRODUCTOS31316[],3,FALSE)</f>
        <v>TERMO NITROGENO ET- 11</v>
      </c>
      <c r="AF165" s="2">
        <v>1</v>
      </c>
      <c r="AG165" s="2"/>
      <c r="AH165" s="2">
        <v>58</v>
      </c>
    </row>
    <row r="166" spans="1:34" ht="49.95" customHeight="1" x14ac:dyDescent="0.3">
      <c r="A166" s="203" t="s">
        <v>369</v>
      </c>
      <c r="C166" s="216" t="s">
        <v>656</v>
      </c>
      <c r="D166" s="1" t="s">
        <v>103</v>
      </c>
      <c r="E166" s="1" t="s">
        <v>233</v>
      </c>
      <c r="F166" s="1" t="s">
        <v>647</v>
      </c>
      <c r="G166" s="31">
        <f>312+1</f>
        <v>313</v>
      </c>
      <c r="H166" s="14">
        <f>SUMIF(ENTRADAS71417[CÓDIGO],PRODUCTOS31316[[#This Row],[CÓDIGO]],ENTRADAS71417[CANTIDAD])</f>
        <v>200</v>
      </c>
      <c r="I166" s="11">
        <f>SUMIF(SALIDAS111518[CÓDIGO],PRODUCTOS31316[[#This Row],[CÓDIGO]],SALIDAS111518[CANTIDAD])</f>
        <v>379</v>
      </c>
      <c r="J166" s="6">
        <f>PRODUCTOS31316[[#This Row],[EXISTENCIAS]]+PRODUCTOS31316[[#This Row],[ENTRADAS]]-PRODUCTOS31316[[#This Row],[SALIDAS]]</f>
        <v>134</v>
      </c>
      <c r="L166" s="276"/>
      <c r="M166" s="276"/>
      <c r="N166" s="276">
        <v>7735</v>
      </c>
      <c r="O166" s="276" t="s">
        <v>2693</v>
      </c>
      <c r="P166" s="16">
        <v>46041</v>
      </c>
      <c r="Q166" s="276" t="s">
        <v>602</v>
      </c>
      <c r="R166" s="2">
        <f>VLOOKUP(SALIDAS111518[[#This Row],[CÓDIGO]],PRODUCTOS31316[],2,FALSE)</f>
        <v>4845</v>
      </c>
      <c r="S166" s="1" t="str">
        <f>VLOOKUP(SALIDAS111518[[#This Row],[CÓDIGO]],PRODUCTOS31316[],3,FALSE)</f>
        <v>PUNTAS AMARILLAS, UNIVERSALES. PLASTICAS, NO ESTERIL. LIBRES DE RNASE, DNASE Y PYROGENOS. RANGO DE 1-200UL. BOLSA X1000UDS.</v>
      </c>
      <c r="T166" s="2">
        <v>2</v>
      </c>
      <c r="U166" s="2"/>
      <c r="V166" s="2"/>
      <c r="W166" s="2"/>
      <c r="X166" s="2"/>
      <c r="Y166" s="7"/>
      <c r="Z166" s="2">
        <v>10557</v>
      </c>
      <c r="AA166" s="1" t="s">
        <v>4485</v>
      </c>
      <c r="AB166" s="16">
        <v>46100</v>
      </c>
      <c r="AC166" s="2" t="s">
        <v>4476</v>
      </c>
      <c r="AD166" s="1">
        <f>VLOOKUP(ENTRADAS71417[[#This Row],[CÓDIGO]],PRODUCTOS31316[],2,FALSE)</f>
        <v>0</v>
      </c>
      <c r="AE166" s="1" t="str">
        <f>VLOOKUP(ENTRADAS71417[[#This Row],[CÓDIGO]],PRODUCTOS31316[],3,FALSE)</f>
        <v>SONDA EN "Y" CON VÁLVULA PARA EQUINOS</v>
      </c>
      <c r="AF166" s="2">
        <v>10</v>
      </c>
      <c r="AG166" s="2"/>
      <c r="AH166" s="2">
        <v>61</v>
      </c>
    </row>
    <row r="167" spans="1:34" ht="49.95" customHeight="1" x14ac:dyDescent="0.3">
      <c r="A167" s="203" t="s">
        <v>658</v>
      </c>
      <c r="C167" s="216" t="s">
        <v>659</v>
      </c>
      <c r="D167" s="1" t="s">
        <v>822</v>
      </c>
      <c r="E167" s="1" t="s">
        <v>593</v>
      </c>
      <c r="F167" s="1" t="s">
        <v>660</v>
      </c>
      <c r="G167" s="31">
        <v>1</v>
      </c>
      <c r="H167" s="14">
        <f>SUMIF(ENTRADAS71417[CÓDIGO],PRODUCTOS31316[[#This Row],[CÓDIGO]],ENTRADAS71417[CANTIDAD])</f>
        <v>50</v>
      </c>
      <c r="I167" s="11">
        <f>SUMIF(SALIDAS111518[CÓDIGO],PRODUCTOS31316[[#This Row],[CÓDIGO]],SALIDAS111518[CANTIDAD])</f>
        <v>45</v>
      </c>
      <c r="J167" s="6">
        <f>PRODUCTOS31316[[#This Row],[EXISTENCIAS]]+PRODUCTOS31316[[#This Row],[ENTRADAS]]-PRODUCTOS31316[[#This Row],[SALIDAS]]</f>
        <v>6</v>
      </c>
      <c r="L167" s="276"/>
      <c r="M167" s="276"/>
      <c r="N167" s="276">
        <v>7735</v>
      </c>
      <c r="O167" s="276" t="s">
        <v>2693</v>
      </c>
      <c r="P167" s="16">
        <v>46041</v>
      </c>
      <c r="Q167" s="276" t="s">
        <v>3095</v>
      </c>
      <c r="R167" s="2">
        <f>VLOOKUP(SALIDAS111518[[#This Row],[CÓDIGO]],PRODUCTOS31316[],2,FALSE)</f>
        <v>0</v>
      </c>
      <c r="S167" s="1" t="str">
        <f>VLOOKUP(SALIDAS111518[[#This Row],[CÓDIGO]],PRODUCTOS31316[],3,FALSE)</f>
        <v>GORRA MAS CAMPO</v>
      </c>
      <c r="T167" s="2">
        <v>1</v>
      </c>
      <c r="U167" s="2"/>
      <c r="V167" s="2"/>
      <c r="W167" s="2"/>
      <c r="X167" s="2"/>
      <c r="Y167" s="7"/>
      <c r="Z167" s="2">
        <v>10557</v>
      </c>
      <c r="AA167" s="1" t="s">
        <v>4485</v>
      </c>
      <c r="AB167" s="16">
        <v>46100</v>
      </c>
      <c r="AC167" s="2" t="s">
        <v>3309</v>
      </c>
      <c r="AD167" s="1">
        <f>VLOOKUP(ENTRADAS71417[[#This Row],[CÓDIGO]],PRODUCTOS31316[],2,FALSE)</f>
        <v>60</v>
      </c>
      <c r="AE167" s="1" t="str">
        <f>VLOOKUP(ENTRADAS71417[[#This Row],[CÓDIGO]],PRODUCTOS31316[],3,FALSE)</f>
        <v>SONDA EN "Y" CON VÁLVULA PARA BOVINOS</v>
      </c>
      <c r="AF167" s="2">
        <v>30</v>
      </c>
      <c r="AG167" s="2"/>
      <c r="AH167" s="2"/>
    </row>
    <row r="168" spans="1:34" ht="49.95" customHeight="1" x14ac:dyDescent="0.3">
      <c r="A168" s="2" t="s">
        <v>662</v>
      </c>
      <c r="C168" s="1" t="s">
        <v>663</v>
      </c>
      <c r="D168" s="1" t="s">
        <v>822</v>
      </c>
      <c r="E168" s="1" t="s">
        <v>593</v>
      </c>
      <c r="F168" s="1" t="s">
        <v>30</v>
      </c>
      <c r="G168" s="2">
        <v>0</v>
      </c>
      <c r="H168" s="14">
        <f>SUMIF(ENTRADAS71417[CÓDIGO],PRODUCTOS31316[[#This Row],[CÓDIGO]],ENTRADAS71417[CANTIDAD])</f>
        <v>0</v>
      </c>
      <c r="I168" s="11">
        <f>SUMIF(SALIDAS111518[CÓDIGO],PRODUCTOS31316[[#This Row],[CÓDIGO]],SALIDAS111518[CANTIDAD])</f>
        <v>0</v>
      </c>
      <c r="J168" s="6">
        <f>PRODUCTOS31316[[#This Row],[EXISTENCIAS]]+PRODUCTOS31316[[#This Row],[ENTRADAS]]-PRODUCTOS31316[[#This Row],[SALIDAS]]</f>
        <v>0</v>
      </c>
      <c r="L168" s="276" t="s">
        <v>3520</v>
      </c>
      <c r="M168" s="276" t="s">
        <v>3653</v>
      </c>
      <c r="N168" s="280" t="s">
        <v>3802</v>
      </c>
      <c r="O168" s="276" t="s">
        <v>3654</v>
      </c>
      <c r="P168" s="16">
        <v>46041</v>
      </c>
      <c r="Q168" s="276" t="s">
        <v>273</v>
      </c>
      <c r="R168" s="2">
        <f>VLOOKUP(SALIDAS111518[[#This Row],[CÓDIGO]],PRODUCTOS31316[],2,FALSE)</f>
        <v>1003514</v>
      </c>
      <c r="S168" s="1" t="str">
        <f>VLOOKUP(SALIDAS111518[[#This Row],[CÓDIGO]],PRODUCTOS31316[],3,FALSE)</f>
        <v>JALEA CONDUCTIVA (GEL ULTRASONICO) GALON X 3785 ML AZUL</v>
      </c>
      <c r="T168" s="2">
        <v>1</v>
      </c>
      <c r="U168" s="2">
        <v>72</v>
      </c>
      <c r="V168" s="2"/>
      <c r="W168" s="2"/>
      <c r="X168" s="2"/>
      <c r="Y168" s="7"/>
      <c r="Z168" s="2">
        <v>10557</v>
      </c>
      <c r="AA168" s="1" t="s">
        <v>4485</v>
      </c>
      <c r="AB168" s="16">
        <v>46100</v>
      </c>
      <c r="AC168" s="2" t="s">
        <v>3308</v>
      </c>
      <c r="AD168" s="1">
        <f>VLOOKUP(ENTRADAS71417[[#This Row],[CÓDIGO]],PRODUCTOS31316[],2,FALSE)</f>
        <v>50</v>
      </c>
      <c r="AE168" s="1" t="str">
        <f>VLOOKUP(ENTRADAS71417[[#This Row],[CÓDIGO]],PRODUCTOS31316[],3,FALSE)</f>
        <v>MAXI FILTRO</v>
      </c>
      <c r="AF168" s="2">
        <v>10</v>
      </c>
      <c r="AG168" s="2"/>
      <c r="AH168" s="2"/>
    </row>
    <row r="169" spans="1:34" ht="49.95" customHeight="1" x14ac:dyDescent="0.3">
      <c r="A169" s="203" t="s">
        <v>665</v>
      </c>
      <c r="C169" s="1" t="s">
        <v>666</v>
      </c>
      <c r="E169" s="1" t="s">
        <v>352</v>
      </c>
      <c r="F169" s="1" t="s">
        <v>30</v>
      </c>
      <c r="G169" s="2">
        <v>12</v>
      </c>
      <c r="H169" s="14">
        <f>SUMIF(ENTRADAS71417[CÓDIGO],PRODUCTOS31316[[#This Row],[CÓDIGO]],ENTRADAS71417[CANTIDAD])</f>
        <v>0</v>
      </c>
      <c r="I169" s="11">
        <f>SUMIF(SALIDAS111518[CÓDIGO],PRODUCTOS31316[[#This Row],[CÓDIGO]],SALIDAS111518[CANTIDAD])</f>
        <v>0</v>
      </c>
      <c r="J169" s="6">
        <f>PRODUCTOS31316[[#This Row],[EXISTENCIAS]]+PRODUCTOS31316[[#This Row],[ENTRADAS]]-PRODUCTOS31316[[#This Row],[SALIDAS]]</f>
        <v>12</v>
      </c>
      <c r="L169" s="276" t="s">
        <v>3520</v>
      </c>
      <c r="M169" s="276" t="s">
        <v>3653</v>
      </c>
      <c r="N169" s="280" t="s">
        <v>3803</v>
      </c>
      <c r="O169" s="275" t="s">
        <v>3283</v>
      </c>
      <c r="P169" s="16">
        <v>46041</v>
      </c>
      <c r="Q169" s="276" t="s">
        <v>104</v>
      </c>
      <c r="R169" s="2">
        <f>VLOOKUP(SALIDAS111518[[#This Row],[CÓDIGO]],PRODUCTOS31316[],2,FALSE)</f>
        <v>0</v>
      </c>
      <c r="S169" s="1" t="str">
        <f>VLOOKUP(SALIDAS111518[[#This Row],[CÓDIGO]],PRODUCTOS31316[],3,FALSE)</f>
        <v>ISPERM CHIPS (500 TESTS PER BOX) PAQ. X 50 UND</v>
      </c>
      <c r="T169" s="2">
        <v>1</v>
      </c>
      <c r="U169" s="2">
        <v>73</v>
      </c>
      <c r="V169" s="2"/>
      <c r="W169" s="2"/>
      <c r="X169" s="2"/>
      <c r="Y169" s="7"/>
      <c r="Z169" s="2">
        <v>10557</v>
      </c>
      <c r="AA169" s="1" t="s">
        <v>4485</v>
      </c>
      <c r="AB169" s="16">
        <v>46100</v>
      </c>
      <c r="AC169" s="2" t="s">
        <v>3303</v>
      </c>
      <c r="AD169" s="1">
        <f>VLOOKUP(ENTRADAS71417[[#This Row],[CÓDIGO]],PRODUCTOS31316[],2,FALSE)</f>
        <v>10</v>
      </c>
      <c r="AE169" s="1" t="str">
        <f>VLOOKUP(ENTRADAS71417[[#This Row],[CÓDIGO]],PRODUCTOS31316[],3,FALSE)</f>
        <v>CAJA PETRI 4 POZOS / 3,026X3,026 CM</v>
      </c>
      <c r="AF169" s="2">
        <v>240</v>
      </c>
      <c r="AG169" s="2"/>
      <c r="AH169" s="2"/>
    </row>
    <row r="170" spans="1:34" ht="49.95" customHeight="1" x14ac:dyDescent="0.3">
      <c r="A170" s="2" t="s">
        <v>668</v>
      </c>
      <c r="C170" s="1" t="s">
        <v>669</v>
      </c>
      <c r="D170" s="1" t="s">
        <v>23</v>
      </c>
      <c r="E170" s="1" t="s">
        <v>670</v>
      </c>
      <c r="F170" s="1" t="s">
        <v>671</v>
      </c>
      <c r="G170" s="2">
        <v>0</v>
      </c>
      <c r="H170" s="14">
        <f>SUMIF(ENTRADAS71417[CÓDIGO],PRODUCTOS31316[[#This Row],[CÓDIGO]],ENTRADAS71417[CANTIDAD])</f>
        <v>0</v>
      </c>
      <c r="I170" s="11">
        <f>SUMIF(SALIDAS111518[CÓDIGO],PRODUCTOS31316[[#This Row],[CÓDIGO]],SALIDAS111518[CANTIDAD])</f>
        <v>0</v>
      </c>
      <c r="J170" s="6">
        <f>PRODUCTOS31316[[#This Row],[EXISTENCIAS]]+PRODUCTOS31316[[#This Row],[ENTRADAS]]-PRODUCTOS31316[[#This Row],[SALIDAS]]</f>
        <v>0</v>
      </c>
      <c r="L170" s="280" t="s">
        <v>3521</v>
      </c>
      <c r="M170" s="280" t="s">
        <v>3653</v>
      </c>
      <c r="N170" s="280" t="s">
        <v>3805</v>
      </c>
      <c r="O170" s="317" t="s">
        <v>3790</v>
      </c>
      <c r="P170" s="16">
        <v>46041</v>
      </c>
      <c r="Q170" s="280" t="s">
        <v>648</v>
      </c>
      <c r="R170" s="2" t="str">
        <f>VLOOKUP(SALIDAS111518[[#This Row],[CÓDIGO]],PRODUCTOS31316[],2,FALSE)</f>
        <v>S5</v>
      </c>
      <c r="S170" s="1" t="str">
        <f>VLOOKUP(SALIDAS111518[[#This Row],[CÓDIGO]],PRODUCTOS31316[],3,FALSE)</f>
        <v>SONDA S5 UNIDAD PRINCIPAL CON SONDA LINEAL RECTAL</v>
      </c>
      <c r="T170" s="2">
        <v>1</v>
      </c>
      <c r="U170" s="1" t="s">
        <v>3817</v>
      </c>
      <c r="V170" s="2"/>
      <c r="W170" s="2"/>
      <c r="X170" s="24"/>
      <c r="Y170" s="7"/>
      <c r="Z170" s="2">
        <v>18405</v>
      </c>
      <c r="AA170" s="1" t="s">
        <v>685</v>
      </c>
      <c r="AB170" s="16">
        <v>46100</v>
      </c>
      <c r="AC170" s="2" t="s">
        <v>683</v>
      </c>
      <c r="AD170" s="1">
        <f>VLOOKUP(ENTRADAS71417[[#This Row],[CÓDIGO]],PRODUCTOS31316[],2,FALSE)</f>
        <v>109304</v>
      </c>
      <c r="AE170" s="1" t="str">
        <f>VLOOKUP(ENTRADAS71417[[#This Row],[CÓDIGO]],PRODUCTOS31316[],3,FALSE)</f>
        <v>EOSINA- NIGROSINA</v>
      </c>
      <c r="AF170" s="2">
        <v>5</v>
      </c>
      <c r="AG170" s="2"/>
      <c r="AH170" s="2">
        <v>59</v>
      </c>
    </row>
    <row r="171" spans="1:34" ht="49.95" customHeight="1" x14ac:dyDescent="0.3">
      <c r="A171" s="2" t="s">
        <v>672</v>
      </c>
      <c r="C171" s="1" t="s">
        <v>673</v>
      </c>
      <c r="D171" s="1" t="s">
        <v>23</v>
      </c>
      <c r="E171" s="1" t="s">
        <v>670</v>
      </c>
      <c r="F171" s="1" t="s">
        <v>671</v>
      </c>
      <c r="G171" s="2">
        <v>0</v>
      </c>
      <c r="H171" s="14">
        <f>SUMIF(ENTRADAS71417[CÓDIGO],PRODUCTOS31316[[#This Row],[CÓDIGO]],ENTRADAS71417[CANTIDAD])</f>
        <v>0</v>
      </c>
      <c r="I171" s="11">
        <f>SUMIF(SALIDAS111518[CÓDIGO],PRODUCTOS31316[[#This Row],[CÓDIGO]],SALIDAS111518[CANTIDAD])</f>
        <v>0</v>
      </c>
      <c r="J171" s="6">
        <f>PRODUCTOS31316[[#This Row],[EXISTENCIAS]]+PRODUCTOS31316[[#This Row],[ENTRADAS]]-PRODUCTOS31316[[#This Row],[SALIDAS]]</f>
        <v>0</v>
      </c>
      <c r="L171" s="280"/>
      <c r="M171" s="280"/>
      <c r="N171" s="276">
        <v>7734</v>
      </c>
      <c r="O171" s="280" t="s">
        <v>3790</v>
      </c>
      <c r="P171" s="16">
        <v>46041</v>
      </c>
      <c r="Q171" s="280" t="s">
        <v>3791</v>
      </c>
      <c r="R171" s="2">
        <f>VLOOKUP(SALIDAS111518[[#This Row],[CÓDIGO]],PRODUCTOS31316[],2,FALSE)</f>
        <v>6936520864546</v>
      </c>
      <c r="S171" s="1" t="str">
        <f>VLOOKUP(SALIDAS111518[[#This Row],[CÓDIGO]],PRODUCTOS31316[],3,FALSE)</f>
        <v>TABLET 11" HONOR PAD X8A 128 GB</v>
      </c>
      <c r="T171" s="2">
        <v>1</v>
      </c>
      <c r="U171" s="2"/>
      <c r="V171" s="2"/>
      <c r="W171" s="2"/>
      <c r="X171" s="24"/>
      <c r="Y171" s="7"/>
      <c r="Z171" s="2" t="s">
        <v>4486</v>
      </c>
      <c r="AA171" s="1" t="s">
        <v>3915</v>
      </c>
      <c r="AB171" s="16">
        <v>46100</v>
      </c>
      <c r="AC171" s="2" t="s">
        <v>47</v>
      </c>
      <c r="AD171" s="1">
        <f>VLOOKUP(ENTRADAS71417[[#This Row],[CÓDIGO]],PRODUCTOS31316[],2,FALSE)</f>
        <v>1135</v>
      </c>
      <c r="AE171" s="1" t="str">
        <f>VLOOKUP(ENTRADAS71417[[#This Row],[CÓDIGO]],PRODUCTOS31316[],3,FALSE)</f>
        <v>TRILADYL</v>
      </c>
      <c r="AF171" s="2">
        <v>6</v>
      </c>
      <c r="AG171" s="2"/>
      <c r="AH171" s="2">
        <v>62</v>
      </c>
    </row>
    <row r="172" spans="1:34" ht="49.95" customHeight="1" x14ac:dyDescent="0.3">
      <c r="A172" s="2" t="s">
        <v>119</v>
      </c>
      <c r="B172" s="1" t="s">
        <v>675</v>
      </c>
      <c r="C172" s="93" t="s">
        <v>676</v>
      </c>
      <c r="D172" s="1" t="s">
        <v>677</v>
      </c>
      <c r="E172" s="1" t="s">
        <v>449</v>
      </c>
      <c r="F172" s="1" t="s">
        <v>678</v>
      </c>
      <c r="G172" s="2">
        <v>0</v>
      </c>
      <c r="H172" s="14">
        <f>SUMIF(ENTRADAS71417[CÓDIGO],PRODUCTOS31316[[#This Row],[CÓDIGO]],ENTRADAS71417[CANTIDAD])</f>
        <v>0</v>
      </c>
      <c r="I172" s="11">
        <f>SUMIF(SALIDAS111518[CÓDIGO],PRODUCTOS31316[[#This Row],[CÓDIGO]],SALIDAS111518[CANTIDAD])</f>
        <v>0</v>
      </c>
      <c r="J172" s="6">
        <f>PRODUCTOS31316[[#This Row],[EXISTENCIAS]]+PRODUCTOS31316[[#This Row],[ENTRADAS]]-PRODUCTOS31316[[#This Row],[SALIDAS]]</f>
        <v>0</v>
      </c>
      <c r="L172" s="280"/>
      <c r="M172" s="280"/>
      <c r="N172" s="276">
        <v>7734</v>
      </c>
      <c r="O172" s="280" t="s">
        <v>3790</v>
      </c>
      <c r="P172" s="16">
        <v>46041</v>
      </c>
      <c r="Q172" s="280" t="s">
        <v>3286</v>
      </c>
      <c r="R172" s="2">
        <f>VLOOKUP(SALIDAS111518[[#This Row],[CÓDIGO]],PRODUCTOS31316[],2,FALSE)</f>
        <v>0</v>
      </c>
      <c r="S172" s="1" t="str">
        <f>VLOOKUP(SALIDAS111518[[#This Row],[CÓDIGO]],PRODUCTOS31316[],3,FALSE)</f>
        <v>CARCASA TABLET BMV</v>
      </c>
      <c r="T172" s="2">
        <v>1</v>
      </c>
      <c r="U172" s="2"/>
      <c r="V172" s="2"/>
      <c r="W172" s="2"/>
      <c r="X172" s="24"/>
      <c r="Y172" s="7"/>
      <c r="Z172" s="2">
        <v>6291</v>
      </c>
      <c r="AA172" s="318" t="s">
        <v>1819</v>
      </c>
      <c r="AB172" s="16">
        <v>46100</v>
      </c>
      <c r="AC172" s="317" t="s">
        <v>333</v>
      </c>
      <c r="AD172" s="1" t="str">
        <f>VLOOKUP(ENTRADAS71417[[#This Row],[CÓDIGO]],PRODUCTOS31316[],2,FALSE)</f>
        <v>CTB15</v>
      </c>
      <c r="AE172" s="1" t="str">
        <f>VLOOKUP(ENTRADAS71417[[#This Row],[CÓDIGO]],PRODUCTOS31316[],3,FALSE)</f>
        <v>TUBO CÓNICO DE 15 ML, TAPA ROSCA ESTÉRIL  RCF MAX: 10000xg, 
graduados, PCR puro. VENCE: 03/04/2028</v>
      </c>
      <c r="AF172" s="2">
        <v>40</v>
      </c>
      <c r="AG172" s="2"/>
      <c r="AH172" s="2">
        <v>64</v>
      </c>
    </row>
    <row r="173" spans="1:34" ht="49.95" customHeight="1" x14ac:dyDescent="0.3">
      <c r="A173" s="2" t="s">
        <v>680</v>
      </c>
      <c r="C173" s="1" t="s">
        <v>681</v>
      </c>
      <c r="E173" s="1" t="s">
        <v>190</v>
      </c>
      <c r="F173" s="1" t="s">
        <v>30</v>
      </c>
      <c r="G173" s="2">
        <v>0</v>
      </c>
      <c r="H173" s="14">
        <f>SUMIF(ENTRADAS71417[CÓDIGO],PRODUCTOS31316[[#This Row],[CÓDIGO]],ENTRADAS71417[CANTIDAD])</f>
        <v>0</v>
      </c>
      <c r="I173" s="11">
        <f>SUMIF(SALIDAS111518[CÓDIGO],PRODUCTOS31316[[#This Row],[CÓDIGO]],SALIDAS111518[CANTIDAD])</f>
        <v>0</v>
      </c>
      <c r="J173" s="6">
        <f>PRODUCTOS31316[[#This Row],[EXISTENCIAS]]+PRODUCTOS31316[[#This Row],[ENTRADAS]]-PRODUCTOS31316[[#This Row],[SALIDAS]]</f>
        <v>0</v>
      </c>
      <c r="L173" s="280" t="s">
        <v>3520</v>
      </c>
      <c r="M173" s="280" t="s">
        <v>3653</v>
      </c>
      <c r="N173" s="362" t="s">
        <v>4157</v>
      </c>
      <c r="O173" s="287" t="s">
        <v>3796</v>
      </c>
      <c r="P173" s="346">
        <v>46049</v>
      </c>
      <c r="Q173" s="280" t="s">
        <v>336</v>
      </c>
      <c r="R173" s="2">
        <f>VLOOKUP(SALIDAS111518[[#This Row],[CÓDIGO]],PRODUCTOS31316[],2,FALSE)</f>
        <v>0</v>
      </c>
      <c r="S173" s="1" t="str">
        <f>VLOOKUP(SALIDAS111518[[#This Row],[CÓDIGO]],PRODUCTOS31316[],3,FALSE)</f>
        <v>ABT PVA CONCENTRAD 20 ML VC ENERO 2027</v>
      </c>
      <c r="T173" s="2">
        <v>5</v>
      </c>
      <c r="U173" s="2">
        <v>310</v>
      </c>
      <c r="V173" s="2"/>
      <c r="W173" s="2"/>
      <c r="X173" s="2"/>
      <c r="Y173" s="7"/>
      <c r="Z173" s="2">
        <v>6291</v>
      </c>
      <c r="AA173" s="318" t="s">
        <v>1819</v>
      </c>
      <c r="AB173" s="16">
        <v>46100</v>
      </c>
      <c r="AC173" s="317" t="s">
        <v>341</v>
      </c>
      <c r="AD173" s="1" t="str">
        <f>VLOOKUP(ENTRADAS71417[[#This Row],[CÓDIGO]],PRODUCTOS31316[],2,FALSE)</f>
        <v>CTB50</v>
      </c>
      <c r="AE173" s="1" t="str">
        <f>VLOOKUP(ENTRADAS71417[[#This Row],[CÓDIGO]],PRODUCTOS31316[],3,FALSE)</f>
        <v>TUBO CÓNICO DE 50 mL, TAPA ROSCA, PRE ESTERILIZADO. RCF MAX: 10000xg, graduados, PCR puro.</v>
      </c>
      <c r="AF173" s="2">
        <v>30</v>
      </c>
      <c r="AG173" s="2"/>
      <c r="AH173" s="2"/>
    </row>
    <row r="174" spans="1:34" ht="49.95" customHeight="1" x14ac:dyDescent="0.3">
      <c r="A174" s="2" t="s">
        <v>683</v>
      </c>
      <c r="B174" s="1">
        <v>109304</v>
      </c>
      <c r="C174" s="216" t="s">
        <v>684</v>
      </c>
      <c r="D174" s="1" t="s">
        <v>685</v>
      </c>
      <c r="E174" s="1" t="s">
        <v>685</v>
      </c>
      <c r="F174" s="1" t="s">
        <v>686</v>
      </c>
      <c r="G174" s="2">
        <v>5</v>
      </c>
      <c r="H174" s="14">
        <f>SUMIF(ENTRADAS71417[CÓDIGO],PRODUCTOS31316[[#This Row],[CÓDIGO]],ENTRADAS71417[CANTIDAD])</f>
        <v>11</v>
      </c>
      <c r="I174" s="11">
        <f>SUMIF(SALIDAS111518[CÓDIGO],PRODUCTOS31316[[#This Row],[CÓDIGO]],SALIDAS111518[CANTIDAD])</f>
        <v>11</v>
      </c>
      <c r="J174" s="6">
        <f>PRODUCTOS31316[[#This Row],[EXISTENCIAS]]+PRODUCTOS31316[[#This Row],[ENTRADAS]]-PRODUCTOS31316[[#This Row],[SALIDAS]]</f>
        <v>5</v>
      </c>
      <c r="L174" s="282"/>
      <c r="M174" s="282"/>
      <c r="N174" s="276">
        <v>7921</v>
      </c>
      <c r="O174" s="280" t="s">
        <v>3136</v>
      </c>
      <c r="P174" s="16">
        <v>46049</v>
      </c>
      <c r="Q174" s="280" t="s">
        <v>752</v>
      </c>
      <c r="R174" s="2">
        <f>VLOOKUP(SALIDAS111518[[#This Row],[CÓDIGO]],PRODUCTOS31316[],2,FALSE)</f>
        <v>0</v>
      </c>
      <c r="S174" s="1" t="str">
        <f>VLOOKUP(SALIDAS111518[[#This Row],[CÓDIGO]],PRODUCTOS31316[],3,FALSE)</f>
        <v>TABS BLANCOS</v>
      </c>
      <c r="T174" s="2">
        <v>1</v>
      </c>
      <c r="U174" s="2"/>
      <c r="V174" s="2"/>
      <c r="W174" s="2"/>
      <c r="X174" s="2"/>
      <c r="Y174" s="7"/>
      <c r="Z174" s="2">
        <v>6291</v>
      </c>
      <c r="AA174" s="318" t="s">
        <v>1819</v>
      </c>
      <c r="AB174" s="16">
        <v>46100</v>
      </c>
      <c r="AC174" s="317" t="s">
        <v>3168</v>
      </c>
      <c r="AD174" s="1" t="str">
        <f>VLOOKUP(ENTRADAS71417[[#This Row],[CÓDIGO]],PRODUCTOS31316[],2,FALSE)</f>
        <v>MCTB015</v>
      </c>
      <c r="AE174" s="1" t="str">
        <f>VLOOKUP(ENTRADAS71417[[#This Row],[CÓDIGO]],PRODUCTOS31316[],3,FALSE)</f>
        <v>TUBO CONICO DE 1,5ml PRE ESTERILIZADO LIBRE DE Rnasa y Dnasa No pirogenico No DNA Humano Tapa a Presion</v>
      </c>
      <c r="AF174" s="2">
        <v>5</v>
      </c>
      <c r="AG174" s="2"/>
      <c r="AH174" s="2"/>
    </row>
    <row r="175" spans="1:34" ht="49.95" customHeight="1" x14ac:dyDescent="0.3">
      <c r="A175" s="2" t="s">
        <v>688</v>
      </c>
      <c r="C175" s="1" t="s">
        <v>689</v>
      </c>
      <c r="D175" s="1" t="s">
        <v>822</v>
      </c>
      <c r="E175" s="1" t="s">
        <v>593</v>
      </c>
      <c r="F175" s="1" t="s">
        <v>30</v>
      </c>
      <c r="G175" s="2">
        <v>0</v>
      </c>
      <c r="H175" s="14">
        <f>SUMIF(ENTRADAS71417[CÓDIGO],PRODUCTOS31316[[#This Row],[CÓDIGO]],ENTRADAS71417[CANTIDAD])</f>
        <v>0</v>
      </c>
      <c r="I175" s="11">
        <f>SUMIF(SALIDAS111518[CÓDIGO],PRODUCTOS31316[[#This Row],[CÓDIGO]],SALIDAS111518[CANTIDAD])</f>
        <v>0</v>
      </c>
      <c r="J175" s="6">
        <f>PRODUCTOS31316[[#This Row],[EXISTENCIAS]]+PRODUCTOS31316[[#This Row],[ENTRADAS]]-PRODUCTOS31316[[#This Row],[SALIDAS]]</f>
        <v>0</v>
      </c>
      <c r="L175" s="280"/>
      <c r="M175" s="280"/>
      <c r="N175" s="276">
        <v>7921</v>
      </c>
      <c r="O175" s="301" t="s">
        <v>3136</v>
      </c>
      <c r="P175" s="16">
        <v>46049</v>
      </c>
      <c r="Q175" s="280" t="s">
        <v>15</v>
      </c>
      <c r="R175" s="2" t="str">
        <f>VLOOKUP(SALIDAS111518[[#This Row],[CÓDIGO]],PRODUCTOS31316[],2,FALSE)</f>
        <v>BTE-025PT/ 504002</v>
      </c>
      <c r="S175" s="1" t="str">
        <f>VLOOKUP(SALIDAS111518[[#This Row],[CÓDIGO]],PRODUCTOS31316[],3,FALSE)</f>
        <v>FUNDAS PARA TRANSFERENCIA DE EMBRIONES</v>
      </c>
      <c r="T175" s="2">
        <v>50</v>
      </c>
      <c r="U175" s="2"/>
      <c r="V175" s="2"/>
      <c r="W175" s="2"/>
      <c r="X175" s="2"/>
      <c r="Y175" s="7"/>
      <c r="Z175" s="319" t="s">
        <v>4509</v>
      </c>
      <c r="AA175" s="320" t="s">
        <v>3795</v>
      </c>
      <c r="AB175" s="16">
        <v>46105</v>
      </c>
      <c r="AC175" s="2" t="s">
        <v>3791</v>
      </c>
      <c r="AD175" s="1">
        <f>VLOOKUP(ENTRADAS71417[[#This Row],[CÓDIGO]],PRODUCTOS31316[],2,FALSE)</f>
        <v>6936520864546</v>
      </c>
      <c r="AE175" s="1" t="str">
        <f>VLOOKUP(ENTRADAS71417[[#This Row],[CÓDIGO]],PRODUCTOS31316[],3,FALSE)</f>
        <v>TABLET 11" HONOR PAD X8A 128 GB</v>
      </c>
      <c r="AF175" s="2">
        <v>3</v>
      </c>
      <c r="AG175" s="2"/>
      <c r="AH175" s="2">
        <v>68</v>
      </c>
    </row>
    <row r="176" spans="1:34" ht="49.95" customHeight="1" x14ac:dyDescent="0.3">
      <c r="A176" s="2" t="s">
        <v>691</v>
      </c>
      <c r="C176" s="1" t="s">
        <v>692</v>
      </c>
      <c r="D176" s="1" t="s">
        <v>822</v>
      </c>
      <c r="E176" s="1" t="s">
        <v>593</v>
      </c>
      <c r="F176" s="1" t="s">
        <v>62</v>
      </c>
      <c r="G176" s="2">
        <v>0</v>
      </c>
      <c r="H176" s="14">
        <f>SUMIF(ENTRADAS71417[CÓDIGO],PRODUCTOS31316[[#This Row],[CÓDIGO]],ENTRADAS71417[CANTIDAD])</f>
        <v>0</v>
      </c>
      <c r="I176" s="11">
        <f>SUMIF(SALIDAS111518[CÓDIGO],PRODUCTOS31316[[#This Row],[CÓDIGO]],SALIDAS111518[CANTIDAD])</f>
        <v>0</v>
      </c>
      <c r="J176" s="6">
        <f>PRODUCTOS31316[[#This Row],[EXISTENCIAS]]+PRODUCTOS31316[[#This Row],[ENTRADAS]]-PRODUCTOS31316[[#This Row],[SALIDAS]]</f>
        <v>0</v>
      </c>
      <c r="L176" s="280"/>
      <c r="M176" s="280"/>
      <c r="N176" s="276">
        <v>7921</v>
      </c>
      <c r="O176" s="280" t="s">
        <v>3136</v>
      </c>
      <c r="P176" s="16">
        <v>46049</v>
      </c>
      <c r="Q176" s="280" t="s">
        <v>1779</v>
      </c>
      <c r="R176" s="2">
        <f>VLOOKUP(SALIDAS111518[[#This Row],[CÓDIGO]],PRODUCTOS31316[],2,FALSE)</f>
        <v>5563</v>
      </c>
      <c r="S176" s="1" t="str">
        <f>VLOOKUP(SALIDAS111518[[#This Row],[CÓDIGO]],PRODUCTOS31316[],3,FALSE)</f>
        <v>CAMISA SANITARIA ROLLO X 80</v>
      </c>
      <c r="T176" s="2">
        <v>5</v>
      </c>
      <c r="U176" s="2"/>
      <c r="V176" s="2"/>
      <c r="W176" s="2"/>
      <c r="X176" s="2"/>
      <c r="Y176" s="7"/>
      <c r="Z176" s="319" t="s">
        <v>4510</v>
      </c>
      <c r="AA176" s="320" t="s">
        <v>3795</v>
      </c>
      <c r="AB176" s="16">
        <v>46106</v>
      </c>
      <c r="AC176" s="2" t="s">
        <v>3791</v>
      </c>
      <c r="AD176" s="1">
        <f>VLOOKUP(ENTRADAS71417[[#This Row],[CÓDIGO]],PRODUCTOS31316[],2,FALSE)</f>
        <v>6936520864546</v>
      </c>
      <c r="AE176" s="1" t="str">
        <f>VLOOKUP(ENTRADAS71417[[#This Row],[CÓDIGO]],PRODUCTOS31316[],3,FALSE)</f>
        <v>TABLET 11" HONOR PAD X8A 128 GB</v>
      </c>
      <c r="AF176" s="2">
        <v>3</v>
      </c>
      <c r="AG176" s="2"/>
      <c r="AH176" s="2">
        <v>69</v>
      </c>
    </row>
    <row r="177" spans="1:34" ht="49.95" customHeight="1" x14ac:dyDescent="0.3">
      <c r="A177" s="2" t="s">
        <v>694</v>
      </c>
      <c r="C177" s="1" t="s">
        <v>695</v>
      </c>
      <c r="D177" s="1" t="s">
        <v>822</v>
      </c>
      <c r="E177" s="1" t="s">
        <v>593</v>
      </c>
      <c r="F177" s="1" t="s">
        <v>30</v>
      </c>
      <c r="G177" s="2">
        <v>0</v>
      </c>
      <c r="H177" s="14">
        <f>SUMIF(ENTRADAS71417[CÓDIGO],PRODUCTOS31316[[#This Row],[CÓDIGO]],ENTRADAS71417[CANTIDAD])</f>
        <v>0</v>
      </c>
      <c r="I177" s="11">
        <f>SUMIF(SALIDAS111518[CÓDIGO],PRODUCTOS31316[[#This Row],[CÓDIGO]],SALIDAS111518[CANTIDAD])</f>
        <v>0</v>
      </c>
      <c r="J177" s="6">
        <f>PRODUCTOS31316[[#This Row],[EXISTENCIAS]]+PRODUCTOS31316[[#This Row],[ENTRADAS]]-PRODUCTOS31316[[#This Row],[SALIDAS]]</f>
        <v>0</v>
      </c>
      <c r="L177" s="280" t="s">
        <v>3520</v>
      </c>
      <c r="M177" s="280" t="s">
        <v>3653</v>
      </c>
      <c r="N177" s="280" t="s">
        <v>3800</v>
      </c>
      <c r="O177" s="280" t="s">
        <v>1358</v>
      </c>
      <c r="P177" s="16">
        <v>46041</v>
      </c>
      <c r="Q177" s="280" t="s">
        <v>104</v>
      </c>
      <c r="R177" s="2">
        <f>VLOOKUP(SALIDAS111518[[#This Row],[CÓDIGO]],PRODUCTOS31316[],2,FALSE)</f>
        <v>0</v>
      </c>
      <c r="S177" s="1" t="str">
        <f>VLOOKUP(SALIDAS111518[[#This Row],[CÓDIGO]],PRODUCTOS31316[],3,FALSE)</f>
        <v>ISPERM CHIPS (500 TESTS PER BOX) PAQ. X 50 UND</v>
      </c>
      <c r="T177" s="2">
        <v>10</v>
      </c>
      <c r="U177" s="2">
        <v>75</v>
      </c>
      <c r="V177" s="2"/>
      <c r="W177" s="2"/>
      <c r="X177" s="2"/>
      <c r="Y177" s="7"/>
      <c r="Z177" s="2">
        <v>96154</v>
      </c>
      <c r="AA177" s="320" t="s">
        <v>442</v>
      </c>
      <c r="AB177" s="16">
        <v>46108</v>
      </c>
      <c r="AC177" s="319" t="s">
        <v>443</v>
      </c>
      <c r="AD177" s="1">
        <f>VLOOKUP(ENTRADAS71417[[#This Row],[CÓDIGO]],PRODUCTOS31316[],2,FALSE)</f>
        <v>23064</v>
      </c>
      <c r="AE177" s="1" t="str">
        <f>VLOOKUP(ENTRADAS71417[[#This Row],[CÓDIGO]],PRODUCTOS31316[],3,FALSE)</f>
        <v>TERMO DESCONGELADOR DE SEMEN DE EMBRIONES AZUL</v>
      </c>
      <c r="AF177" s="2">
        <v>5</v>
      </c>
      <c r="AG177" s="2"/>
      <c r="AH177" s="2">
        <v>72</v>
      </c>
    </row>
    <row r="178" spans="1:34" ht="49.95" customHeight="1" x14ac:dyDescent="0.3">
      <c r="A178" s="2" t="s">
        <v>696</v>
      </c>
      <c r="B178" s="1">
        <v>12101</v>
      </c>
      <c r="C178" s="1" t="s">
        <v>697</v>
      </c>
      <c r="D178" s="1" t="s">
        <v>223</v>
      </c>
      <c r="E178" s="1" t="s">
        <v>177</v>
      </c>
      <c r="F178" s="1" t="s">
        <v>30</v>
      </c>
      <c r="G178" s="2">
        <v>0</v>
      </c>
      <c r="H178" s="14">
        <f>SUMIF(ENTRADAS71417[CÓDIGO],PRODUCTOS31316[[#This Row],[CÓDIGO]],ENTRADAS71417[CANTIDAD])</f>
        <v>0</v>
      </c>
      <c r="I178" s="11">
        <f>SUMIF(SALIDAS111518[CÓDIGO],PRODUCTOS31316[[#This Row],[CÓDIGO]],SALIDAS111518[CANTIDAD])</f>
        <v>0</v>
      </c>
      <c r="J178" s="6">
        <f>PRODUCTOS31316[[#This Row],[EXISTENCIAS]]+PRODUCTOS31316[[#This Row],[ENTRADAS]]-PRODUCTOS31316[[#This Row],[SALIDAS]]</f>
        <v>0</v>
      </c>
      <c r="L178" s="280"/>
      <c r="M178" s="280"/>
      <c r="N178" s="276">
        <v>7729</v>
      </c>
      <c r="O178" s="280" t="s">
        <v>1358</v>
      </c>
      <c r="P178" s="16">
        <v>46041</v>
      </c>
      <c r="Q178" s="280" t="s">
        <v>236</v>
      </c>
      <c r="R178" s="2">
        <f>VLOOKUP(SALIDAS111518[[#This Row],[CÓDIGO]],PRODUCTOS31316[],2,FALSE)</f>
        <v>0</v>
      </c>
      <c r="S178" s="1" t="str">
        <f>VLOOKUP(SALIDAS111518[[#This Row],[CÓDIGO]],PRODUCTOS31316[],3,FALSE)</f>
        <v>TERMO METÁLICO DESCONGELADOR</v>
      </c>
      <c r="T178" s="2">
        <v>2</v>
      </c>
      <c r="U178" s="2"/>
      <c r="V178" s="2"/>
      <c r="W178" s="2"/>
      <c r="X178" s="2"/>
      <c r="Y178" s="7"/>
      <c r="Z178" s="2">
        <v>96154</v>
      </c>
      <c r="AA178" s="320" t="s">
        <v>442</v>
      </c>
      <c r="AB178" s="16">
        <v>46108</v>
      </c>
      <c r="AC178" s="319" t="s">
        <v>149</v>
      </c>
      <c r="AD178" s="1">
        <f>VLOOKUP(ENTRADAS71417[[#This Row],[CÓDIGO]],PRODUCTOS31316[],2,FALSE)</f>
        <v>18621</v>
      </c>
      <c r="AE178" s="1" t="str">
        <f>VLOOKUP(ENTRADAS71417[[#This Row],[CÓDIGO]],PRODUCTOS31316[],3,FALSE)</f>
        <v>TERMO DESCONGELADOR DE SEMEN DE EMBRIONES ROJO</v>
      </c>
      <c r="AF178" s="2">
        <v>5</v>
      </c>
      <c r="AG178" s="2"/>
      <c r="AH178" s="2"/>
    </row>
    <row r="179" spans="1:34" ht="49.95" customHeight="1" x14ac:dyDescent="0.3">
      <c r="A179" s="2" t="s">
        <v>699</v>
      </c>
      <c r="B179" s="1" t="s">
        <v>700</v>
      </c>
      <c r="C179" s="1" t="s">
        <v>701</v>
      </c>
      <c r="E179" s="1" t="s">
        <v>702</v>
      </c>
      <c r="F179" s="1" t="s">
        <v>30</v>
      </c>
      <c r="G179" s="2">
        <v>0</v>
      </c>
      <c r="H179" s="14">
        <f>SUMIF(ENTRADAS71417[CÓDIGO],PRODUCTOS31316[[#This Row],[CÓDIGO]],ENTRADAS71417[CANTIDAD])</f>
        <v>0</v>
      </c>
      <c r="I179" s="11">
        <f>SUMIF(SALIDAS111518[CÓDIGO],PRODUCTOS31316[[#This Row],[CÓDIGO]],SALIDAS111518[CANTIDAD])</f>
        <v>0</v>
      </c>
      <c r="J179" s="6">
        <f>PRODUCTOS31316[[#This Row],[EXISTENCIAS]]+PRODUCTOS31316[[#This Row],[ENTRADAS]]-PRODUCTOS31316[[#This Row],[SALIDAS]]</f>
        <v>0</v>
      </c>
      <c r="L179" s="280" t="s">
        <v>3520</v>
      </c>
      <c r="M179" s="280" t="s">
        <v>3653</v>
      </c>
      <c r="N179" s="280" t="s">
        <v>3799</v>
      </c>
      <c r="O179" s="281" t="s">
        <v>2699</v>
      </c>
      <c r="P179" s="16">
        <v>46041</v>
      </c>
      <c r="Q179" s="280" t="s">
        <v>167</v>
      </c>
      <c r="R179" s="2" t="str">
        <f>VLOOKUP(SALIDAS111518[[#This Row],[CÓDIGO]],PRODUCTOS31316[],2,FALSE)</f>
        <v>50050-1</v>
      </c>
      <c r="S179" s="1" t="str">
        <f>VLOOKUP(SALIDAS111518[[#This Row],[CÓDIGO]],PRODUCTOS31316[],3,FALSE)</f>
        <v>TUBO CONICO PLUG, AUTOCLAVABLE ESTERIL  TAPA ROSCA DE 50 ML</v>
      </c>
      <c r="T179" s="2">
        <v>2</v>
      </c>
      <c r="U179" s="2">
        <v>76</v>
      </c>
      <c r="V179" s="2"/>
      <c r="W179" s="2"/>
      <c r="X179" s="2"/>
      <c r="Y179" s="7"/>
      <c r="Z179" s="2">
        <v>96154</v>
      </c>
      <c r="AA179" s="320" t="s">
        <v>442</v>
      </c>
      <c r="AB179" s="16">
        <v>46108</v>
      </c>
      <c r="AC179" s="319" t="s">
        <v>63</v>
      </c>
      <c r="AD179" s="1">
        <f>VLOOKUP(ENTRADAS71417[[#This Row],[CÓDIGO]],PRODUCTOS31316[],2,FALSE)</f>
        <v>25458</v>
      </c>
      <c r="AE179" s="1" t="str">
        <f>VLOOKUP(ENTRADAS71417[[#This Row],[CÓDIGO]],PRODUCTOS31316[],3,FALSE)</f>
        <v>FILTROS PARA OPU 100 UL</v>
      </c>
      <c r="AF179" s="2">
        <v>23</v>
      </c>
      <c r="AG179" s="2"/>
      <c r="AH179" s="2"/>
    </row>
    <row r="180" spans="1:34" ht="49.95" customHeight="1" x14ac:dyDescent="0.3">
      <c r="A180" s="2" t="s">
        <v>704</v>
      </c>
      <c r="B180" s="1">
        <v>13136</v>
      </c>
      <c r="C180" s="1" t="s">
        <v>17</v>
      </c>
      <c r="D180" s="1" t="s">
        <v>442</v>
      </c>
      <c r="E180" s="1" t="s">
        <v>442</v>
      </c>
      <c r="F180" s="1" t="s">
        <v>19</v>
      </c>
      <c r="G180" s="2">
        <v>0</v>
      </c>
      <c r="H180" s="14">
        <f>SUMIF(ENTRADAS71417[CÓDIGO],PRODUCTOS31316[[#This Row],[CÓDIGO]],ENTRADAS71417[CANTIDAD])</f>
        <v>0</v>
      </c>
      <c r="I180" s="11">
        <f>SUMIF(SALIDAS111518[CÓDIGO],PRODUCTOS31316[[#This Row],[CÓDIGO]],SALIDAS111518[CANTIDAD])</f>
        <v>0</v>
      </c>
      <c r="J180" s="6">
        <f>PRODUCTOS31316[[#This Row],[EXISTENCIAS]]+PRODUCTOS31316[[#This Row],[ENTRADAS]]-PRODUCTOS31316[[#This Row],[SALIDAS]]</f>
        <v>0</v>
      </c>
      <c r="L180" s="280"/>
      <c r="M180" s="280"/>
      <c r="N180" s="276">
        <v>7728</v>
      </c>
      <c r="O180" s="281" t="s">
        <v>2699</v>
      </c>
      <c r="P180" s="16">
        <v>46041</v>
      </c>
      <c r="Q180" s="280" t="s">
        <v>2246</v>
      </c>
      <c r="R180" s="2" t="str">
        <f>VLOOKUP(SALIDAS111518[[#This Row],[CÓDIGO]],PRODUCTOS31316[],2,FALSE)</f>
        <v>00051076-02</v>
      </c>
      <c r="S180" s="1" t="str">
        <f>VLOOKUP(SALIDAS111518[[#This Row],[CÓDIGO]],PRODUCTOS31316[],3,FALSE)</f>
        <v>LIDOCAÍNA  HCL 2 % X 100 ML/ 2025-12-16</v>
      </c>
      <c r="T180" s="2">
        <v>4</v>
      </c>
      <c r="U180" s="2"/>
      <c r="V180" s="2"/>
      <c r="W180" s="2"/>
      <c r="X180" s="2"/>
      <c r="Y180" s="7"/>
      <c r="Z180" s="2">
        <v>96154</v>
      </c>
      <c r="AA180" s="320" t="s">
        <v>442</v>
      </c>
      <c r="AB180" s="16">
        <v>46108</v>
      </c>
      <c r="AC180" s="319" t="s">
        <v>587</v>
      </c>
      <c r="AD180" s="1">
        <f>VLOOKUP(ENTRADAS71417[[#This Row],[CÓDIGO]],PRODUCTOS31316[],2,FALSE)</f>
        <v>20435</v>
      </c>
      <c r="AE180" s="1" t="str">
        <f>VLOOKUP(ENTRADAS71417[[#This Row],[CÓDIGO]],PRODUCTOS31316[],3,FALSE)</f>
        <v>PLATINA TERMICA COMPACTA</v>
      </c>
      <c r="AF180" s="2">
        <v>3</v>
      </c>
      <c r="AG180" s="2"/>
      <c r="AH180" s="2"/>
    </row>
    <row r="181" spans="1:34" ht="49.95" customHeight="1" x14ac:dyDescent="0.3">
      <c r="A181" s="2" t="s">
        <v>705</v>
      </c>
      <c r="B181" s="1">
        <v>3120000020</v>
      </c>
      <c r="C181" s="1" t="s">
        <v>706</v>
      </c>
      <c r="D181" s="1" t="s">
        <v>707</v>
      </c>
      <c r="E181" s="1" t="s">
        <v>708</v>
      </c>
      <c r="F181" s="1" t="s">
        <v>30</v>
      </c>
      <c r="G181" s="2">
        <v>0</v>
      </c>
      <c r="H181" s="14">
        <f>SUMIF(ENTRADAS71417[CÓDIGO],PRODUCTOS31316[[#This Row],[CÓDIGO]],ENTRADAS71417[CANTIDAD])</f>
        <v>0</v>
      </c>
      <c r="I181" s="11">
        <f>SUMIF(SALIDAS111518[CÓDIGO],PRODUCTOS31316[[#This Row],[CÓDIGO]],SALIDAS111518[CANTIDAD])</f>
        <v>0</v>
      </c>
      <c r="J181" s="6">
        <f>PRODUCTOS31316[[#This Row],[EXISTENCIAS]]+PRODUCTOS31316[[#This Row],[ENTRADAS]]-PRODUCTOS31316[[#This Row],[SALIDAS]]</f>
        <v>0</v>
      </c>
      <c r="L181" s="280" t="s">
        <v>3520</v>
      </c>
      <c r="M181" s="280" t="s">
        <v>3653</v>
      </c>
      <c r="N181" s="280" t="s">
        <v>3798</v>
      </c>
      <c r="O181" s="280" t="s">
        <v>2758</v>
      </c>
      <c r="P181" s="16">
        <v>46041</v>
      </c>
      <c r="Q181" s="280" t="s">
        <v>3202</v>
      </c>
      <c r="R181" s="2">
        <f>VLOOKUP(SALIDAS111518[[#This Row],[CÓDIGO]],PRODUCTOS31316[],2,FALSE)</f>
        <v>0</v>
      </c>
      <c r="S181" s="1" t="str">
        <f>VLOOKUP(SALIDAS111518[[#This Row],[CÓDIGO]],PRODUCTOS31316[],3,FALSE)</f>
        <v>CABLE REPUESTO ECOGRAFO S5</v>
      </c>
      <c r="T181" s="2">
        <v>1</v>
      </c>
      <c r="U181" s="2">
        <v>77</v>
      </c>
      <c r="V181" s="2"/>
      <c r="W181" s="2"/>
      <c r="X181" s="2"/>
      <c r="Y181" s="7"/>
      <c r="Z181" s="2">
        <v>96154</v>
      </c>
      <c r="AA181" s="320" t="s">
        <v>442</v>
      </c>
      <c r="AB181" s="16">
        <v>46108</v>
      </c>
      <c r="AC181" s="319" t="s">
        <v>651</v>
      </c>
      <c r="AD181" s="1">
        <f>VLOOKUP(ENTRADAS71417[[#This Row],[CÓDIGO]],PRODUCTOS31316[],2,FALSE)</f>
        <v>18367</v>
      </c>
      <c r="AE181" s="1" t="str">
        <f>VLOOKUP(ENTRADAS71417[[#This Row],[CÓDIGO]],PRODUCTOS31316[],3,FALSE)</f>
        <v>PISTOLA DE INSEMINACIÓN UNIVERSAL (AUTOMATIC LOCK)</v>
      </c>
      <c r="AF181" s="2">
        <v>5</v>
      </c>
      <c r="AG181" s="2"/>
      <c r="AH181" s="2"/>
    </row>
    <row r="182" spans="1:34" ht="49.95" customHeight="1" x14ac:dyDescent="0.3">
      <c r="A182" s="2" t="s">
        <v>487</v>
      </c>
      <c r="B182" s="1">
        <v>10370</v>
      </c>
      <c r="C182" s="133" t="s">
        <v>710</v>
      </c>
      <c r="D182" s="1" t="s">
        <v>442</v>
      </c>
      <c r="E182" s="1" t="s">
        <v>442</v>
      </c>
      <c r="F182" s="1" t="s">
        <v>30</v>
      </c>
      <c r="G182" s="2">
        <v>1</v>
      </c>
      <c r="H182" s="14">
        <f>SUMIF(ENTRADAS71417[CÓDIGO],PRODUCTOS31316[[#This Row],[CÓDIGO]],ENTRADAS71417[CANTIDAD])</f>
        <v>0</v>
      </c>
      <c r="I182" s="11">
        <f>SUMIF(SALIDAS111518[CÓDIGO],PRODUCTOS31316[[#This Row],[CÓDIGO]],SALIDAS111518[CANTIDAD])</f>
        <v>0</v>
      </c>
      <c r="J182" s="6">
        <f>PRODUCTOS31316[[#This Row],[EXISTENCIAS]]+PRODUCTOS31316[[#This Row],[ENTRADAS]]-PRODUCTOS31316[[#This Row],[SALIDAS]]</f>
        <v>1</v>
      </c>
      <c r="L182" s="276"/>
      <c r="M182" s="276"/>
      <c r="N182" s="276">
        <v>7727</v>
      </c>
      <c r="O182" s="280" t="s">
        <v>2758</v>
      </c>
      <c r="P182" s="16">
        <v>46041</v>
      </c>
      <c r="Q182" s="280" t="s">
        <v>382</v>
      </c>
      <c r="R182" s="2">
        <f>VLOOKUP(SALIDAS111518[[#This Row],[CÓDIGO]],PRODUCTOS31316[],2,FALSE)</f>
        <v>605032</v>
      </c>
      <c r="S182" s="1" t="str">
        <f>VLOOKUP(SALIDAS111518[[#This Row],[CÓDIGO]],PRODUCTOS31316[],3,FALSE)</f>
        <v>LUBRICANTE OB, NO ESPERMICIDA</v>
      </c>
      <c r="T182" s="2">
        <v>1</v>
      </c>
      <c r="U182" s="2"/>
      <c r="V182" s="2"/>
      <c r="W182" s="2"/>
      <c r="X182" s="2"/>
      <c r="Y182" s="7"/>
      <c r="Z182" s="2">
        <v>96154</v>
      </c>
      <c r="AA182" s="320" t="s">
        <v>442</v>
      </c>
      <c r="AB182" s="16">
        <v>46108</v>
      </c>
      <c r="AC182" s="324" t="s">
        <v>4574</v>
      </c>
      <c r="AD182" s="1">
        <f>VLOOKUP(ENTRADAS71417[[#This Row],[CÓDIGO]],PRODUCTOS31316[],2,FALSE)</f>
        <v>15816</v>
      </c>
      <c r="AE182" s="1" t="str">
        <f>VLOOKUP(ENTRADAS71417[[#This Row],[CÓDIGO]],PRODUCTOS31316[],3,FALSE)</f>
        <v>PISTOLA DE INSEMINACIÓN UNIVERSAL (AUTOMATIC LOCK) ALUMINIO</v>
      </c>
      <c r="AF182" s="2">
        <v>5</v>
      </c>
      <c r="AG182" s="2"/>
      <c r="AH182" s="2"/>
    </row>
    <row r="183" spans="1:34" ht="49.95" customHeight="1" x14ac:dyDescent="0.3">
      <c r="A183" s="2" t="s">
        <v>2316</v>
      </c>
      <c r="B183" s="1">
        <v>21315</v>
      </c>
      <c r="C183" s="1" t="s">
        <v>2317</v>
      </c>
      <c r="D183" s="1" t="s">
        <v>442</v>
      </c>
      <c r="E183" s="1" t="s">
        <v>442</v>
      </c>
      <c r="F183" s="1" t="s">
        <v>30</v>
      </c>
      <c r="G183" s="2">
        <v>0</v>
      </c>
      <c r="H183" s="14">
        <f>SUMIF(ENTRADAS71417[CÓDIGO],PRODUCTOS31316[[#This Row],[CÓDIGO]],ENTRADAS71417[CANTIDAD])</f>
        <v>0</v>
      </c>
      <c r="I183" s="11">
        <f>SUMIF(SALIDAS111518[CÓDIGO],PRODUCTOS31316[[#This Row],[CÓDIGO]],SALIDAS111518[CANTIDAD])</f>
        <v>0</v>
      </c>
      <c r="J183" s="6">
        <f>PRODUCTOS31316[[#This Row],[EXISTENCIAS]]+PRODUCTOS31316[[#This Row],[ENTRADAS]]-PRODUCTOS31316[[#This Row],[SALIDAS]]</f>
        <v>0</v>
      </c>
      <c r="L183" s="276"/>
      <c r="M183" s="276"/>
      <c r="N183" s="280" t="s">
        <v>3797</v>
      </c>
      <c r="O183" s="280" t="s">
        <v>2758</v>
      </c>
      <c r="P183" s="16">
        <v>46041</v>
      </c>
      <c r="Q183" s="280" t="s">
        <v>3791</v>
      </c>
      <c r="R183" s="2">
        <f>VLOOKUP(SALIDAS111518[[#This Row],[CÓDIGO]],PRODUCTOS31316[],2,FALSE)</f>
        <v>6936520864546</v>
      </c>
      <c r="S183" s="1" t="str">
        <f>VLOOKUP(SALIDAS111518[[#This Row],[CÓDIGO]],PRODUCTOS31316[],3,FALSE)</f>
        <v>TABLET 11" HONOR PAD X8A 128 GB</v>
      </c>
      <c r="T183" s="2">
        <v>1</v>
      </c>
      <c r="U183" s="2"/>
      <c r="V183" s="2"/>
      <c r="W183" s="2"/>
      <c r="X183" s="2"/>
      <c r="Y183" s="7"/>
      <c r="Z183" s="2">
        <v>16749</v>
      </c>
      <c r="AA183" s="320" t="s">
        <v>2332</v>
      </c>
      <c r="AB183" s="16">
        <v>46111</v>
      </c>
      <c r="AC183" s="319" t="s">
        <v>2333</v>
      </c>
      <c r="AD183" s="1">
        <f>VLOOKUP(ENTRADAS71417[[#This Row],[CÓDIGO]],PRODUCTOS31316[],2,FALSE)</f>
        <v>30004101900</v>
      </c>
      <c r="AE183" s="1" t="str">
        <f>VLOOKUP(ENTRADAS71417[[#This Row],[CÓDIGO]],PRODUCTOS31316[],3,FALSE)</f>
        <v>PLUSET 20 ML</v>
      </c>
      <c r="AF183" s="2">
        <v>1</v>
      </c>
      <c r="AG183" s="2"/>
      <c r="AH183" s="2">
        <v>70</v>
      </c>
    </row>
    <row r="184" spans="1:34" ht="49.95" customHeight="1" x14ac:dyDescent="0.3">
      <c r="A184" s="2" t="s">
        <v>711</v>
      </c>
      <c r="B184" s="1">
        <v>3012</v>
      </c>
      <c r="C184" s="1" t="s">
        <v>712</v>
      </c>
      <c r="D184" s="1" t="s">
        <v>290</v>
      </c>
      <c r="E184" s="1" t="s">
        <v>177</v>
      </c>
      <c r="F184" s="1" t="s">
        <v>537</v>
      </c>
      <c r="G184" s="2">
        <v>0</v>
      </c>
      <c r="H184" s="14">
        <f>SUMIF(ENTRADAS71417[CÓDIGO],PRODUCTOS31316[[#This Row],[CÓDIGO]],ENTRADAS71417[CANTIDAD])</f>
        <v>0</v>
      </c>
      <c r="I184" s="11">
        <f>SUMIF(SALIDAS111518[CÓDIGO],PRODUCTOS31316[[#This Row],[CÓDIGO]],SALIDAS111518[CANTIDAD])</f>
        <v>0</v>
      </c>
      <c r="J184" s="6">
        <f>PRODUCTOS31316[[#This Row],[EXISTENCIAS]]+PRODUCTOS31316[[#This Row],[ENTRADAS]]-PRODUCTOS31316[[#This Row],[SALIDAS]]</f>
        <v>0</v>
      </c>
      <c r="L184" s="280" t="s">
        <v>3520</v>
      </c>
      <c r="M184" s="280" t="s">
        <v>3653</v>
      </c>
      <c r="N184" s="282" t="s">
        <v>3813</v>
      </c>
      <c r="O184" s="281" t="s">
        <v>2703</v>
      </c>
      <c r="P184" s="16">
        <v>46042</v>
      </c>
      <c r="Q184" s="280" t="s">
        <v>3432</v>
      </c>
      <c r="R184" s="2" t="str">
        <f>VLOOKUP(SALIDAS111518[[#This Row],[CÓDIGO]],PRODUCTOS31316[],2,FALSE)</f>
        <v>BK-S1</v>
      </c>
      <c r="S184" s="1" t="str">
        <f>VLOOKUP(SALIDAS111518[[#This Row],[CÓDIGO]],PRODUCTOS31316[],3,FALSE)</f>
        <v>BAÑO DE MARÍA DE 3 LITROS</v>
      </c>
      <c r="T184" s="2">
        <v>1</v>
      </c>
      <c r="U184" s="2">
        <v>78</v>
      </c>
      <c r="V184" s="2"/>
      <c r="W184" s="2"/>
      <c r="X184" s="2"/>
      <c r="Y184" s="7"/>
      <c r="Z184" s="324" t="s">
        <v>4573</v>
      </c>
      <c r="AA184" s="325" t="s">
        <v>2091</v>
      </c>
      <c r="AB184" s="16">
        <v>46100</v>
      </c>
      <c r="AC184" s="324" t="s">
        <v>273</v>
      </c>
      <c r="AD184" s="1">
        <f>VLOOKUP(ENTRADAS71417[[#This Row],[CÓDIGO]],PRODUCTOS31316[],2,FALSE)</f>
        <v>1003514</v>
      </c>
      <c r="AE184" s="1" t="str">
        <f>VLOOKUP(ENTRADAS71417[[#This Row],[CÓDIGO]],PRODUCTOS31316[],3,FALSE)</f>
        <v>JALEA CONDUCTIVA (GEL ULTRASONICO) GALON X 3785 ML AZUL</v>
      </c>
      <c r="AF184" s="2">
        <v>18</v>
      </c>
      <c r="AG184" s="2"/>
      <c r="AH184" s="2">
        <v>71</v>
      </c>
    </row>
    <row r="185" spans="1:34" ht="49.95" customHeight="1" x14ac:dyDescent="0.3">
      <c r="A185" s="2" t="s">
        <v>715</v>
      </c>
      <c r="B185" s="1" t="s">
        <v>716</v>
      </c>
      <c r="C185" s="1" t="s">
        <v>717</v>
      </c>
      <c r="E185" s="1" t="s">
        <v>177</v>
      </c>
      <c r="F185" s="1" t="s">
        <v>62</v>
      </c>
      <c r="G185" s="2">
        <v>4</v>
      </c>
      <c r="H185" s="14">
        <f>SUMIF(ENTRADAS71417[CÓDIGO],PRODUCTOS31316[[#This Row],[CÓDIGO]],ENTRADAS71417[CANTIDAD])</f>
        <v>0</v>
      </c>
      <c r="I185" s="11">
        <f>SUMIF(SALIDAS111518[CÓDIGO],PRODUCTOS31316[[#This Row],[CÓDIGO]],SALIDAS111518[CANTIDAD])</f>
        <v>0</v>
      </c>
      <c r="J185" s="6">
        <f>PRODUCTOS31316[[#This Row],[EXISTENCIAS]]+PRODUCTOS31316[[#This Row],[ENTRADAS]]-PRODUCTOS31316[[#This Row],[SALIDAS]]</f>
        <v>4</v>
      </c>
      <c r="L185" s="282" t="s">
        <v>3521</v>
      </c>
      <c r="M185" s="282" t="s">
        <v>3653</v>
      </c>
      <c r="N185" s="288" t="s">
        <v>3814</v>
      </c>
      <c r="O185" s="282" t="s">
        <v>3373</v>
      </c>
      <c r="P185" s="16">
        <v>46042</v>
      </c>
      <c r="Q185" s="282" t="s">
        <v>2888</v>
      </c>
      <c r="R185" s="2" t="str">
        <f>VLOOKUP(SALIDAS111518[[#This Row],[CÓDIGO]],PRODUCTOS31316[],2,FALSE)</f>
        <v>HC-R069A</v>
      </c>
      <c r="S185" s="1" t="str">
        <f>VLOOKUP(SALIDAS111518[[#This Row],[CÓDIGO]],PRODUCTOS31316[],3,FALSE)</f>
        <v>MICROSCOPIO BINOCULAR CON PLATINA Y PANTALLA 7"</v>
      </c>
      <c r="T185" s="2">
        <v>1</v>
      </c>
      <c r="U185" s="2">
        <v>79</v>
      </c>
      <c r="V185" s="2"/>
      <c r="W185" s="2" t="s">
        <v>2823</v>
      </c>
      <c r="X185" s="2"/>
      <c r="Y185" s="7"/>
      <c r="Z185" s="2" t="s">
        <v>4868</v>
      </c>
      <c r="AA185" s="351" t="s">
        <v>4867</v>
      </c>
      <c r="AB185" s="16">
        <v>46118</v>
      </c>
      <c r="AC185" s="326" t="s">
        <v>648</v>
      </c>
      <c r="AD185" s="1" t="str">
        <f>VLOOKUP(ENTRADAS71417[[#This Row],[CÓDIGO]],PRODUCTOS31316[],2,FALSE)</f>
        <v>S5</v>
      </c>
      <c r="AE185" s="1" t="str">
        <f>VLOOKUP(ENTRADAS71417[[#This Row],[CÓDIGO]],PRODUCTOS31316[],3,FALSE)</f>
        <v>SONDA S5 UNIDAD PRINCIPAL CON SONDA LINEAL RECTAL</v>
      </c>
      <c r="AF185" s="2">
        <v>1</v>
      </c>
      <c r="AG185" s="2"/>
      <c r="AH185" s="2">
        <v>94</v>
      </c>
    </row>
    <row r="186" spans="1:34" ht="49.95" customHeight="1" x14ac:dyDescent="0.3">
      <c r="A186" s="2" t="s">
        <v>719</v>
      </c>
      <c r="B186" s="1">
        <v>1000602</v>
      </c>
      <c r="C186" s="1" t="s">
        <v>720</v>
      </c>
      <c r="E186" s="1" t="s">
        <v>177</v>
      </c>
      <c r="F186" s="1" t="s">
        <v>721</v>
      </c>
      <c r="G186" s="2">
        <v>0</v>
      </c>
      <c r="H186" s="14">
        <f>SUMIF(ENTRADAS71417[CÓDIGO],PRODUCTOS31316[[#This Row],[CÓDIGO]],ENTRADAS71417[CANTIDAD])</f>
        <v>0</v>
      </c>
      <c r="I186" s="11">
        <f>SUMIF(SALIDAS111518[CÓDIGO],PRODUCTOS31316[[#This Row],[CÓDIGO]],SALIDAS111518[CANTIDAD])</f>
        <v>0</v>
      </c>
      <c r="J186" s="6">
        <f>PRODUCTOS31316[[#This Row],[EXISTENCIAS]]+PRODUCTOS31316[[#This Row],[ENTRADAS]]-PRODUCTOS31316[[#This Row],[SALIDAS]]</f>
        <v>0</v>
      </c>
      <c r="L186" s="282" t="s">
        <v>3521</v>
      </c>
      <c r="M186" s="282" t="s">
        <v>3653</v>
      </c>
      <c r="N186" s="288" t="s">
        <v>3818</v>
      </c>
      <c r="O186" s="282" t="s">
        <v>3815</v>
      </c>
      <c r="P186" s="16">
        <v>46042</v>
      </c>
      <c r="Q186" s="282" t="s">
        <v>581</v>
      </c>
      <c r="R186" s="2">
        <f>VLOOKUP(SALIDAS111518[[#This Row],[CÓDIGO]],PRODUCTOS31316[],2,FALSE)</f>
        <v>11571</v>
      </c>
      <c r="S186" s="1" t="str">
        <f>VLOOKUP(SALIDAS111518[[#This Row],[CÓDIGO]],PRODUCTOS31316[],3,FALSE)</f>
        <v>PINZA COGEPAJILLA</v>
      </c>
      <c r="T186" s="2">
        <v>1</v>
      </c>
      <c r="U186" s="2">
        <v>80</v>
      </c>
      <c r="V186" s="2"/>
      <c r="W186" s="2" t="s">
        <v>3412</v>
      </c>
      <c r="X186" s="2"/>
      <c r="Y186" s="7"/>
      <c r="Z186" s="326" t="s">
        <v>4621</v>
      </c>
      <c r="AA186" s="327" t="s">
        <v>3740</v>
      </c>
      <c r="AB186" s="16">
        <v>46119</v>
      </c>
      <c r="AC186" s="326" t="s">
        <v>210</v>
      </c>
      <c r="AD186" s="1">
        <f>VLOOKUP(ENTRADAS71417[[#This Row],[CÓDIGO]],PRODUCTOS31316[],2,FALSE)</f>
        <v>101257</v>
      </c>
      <c r="AE186" s="1" t="str">
        <f>VLOOKUP(ENTRADAS71417[[#This Row],[CÓDIGO]],PRODUCTOS31316[],3,FALSE)</f>
        <v>MANGA DESECHABLE SUPER SENSITIVA</v>
      </c>
      <c r="AF186" s="2">
        <v>80</v>
      </c>
      <c r="AG186" s="2"/>
      <c r="AH186" s="2">
        <v>73</v>
      </c>
    </row>
    <row r="187" spans="1:34" ht="49.95" customHeight="1" x14ac:dyDescent="0.3">
      <c r="A187" s="2" t="s">
        <v>723</v>
      </c>
      <c r="B187" s="1" t="s">
        <v>724</v>
      </c>
      <c r="C187" s="1" t="s">
        <v>725</v>
      </c>
      <c r="E187" s="1" t="s">
        <v>569</v>
      </c>
      <c r="F187" s="1" t="s">
        <v>30</v>
      </c>
      <c r="G187" s="2">
        <v>0</v>
      </c>
      <c r="H187" s="14">
        <f>SUMIF(ENTRADAS71417[CÓDIGO],PRODUCTOS31316[[#This Row],[CÓDIGO]],ENTRADAS71417[CANTIDAD])</f>
        <v>0</v>
      </c>
      <c r="I187" s="11">
        <f>SUMIF(SALIDAS111518[CÓDIGO],PRODUCTOS31316[[#This Row],[CÓDIGO]],SALIDAS111518[CANTIDAD])</f>
        <v>0</v>
      </c>
      <c r="J187" s="6">
        <f>PRODUCTOS31316[[#This Row],[EXISTENCIAS]]+PRODUCTOS31316[[#This Row],[ENTRADAS]]-PRODUCTOS31316[[#This Row],[SALIDAS]]</f>
        <v>0</v>
      </c>
      <c r="L187" s="282"/>
      <c r="M187" s="282"/>
      <c r="N187" s="282">
        <v>7739</v>
      </c>
      <c r="O187" s="282" t="s">
        <v>3815</v>
      </c>
      <c r="P187" s="16">
        <v>46042</v>
      </c>
      <c r="Q187" s="282" t="s">
        <v>369</v>
      </c>
      <c r="R187" s="2">
        <f>VLOOKUP(SALIDAS111518[[#This Row],[CÓDIGO]],PRODUCTOS31316[],2,FALSE)</f>
        <v>0</v>
      </c>
      <c r="S187" s="1" t="str">
        <f>VLOOKUP(SALIDAS111518[[#This Row],[CÓDIGO]],PRODUCTOS31316[],3,FALSE)</f>
        <v>FUNDA UNIVERSAL PARA I.A. RANURADA</v>
      </c>
      <c r="T187" s="2">
        <v>2</v>
      </c>
      <c r="U187" s="2"/>
      <c r="V187" s="2"/>
      <c r="W187" s="2"/>
      <c r="X187" s="2"/>
      <c r="Y187" s="7"/>
      <c r="Z187" s="326" t="s">
        <v>4625</v>
      </c>
      <c r="AA187" s="327" t="s">
        <v>2230</v>
      </c>
      <c r="AB187" s="16">
        <v>46119</v>
      </c>
      <c r="AC187" s="326" t="s">
        <v>602</v>
      </c>
      <c r="AD187" s="1">
        <f>VLOOKUP(ENTRADAS71417[[#This Row],[CÓDIGO]],PRODUCTOS31316[],2,FALSE)</f>
        <v>4845</v>
      </c>
      <c r="AE187" s="1" t="str">
        <f>VLOOKUP(ENTRADAS71417[[#This Row],[CÓDIGO]],PRODUCTOS31316[],3,FALSE)</f>
        <v>PUNTAS AMARILLAS, UNIVERSALES. PLASTICAS, NO ESTERIL. LIBRES DE RNASE, DNASE Y PYROGENOS. RANGO DE 1-200UL. BOLSA X1000UDS.</v>
      </c>
      <c r="AF187" s="2">
        <v>40</v>
      </c>
      <c r="AG187" s="2"/>
      <c r="AH187" s="2">
        <v>74</v>
      </c>
    </row>
    <row r="188" spans="1:34" ht="49.95" customHeight="1" x14ac:dyDescent="0.3">
      <c r="A188" s="2" t="s">
        <v>727</v>
      </c>
      <c r="B188" s="1" t="s">
        <v>728</v>
      </c>
      <c r="C188" s="1" t="s">
        <v>729</v>
      </c>
      <c r="E188" s="1" t="s">
        <v>730</v>
      </c>
      <c r="F188" s="1" t="s">
        <v>731</v>
      </c>
      <c r="G188" s="2">
        <v>0</v>
      </c>
      <c r="H188" s="14">
        <f>SUMIF(ENTRADAS71417[CÓDIGO],PRODUCTOS31316[[#This Row],[CÓDIGO]],ENTRADAS71417[CANTIDAD])</f>
        <v>0</v>
      </c>
      <c r="I188" s="11">
        <f>SUMIF(SALIDAS111518[CÓDIGO],PRODUCTOS31316[[#This Row],[CÓDIGO]],SALIDAS111518[CANTIDAD])</f>
        <v>0</v>
      </c>
      <c r="J188" s="6">
        <f>PRODUCTOS31316[[#This Row],[EXISTENCIAS]]+PRODUCTOS31316[[#This Row],[ENTRADAS]]-PRODUCTOS31316[[#This Row],[SALIDAS]]</f>
        <v>0</v>
      </c>
      <c r="L188" s="282"/>
      <c r="M188" s="282"/>
      <c r="N188" s="282">
        <v>7739</v>
      </c>
      <c r="O188" s="282" t="s">
        <v>3815</v>
      </c>
      <c r="P188" s="16">
        <v>46042</v>
      </c>
      <c r="Q188" s="282" t="s">
        <v>1779</v>
      </c>
      <c r="R188" s="2">
        <f>VLOOKUP(SALIDAS111518[[#This Row],[CÓDIGO]],PRODUCTOS31316[],2,FALSE)</f>
        <v>5563</v>
      </c>
      <c r="S188" s="1" t="str">
        <f>VLOOKUP(SALIDAS111518[[#This Row],[CÓDIGO]],PRODUCTOS31316[],3,FALSE)</f>
        <v>CAMISA SANITARIA ROLLO X 80</v>
      </c>
      <c r="T188" s="2">
        <v>2</v>
      </c>
      <c r="U188" s="2"/>
      <c r="V188" s="2"/>
      <c r="W188" s="2"/>
      <c r="X188" s="2"/>
      <c r="Y188" s="7"/>
      <c r="Z188" s="326" t="s">
        <v>4626</v>
      </c>
      <c r="AA188" s="351" t="s">
        <v>2913</v>
      </c>
      <c r="AB188" s="16">
        <v>46119</v>
      </c>
      <c r="AC188" s="326" t="s">
        <v>3363</v>
      </c>
      <c r="AD188" s="1">
        <f>VLOOKUP(ENTRADAS71417[[#This Row],[CÓDIGO]],PRODUCTOS31316[],2,FALSE)</f>
        <v>76311</v>
      </c>
      <c r="AE188" s="1" t="str">
        <f>VLOOKUP(ENTRADAS71417[[#This Row],[CÓDIGO]],PRODUCTOS31316[],3,FALSE)</f>
        <v xml:space="preserve">DETECTOR DE MASTITIS 4X4 </v>
      </c>
      <c r="AF188" s="2">
        <v>1</v>
      </c>
      <c r="AG188" s="2"/>
      <c r="AH188" s="2">
        <v>76</v>
      </c>
    </row>
    <row r="189" spans="1:34" ht="49.95" customHeight="1" x14ac:dyDescent="0.3">
      <c r="A189" s="2" t="s">
        <v>733</v>
      </c>
      <c r="B189" s="1" t="s">
        <v>734</v>
      </c>
      <c r="C189" s="1" t="s">
        <v>735</v>
      </c>
      <c r="E189" s="1" t="s">
        <v>730</v>
      </c>
      <c r="F189" s="1" t="s">
        <v>736</v>
      </c>
      <c r="G189" s="2">
        <v>0</v>
      </c>
      <c r="H189" s="14">
        <f>SUMIF(ENTRADAS71417[CÓDIGO],PRODUCTOS31316[[#This Row],[CÓDIGO]],ENTRADAS71417[CANTIDAD])</f>
        <v>0</v>
      </c>
      <c r="I189" s="11">
        <f>SUMIF(SALIDAS111518[CÓDIGO],PRODUCTOS31316[[#This Row],[CÓDIGO]],SALIDAS111518[CANTIDAD])</f>
        <v>0</v>
      </c>
      <c r="J189" s="6">
        <f>PRODUCTOS31316[[#This Row],[EXISTENCIAS]]+PRODUCTOS31316[[#This Row],[ENTRADAS]]-PRODUCTOS31316[[#This Row],[SALIDAS]]</f>
        <v>0</v>
      </c>
      <c r="L189" s="282" t="s">
        <v>3521</v>
      </c>
      <c r="M189" s="282" t="s">
        <v>3653</v>
      </c>
      <c r="N189" s="296" t="s">
        <v>4082</v>
      </c>
      <c r="O189" s="283" t="s">
        <v>3816</v>
      </c>
      <c r="P189" s="16">
        <v>46059</v>
      </c>
      <c r="Q189" s="282" t="s">
        <v>3301</v>
      </c>
      <c r="R189" s="2" t="str">
        <f>VLOOKUP(SALIDAS111518[[#This Row],[CÓDIGO]],PRODUCTOS31316[],2,FALSE)</f>
        <v>S7/B-W</v>
      </c>
      <c r="S189" s="1" t="str">
        <f>VLOOKUP(SALIDAS111518[[#This Row],[CÓDIGO]],PRODUCTOS31316[],3,FALSE)</f>
        <v>ECÓGRAFO S7 B/W ( BLANCO Y NEGRO) BMV - Plataforma BLANCO Y NEGROSIN BATERÍA</v>
      </c>
      <c r="T189" s="2">
        <v>1</v>
      </c>
      <c r="U189" s="295" t="s">
        <v>4081</v>
      </c>
      <c r="V189" s="2"/>
      <c r="W189" s="2" t="s">
        <v>3412</v>
      </c>
      <c r="X189" s="2"/>
      <c r="Y189" s="7"/>
      <c r="Z189" s="326" t="s">
        <v>4626</v>
      </c>
      <c r="AA189" s="327" t="s">
        <v>2913</v>
      </c>
      <c r="AB189" s="16">
        <v>46119</v>
      </c>
      <c r="AC189" s="326" t="s">
        <v>3599</v>
      </c>
      <c r="AD189" s="1">
        <f>VLOOKUP(ENTRADAS71417[[#This Row],[CÓDIGO]],PRODUCTOS31316[],2,FALSE)</f>
        <v>0</v>
      </c>
      <c r="AE189" s="1" t="str">
        <f>VLOOKUP(ENTRADAS71417[[#This Row],[CÓDIGO]],PRODUCTOS31316[],3,FALSE)</f>
        <v>ECOGRAFO AIRSCAN PRO CON SONDA LINEAL RECTAL</v>
      </c>
      <c r="AF189" s="2">
        <v>3</v>
      </c>
      <c r="AG189" s="2"/>
      <c r="AH189" s="2"/>
    </row>
    <row r="190" spans="1:34" ht="49.95" customHeight="1" x14ac:dyDescent="0.3">
      <c r="A190" s="2" t="s">
        <v>738</v>
      </c>
      <c r="B190" s="1" t="s">
        <v>739</v>
      </c>
      <c r="C190" s="1" t="s">
        <v>740</v>
      </c>
      <c r="E190" s="1" t="s">
        <v>730</v>
      </c>
      <c r="F190" s="1" t="s">
        <v>736</v>
      </c>
      <c r="G190" s="2">
        <v>0</v>
      </c>
      <c r="H190" s="14">
        <f>SUMIF(ENTRADAS71417[CÓDIGO],PRODUCTOS31316[[#This Row],[CÓDIGO]],ENTRADAS71417[CANTIDAD])</f>
        <v>0</v>
      </c>
      <c r="I190" s="11">
        <f>SUMIF(SALIDAS111518[CÓDIGO],PRODUCTOS31316[[#This Row],[CÓDIGO]],SALIDAS111518[CANTIDAD])</f>
        <v>0</v>
      </c>
      <c r="J190" s="6">
        <f>PRODUCTOS31316[[#This Row],[EXISTENCIAS]]+PRODUCTOS31316[[#This Row],[ENTRADAS]]-PRODUCTOS31316[[#This Row],[SALIDAS]]</f>
        <v>0</v>
      </c>
      <c r="L190" s="282"/>
      <c r="M190" s="282"/>
      <c r="N190" s="282">
        <v>7832</v>
      </c>
      <c r="O190" s="290" t="s">
        <v>3816</v>
      </c>
      <c r="P190" s="292" t="s">
        <v>4006</v>
      </c>
      <c r="Q190" s="288" t="s">
        <v>3077</v>
      </c>
      <c r="R190" s="2">
        <f>VLOOKUP(SALIDAS111518[[#This Row],[CÓDIGO]],PRODUCTOS31316[],2,FALSE)</f>
        <v>0</v>
      </c>
      <c r="S190" s="1" t="str">
        <f>VLOOKUP(SALIDAS111518[[#This Row],[CÓDIGO]],PRODUCTOS31316[],3,FALSE)</f>
        <v>TABLET GALAXY TAB A 9+ MARCA SANSUNG</v>
      </c>
      <c r="T190" s="2">
        <v>1</v>
      </c>
      <c r="U190" s="2"/>
      <c r="V190" s="2"/>
      <c r="W190" s="2"/>
      <c r="X190" s="2"/>
      <c r="Y190" s="7"/>
      <c r="Z190" s="326" t="s">
        <v>4626</v>
      </c>
      <c r="AA190" s="327" t="s">
        <v>2913</v>
      </c>
      <c r="AB190" s="16">
        <v>46119</v>
      </c>
      <c r="AC190" s="326" t="s">
        <v>4627</v>
      </c>
      <c r="AD190" s="1">
        <f>VLOOKUP(ENTRADAS71417[[#This Row],[CÓDIGO]],PRODUCTOS31316[],2,FALSE)</f>
        <v>0</v>
      </c>
      <c r="AE190" s="1" t="str">
        <f>VLOOKUP(ENTRADAS71417[[#This Row],[CÓDIGO]],PRODUCTOS31316[],3,FALSE)</f>
        <v>HOLDER PARA PROBE DRAMINSKI</v>
      </c>
      <c r="AF190" s="2">
        <v>1</v>
      </c>
      <c r="AG190" s="2"/>
      <c r="AH190" s="2"/>
    </row>
    <row r="191" spans="1:34" ht="49.95" customHeight="1" x14ac:dyDescent="0.3">
      <c r="A191" s="2" t="s">
        <v>743</v>
      </c>
      <c r="B191" s="1" t="s">
        <v>744</v>
      </c>
      <c r="C191" s="1" t="s">
        <v>745</v>
      </c>
      <c r="D191" s="1" t="s">
        <v>746</v>
      </c>
      <c r="E191" s="1" t="s">
        <v>177</v>
      </c>
      <c r="F191" s="1" t="s">
        <v>30</v>
      </c>
      <c r="G191" s="2">
        <v>4</v>
      </c>
      <c r="H191" s="14">
        <f>SUMIF(ENTRADAS71417[CÓDIGO],PRODUCTOS31316[[#This Row],[CÓDIGO]],ENTRADAS71417[CANTIDAD])</f>
        <v>0</v>
      </c>
      <c r="I191" s="11">
        <f>SUMIF(SALIDAS111518[CÓDIGO],PRODUCTOS31316[[#This Row],[CÓDIGO]],SALIDAS111518[CANTIDAD])</f>
        <v>0</v>
      </c>
      <c r="J191" s="6">
        <f>PRODUCTOS31316[[#This Row],[EXISTENCIAS]]+PRODUCTOS31316[[#This Row],[ENTRADAS]]-PRODUCTOS31316[[#This Row],[SALIDAS]]</f>
        <v>4</v>
      </c>
      <c r="L191" s="282"/>
      <c r="M191" s="282"/>
      <c r="N191" s="282">
        <v>7832</v>
      </c>
      <c r="O191" s="290" t="s">
        <v>3816</v>
      </c>
      <c r="P191" s="16">
        <v>46059</v>
      </c>
      <c r="Q191" s="288" t="s">
        <v>3286</v>
      </c>
      <c r="R191" s="2">
        <f>VLOOKUP(SALIDAS111518[[#This Row],[CÓDIGO]],PRODUCTOS31316[],2,FALSE)</f>
        <v>0</v>
      </c>
      <c r="S191" s="1" t="str">
        <f>VLOOKUP(SALIDAS111518[[#This Row],[CÓDIGO]],PRODUCTOS31316[],3,FALSE)</f>
        <v>CARCASA TABLET BMV</v>
      </c>
      <c r="T191" s="2">
        <v>1</v>
      </c>
      <c r="U191" s="2"/>
      <c r="V191" s="2"/>
      <c r="W191" s="2"/>
      <c r="X191" s="2"/>
      <c r="Y191" s="7"/>
      <c r="Z191" s="329">
        <v>69</v>
      </c>
      <c r="AA191" s="330" t="s">
        <v>4633</v>
      </c>
      <c r="AB191" s="16">
        <v>46120</v>
      </c>
      <c r="AC191" s="329" t="s">
        <v>4634</v>
      </c>
      <c r="AD191" s="1">
        <f>VLOOKUP(ENTRADAS71417[[#This Row],[CÓDIGO]],PRODUCTOS31316[],2,FALSE)</f>
        <v>0</v>
      </c>
      <c r="AE191" s="1" t="str">
        <f>VLOOKUP(ENTRADAS71417[[#This Row],[CÓDIGO]],PRODUCTOS31316[],3,FALSE)</f>
        <v xml:space="preserve">PRUEBA DE PREÑEZ TEMPRANA EN RUMIANTES </v>
      </c>
      <c r="AF191" s="2">
        <v>125</v>
      </c>
      <c r="AG191" s="2"/>
      <c r="AH191" s="2">
        <v>77</v>
      </c>
    </row>
    <row r="192" spans="1:34" ht="49.95" customHeight="1" x14ac:dyDescent="0.3">
      <c r="A192" s="2" t="s">
        <v>749</v>
      </c>
      <c r="B192" s="1" t="s">
        <v>750</v>
      </c>
      <c r="C192" s="1" t="s">
        <v>751</v>
      </c>
      <c r="D192" s="1" t="s">
        <v>746</v>
      </c>
      <c r="E192" s="1" t="s">
        <v>177</v>
      </c>
      <c r="F192" s="1" t="s">
        <v>30</v>
      </c>
      <c r="G192" s="2">
        <v>0</v>
      </c>
      <c r="H192" s="14">
        <f>SUMIF(ENTRADAS71417[CÓDIGO],PRODUCTOS31316[[#This Row],[CÓDIGO]],ENTRADAS71417[CANTIDAD])</f>
        <v>0</v>
      </c>
      <c r="I192" s="11">
        <f>SUMIF(SALIDAS111518[CÓDIGO],PRODUCTOS31316[[#This Row],[CÓDIGO]],SALIDAS111518[CANTIDAD])</f>
        <v>0</v>
      </c>
      <c r="J192" s="6">
        <f>PRODUCTOS31316[[#This Row],[EXISTENCIAS]]+PRODUCTOS31316[[#This Row],[ENTRADAS]]-PRODUCTOS31316[[#This Row],[SALIDAS]]</f>
        <v>0</v>
      </c>
      <c r="L192" s="282" t="s">
        <v>3520</v>
      </c>
      <c r="M192" s="282" t="s">
        <v>3653</v>
      </c>
      <c r="N192" s="282" t="s">
        <v>3819</v>
      </c>
      <c r="O192" s="282" t="s">
        <v>3381</v>
      </c>
      <c r="P192" s="16">
        <v>46042</v>
      </c>
      <c r="Q192" s="282" t="s">
        <v>3365</v>
      </c>
      <c r="R192" s="2">
        <f>VLOOKUP(SALIDAS111518[[#This Row],[CÓDIGO]],PRODUCTOS31316[],2,FALSE)</f>
        <v>0</v>
      </c>
      <c r="S192" s="1" t="str">
        <f>VLOOKUP(SALIDAS111518[[#This Row],[CÓDIGO]],PRODUCTOS31316[],3,FALSE)</f>
        <v>MANGA DE PROTECCIÓN PALPACIÓN MAS CAMPO</v>
      </c>
      <c r="T192" s="2">
        <v>3</v>
      </c>
      <c r="U192" s="2">
        <v>81</v>
      </c>
      <c r="V192" s="2"/>
      <c r="W192" s="2"/>
      <c r="X192" s="2"/>
      <c r="Y192" s="7"/>
      <c r="Z192" s="329" t="s">
        <v>4658</v>
      </c>
      <c r="AA192" s="330" t="s">
        <v>3795</v>
      </c>
      <c r="AB192" s="16">
        <v>46121</v>
      </c>
      <c r="AC192" s="329" t="s">
        <v>3791</v>
      </c>
      <c r="AD192" s="1">
        <f>VLOOKUP(ENTRADAS71417[[#This Row],[CÓDIGO]],PRODUCTOS31316[],2,FALSE)</f>
        <v>6936520864546</v>
      </c>
      <c r="AE192" s="1" t="str">
        <f>VLOOKUP(ENTRADAS71417[[#This Row],[CÓDIGO]],PRODUCTOS31316[],3,FALSE)</f>
        <v>TABLET 11" HONOR PAD X8A 128 GB</v>
      </c>
      <c r="AF192" s="2">
        <v>3</v>
      </c>
      <c r="AG192" s="2"/>
      <c r="AH192" s="2">
        <v>79</v>
      </c>
    </row>
    <row r="193" spans="1:34" ht="49.95" customHeight="1" x14ac:dyDescent="0.3">
      <c r="A193" s="2" t="s">
        <v>753</v>
      </c>
      <c r="B193" s="1" t="s">
        <v>754</v>
      </c>
      <c r="C193" s="1" t="s">
        <v>755</v>
      </c>
      <c r="D193" s="1" t="s">
        <v>756</v>
      </c>
      <c r="E193" s="1" t="s">
        <v>177</v>
      </c>
      <c r="F193" s="1" t="s">
        <v>30</v>
      </c>
      <c r="G193" s="2">
        <v>0</v>
      </c>
      <c r="H193" s="14">
        <f>SUMIF(ENTRADAS71417[CÓDIGO],PRODUCTOS31316[[#This Row],[CÓDIGO]],ENTRADAS71417[CANTIDAD])</f>
        <v>0</v>
      </c>
      <c r="I193" s="11">
        <f>SUMIF(SALIDAS111518[CÓDIGO],PRODUCTOS31316[[#This Row],[CÓDIGO]],SALIDAS111518[CANTIDAD])</f>
        <v>0</v>
      </c>
      <c r="J193" s="6">
        <f>PRODUCTOS31316[[#This Row],[EXISTENCIAS]]+PRODUCTOS31316[[#This Row],[ENTRADAS]]-PRODUCTOS31316[[#This Row],[SALIDAS]]</f>
        <v>0</v>
      </c>
      <c r="L193" s="282" t="s">
        <v>3520</v>
      </c>
      <c r="M193" s="282" t="s">
        <v>3820</v>
      </c>
      <c r="N193" s="282" t="s">
        <v>3821</v>
      </c>
      <c r="O193" s="282" t="s">
        <v>2214</v>
      </c>
      <c r="P193" s="16">
        <v>45908</v>
      </c>
      <c r="Q193" s="282" t="s">
        <v>2880</v>
      </c>
      <c r="R193" s="2">
        <f>VLOOKUP(SALIDAS111518[[#This Row],[CÓDIGO]],PRODUCTOS31316[],2,FALSE)</f>
        <v>7179</v>
      </c>
      <c r="S193" s="1" t="str">
        <f>VLOOKUP(SALIDAS111518[[#This Row],[CÓDIGO]],PRODUCTOS31316[],3,FALSE)</f>
        <v>VAGINA ARTIFICIAL CON VALVULA OVINO</v>
      </c>
      <c r="T193" s="2">
        <v>1</v>
      </c>
      <c r="U193" s="2">
        <v>83</v>
      </c>
      <c r="V193" s="2"/>
      <c r="W193" s="2"/>
      <c r="X193" s="2"/>
      <c r="Y193" s="7"/>
      <c r="Z193" s="329" t="s">
        <v>4659</v>
      </c>
      <c r="AA193" s="330" t="s">
        <v>3795</v>
      </c>
      <c r="AB193" s="16">
        <v>46121</v>
      </c>
      <c r="AC193" s="329" t="s">
        <v>3791</v>
      </c>
      <c r="AD193" s="1">
        <f>VLOOKUP(ENTRADAS71417[[#This Row],[CÓDIGO]],PRODUCTOS31316[],2,FALSE)</f>
        <v>6936520864546</v>
      </c>
      <c r="AE193" s="1" t="str">
        <f>VLOOKUP(ENTRADAS71417[[#This Row],[CÓDIGO]],PRODUCTOS31316[],3,FALSE)</f>
        <v>TABLET 11" HONOR PAD X8A 128 GB</v>
      </c>
      <c r="AF193" s="2">
        <v>3</v>
      </c>
      <c r="AG193" s="2"/>
      <c r="AH193" s="2">
        <v>80</v>
      </c>
    </row>
    <row r="194" spans="1:34" ht="49.95" customHeight="1" x14ac:dyDescent="0.3">
      <c r="A194" s="2" t="s">
        <v>757</v>
      </c>
      <c r="B194" s="1" t="s">
        <v>758</v>
      </c>
      <c r="C194" s="1" t="s">
        <v>759</v>
      </c>
      <c r="D194" s="1" t="s">
        <v>756</v>
      </c>
      <c r="E194" s="1" t="s">
        <v>177</v>
      </c>
      <c r="F194" s="1" t="s">
        <v>30</v>
      </c>
      <c r="G194" s="2">
        <v>0</v>
      </c>
      <c r="H194" s="14">
        <f>SUMIF(ENTRADAS71417[CÓDIGO],PRODUCTOS31316[[#This Row],[CÓDIGO]],ENTRADAS71417[CANTIDAD])</f>
        <v>0</v>
      </c>
      <c r="I194" s="11">
        <f>SUMIF(SALIDAS111518[CÓDIGO],PRODUCTOS31316[[#This Row],[CÓDIGO]],SALIDAS111518[CANTIDAD])</f>
        <v>0</v>
      </c>
      <c r="J194" s="6">
        <f>PRODUCTOS31316[[#This Row],[EXISTENCIAS]]+PRODUCTOS31316[[#This Row],[ENTRADAS]]-PRODUCTOS31316[[#This Row],[SALIDAS]]</f>
        <v>0</v>
      </c>
      <c r="L194" s="280"/>
      <c r="M194" s="280"/>
      <c r="N194" s="276">
        <v>7741</v>
      </c>
      <c r="O194" s="282" t="s">
        <v>2214</v>
      </c>
      <c r="P194" s="16">
        <v>45908</v>
      </c>
      <c r="Q194" s="280" t="s">
        <v>2881</v>
      </c>
      <c r="R194" s="2">
        <f>VLOOKUP(SALIDAS111518[[#This Row],[CÓDIGO]],PRODUCTOS31316[],2,FALSE)</f>
        <v>5205</v>
      </c>
      <c r="S194" s="1" t="str">
        <f>VLOOKUP(SALIDAS111518[[#This Row],[CÓDIGO]],PRODUCTOS31316[],3,FALSE)</f>
        <v>CONO ESPECIAL VAGINA OVINO</v>
      </c>
      <c r="T194" s="2">
        <v>1</v>
      </c>
      <c r="U194" s="2"/>
      <c r="V194" s="2"/>
      <c r="W194" s="2"/>
      <c r="X194" s="2"/>
      <c r="Y194" s="7"/>
      <c r="Z194" s="329" t="s">
        <v>4660</v>
      </c>
      <c r="AA194" s="330" t="s">
        <v>3795</v>
      </c>
      <c r="AB194" s="16">
        <v>46122</v>
      </c>
      <c r="AC194" s="329" t="s">
        <v>3791</v>
      </c>
      <c r="AD194" s="1">
        <f>VLOOKUP(ENTRADAS71417[[#This Row],[CÓDIGO]],PRODUCTOS31316[],2,FALSE)</f>
        <v>6936520864546</v>
      </c>
      <c r="AE194" s="1" t="str">
        <f>VLOOKUP(ENTRADAS71417[[#This Row],[CÓDIGO]],PRODUCTOS31316[],3,FALSE)</f>
        <v>TABLET 11" HONOR PAD X8A 128 GB</v>
      </c>
      <c r="AF194" s="2">
        <v>3</v>
      </c>
      <c r="AG194" s="2"/>
      <c r="AH194" s="2">
        <v>85</v>
      </c>
    </row>
    <row r="195" spans="1:34" ht="49.95" customHeight="1" x14ac:dyDescent="0.3">
      <c r="A195" s="2" t="s">
        <v>761</v>
      </c>
      <c r="B195" s="1" t="s">
        <v>762</v>
      </c>
      <c r="C195" s="1" t="s">
        <v>763</v>
      </c>
      <c r="D195" s="1" t="s">
        <v>756</v>
      </c>
      <c r="E195" s="1" t="s">
        <v>177</v>
      </c>
      <c r="F195" s="1" t="s">
        <v>30</v>
      </c>
      <c r="G195" s="2">
        <v>0</v>
      </c>
      <c r="H195" s="14">
        <f>SUMIF(ENTRADAS71417[CÓDIGO],PRODUCTOS31316[[#This Row],[CÓDIGO]],ENTRADAS71417[CANTIDAD])</f>
        <v>0</v>
      </c>
      <c r="I195" s="11">
        <f>SUMIF(SALIDAS111518[CÓDIGO],PRODUCTOS31316[[#This Row],[CÓDIGO]],SALIDAS111518[CANTIDAD])</f>
        <v>0</v>
      </c>
      <c r="J195" s="6">
        <f>PRODUCTOS31316[[#This Row],[EXISTENCIAS]]+PRODUCTOS31316[[#This Row],[ENTRADAS]]-PRODUCTOS31316[[#This Row],[SALIDAS]]</f>
        <v>0</v>
      </c>
      <c r="L195" s="276"/>
      <c r="M195" s="276"/>
      <c r="N195" s="276">
        <v>7741</v>
      </c>
      <c r="O195" s="282" t="s">
        <v>2214</v>
      </c>
      <c r="P195" s="16">
        <v>45908</v>
      </c>
      <c r="Q195" s="280" t="s">
        <v>2882</v>
      </c>
      <c r="R195" s="2">
        <f>VLOOKUP(SALIDAS111518[[#This Row],[CÓDIGO]],PRODUCTOS31316[],2,FALSE)</f>
        <v>27512</v>
      </c>
      <c r="S195" s="1" t="str">
        <f>VLOOKUP(SALIDAS111518[[#This Row],[CÓDIGO]],PRODUCTOS31316[],3,FALSE)</f>
        <v>LINER VAGINA ARTIFICIAL OVINO</v>
      </c>
      <c r="T195" s="2">
        <v>1</v>
      </c>
      <c r="U195" s="2"/>
      <c r="V195" s="2"/>
      <c r="W195" s="2"/>
      <c r="X195" s="2"/>
      <c r="Y195" s="7"/>
      <c r="Z195" s="2">
        <v>6616</v>
      </c>
      <c r="AA195" s="330" t="s">
        <v>2943</v>
      </c>
      <c r="AB195" s="16">
        <v>46121</v>
      </c>
      <c r="AC195" s="329" t="s">
        <v>2941</v>
      </c>
      <c r="AD195" s="1">
        <f>VLOOKUP(ENTRADAS71417[[#This Row],[CÓDIGO]],PRODUCTOS31316[],2,FALSE)</f>
        <v>1101</v>
      </c>
      <c r="AE195" s="1" t="str">
        <f>VLOOKUP(ENTRADAS71417[[#This Row],[CÓDIGO]],PRODUCTOS31316[],3,FALSE)</f>
        <v>ESCROTIMETRO</v>
      </c>
      <c r="AF195" s="2">
        <v>100</v>
      </c>
      <c r="AG195" s="2"/>
      <c r="AH195" s="2">
        <v>78</v>
      </c>
    </row>
    <row r="196" spans="1:34" ht="49.95" customHeight="1" x14ac:dyDescent="0.3">
      <c r="A196" s="2" t="s">
        <v>764</v>
      </c>
      <c r="B196" s="1" t="s">
        <v>765</v>
      </c>
      <c r="C196" s="1" t="s">
        <v>766</v>
      </c>
      <c r="D196" s="1" t="s">
        <v>756</v>
      </c>
      <c r="E196" s="1" t="s">
        <v>177</v>
      </c>
      <c r="F196" s="1" t="s">
        <v>30</v>
      </c>
      <c r="G196" s="2">
        <v>0</v>
      </c>
      <c r="H196" s="14">
        <f>SUMIF(ENTRADAS71417[CÓDIGO],PRODUCTOS31316[[#This Row],[CÓDIGO]],ENTRADAS71417[CANTIDAD])</f>
        <v>0</v>
      </c>
      <c r="I196" s="11">
        <f>SUMIF(SALIDAS111518[CÓDIGO],PRODUCTOS31316[[#This Row],[CÓDIGO]],SALIDAS111518[CANTIDAD])</f>
        <v>0</v>
      </c>
      <c r="J196" s="6">
        <f>PRODUCTOS31316[[#This Row],[EXISTENCIAS]]+PRODUCTOS31316[[#This Row],[ENTRADAS]]-PRODUCTOS31316[[#This Row],[SALIDAS]]</f>
        <v>0</v>
      </c>
      <c r="L196" s="282" t="s">
        <v>3520</v>
      </c>
      <c r="M196" s="282" t="s">
        <v>3653</v>
      </c>
      <c r="N196" s="290" t="s">
        <v>3836</v>
      </c>
      <c r="O196" s="282" t="s">
        <v>3021</v>
      </c>
      <c r="P196" s="16">
        <v>46043</v>
      </c>
      <c r="Q196" s="282" t="s">
        <v>36</v>
      </c>
      <c r="R196" s="2">
        <f>VLOOKUP(SALIDAS111518[[#This Row],[CÓDIGO]],PRODUCTOS31316[],2,FALSE)</f>
        <v>1</v>
      </c>
      <c r="S196" s="1" t="str">
        <f>VLOOKUP(SALIDAS111518[[#This Row],[CÓDIGO]],PRODUCTOS31316[],3,FALSE)</f>
        <v xml:space="preserve">PARCHE ESTROTECT </v>
      </c>
      <c r="T196" s="2">
        <v>50</v>
      </c>
      <c r="U196" s="2">
        <v>94</v>
      </c>
      <c r="V196" s="2"/>
      <c r="W196" s="2" t="s">
        <v>3412</v>
      </c>
      <c r="X196" s="2"/>
      <c r="Y196" s="7"/>
      <c r="Z196" s="2">
        <v>26003192</v>
      </c>
      <c r="AA196" s="330" t="s">
        <v>4682</v>
      </c>
      <c r="AB196" s="16">
        <v>46121</v>
      </c>
      <c r="AC196" s="329" t="s">
        <v>4653</v>
      </c>
      <c r="AD196" s="1">
        <f>VLOOKUP(ENTRADAS71417[[#This Row],[CÓDIGO]],PRODUCTOS31316[],2,FALSE)</f>
        <v>38210000</v>
      </c>
      <c r="AE196" s="1" t="str">
        <f>VLOOKUP(ENTRADAS71417[[#This Row],[CÓDIGO]],PRODUCTOS31316[],3,FALSE)</f>
        <v>DILUYENTE DE SEMEN PORCINO ELIXIR 1 LITRO</v>
      </c>
      <c r="AF196" s="2">
        <v>450</v>
      </c>
      <c r="AG196" s="2"/>
      <c r="AH196" s="2">
        <v>86</v>
      </c>
    </row>
    <row r="197" spans="1:34" ht="49.95" customHeight="1" x14ac:dyDescent="0.3">
      <c r="A197" s="203" t="s">
        <v>767</v>
      </c>
      <c r="B197" s="1">
        <v>430165</v>
      </c>
      <c r="C197" s="1" t="s">
        <v>768</v>
      </c>
      <c r="D197" s="1" t="s">
        <v>769</v>
      </c>
      <c r="E197" s="1" t="s">
        <v>249</v>
      </c>
      <c r="F197" s="1" t="s">
        <v>184</v>
      </c>
      <c r="G197" s="2">
        <v>-16</v>
      </c>
      <c r="H197" s="14">
        <f>SUMIF(ENTRADAS71417[CÓDIGO],PRODUCTOS31316[[#This Row],[CÓDIGO]],ENTRADAS71417[CANTIDAD])</f>
        <v>150</v>
      </c>
      <c r="I197" s="11">
        <f>SUMIF(SALIDAS111518[CÓDIGO],PRODUCTOS31316[[#This Row],[CÓDIGO]],SALIDAS111518[CANTIDAD])</f>
        <v>48</v>
      </c>
      <c r="J197" s="6">
        <f>PRODUCTOS31316[[#This Row],[EXISTENCIAS]]+PRODUCTOS31316[[#This Row],[ENTRADAS]]-PRODUCTOS31316[[#This Row],[SALIDAS]]</f>
        <v>86</v>
      </c>
      <c r="L197" s="282" t="s">
        <v>3520</v>
      </c>
      <c r="M197" s="282" t="s">
        <v>3653</v>
      </c>
      <c r="N197" s="290" t="s">
        <v>3847</v>
      </c>
      <c r="O197" s="283" t="s">
        <v>3031</v>
      </c>
      <c r="P197" s="16">
        <v>46043</v>
      </c>
      <c r="Q197" s="282" t="s">
        <v>104</v>
      </c>
      <c r="R197" s="2">
        <f>VLOOKUP(SALIDAS111518[[#This Row],[CÓDIGO]],PRODUCTOS31316[],2,FALSE)</f>
        <v>0</v>
      </c>
      <c r="S197" s="1" t="str">
        <f>VLOOKUP(SALIDAS111518[[#This Row],[CÓDIGO]],PRODUCTOS31316[],3,FALSE)</f>
        <v>ISPERM CHIPS (500 TESTS PER BOX) PAQ. X 50 UND</v>
      </c>
      <c r="T197" s="2">
        <v>5</v>
      </c>
      <c r="U197" s="2">
        <v>93</v>
      </c>
      <c r="V197" s="2"/>
      <c r="W197" s="2" t="s">
        <v>3412</v>
      </c>
      <c r="X197" s="26"/>
      <c r="Y197" s="7"/>
      <c r="Z197" s="329" t="s">
        <v>4671</v>
      </c>
      <c r="AA197" s="330" t="s">
        <v>2230</v>
      </c>
      <c r="AB197" s="16">
        <v>46121</v>
      </c>
      <c r="AC197" s="329" t="s">
        <v>168</v>
      </c>
      <c r="AD197" s="1">
        <f>VLOOKUP(ENTRADAS71417[[#This Row],[CÓDIGO]],PRODUCTOS31316[],2,FALSE)</f>
        <v>4840</v>
      </c>
      <c r="AE197" s="1" t="str">
        <f>VLOOKUP(ENTRADAS71417[[#This Row],[CÓDIGO]],PRODUCTOS31316[],3,FALSE)</f>
        <v>PUNTAS BLANCAS UNIVERSALES, PLÁSTICAS, LIBRES DE DNASAS, RNASA Y PIROGENOS, RANGO DE 0.1 A 10UL. (CORTAS).</v>
      </c>
      <c r="AF197" s="2">
        <v>10</v>
      </c>
      <c r="AG197" s="2"/>
      <c r="AH197" s="2">
        <v>81</v>
      </c>
    </row>
    <row r="198" spans="1:34" ht="49.95" customHeight="1" x14ac:dyDescent="0.3">
      <c r="A198" s="2" t="s">
        <v>770</v>
      </c>
      <c r="B198" s="1" t="s">
        <v>771</v>
      </c>
      <c r="C198" s="1" t="s">
        <v>772</v>
      </c>
      <c r="D198" s="1" t="s">
        <v>103</v>
      </c>
      <c r="E198" s="1" t="s">
        <v>233</v>
      </c>
      <c r="F198" s="1" t="s">
        <v>124</v>
      </c>
      <c r="G198" s="2">
        <v>0</v>
      </c>
      <c r="H198" s="14">
        <f>SUMIF(ENTRADAS71417[CÓDIGO],PRODUCTOS31316[[#This Row],[CÓDIGO]],ENTRADAS71417[CANTIDAD])</f>
        <v>2</v>
      </c>
      <c r="I198" s="11">
        <f>SUMIF(SALIDAS111518[CÓDIGO],PRODUCTOS31316[[#This Row],[CÓDIGO]],SALIDAS111518[CANTIDAD])</f>
        <v>1</v>
      </c>
      <c r="J198" s="6">
        <f>PRODUCTOS31316[[#This Row],[EXISTENCIAS]]+PRODUCTOS31316[[#This Row],[ENTRADAS]]-PRODUCTOS31316[[#This Row],[SALIDAS]]</f>
        <v>1</v>
      </c>
      <c r="L198" s="276"/>
      <c r="M198" s="276"/>
      <c r="N198" s="276">
        <v>7743</v>
      </c>
      <c r="O198" s="360" t="s">
        <v>3031</v>
      </c>
      <c r="P198" s="16">
        <v>46043</v>
      </c>
      <c r="Q198" s="282" t="s">
        <v>679</v>
      </c>
      <c r="R198" s="2" t="str">
        <f>VLOOKUP(SALIDAS111518[[#This Row],[CÓDIGO]],PRODUCTOS31316[],2,FALSE)</f>
        <v>P31205</v>
      </c>
      <c r="S198" s="1" t="str">
        <f>VLOOKUP(SALIDAS111518[[#This Row],[CÓDIGO]],PRODUCTOS31316[],3,FALSE)</f>
        <v>PIPETA PASTEUR 3 ML</v>
      </c>
      <c r="T198" s="2">
        <v>4</v>
      </c>
      <c r="U198" s="2"/>
      <c r="V198" s="2"/>
      <c r="W198" s="2"/>
      <c r="X198" s="2"/>
      <c r="Y198" s="7"/>
      <c r="Z198" s="329" t="s">
        <v>4671</v>
      </c>
      <c r="AA198" s="330" t="s">
        <v>2230</v>
      </c>
      <c r="AB198" s="16">
        <v>46121</v>
      </c>
      <c r="AC198" s="329" t="s">
        <v>1799</v>
      </c>
      <c r="AD198" s="1">
        <f>VLOOKUP(ENTRADAS71417[[#This Row],[CÓDIGO]],PRODUCTOS31316[],2,FALSE)</f>
        <v>4846</v>
      </c>
      <c r="AE198" s="1" t="str">
        <f>VLOOKUP(ENTRADAS71417[[#This Row],[CÓDIGO]],PRODUCTOS31316[],3,FALSE)</f>
        <v>PUNTA AZULES UNIVERSALES 100- 1000 UL</v>
      </c>
      <c r="AF198" s="2">
        <v>10</v>
      </c>
      <c r="AG198" s="2"/>
      <c r="AH198" s="2"/>
    </row>
    <row r="199" spans="1:34" ht="49.95" customHeight="1" x14ac:dyDescent="0.3">
      <c r="A199" s="2" t="s">
        <v>52</v>
      </c>
      <c r="B199" s="1" t="s">
        <v>774</v>
      </c>
      <c r="C199" s="1" t="s">
        <v>775</v>
      </c>
      <c r="D199" s="1" t="s">
        <v>103</v>
      </c>
      <c r="E199" s="1" t="s">
        <v>233</v>
      </c>
      <c r="F199" s="1" t="s">
        <v>422</v>
      </c>
      <c r="G199" s="2">
        <v>0</v>
      </c>
      <c r="H199" s="14">
        <f>SUMIF(ENTRADAS71417[CÓDIGO],PRODUCTOS31316[[#This Row],[CÓDIGO]],ENTRADAS71417[CANTIDAD])</f>
        <v>0</v>
      </c>
      <c r="I199" s="11">
        <f>SUMIF(SALIDAS111518[CÓDIGO],PRODUCTOS31316[[#This Row],[CÓDIGO]],SALIDAS111518[CANTIDAD])</f>
        <v>0</v>
      </c>
      <c r="J199" s="6">
        <f>PRODUCTOS31316[[#This Row],[EXISTENCIAS]]+PRODUCTOS31316[[#This Row],[ENTRADAS]]-PRODUCTOS31316[[#This Row],[SALIDAS]]</f>
        <v>0</v>
      </c>
      <c r="L199" s="276"/>
      <c r="M199" s="276"/>
      <c r="N199" s="276">
        <v>7743</v>
      </c>
      <c r="O199" s="282" t="s">
        <v>3031</v>
      </c>
      <c r="P199" s="16">
        <v>46043</v>
      </c>
      <c r="Q199" s="282" t="s">
        <v>2797</v>
      </c>
      <c r="R199" s="2" t="str">
        <f>VLOOKUP(SALIDAS111518[[#This Row],[CÓDIGO]],PRODUCTOS31316[],2,FALSE)</f>
        <v>PT113</v>
      </c>
      <c r="S199" s="1" t="str">
        <f>VLOOKUP(SALIDAS111518[[#This Row],[CÓDIGO]],PRODUCTOS31316[],3,FALSE)</f>
        <v>NATURAL FERTILITY X 2 KL</v>
      </c>
      <c r="T199" s="2">
        <v>1</v>
      </c>
      <c r="U199" s="2"/>
      <c r="V199" s="2"/>
      <c r="W199" s="2"/>
      <c r="X199" s="2"/>
      <c r="Y199" s="7"/>
      <c r="Z199" s="329" t="s">
        <v>4671</v>
      </c>
      <c r="AA199" s="330" t="s">
        <v>2230</v>
      </c>
      <c r="AB199" s="16">
        <v>46121</v>
      </c>
      <c r="AC199" s="329" t="s">
        <v>767</v>
      </c>
      <c r="AD199" s="1">
        <f>VLOOKUP(ENTRADAS71417[[#This Row],[CÓDIGO]],PRODUCTOS31316[],2,FALSE)</f>
        <v>430165</v>
      </c>
      <c r="AE199" s="1" t="str">
        <f>VLOOKUP(ENTRADAS71417[[#This Row],[CÓDIGO]],PRODUCTOS31316[],3,FALSE)</f>
        <v>CAJAS DE PETRI DE 35X 10 MM, EN POLYESTYRENO, ESTPERILES, DESECHABLES, PARA CULTIVO CELULAR</v>
      </c>
      <c r="AF199" s="2">
        <v>150</v>
      </c>
      <c r="AG199" s="2"/>
      <c r="AH199" s="2"/>
    </row>
    <row r="200" spans="1:34" ht="49.95" customHeight="1" x14ac:dyDescent="0.3">
      <c r="A200" s="2" t="s">
        <v>778</v>
      </c>
      <c r="B200" s="1" t="s">
        <v>779</v>
      </c>
      <c r="C200" s="1" t="s">
        <v>780</v>
      </c>
      <c r="D200" s="1" t="s">
        <v>781</v>
      </c>
      <c r="E200" s="1" t="s">
        <v>449</v>
      </c>
      <c r="F200" s="1" t="s">
        <v>124</v>
      </c>
      <c r="G200" s="2">
        <v>0</v>
      </c>
      <c r="H200" s="14">
        <f>SUMIF(ENTRADAS71417[CÓDIGO],PRODUCTOS31316[[#This Row],[CÓDIGO]],ENTRADAS71417[CANTIDAD])</f>
        <v>0</v>
      </c>
      <c r="I200" s="11">
        <f>SUMIF(SALIDAS111518[CÓDIGO],PRODUCTOS31316[[#This Row],[CÓDIGO]],SALIDAS111518[CANTIDAD])</f>
        <v>0</v>
      </c>
      <c r="J200" s="6">
        <f>PRODUCTOS31316[[#This Row],[EXISTENCIAS]]+PRODUCTOS31316[[#This Row],[ENTRADAS]]-PRODUCTOS31316[[#This Row],[SALIDAS]]</f>
        <v>0</v>
      </c>
      <c r="L200" s="282" t="s">
        <v>3521</v>
      </c>
      <c r="M200" s="282" t="s">
        <v>3653</v>
      </c>
      <c r="N200" s="290" t="s">
        <v>3896</v>
      </c>
      <c r="O200" s="283" t="s">
        <v>3822</v>
      </c>
      <c r="P200" s="16">
        <v>46043</v>
      </c>
      <c r="Q200" s="282" t="s">
        <v>651</v>
      </c>
      <c r="R200" s="2">
        <f>VLOOKUP(SALIDAS111518[[#This Row],[CÓDIGO]],PRODUCTOS31316[],2,FALSE)</f>
        <v>18367</v>
      </c>
      <c r="S200" s="1" t="str">
        <f>VLOOKUP(SALIDAS111518[[#This Row],[CÓDIGO]],PRODUCTOS31316[],3,FALSE)</f>
        <v>PISTOLA DE INSEMINACIÓN UNIVERSAL (AUTOMATIC LOCK)</v>
      </c>
      <c r="T200" s="2">
        <v>1</v>
      </c>
      <c r="U200" s="2">
        <v>98</v>
      </c>
      <c r="V200" s="2"/>
      <c r="W200" s="282" t="s">
        <v>2823</v>
      </c>
      <c r="X200" s="2"/>
      <c r="Y200" s="7"/>
      <c r="Z200" s="329" t="s">
        <v>4671</v>
      </c>
      <c r="AA200" s="330" t="s">
        <v>2230</v>
      </c>
      <c r="AB200" s="16">
        <v>46121</v>
      </c>
      <c r="AC200" s="329" t="s">
        <v>247</v>
      </c>
      <c r="AD200" s="1">
        <f>VLOOKUP(ENTRADAS71417[[#This Row],[CÓDIGO]],PRODUCTOS31316[],2,FALSE)</f>
        <v>352054</v>
      </c>
      <c r="AE200" s="1" t="str">
        <f>VLOOKUP(ENTRADAS71417[[#This Row],[CÓDIGO]],PRODUCTOS31316[],3,FALSE)</f>
        <v>TUBO DE FONDO REDONDO DE 5ML 12X75MM , POLIESTIRENO</v>
      </c>
      <c r="AF200" s="2">
        <v>24</v>
      </c>
      <c r="AG200" s="2"/>
      <c r="AH200" s="2"/>
    </row>
    <row r="201" spans="1:34" ht="49.95" customHeight="1" x14ac:dyDescent="0.3">
      <c r="A201" s="2" t="s">
        <v>782</v>
      </c>
      <c r="B201" s="1">
        <v>352350</v>
      </c>
      <c r="C201" s="1" t="s">
        <v>536</v>
      </c>
      <c r="D201" s="1" t="s">
        <v>182</v>
      </c>
      <c r="E201" s="1" t="s">
        <v>249</v>
      </c>
      <c r="F201" s="1" t="s">
        <v>537</v>
      </c>
      <c r="G201" s="2">
        <v>0</v>
      </c>
      <c r="H201" s="14">
        <f>SUMIF(ENTRADAS71417[CÓDIGO],PRODUCTOS31316[[#This Row],[CÓDIGO]],ENTRADAS71417[CANTIDAD])</f>
        <v>0</v>
      </c>
      <c r="I201" s="11">
        <f>SUMIF(SALIDAS111518[CÓDIGO],PRODUCTOS31316[[#This Row],[CÓDIGO]],SALIDAS111518[CANTIDAD])</f>
        <v>0</v>
      </c>
      <c r="J201" s="6">
        <f>PRODUCTOS31316[[#This Row],[EXISTENCIAS]]+PRODUCTOS31316[[#This Row],[ENTRADAS]]-PRODUCTOS31316[[#This Row],[SALIDAS]]</f>
        <v>0</v>
      </c>
      <c r="L201" s="276"/>
      <c r="M201" s="276"/>
      <c r="N201" s="276">
        <v>7744</v>
      </c>
      <c r="O201" s="283" t="s">
        <v>3822</v>
      </c>
      <c r="P201" s="16">
        <v>46043</v>
      </c>
      <c r="Q201" s="282" t="s">
        <v>382</v>
      </c>
      <c r="R201" s="2">
        <f>VLOOKUP(SALIDAS111518[[#This Row],[CÓDIGO]],PRODUCTOS31316[],2,FALSE)</f>
        <v>605032</v>
      </c>
      <c r="S201" s="1" t="str">
        <f>VLOOKUP(SALIDAS111518[[#This Row],[CÓDIGO]],PRODUCTOS31316[],3,FALSE)</f>
        <v>LUBRICANTE OB, NO ESPERMICIDA</v>
      </c>
      <c r="T201" s="2">
        <v>1</v>
      </c>
      <c r="U201" s="2"/>
      <c r="V201" s="2"/>
      <c r="W201" s="2"/>
      <c r="X201" s="2"/>
      <c r="Y201" s="7"/>
      <c r="Z201" s="329" t="s">
        <v>4672</v>
      </c>
      <c r="AA201" s="330" t="s">
        <v>2230</v>
      </c>
      <c r="AB201" s="16">
        <v>46121</v>
      </c>
      <c r="AC201" s="329" t="s">
        <v>168</v>
      </c>
      <c r="AD201" s="1">
        <f>VLOOKUP(ENTRADAS71417[[#This Row],[CÓDIGO]],PRODUCTOS31316[],2,FALSE)</f>
        <v>4840</v>
      </c>
      <c r="AE201" s="1" t="str">
        <f>VLOOKUP(ENTRADAS71417[[#This Row],[CÓDIGO]],PRODUCTOS31316[],3,FALSE)</f>
        <v>PUNTAS BLANCAS UNIVERSALES, PLÁSTICAS, LIBRES DE DNASAS, RNASA Y PIROGENOS, RANGO DE 0.1 A 10UL. (CORTAS).</v>
      </c>
      <c r="AF201" s="2">
        <v>13</v>
      </c>
      <c r="AG201" s="2"/>
      <c r="AH201" s="2">
        <v>82</v>
      </c>
    </row>
    <row r="202" spans="1:34" ht="49.95" customHeight="1" x14ac:dyDescent="0.3">
      <c r="A202" s="2" t="s">
        <v>783</v>
      </c>
      <c r="B202" s="1">
        <v>7118</v>
      </c>
      <c r="C202" s="1" t="s">
        <v>784</v>
      </c>
      <c r="D202" s="1" t="s">
        <v>156</v>
      </c>
      <c r="E202" s="1" t="s">
        <v>157</v>
      </c>
      <c r="F202" s="1" t="s">
        <v>30</v>
      </c>
      <c r="G202" s="2">
        <v>0</v>
      </c>
      <c r="H202" s="14">
        <f>SUMIF(ENTRADAS71417[CÓDIGO],PRODUCTOS31316[[#This Row],[CÓDIGO]],ENTRADAS71417[CANTIDAD])</f>
        <v>0</v>
      </c>
      <c r="I202" s="11">
        <f>SUMIF(SALIDAS111518[CÓDIGO],PRODUCTOS31316[[#This Row],[CÓDIGO]],SALIDAS111518[CANTIDAD])</f>
        <v>0</v>
      </c>
      <c r="J202" s="6">
        <f>PRODUCTOS31316[[#This Row],[EXISTENCIAS]]+PRODUCTOS31316[[#This Row],[ENTRADAS]]-PRODUCTOS31316[[#This Row],[SALIDAS]]</f>
        <v>0</v>
      </c>
      <c r="L202" s="276"/>
      <c r="M202" s="276"/>
      <c r="N202" s="276">
        <v>7744</v>
      </c>
      <c r="O202" s="283" t="s">
        <v>3822</v>
      </c>
      <c r="P202" s="16">
        <v>46043</v>
      </c>
      <c r="Q202" s="282" t="s">
        <v>658</v>
      </c>
      <c r="R202" s="2">
        <f>VLOOKUP(SALIDAS111518[[#This Row],[CÓDIGO]],PRODUCTOS31316[],2,FALSE)</f>
        <v>0</v>
      </c>
      <c r="S202" s="1" t="str">
        <f>VLOOKUP(SALIDAS111518[[#This Row],[CÓDIGO]],PRODUCTOS31316[],3,FALSE)</f>
        <v>CATETER TALADRO TRANSPARENTE 18"</v>
      </c>
      <c r="T202" s="2">
        <v>1</v>
      </c>
      <c r="U202" s="2"/>
      <c r="V202" s="2"/>
      <c r="W202" s="2"/>
      <c r="X202" s="2"/>
      <c r="Y202" s="7"/>
      <c r="Z202" s="329" t="s">
        <v>4673</v>
      </c>
      <c r="AA202" s="330" t="s">
        <v>2230</v>
      </c>
      <c r="AB202" s="16">
        <v>46121</v>
      </c>
      <c r="AC202" s="329" t="s">
        <v>602</v>
      </c>
      <c r="AD202" s="1">
        <f>VLOOKUP(ENTRADAS71417[[#This Row],[CÓDIGO]],PRODUCTOS31316[],2,FALSE)</f>
        <v>4845</v>
      </c>
      <c r="AE202" s="1" t="str">
        <f>VLOOKUP(ENTRADAS71417[[#This Row],[CÓDIGO]],PRODUCTOS31316[],3,FALSE)</f>
        <v>PUNTAS AMARILLAS, UNIVERSALES. PLASTICAS, NO ESTERIL. LIBRES DE RNASE, DNASE Y PYROGENOS. RANGO DE 1-200UL. BOLSA X1000UDS.</v>
      </c>
      <c r="AF202" s="2">
        <v>10</v>
      </c>
      <c r="AG202" s="2"/>
      <c r="AH202" s="2">
        <v>83</v>
      </c>
    </row>
    <row r="203" spans="1:34" ht="49.95" customHeight="1" x14ac:dyDescent="0.3">
      <c r="A203" s="2" t="s">
        <v>785</v>
      </c>
      <c r="C203" s="1" t="s">
        <v>786</v>
      </c>
      <c r="F203" s="1" t="s">
        <v>30</v>
      </c>
      <c r="G203" s="2">
        <v>0</v>
      </c>
      <c r="H203" s="14">
        <f>SUMIF(ENTRADAS71417[CÓDIGO],PRODUCTOS31316[[#This Row],[CÓDIGO]],ENTRADAS71417[CANTIDAD])</f>
        <v>0</v>
      </c>
      <c r="I203" s="11">
        <f>SUMIF(SALIDAS111518[CÓDIGO],PRODUCTOS31316[[#This Row],[CÓDIGO]],SALIDAS111518[CANTIDAD])</f>
        <v>0</v>
      </c>
      <c r="J203" s="6">
        <f>PRODUCTOS31316[[#This Row],[EXISTENCIAS]]+PRODUCTOS31316[[#This Row],[ENTRADAS]]-PRODUCTOS31316[[#This Row],[SALIDAS]]</f>
        <v>0</v>
      </c>
      <c r="L203" s="276"/>
      <c r="M203" s="276"/>
      <c r="N203" s="276">
        <v>7744</v>
      </c>
      <c r="O203" s="283" t="s">
        <v>3822</v>
      </c>
      <c r="P203" s="16">
        <v>46043</v>
      </c>
      <c r="Q203" s="282" t="s">
        <v>153</v>
      </c>
      <c r="R203" s="2">
        <f>VLOOKUP(SALIDAS111518[[#This Row],[CÓDIGO]],PRODUCTOS31316[],2,FALSE)</f>
        <v>1132</v>
      </c>
      <c r="S203" s="1" t="str">
        <f>VLOOKUP(SALIDAS111518[[#This Row],[CÓDIGO]],PRODUCTOS31316[],3,FALSE)</f>
        <v>PISTOLA QUICKLOCK CLASIC</v>
      </c>
      <c r="T203" s="2">
        <v>1</v>
      </c>
      <c r="U203" s="2"/>
      <c r="V203" s="2"/>
      <c r="W203" s="2"/>
      <c r="X203" s="28"/>
      <c r="Y203" s="7"/>
      <c r="Z203" s="2">
        <v>27102</v>
      </c>
      <c r="AA203" s="330" t="s">
        <v>4194</v>
      </c>
      <c r="AB203" s="16">
        <v>46122</v>
      </c>
      <c r="AC203" s="329" t="s">
        <v>3165</v>
      </c>
      <c r="AD203" s="1">
        <f>VLOOKUP(ENTRADAS71417[[#This Row],[CÓDIGO]],PRODUCTOS31316[],2,FALSE)</f>
        <v>30943</v>
      </c>
      <c r="AE203" s="1" t="str">
        <f>VLOOKUP(ENTRADAS71417[[#This Row],[CÓDIGO]],PRODUCTOS31316[],3,FALSE)</f>
        <v xml:space="preserve">CAJA PETRI DESECHABLE ESTERIL 90X 15 </v>
      </c>
      <c r="AF203" s="2">
        <v>50</v>
      </c>
      <c r="AG203" s="2"/>
      <c r="AH203" s="2">
        <v>84</v>
      </c>
    </row>
    <row r="204" spans="1:34" ht="49.95" customHeight="1" x14ac:dyDescent="0.3">
      <c r="A204" s="2" t="s">
        <v>787</v>
      </c>
      <c r="B204" s="1">
        <v>440200</v>
      </c>
      <c r="C204" s="1" t="s">
        <v>788</v>
      </c>
      <c r="E204" s="1" t="s">
        <v>24</v>
      </c>
      <c r="F204" s="1" t="s">
        <v>789</v>
      </c>
      <c r="G204" s="2">
        <v>0</v>
      </c>
      <c r="H204" s="14">
        <f>SUMIF(ENTRADAS71417[CÓDIGO],PRODUCTOS31316[[#This Row],[CÓDIGO]],ENTRADAS71417[CANTIDAD])</f>
        <v>0</v>
      </c>
      <c r="I204" s="11">
        <f>SUMIF(SALIDAS111518[CÓDIGO],PRODUCTOS31316[[#This Row],[CÓDIGO]],SALIDAS111518[CANTIDAD])</f>
        <v>0</v>
      </c>
      <c r="J204" s="6">
        <f>PRODUCTOS31316[[#This Row],[EXISTENCIAS]]+PRODUCTOS31316[[#This Row],[ENTRADAS]]-PRODUCTOS31316[[#This Row],[SALIDAS]]</f>
        <v>0</v>
      </c>
      <c r="L204" s="276"/>
      <c r="M204" s="276"/>
      <c r="N204" s="276">
        <v>7744</v>
      </c>
      <c r="O204" s="283" t="s">
        <v>3822</v>
      </c>
      <c r="P204" s="16">
        <v>46043</v>
      </c>
      <c r="Q204" s="282" t="s">
        <v>2364</v>
      </c>
      <c r="R204" s="2">
        <f>VLOOKUP(SALIDAS111518[[#This Row],[CÓDIGO]],PRODUCTOS31316[],2,FALSE)</f>
        <v>0</v>
      </c>
      <c r="S204" s="1" t="str">
        <f>VLOOKUP(SALIDAS111518[[#This Row],[CÓDIGO]],PRODUCTOS31316[],3,FALSE)</f>
        <v>CORTAPAJILLAS WTA</v>
      </c>
      <c r="T204" s="2">
        <v>1</v>
      </c>
      <c r="U204" s="2"/>
      <c r="V204" s="2"/>
      <c r="W204" s="2"/>
      <c r="X204" s="28"/>
      <c r="Y204" s="7"/>
      <c r="Z204" s="2">
        <v>27102</v>
      </c>
      <c r="AA204" s="330" t="s">
        <v>4194</v>
      </c>
      <c r="AB204" s="16">
        <v>46122</v>
      </c>
      <c r="AC204" s="329" t="s">
        <v>4386</v>
      </c>
      <c r="AD204" s="1">
        <f>VLOOKUP(ENTRADAS71417[[#This Row],[CÓDIGO]],PRODUCTOS31316[],2,FALSE)</f>
        <v>754001</v>
      </c>
      <c r="AE204" s="1" t="str">
        <f>VLOOKUP(ENTRADAS71417[[#This Row],[CÓDIGO]],PRODUCTOS31316[],3,FALSE)</f>
        <v>CAJA PETRI DESECHABLE ESTERIL 60X15MM MARCA: NEST</v>
      </c>
      <c r="AF204" s="2">
        <v>150</v>
      </c>
      <c r="AG204" s="2"/>
      <c r="AH204" s="2"/>
    </row>
    <row r="205" spans="1:34" ht="49.95" customHeight="1" x14ac:dyDescent="0.3">
      <c r="A205" s="2" t="s">
        <v>790</v>
      </c>
      <c r="B205" s="1">
        <v>108130</v>
      </c>
      <c r="C205" s="1" t="s">
        <v>791</v>
      </c>
      <c r="D205" s="1" t="s">
        <v>18</v>
      </c>
      <c r="E205" s="1" t="s">
        <v>18</v>
      </c>
      <c r="F205" s="1" t="s">
        <v>30</v>
      </c>
      <c r="G205" s="2">
        <v>0</v>
      </c>
      <c r="H205" s="14">
        <f>SUMIF(ENTRADAS71417[CÓDIGO],PRODUCTOS31316[[#This Row],[CÓDIGO]],ENTRADAS71417[CANTIDAD])</f>
        <v>0</v>
      </c>
      <c r="I205" s="11">
        <f>SUMIF(SALIDAS111518[CÓDIGO],PRODUCTOS31316[[#This Row],[CÓDIGO]],SALIDAS111518[CANTIDAD])</f>
        <v>0</v>
      </c>
      <c r="J205" s="6">
        <f>PRODUCTOS31316[[#This Row],[EXISTENCIAS]]+PRODUCTOS31316[[#This Row],[ENTRADAS]]-PRODUCTOS31316[[#This Row],[SALIDAS]]</f>
        <v>0</v>
      </c>
      <c r="L205" s="276"/>
      <c r="M205" s="276"/>
      <c r="N205" s="276">
        <v>7744</v>
      </c>
      <c r="O205" s="283" t="s">
        <v>3822</v>
      </c>
      <c r="P205" s="16">
        <v>46043</v>
      </c>
      <c r="Q205" s="282" t="s">
        <v>210</v>
      </c>
      <c r="R205" s="2">
        <f>VLOOKUP(SALIDAS111518[[#This Row],[CÓDIGO]],PRODUCTOS31316[],2,FALSE)</f>
        <v>101257</v>
      </c>
      <c r="S205" s="1" t="str">
        <f>VLOOKUP(SALIDAS111518[[#This Row],[CÓDIGO]],PRODUCTOS31316[],3,FALSE)</f>
        <v>MANGA DESECHABLE SUPER SENSITIVA</v>
      </c>
      <c r="T205" s="2">
        <v>1</v>
      </c>
      <c r="U205" s="2"/>
      <c r="V205" s="2"/>
      <c r="W205" s="2"/>
      <c r="X205" s="2"/>
      <c r="Y205" s="7"/>
      <c r="Z205" s="1" t="s">
        <v>4727</v>
      </c>
      <c r="AA205" s="336" t="s">
        <v>1819</v>
      </c>
      <c r="AB205" s="16">
        <v>46126</v>
      </c>
      <c r="AC205" s="335" t="s">
        <v>333</v>
      </c>
      <c r="AD205" s="1" t="str">
        <f>VLOOKUP(ENTRADAS71417[[#This Row],[CÓDIGO]],PRODUCTOS31316[],2,FALSE)</f>
        <v>CTB15</v>
      </c>
      <c r="AE205" s="1" t="str">
        <f>VLOOKUP(ENTRADAS71417[[#This Row],[CÓDIGO]],PRODUCTOS31316[],3,FALSE)</f>
        <v>TUBO CÓNICO DE 15 ML, TAPA ROSCA ESTÉRIL  RCF MAX: 10000xg, 
graduados, PCR puro. VENCE: 03/04/2028</v>
      </c>
      <c r="AF205" s="2">
        <v>20</v>
      </c>
      <c r="AG205" s="2"/>
      <c r="AH205" s="2">
        <v>87</v>
      </c>
    </row>
    <row r="206" spans="1:34" ht="49.95" customHeight="1" x14ac:dyDescent="0.3">
      <c r="A206" s="2" t="s">
        <v>792</v>
      </c>
      <c r="B206" s="1">
        <v>108137</v>
      </c>
      <c r="C206" s="1" t="s">
        <v>793</v>
      </c>
      <c r="D206" s="1" t="s">
        <v>18</v>
      </c>
      <c r="E206" s="1" t="s">
        <v>18</v>
      </c>
      <c r="F206" s="1" t="s">
        <v>30</v>
      </c>
      <c r="G206" s="2">
        <v>0</v>
      </c>
      <c r="H206" s="14">
        <f>SUMIF(ENTRADAS71417[CÓDIGO],PRODUCTOS31316[[#This Row],[CÓDIGO]],ENTRADAS71417[CANTIDAD])</f>
        <v>0</v>
      </c>
      <c r="I206" s="11">
        <f>SUMIF(SALIDAS111518[CÓDIGO],PRODUCTOS31316[[#This Row],[CÓDIGO]],SALIDAS111518[CANTIDAD])</f>
        <v>0</v>
      </c>
      <c r="J206" s="6">
        <f>PRODUCTOS31316[[#This Row],[EXISTENCIAS]]+PRODUCTOS31316[[#This Row],[ENTRADAS]]-PRODUCTOS31316[[#This Row],[SALIDAS]]</f>
        <v>0</v>
      </c>
      <c r="L206" s="276"/>
      <c r="M206" s="276"/>
      <c r="N206" s="276">
        <v>7744</v>
      </c>
      <c r="O206" s="283" t="s">
        <v>3822</v>
      </c>
      <c r="P206" s="16">
        <v>46043</v>
      </c>
      <c r="Q206" s="282" t="s">
        <v>581</v>
      </c>
      <c r="R206" s="2">
        <f>VLOOKUP(SALIDAS111518[[#This Row],[CÓDIGO]],PRODUCTOS31316[],2,FALSE)</f>
        <v>11571</v>
      </c>
      <c r="S206" s="1" t="str">
        <f>VLOOKUP(SALIDAS111518[[#This Row],[CÓDIGO]],PRODUCTOS31316[],3,FALSE)</f>
        <v>PINZA COGEPAJILLA</v>
      </c>
      <c r="T206" s="2">
        <v>1</v>
      </c>
      <c r="U206" s="2"/>
      <c r="V206" s="2"/>
      <c r="W206" s="2"/>
      <c r="X206" s="2"/>
      <c r="Y206" s="7"/>
      <c r="Z206" s="1" t="s">
        <v>4727</v>
      </c>
      <c r="AA206" s="336" t="s">
        <v>1819</v>
      </c>
      <c r="AB206" s="16">
        <v>46126</v>
      </c>
      <c r="AC206" s="335" t="s">
        <v>341</v>
      </c>
      <c r="AD206" s="1" t="str">
        <f>VLOOKUP(ENTRADAS71417[[#This Row],[CÓDIGO]],PRODUCTOS31316[],2,FALSE)</f>
        <v>CTB50</v>
      </c>
      <c r="AE206" s="1" t="str">
        <f>VLOOKUP(ENTRADAS71417[[#This Row],[CÓDIGO]],PRODUCTOS31316[],3,FALSE)</f>
        <v>TUBO CÓNICO DE 50 mL, TAPA ROSCA, PRE ESTERILIZADO. RCF MAX: 10000xg, graduados, PCR puro.</v>
      </c>
      <c r="AF206" s="2">
        <v>20</v>
      </c>
      <c r="AG206" s="2"/>
      <c r="AH206" s="2"/>
    </row>
    <row r="207" spans="1:34" ht="49.95" customHeight="1" x14ac:dyDescent="0.3">
      <c r="A207" s="2" t="s">
        <v>794</v>
      </c>
      <c r="B207" s="1">
        <v>102025</v>
      </c>
      <c r="C207" s="1" t="s">
        <v>795</v>
      </c>
      <c r="D207" s="1" t="s">
        <v>18</v>
      </c>
      <c r="E207" s="1" t="s">
        <v>18</v>
      </c>
      <c r="F207" s="1" t="s">
        <v>30</v>
      </c>
      <c r="G207" s="2">
        <v>0</v>
      </c>
      <c r="H207" s="14">
        <f>SUMIF(ENTRADAS71417[CÓDIGO],PRODUCTOS31316[[#This Row],[CÓDIGO]],ENTRADAS71417[CANTIDAD])</f>
        <v>0</v>
      </c>
      <c r="I207" s="11">
        <f>SUMIF(SALIDAS111518[CÓDIGO],PRODUCTOS31316[[#This Row],[CÓDIGO]],SALIDAS111518[CANTIDAD])</f>
        <v>0</v>
      </c>
      <c r="J207" s="6">
        <f>PRODUCTOS31316[[#This Row],[EXISTENCIAS]]+PRODUCTOS31316[[#This Row],[ENTRADAS]]-PRODUCTOS31316[[#This Row],[SALIDAS]]</f>
        <v>0</v>
      </c>
      <c r="L207" s="276"/>
      <c r="M207" s="276"/>
      <c r="N207" s="276">
        <v>7744</v>
      </c>
      <c r="O207" s="283" t="s">
        <v>3822</v>
      </c>
      <c r="P207" s="16">
        <v>46043</v>
      </c>
      <c r="Q207" s="282" t="s">
        <v>369</v>
      </c>
      <c r="R207" s="2">
        <f>VLOOKUP(SALIDAS111518[[#This Row],[CÓDIGO]],PRODUCTOS31316[],2,FALSE)</f>
        <v>0</v>
      </c>
      <c r="S207" s="1" t="str">
        <f>VLOOKUP(SALIDAS111518[[#This Row],[CÓDIGO]],PRODUCTOS31316[],3,FALSE)</f>
        <v>FUNDA UNIVERSAL PARA I.A. RANURADA</v>
      </c>
      <c r="T207" s="2">
        <v>1</v>
      </c>
      <c r="U207" s="2"/>
      <c r="V207" s="2"/>
      <c r="W207" s="2"/>
      <c r="X207" s="28"/>
      <c r="Y207" s="7"/>
      <c r="Z207" s="1" t="s">
        <v>4727</v>
      </c>
      <c r="AA207" s="336" t="s">
        <v>1819</v>
      </c>
      <c r="AB207" s="16">
        <v>46126</v>
      </c>
      <c r="AC207" s="335" t="s">
        <v>3024</v>
      </c>
      <c r="AD207" s="1" t="str">
        <f>VLOOKUP(ENTRADAS71417[[#This Row],[CÓDIGO]],PRODUCTOS31316[],2,FALSE)</f>
        <v>MCTB005</v>
      </c>
      <c r="AE207" s="1" t="str">
        <f>VLOOKUP(ENTRADAS71417[[#This Row],[CÓDIGO]],PRODUCTOS31316[],3,FALSE)</f>
        <v>TUBO EPPENDORF DE 0,5 ML</v>
      </c>
      <c r="AF207" s="2">
        <v>10</v>
      </c>
      <c r="AG207" s="2"/>
      <c r="AH207" s="2"/>
    </row>
    <row r="208" spans="1:34" ht="49.95" customHeight="1" x14ac:dyDescent="0.3">
      <c r="A208" s="2" t="s">
        <v>797</v>
      </c>
      <c r="B208" s="1" t="s">
        <v>798</v>
      </c>
      <c r="C208" s="1" t="s">
        <v>799</v>
      </c>
      <c r="D208" s="1" t="s">
        <v>800</v>
      </c>
      <c r="E208" s="1" t="s">
        <v>449</v>
      </c>
      <c r="F208" s="1" t="s">
        <v>124</v>
      </c>
      <c r="G208" s="2">
        <v>0</v>
      </c>
      <c r="H208" s="14">
        <f>SUMIF(ENTRADAS71417[CÓDIGO],PRODUCTOS31316[[#This Row],[CÓDIGO]],ENTRADAS71417[CANTIDAD])</f>
        <v>0</v>
      </c>
      <c r="I208" s="11">
        <f>SUMIF(SALIDAS111518[CÓDIGO],PRODUCTOS31316[[#This Row],[CÓDIGO]],SALIDAS111518[CANTIDAD])</f>
        <v>0</v>
      </c>
      <c r="J208" s="6">
        <f>PRODUCTOS31316[[#This Row],[EXISTENCIAS]]+PRODUCTOS31316[[#This Row],[ENTRADAS]]-PRODUCTOS31316[[#This Row],[SALIDAS]]</f>
        <v>0</v>
      </c>
      <c r="L208" s="276"/>
      <c r="M208" s="276"/>
      <c r="N208" s="276">
        <v>7744</v>
      </c>
      <c r="O208" s="283" t="s">
        <v>3822</v>
      </c>
      <c r="P208" s="16">
        <v>46043</v>
      </c>
      <c r="Q208" s="282" t="s">
        <v>2755</v>
      </c>
      <c r="R208" s="2" t="str">
        <f>VLOOKUP(SALIDAS111518[[#This Row],[CÓDIGO]],PRODUCTOS31316[],2,FALSE)</f>
        <v>MSLDO05</v>
      </c>
      <c r="S208" s="1" t="str">
        <f>VLOOKUP(SALIDAS111518[[#This Row],[CÓDIGO]],PRODUCTOS31316[],3,FALSE)</f>
        <v>TERMO DE RECOLECCIÓN DE SEMEN/ USO VETERINARIO</v>
      </c>
      <c r="T208" s="2">
        <v>1</v>
      </c>
      <c r="U208" s="2"/>
      <c r="V208" s="2"/>
      <c r="W208" s="2"/>
      <c r="X208" s="28"/>
      <c r="Y208" s="7"/>
      <c r="Z208" s="1" t="s">
        <v>4727</v>
      </c>
      <c r="AA208" s="336" t="s">
        <v>1819</v>
      </c>
      <c r="AB208" s="16">
        <v>46126</v>
      </c>
      <c r="AC208" s="335" t="s">
        <v>3026</v>
      </c>
      <c r="AD208" s="1" t="str">
        <f>VLOOKUP(ENTRADAS71417[[#This Row],[CÓDIGO]],PRODUCTOS31316[],2,FALSE)</f>
        <v>MCTB020</v>
      </c>
      <c r="AE208" s="1" t="str">
        <f>VLOOKUP(ENTRADAS71417[[#This Row],[CÓDIGO]],PRODUCTOS31316[],3,FALSE)</f>
        <v>TUBO EPPENDORF DE 2,0 ML</v>
      </c>
      <c r="AF208" s="2">
        <v>5</v>
      </c>
      <c r="AG208" s="2"/>
      <c r="AH208" s="2"/>
    </row>
    <row r="209" spans="1:34" ht="49.95" customHeight="1" x14ac:dyDescent="0.3">
      <c r="A209" s="2" t="s">
        <v>802</v>
      </c>
      <c r="C209" s="1" t="s">
        <v>803</v>
      </c>
      <c r="E209" s="1" t="s">
        <v>804</v>
      </c>
      <c r="F209" s="1" t="s">
        <v>30</v>
      </c>
      <c r="G209" s="2">
        <v>9</v>
      </c>
      <c r="H209" s="14">
        <f>SUMIF(ENTRADAS71417[CÓDIGO],PRODUCTOS31316[[#This Row],[CÓDIGO]],ENTRADAS71417[CANTIDAD])</f>
        <v>0</v>
      </c>
      <c r="I209" s="11">
        <f>SUMIF(SALIDAS111518[CÓDIGO],PRODUCTOS31316[[#This Row],[CÓDIGO]],SALIDAS111518[CANTIDAD])</f>
        <v>0</v>
      </c>
      <c r="J209" s="6">
        <f>PRODUCTOS31316[[#This Row],[EXISTENCIAS]]+PRODUCTOS31316[[#This Row],[ENTRADAS]]-PRODUCTOS31316[[#This Row],[SALIDAS]]</f>
        <v>9</v>
      </c>
      <c r="L209" s="276"/>
      <c r="M209" s="276"/>
      <c r="N209" s="276">
        <v>7744</v>
      </c>
      <c r="O209" s="283" t="s">
        <v>3822</v>
      </c>
      <c r="P209" s="16">
        <v>46043</v>
      </c>
      <c r="Q209" s="282" t="s">
        <v>1779</v>
      </c>
      <c r="R209" s="2">
        <f>VLOOKUP(SALIDAS111518[[#This Row],[CÓDIGO]],PRODUCTOS31316[],2,FALSE)</f>
        <v>5563</v>
      </c>
      <c r="S209" s="1" t="str">
        <f>VLOOKUP(SALIDAS111518[[#This Row],[CÓDIGO]],PRODUCTOS31316[],3,FALSE)</f>
        <v>CAMISA SANITARIA ROLLO X 80</v>
      </c>
      <c r="T209" s="2">
        <v>1</v>
      </c>
      <c r="U209" s="2"/>
      <c r="V209" s="2"/>
      <c r="W209" s="2"/>
      <c r="X209" s="2"/>
      <c r="Y209" s="7"/>
      <c r="Z209" s="2" t="s">
        <v>4748</v>
      </c>
      <c r="AA209" s="1" t="s">
        <v>3556</v>
      </c>
      <c r="AB209" s="16">
        <v>46127</v>
      </c>
      <c r="AC209" s="2" t="s">
        <v>4745</v>
      </c>
      <c r="AD209" s="1" t="str">
        <f>VLOOKUP(ENTRADAS71417[[#This Row],[CÓDIGO]],PRODUCTOS31316[],2,FALSE)</f>
        <v>415501-0101-003</v>
      </c>
      <c r="AE209" s="1" t="str">
        <f>VLOOKUP(ENTRADAS71417[[#This Row],[CÓDIGO]],PRODUCTOS31316[],3,FALSE)</f>
        <v>PRIMOSTAR 1 FIX BINOCULAR ABBE 0.93W MARCA: ZEISS</v>
      </c>
      <c r="AF209" s="2">
        <v>1</v>
      </c>
      <c r="AG209" s="2"/>
      <c r="AH209" s="2">
        <v>88</v>
      </c>
    </row>
    <row r="210" spans="1:34" ht="49.95" customHeight="1" x14ac:dyDescent="0.3">
      <c r="A210" s="2" t="s">
        <v>806</v>
      </c>
      <c r="C210" s="1" t="s">
        <v>807</v>
      </c>
      <c r="E210" s="1" t="s">
        <v>804</v>
      </c>
      <c r="F210" s="1" t="s">
        <v>30</v>
      </c>
      <c r="G210" s="2">
        <v>16</v>
      </c>
      <c r="H210" s="14">
        <f>SUMIF(ENTRADAS71417[CÓDIGO],PRODUCTOS31316[[#This Row],[CÓDIGO]],ENTRADAS71417[CANTIDAD])</f>
        <v>0</v>
      </c>
      <c r="I210" s="11">
        <f>SUMIF(SALIDAS111518[CÓDIGO],PRODUCTOS31316[[#This Row],[CÓDIGO]],SALIDAS111518[CANTIDAD])</f>
        <v>0</v>
      </c>
      <c r="J210" s="6">
        <f>PRODUCTOS31316[[#This Row],[EXISTENCIAS]]+PRODUCTOS31316[[#This Row],[ENTRADAS]]-PRODUCTOS31316[[#This Row],[SALIDAS]]</f>
        <v>16</v>
      </c>
      <c r="L210" s="282" t="s">
        <v>3521</v>
      </c>
      <c r="M210" s="282" t="s">
        <v>3653</v>
      </c>
      <c r="N210" s="283" t="s">
        <v>3848</v>
      </c>
      <c r="O210" s="283" t="s">
        <v>3831</v>
      </c>
      <c r="P210" s="16">
        <v>46043</v>
      </c>
      <c r="Q210" s="282" t="s">
        <v>36</v>
      </c>
      <c r="R210" s="2">
        <f>VLOOKUP(SALIDAS111518[[#This Row],[CÓDIGO]],PRODUCTOS31316[],2,FALSE)</f>
        <v>1</v>
      </c>
      <c r="S210" s="1" t="str">
        <f>VLOOKUP(SALIDAS111518[[#This Row],[CÓDIGO]],PRODUCTOS31316[],3,FALSE)</f>
        <v xml:space="preserve">PARCHE ESTROTECT </v>
      </c>
      <c r="T210" s="2">
        <v>1</v>
      </c>
      <c r="U210" s="2">
        <v>99</v>
      </c>
      <c r="V210" s="2"/>
      <c r="W210" s="2"/>
      <c r="X210" s="2"/>
      <c r="Y210" s="7"/>
      <c r="Z210" s="350" t="s">
        <v>4771</v>
      </c>
      <c r="AA210" s="340" t="s">
        <v>2000</v>
      </c>
      <c r="AB210" s="16">
        <v>46128</v>
      </c>
      <c r="AC210" s="339" t="s">
        <v>4742</v>
      </c>
      <c r="AD210" s="1" t="str">
        <f>VLOOKUP(ENTRADAS71417[[#This Row],[CÓDIGO]],PRODUCTOS31316[],2,FALSE)</f>
        <v>BLX-S100</v>
      </c>
      <c r="AE210" s="1" t="str">
        <f>VLOOKUP(ENTRADAS71417[[#This Row],[CÓDIGO]],PRODUCTOS31316[],3,FALSE)</f>
        <v>ECOGRAFO BLX-S100 CON TABLET</v>
      </c>
      <c r="AF210" s="2">
        <v>1</v>
      </c>
      <c r="AG210" s="2"/>
      <c r="AH210" s="2">
        <v>95</v>
      </c>
    </row>
    <row r="211" spans="1:34" ht="49.95" customHeight="1" x14ac:dyDescent="0.3">
      <c r="A211" s="203" t="s">
        <v>79</v>
      </c>
      <c r="B211" s="1" t="s">
        <v>809</v>
      </c>
      <c r="C211" s="1" t="s">
        <v>810</v>
      </c>
      <c r="D211" s="1" t="s">
        <v>244</v>
      </c>
      <c r="E211" s="1" t="s">
        <v>352</v>
      </c>
      <c r="F211" s="1" t="s">
        <v>30</v>
      </c>
      <c r="G211" s="2">
        <v>22</v>
      </c>
      <c r="H211" s="14">
        <f>SUMIF(ENTRADAS71417[CÓDIGO],PRODUCTOS31316[[#This Row],[CÓDIGO]],ENTRADAS71417[CANTIDAD])</f>
        <v>30</v>
      </c>
      <c r="I211" s="11">
        <f>SUMIF(SALIDAS111518[CÓDIGO],PRODUCTOS31316[[#This Row],[CÓDIGO]],SALIDAS111518[CANTIDAD])</f>
        <v>39</v>
      </c>
      <c r="J211" s="6">
        <f>PRODUCTOS31316[[#This Row],[EXISTENCIAS]]+PRODUCTOS31316[[#This Row],[ENTRADAS]]-PRODUCTOS31316[[#This Row],[SALIDAS]]</f>
        <v>13</v>
      </c>
      <c r="L211" s="282" t="s">
        <v>3520</v>
      </c>
      <c r="M211" s="282" t="s">
        <v>3653</v>
      </c>
      <c r="N211" s="283" t="s">
        <v>3849</v>
      </c>
      <c r="O211" s="282" t="s">
        <v>2925</v>
      </c>
      <c r="P211" s="16">
        <v>46043</v>
      </c>
      <c r="Q211" s="282" t="s">
        <v>36</v>
      </c>
      <c r="R211" s="2">
        <f>VLOOKUP(SALIDAS111518[[#This Row],[CÓDIGO]],PRODUCTOS31316[],2,FALSE)</f>
        <v>1</v>
      </c>
      <c r="S211" s="1" t="str">
        <f>VLOOKUP(SALIDAS111518[[#This Row],[CÓDIGO]],PRODUCTOS31316[],3,FALSE)</f>
        <v xml:space="preserve">PARCHE ESTROTECT </v>
      </c>
      <c r="T211" s="2">
        <v>12</v>
      </c>
      <c r="U211" s="2">
        <v>101</v>
      </c>
      <c r="V211" s="2"/>
      <c r="W211" s="2"/>
      <c r="X211" s="2"/>
      <c r="Y211" s="7"/>
      <c r="Z211" s="339" t="s">
        <v>4771</v>
      </c>
      <c r="AA211" s="340" t="s">
        <v>2000</v>
      </c>
      <c r="AB211" s="16">
        <v>46128</v>
      </c>
      <c r="AC211" s="339" t="s">
        <v>4768</v>
      </c>
      <c r="AD211" s="1" t="str">
        <f>VLOOKUP(ENTRADAS71417[[#This Row],[CÓDIGO]],PRODUCTOS31316[],2,FALSE)</f>
        <v>BLX-V10 III</v>
      </c>
      <c r="AE211" s="1" t="str">
        <f>VLOOKUP(ENTRADAS71417[[#This Row],[CÓDIGO]],PRODUCTOS31316[],3,FALSE)</f>
        <v>ECOGRAFO BLX-V10 III MARCA: BOXERLY</v>
      </c>
      <c r="AF211" s="2">
        <v>1</v>
      </c>
      <c r="AG211" s="2"/>
      <c r="AH211" s="2"/>
    </row>
    <row r="212" spans="1:34" ht="49.95" customHeight="1" x14ac:dyDescent="0.3">
      <c r="A212" s="2" t="s">
        <v>811</v>
      </c>
      <c r="B212" s="1" t="s">
        <v>812</v>
      </c>
      <c r="C212" s="1" t="s">
        <v>813</v>
      </c>
      <c r="D212" s="1" t="s">
        <v>814</v>
      </c>
      <c r="E212" s="1" t="s">
        <v>815</v>
      </c>
      <c r="F212" s="1" t="s">
        <v>30</v>
      </c>
      <c r="G212" s="2">
        <v>0</v>
      </c>
      <c r="H212" s="14">
        <f>SUMIF(ENTRADAS71417[CÓDIGO],PRODUCTOS31316[[#This Row],[CÓDIGO]],ENTRADAS71417[CANTIDAD])</f>
        <v>0</v>
      </c>
      <c r="I212" s="11">
        <f>SUMIF(SALIDAS111518[CÓDIGO],PRODUCTOS31316[[#This Row],[CÓDIGO]],SALIDAS111518[CANTIDAD])</f>
        <v>0</v>
      </c>
      <c r="J212" s="6">
        <f>PRODUCTOS31316[[#This Row],[EXISTENCIAS]]+PRODUCTOS31316[[#This Row],[ENTRADAS]]-PRODUCTOS31316[[#This Row],[SALIDAS]]</f>
        <v>0</v>
      </c>
      <c r="L212" s="282" t="s">
        <v>3520</v>
      </c>
      <c r="M212" s="282" t="s">
        <v>3653</v>
      </c>
      <c r="N212" s="283" t="s">
        <v>3850</v>
      </c>
      <c r="O212" s="282" t="s">
        <v>1358</v>
      </c>
      <c r="P212" s="16">
        <v>46043</v>
      </c>
      <c r="Q212" s="282" t="s">
        <v>236</v>
      </c>
      <c r="R212" s="2">
        <f>VLOOKUP(SALIDAS111518[[#This Row],[CÓDIGO]],PRODUCTOS31316[],2,FALSE)</f>
        <v>0</v>
      </c>
      <c r="S212" s="1" t="str">
        <f>VLOOKUP(SALIDAS111518[[#This Row],[CÓDIGO]],PRODUCTOS31316[],3,FALSE)</f>
        <v>TERMO METÁLICO DESCONGELADOR</v>
      </c>
      <c r="T212" s="2">
        <v>1</v>
      </c>
      <c r="U212" s="2">
        <v>102</v>
      </c>
      <c r="V212" s="2"/>
      <c r="W212" s="2"/>
      <c r="X212" s="2"/>
      <c r="Y212" s="7"/>
      <c r="Z212" s="2">
        <v>4106</v>
      </c>
      <c r="AA212" s="340" t="s">
        <v>3887</v>
      </c>
      <c r="AB212" s="16">
        <v>46128</v>
      </c>
      <c r="AC212" s="339" t="s">
        <v>15</v>
      </c>
      <c r="AD212" s="1" t="str">
        <f>VLOOKUP(ENTRADAS71417[[#This Row],[CÓDIGO]],PRODUCTOS31316[],2,FALSE)</f>
        <v>BTE-025PT/ 504002</v>
      </c>
      <c r="AE212" s="1" t="str">
        <f>VLOOKUP(ENTRADAS71417[[#This Row],[CÓDIGO]],PRODUCTOS31316[],3,FALSE)</f>
        <v>FUNDAS PARA TRANSFERENCIA DE EMBRIONES</v>
      </c>
      <c r="AF212" s="2">
        <v>3000</v>
      </c>
      <c r="AG212" s="2"/>
      <c r="AH212" s="2">
        <v>102</v>
      </c>
    </row>
    <row r="213" spans="1:34" ht="49.95" customHeight="1" x14ac:dyDescent="0.3">
      <c r="A213" s="2" t="s">
        <v>486</v>
      </c>
      <c r="B213" s="1" t="s">
        <v>816</v>
      </c>
      <c r="C213" s="1" t="s">
        <v>817</v>
      </c>
      <c r="D213" s="1" t="s">
        <v>818</v>
      </c>
      <c r="E213" s="1" t="s">
        <v>177</v>
      </c>
      <c r="F213" s="1" t="s">
        <v>537</v>
      </c>
      <c r="G213" s="2">
        <v>0</v>
      </c>
      <c r="H213" s="14">
        <f>SUMIF(ENTRADAS71417[CÓDIGO],PRODUCTOS31316[[#This Row],[CÓDIGO]],ENTRADAS71417[CANTIDAD])</f>
        <v>0</v>
      </c>
      <c r="I213" s="11">
        <f>SUMIF(SALIDAS111518[CÓDIGO],PRODUCTOS31316[[#This Row],[CÓDIGO]],SALIDAS111518[CANTIDAD])</f>
        <v>0</v>
      </c>
      <c r="J213" s="6">
        <f>PRODUCTOS31316[[#This Row],[EXISTENCIAS]]+PRODUCTOS31316[[#This Row],[ENTRADAS]]-PRODUCTOS31316[[#This Row],[SALIDAS]]</f>
        <v>0</v>
      </c>
      <c r="L213" s="282"/>
      <c r="M213" s="282"/>
      <c r="N213" s="276">
        <v>7718</v>
      </c>
      <c r="O213" s="282" t="s">
        <v>1358</v>
      </c>
      <c r="P213" s="16">
        <v>46043</v>
      </c>
      <c r="Q213" s="282" t="s">
        <v>438</v>
      </c>
      <c r="R213" s="2">
        <f>VLOOKUP(SALIDAS111518[[#This Row],[CÓDIGO]],PRODUCTOS31316[],2,FALSE)</f>
        <v>18421</v>
      </c>
      <c r="S213" s="1" t="str">
        <f>VLOOKUP(SALIDAS111518[[#This Row],[CÓDIGO]],PRODUCTOS31316[],3,FALSE)</f>
        <v xml:space="preserve">PISTOLA DE TRANSFERENCIA DE EMBRIONES 0,25 / BLOQUEO AUTOMÁTICO </v>
      </c>
      <c r="T213" s="2">
        <v>1</v>
      </c>
      <c r="U213" s="2"/>
      <c r="V213" s="2"/>
      <c r="W213" s="2"/>
      <c r="X213" s="2"/>
      <c r="Y213" s="7"/>
      <c r="Z213" s="2">
        <v>4106</v>
      </c>
      <c r="AA213" s="340" t="s">
        <v>3887</v>
      </c>
      <c r="AB213" s="16">
        <v>46128</v>
      </c>
      <c r="AC213" s="339" t="s">
        <v>360</v>
      </c>
      <c r="AD213" s="1">
        <f>VLOOKUP(ENTRADAS71417[[#This Row],[CÓDIGO]],PRODUCTOS31316[],2,FALSE)</f>
        <v>505006</v>
      </c>
      <c r="AE213" s="1" t="str">
        <f>VLOOKUP(ENTRADAS71417[[#This Row],[CÓDIGO]],PRODUCTOS31316[],3,FALSE)</f>
        <v>LACRADOR REDONDO AMARILLO</v>
      </c>
      <c r="AF213" s="2">
        <v>50</v>
      </c>
      <c r="AG213" s="2"/>
      <c r="AH213" s="2"/>
    </row>
    <row r="214" spans="1:34" ht="49.95" customHeight="1" x14ac:dyDescent="0.3">
      <c r="A214" s="2" t="s">
        <v>820</v>
      </c>
      <c r="C214" s="1" t="s">
        <v>821</v>
      </c>
      <c r="D214" s="1" t="s">
        <v>822</v>
      </c>
      <c r="E214" s="1" t="s">
        <v>804</v>
      </c>
      <c r="F214" s="1" t="s">
        <v>146</v>
      </c>
      <c r="G214" s="2">
        <v>0</v>
      </c>
      <c r="H214" s="14">
        <f>SUMIF(ENTRADAS71417[CÓDIGO],PRODUCTOS31316[[#This Row],[CÓDIGO]],ENTRADAS71417[CANTIDAD])</f>
        <v>0</v>
      </c>
      <c r="I214" s="11">
        <f>SUMIF(SALIDAS111518[CÓDIGO],PRODUCTOS31316[[#This Row],[CÓDIGO]],SALIDAS111518[CANTIDAD])</f>
        <v>0</v>
      </c>
      <c r="J214" s="6">
        <f>PRODUCTOS31316[[#This Row],[EXISTENCIAS]]+PRODUCTOS31316[[#This Row],[ENTRADAS]]-PRODUCTOS31316[[#This Row],[SALIDAS]]</f>
        <v>0</v>
      </c>
      <c r="L214" s="282" t="s">
        <v>3520</v>
      </c>
      <c r="M214" s="282" t="s">
        <v>3653</v>
      </c>
      <c r="N214" s="110" t="s">
        <v>3851</v>
      </c>
      <c r="O214" s="110" t="s">
        <v>3458</v>
      </c>
      <c r="P214" s="284">
        <v>46043</v>
      </c>
      <c r="Q214" s="107" t="s">
        <v>2402</v>
      </c>
      <c r="R214" s="2">
        <f>VLOOKUP(SALIDAS111518[[#This Row],[CÓDIGO]],PRODUCTOS31316[],2,FALSE)</f>
        <v>17532</v>
      </c>
      <c r="S214" s="1" t="str">
        <f>VLOOKUP(SALIDAS111518[[#This Row],[CÓDIGO]],PRODUCTOS31316[],3,FALSE)</f>
        <v xml:space="preserve"> FUNDAS DE TRANSFERENCAI DE 0,5 PARA EQUINOS        IMV
</v>
      </c>
      <c r="T214" s="2">
        <v>6</v>
      </c>
      <c r="U214" s="2">
        <v>86</v>
      </c>
      <c r="V214" s="2"/>
      <c r="W214" s="2" t="s">
        <v>2823</v>
      </c>
      <c r="X214" s="2"/>
      <c r="Y214" s="7"/>
      <c r="Z214" s="2">
        <v>4106</v>
      </c>
      <c r="AA214" s="340" t="s">
        <v>3887</v>
      </c>
      <c r="AB214" s="16">
        <v>46128</v>
      </c>
      <c r="AC214" s="339" t="s">
        <v>366</v>
      </c>
      <c r="AD214" s="1">
        <f>VLOOKUP(ENTRADAS71417[[#This Row],[CÓDIGO]],PRODUCTOS31316[],2,FALSE)</f>
        <v>505003</v>
      </c>
      <c r="AE214" s="1" t="str">
        <f>VLOOKUP(ENTRADAS71417[[#This Row],[CÓDIGO]],PRODUCTOS31316[],3,FALSE)</f>
        <v>LACRADOR REDONDO BLANCO</v>
      </c>
      <c r="AF214" s="2">
        <v>50</v>
      </c>
      <c r="AG214" s="2"/>
      <c r="AH214" s="2"/>
    </row>
    <row r="215" spans="1:34" ht="49.95" customHeight="1" x14ac:dyDescent="0.3">
      <c r="A215" s="2" t="s">
        <v>823</v>
      </c>
      <c r="B215" s="1">
        <v>70006000001</v>
      </c>
      <c r="C215" s="1" t="s">
        <v>824</v>
      </c>
      <c r="D215" s="1" t="s">
        <v>156</v>
      </c>
      <c r="E215" s="1" t="s">
        <v>157</v>
      </c>
      <c r="F215" s="1" t="s">
        <v>124</v>
      </c>
      <c r="G215" s="2">
        <v>0</v>
      </c>
      <c r="H215" s="14">
        <f>SUMIF(ENTRADAS71417[CÓDIGO],PRODUCTOS31316[[#This Row],[CÓDIGO]],ENTRADAS71417[CANTIDAD])</f>
        <v>0</v>
      </c>
      <c r="I215" s="11">
        <f>SUMIF(SALIDAS111518[CÓDIGO],PRODUCTOS31316[[#This Row],[CÓDIGO]],SALIDAS111518[CANTIDAD])</f>
        <v>0</v>
      </c>
      <c r="J215" s="6">
        <f>PRODUCTOS31316[[#This Row],[EXISTENCIAS]]+PRODUCTOS31316[[#This Row],[ENTRADAS]]-PRODUCTOS31316[[#This Row],[SALIDAS]]</f>
        <v>0</v>
      </c>
      <c r="L215" s="282" t="s">
        <v>3521</v>
      </c>
      <c r="M215" s="282" t="s">
        <v>3653</v>
      </c>
      <c r="N215" s="291" t="s">
        <v>3853</v>
      </c>
      <c r="O215" s="282" t="s">
        <v>3824</v>
      </c>
      <c r="P215" s="16" t="s">
        <v>3825</v>
      </c>
      <c r="Q215" s="282" t="s">
        <v>651</v>
      </c>
      <c r="R215" s="2">
        <f>VLOOKUP(SALIDAS111518[[#This Row],[CÓDIGO]],PRODUCTOS31316[],2,FALSE)</f>
        <v>18367</v>
      </c>
      <c r="S215" s="1" t="str">
        <f>VLOOKUP(SALIDAS111518[[#This Row],[CÓDIGO]],PRODUCTOS31316[],3,FALSE)</f>
        <v>PISTOLA DE INSEMINACIÓN UNIVERSAL (AUTOMATIC LOCK)</v>
      </c>
      <c r="T215" s="2">
        <v>1</v>
      </c>
      <c r="U215" s="283" t="s">
        <v>3852</v>
      </c>
      <c r="V215" s="2"/>
      <c r="W215" s="2" t="s">
        <v>3412</v>
      </c>
      <c r="X215" s="2"/>
      <c r="Y215" s="7"/>
      <c r="Z215" s="2">
        <v>4106</v>
      </c>
      <c r="AA215" s="340" t="s">
        <v>3887</v>
      </c>
      <c r="AB215" s="16">
        <v>46128</v>
      </c>
      <c r="AC215" s="339" t="s">
        <v>397</v>
      </c>
      <c r="AD215" s="1">
        <f>VLOOKUP(ENTRADAS71417[[#This Row],[CÓDIGO]],PRODUCTOS31316[],2,FALSE)</f>
        <v>509013</v>
      </c>
      <c r="AE215" s="1" t="str">
        <f>VLOOKUP(ENTRADAS71417[[#This Row],[CÓDIGO]],PRODUCTOS31316[],3,FALSE)</f>
        <v>CAMISA SANITARIA PARA PROBE RECTAL</v>
      </c>
      <c r="AF215" s="2">
        <v>45</v>
      </c>
      <c r="AG215" s="2"/>
      <c r="AH215" s="2"/>
    </row>
    <row r="216" spans="1:34" ht="49.95" customHeight="1" x14ac:dyDescent="0.3">
      <c r="A216" s="2" t="s">
        <v>825</v>
      </c>
      <c r="B216" s="1">
        <v>347430</v>
      </c>
      <c r="C216" s="1" t="s">
        <v>826</v>
      </c>
      <c r="E216" s="1" t="s">
        <v>24</v>
      </c>
      <c r="F216" s="1" t="s">
        <v>30</v>
      </c>
      <c r="G216" s="2">
        <v>0</v>
      </c>
      <c r="H216" s="14">
        <f>SUMIF(ENTRADAS71417[CÓDIGO],PRODUCTOS31316[[#This Row],[CÓDIGO]],ENTRADAS71417[CANTIDAD])</f>
        <v>0</v>
      </c>
      <c r="I216" s="11">
        <f>SUMIF(SALIDAS111518[CÓDIGO],PRODUCTOS31316[[#This Row],[CÓDIGO]],SALIDAS111518[CANTIDAD])</f>
        <v>0</v>
      </c>
      <c r="J216" s="6">
        <f>PRODUCTOS31316[[#This Row],[EXISTENCIAS]]+PRODUCTOS31316[[#This Row],[ENTRADAS]]-PRODUCTOS31316[[#This Row],[SALIDAS]]</f>
        <v>0</v>
      </c>
      <c r="L216" s="282"/>
      <c r="M216" s="282"/>
      <c r="N216" s="282" t="s">
        <v>3843</v>
      </c>
      <c r="O216" s="282" t="s">
        <v>3824</v>
      </c>
      <c r="P216" s="16">
        <v>46043</v>
      </c>
      <c r="Q216" s="282" t="s">
        <v>2364</v>
      </c>
      <c r="R216" s="2">
        <f>VLOOKUP(SALIDAS111518[[#This Row],[CÓDIGO]],PRODUCTOS31316[],2,FALSE)</f>
        <v>0</v>
      </c>
      <c r="S216" s="1" t="str">
        <f>VLOOKUP(SALIDAS111518[[#This Row],[CÓDIGO]],PRODUCTOS31316[],3,FALSE)</f>
        <v>CORTAPAJILLAS WTA</v>
      </c>
      <c r="T216" s="2">
        <v>1</v>
      </c>
      <c r="U216" s="2"/>
      <c r="V216" s="2"/>
      <c r="W216" s="2"/>
      <c r="X216" s="2"/>
      <c r="Y216" s="7"/>
      <c r="Z216" s="2">
        <v>4106</v>
      </c>
      <c r="AA216" s="340" t="s">
        <v>3887</v>
      </c>
      <c r="AB216" s="16">
        <v>46128</v>
      </c>
      <c r="AC216" s="339" t="s">
        <v>33</v>
      </c>
      <c r="AD216" s="1" t="str">
        <f>VLOOKUP(ENTRADAS71417[[#This Row],[CÓDIGO]],PRODUCTOS31316[],2,FALSE)</f>
        <v>LA-120 /506003</v>
      </c>
      <c r="AE216" s="1" t="str">
        <f>VLOOKUP(ENTRADAS71417[[#This Row],[CÓDIGO]],PRODUCTOS31316[],3,FALSE)</f>
        <v>LíNEA PARA OPU 1,2 METROS</v>
      </c>
      <c r="AF216" s="2">
        <v>200</v>
      </c>
      <c r="AG216" s="2"/>
      <c r="AH216" s="2"/>
    </row>
    <row r="217" spans="1:34" ht="49.95" customHeight="1" x14ac:dyDescent="0.3">
      <c r="A217" s="2" t="s">
        <v>827</v>
      </c>
      <c r="B217" s="1">
        <v>347449</v>
      </c>
      <c r="C217" s="1" t="s">
        <v>828</v>
      </c>
      <c r="E217" s="1" t="s">
        <v>24</v>
      </c>
      <c r="F217" s="1" t="s">
        <v>829</v>
      </c>
      <c r="G217" s="2">
        <v>0</v>
      </c>
      <c r="H217" s="14">
        <f>SUMIF(ENTRADAS71417[CÓDIGO],PRODUCTOS31316[[#This Row],[CÓDIGO]],ENTRADAS71417[CANTIDAD])</f>
        <v>0</v>
      </c>
      <c r="I217" s="11">
        <f>SUMIF(SALIDAS111518[CÓDIGO],PRODUCTOS31316[[#This Row],[CÓDIGO]],SALIDAS111518[CANTIDAD])</f>
        <v>0</v>
      </c>
      <c r="J217" s="6">
        <f>PRODUCTOS31316[[#This Row],[EXISTENCIAS]]+PRODUCTOS31316[[#This Row],[ENTRADAS]]-PRODUCTOS31316[[#This Row],[SALIDAS]]</f>
        <v>0</v>
      </c>
      <c r="L217" s="282" t="s">
        <v>3521</v>
      </c>
      <c r="M217" s="282" t="s">
        <v>3653</v>
      </c>
      <c r="N217" s="290" t="s">
        <v>3854</v>
      </c>
      <c r="O217" s="282" t="s">
        <v>3828</v>
      </c>
      <c r="P217" s="16">
        <v>46043</v>
      </c>
      <c r="Q217" s="282" t="s">
        <v>2755</v>
      </c>
      <c r="R217" s="2" t="str">
        <f>VLOOKUP(SALIDAS111518[[#This Row],[CÓDIGO]],PRODUCTOS31316[],2,FALSE)</f>
        <v>MSLDO05</v>
      </c>
      <c r="S217" s="1" t="str">
        <f>VLOOKUP(SALIDAS111518[[#This Row],[CÓDIGO]],PRODUCTOS31316[],3,FALSE)</f>
        <v>TERMO DE RECOLECCIÓN DE SEMEN/ USO VETERINARIO</v>
      </c>
      <c r="T217" s="2">
        <v>1</v>
      </c>
      <c r="U217" s="2">
        <v>91</v>
      </c>
      <c r="V217" s="2"/>
      <c r="W217" s="2" t="s">
        <v>3412</v>
      </c>
      <c r="X217" s="2"/>
      <c r="Y217" s="7"/>
      <c r="Z217" s="2">
        <v>4106</v>
      </c>
      <c r="AA217" s="340" t="s">
        <v>3887</v>
      </c>
      <c r="AB217" s="16">
        <v>46128</v>
      </c>
      <c r="AC217" s="339" t="s">
        <v>4772</v>
      </c>
      <c r="AD217" s="1">
        <f>VLOOKUP(ENTRADAS71417[[#This Row],[CÓDIGO]],PRODUCTOS31316[],2,FALSE)</f>
        <v>9002007</v>
      </c>
      <c r="AE217" s="1" t="str">
        <f>VLOOKUP(ENTRADAS71417[[#This Row],[CÓDIGO]],PRODUCTOS31316[],3,FALSE)</f>
        <v>FUNDA TERMICA PARA CALENTAR PISTOLAS  BA-10400 MARCA:TED</v>
      </c>
      <c r="AF217" s="2">
        <v>10</v>
      </c>
      <c r="AG217" s="2"/>
      <c r="AH217" s="2"/>
    </row>
    <row r="218" spans="1:34" ht="49.95" customHeight="1" x14ac:dyDescent="0.3">
      <c r="A218" s="2" t="s">
        <v>831</v>
      </c>
      <c r="B218" s="1">
        <v>347550</v>
      </c>
      <c r="C218" s="1" t="s">
        <v>832</v>
      </c>
      <c r="E218" s="1" t="s">
        <v>24</v>
      </c>
      <c r="F218" s="1" t="s">
        <v>829</v>
      </c>
      <c r="G218" s="2">
        <v>0</v>
      </c>
      <c r="H218" s="14">
        <f>SUMIF(ENTRADAS71417[CÓDIGO],PRODUCTOS31316[[#This Row],[CÓDIGO]],ENTRADAS71417[CANTIDAD])</f>
        <v>0</v>
      </c>
      <c r="I218" s="11">
        <f>SUMIF(SALIDAS111518[CÓDIGO],PRODUCTOS31316[[#This Row],[CÓDIGO]],SALIDAS111518[CANTIDAD])</f>
        <v>0</v>
      </c>
      <c r="J218" s="6">
        <f>PRODUCTOS31316[[#This Row],[EXISTENCIAS]]+PRODUCTOS31316[[#This Row],[ENTRADAS]]-PRODUCTOS31316[[#This Row],[SALIDAS]]</f>
        <v>0</v>
      </c>
      <c r="L218" s="282" t="s">
        <v>3521</v>
      </c>
      <c r="M218" s="282" t="s">
        <v>3653</v>
      </c>
      <c r="N218" s="283" t="s">
        <v>3855</v>
      </c>
      <c r="O218" s="283" t="s">
        <v>3830</v>
      </c>
      <c r="P218" s="16">
        <v>46043</v>
      </c>
      <c r="Q218" s="282" t="s">
        <v>3154</v>
      </c>
      <c r="R218" s="2">
        <f>VLOOKUP(SALIDAS111518[[#This Row],[CÓDIGO]],PRODUCTOS31316[],2,FALSE)</f>
        <v>0</v>
      </c>
      <c r="S218" s="1" t="str">
        <f>VLOOKUP(SALIDAS111518[[#This Row],[CÓDIGO]],PRODUCTOS31316[],3,FALSE)</f>
        <v>ISPERM COLECTOR DE MUESTRAS</v>
      </c>
      <c r="T218" s="2">
        <v>1</v>
      </c>
      <c r="U218" s="2">
        <v>104</v>
      </c>
      <c r="V218" s="2"/>
      <c r="W218" s="2"/>
      <c r="X218" s="2"/>
      <c r="Y218" s="7"/>
      <c r="Z218" s="2">
        <v>97947</v>
      </c>
      <c r="AA218" s="340" t="s">
        <v>442</v>
      </c>
      <c r="AB218" s="16">
        <v>46129</v>
      </c>
      <c r="AC218" s="339" t="s">
        <v>1127</v>
      </c>
      <c r="AD218" s="1">
        <f>VLOOKUP(ENTRADAS71417[[#This Row],[CÓDIGO]],PRODUCTOS31316[],2,FALSE)</f>
        <v>10372</v>
      </c>
      <c r="AE218" s="1" t="str">
        <f>VLOOKUP(ENTRADAS71417[[#This Row],[CÓDIGO]],PRODUCTOS31316[],3,FALSE)</f>
        <v>FILTRO DE BOMBA DE VACÍO</v>
      </c>
      <c r="AF218" s="2">
        <v>3</v>
      </c>
      <c r="AG218" s="2"/>
      <c r="AH218" s="2">
        <v>101</v>
      </c>
    </row>
    <row r="219" spans="1:34" ht="49.95" customHeight="1" x14ac:dyDescent="0.3">
      <c r="A219" s="2" t="s">
        <v>834</v>
      </c>
      <c r="C219" s="1" t="s">
        <v>835</v>
      </c>
      <c r="E219" s="1" t="s">
        <v>822</v>
      </c>
      <c r="F219" s="1" t="s">
        <v>30</v>
      </c>
      <c r="G219" s="2">
        <v>0</v>
      </c>
      <c r="H219" s="14">
        <f>SUMIF(ENTRADAS71417[CÓDIGO],PRODUCTOS31316[[#This Row],[CÓDIGO]],ENTRADAS71417[CANTIDAD])</f>
        <v>0</v>
      </c>
      <c r="I219" s="11">
        <f>SUMIF(SALIDAS111518[CÓDIGO],PRODUCTOS31316[[#This Row],[CÓDIGO]],SALIDAS111518[CANTIDAD])</f>
        <v>0</v>
      </c>
      <c r="J219" s="6">
        <f>PRODUCTOS31316[[#This Row],[EXISTENCIAS]]+PRODUCTOS31316[[#This Row],[ENTRADAS]]-PRODUCTOS31316[[#This Row],[SALIDAS]]</f>
        <v>0</v>
      </c>
      <c r="L219" s="282" t="s">
        <v>3520</v>
      </c>
      <c r="M219" s="282" t="s">
        <v>3653</v>
      </c>
      <c r="N219" s="283" t="s">
        <v>3856</v>
      </c>
      <c r="O219" s="283" t="s">
        <v>2713</v>
      </c>
      <c r="P219" s="16">
        <v>46043</v>
      </c>
      <c r="Q219" s="282" t="s">
        <v>1799</v>
      </c>
      <c r="R219" s="2">
        <f>VLOOKUP(SALIDAS111518[[#This Row],[CÓDIGO]],PRODUCTOS31316[],2,FALSE)</f>
        <v>4846</v>
      </c>
      <c r="S219" s="1" t="str">
        <f>VLOOKUP(SALIDAS111518[[#This Row],[CÓDIGO]],PRODUCTOS31316[],3,FALSE)</f>
        <v>PUNTA AZULES UNIVERSALES 100- 1000 UL</v>
      </c>
      <c r="T219" s="2">
        <v>1</v>
      </c>
      <c r="U219" s="2">
        <v>105</v>
      </c>
      <c r="V219" s="2"/>
      <c r="W219" s="2"/>
      <c r="X219" s="2"/>
      <c r="Y219" s="7"/>
      <c r="Z219" s="2">
        <v>97947</v>
      </c>
      <c r="AA219" s="340" t="s">
        <v>442</v>
      </c>
      <c r="AB219" s="16">
        <v>46129</v>
      </c>
      <c r="AC219" s="339" t="s">
        <v>969</v>
      </c>
      <c r="AD219" s="1">
        <f>VLOOKUP(ENTRADAS71417[[#This Row],[CÓDIGO]],PRODUCTOS31316[],2,FALSE)</f>
        <v>13316</v>
      </c>
      <c r="AE219" s="1" t="str">
        <f>VLOOKUP(ENTRADAS71417[[#This Row],[CÓDIGO]],PRODUCTOS31316[],3,FALSE)</f>
        <v>AGUJA PARA ASPIRACIÓN 20G</v>
      </c>
      <c r="AF219" s="2">
        <v>500</v>
      </c>
      <c r="AG219" s="2"/>
      <c r="AH219" s="2"/>
    </row>
    <row r="220" spans="1:34" ht="49.95" customHeight="1" x14ac:dyDescent="0.3">
      <c r="A220" s="2" t="s">
        <v>837</v>
      </c>
      <c r="C220" s="1" t="s">
        <v>838</v>
      </c>
      <c r="D220" s="1" t="s">
        <v>839</v>
      </c>
      <c r="E220" s="1" t="s">
        <v>475</v>
      </c>
      <c r="F220" s="1" t="s">
        <v>30</v>
      </c>
      <c r="G220" s="2">
        <v>0</v>
      </c>
      <c r="H220" s="14">
        <f>SUMIF(ENTRADAS71417[CÓDIGO],PRODUCTOS31316[[#This Row],[CÓDIGO]],ENTRADAS71417[CANTIDAD])</f>
        <v>0</v>
      </c>
      <c r="I220" s="11">
        <f>SUMIF(SALIDAS111518[CÓDIGO],PRODUCTOS31316[[#This Row],[CÓDIGO]],SALIDAS111518[CANTIDAD])</f>
        <v>0</v>
      </c>
      <c r="J220" s="6">
        <f>PRODUCTOS31316[[#This Row],[EXISTENCIAS]]+PRODUCTOS31316[[#This Row],[ENTRADAS]]-PRODUCTOS31316[[#This Row],[SALIDAS]]</f>
        <v>0</v>
      </c>
      <c r="L220" s="282" t="s">
        <v>3521</v>
      </c>
      <c r="M220" s="282" t="s">
        <v>3653</v>
      </c>
      <c r="N220" s="290" t="s">
        <v>3862</v>
      </c>
      <c r="O220" s="283" t="s">
        <v>3137</v>
      </c>
      <c r="P220" s="16">
        <v>46044</v>
      </c>
      <c r="Q220" s="282" t="s">
        <v>741</v>
      </c>
      <c r="R220" s="2" t="str">
        <f>VLOOKUP(SALIDAS111518[[#This Row],[CÓDIGO]],PRODUCTOS31316[],2,FALSE)</f>
        <v>17209/1165</v>
      </c>
      <c r="S220" s="1" t="str">
        <f>VLOOKUP(SALIDAS111518[[#This Row],[CÓDIGO]],PRODUCTOS31316[],3,FALSE)</f>
        <v>PIPETA EQUINA 65CM</v>
      </c>
      <c r="T220" s="2">
        <v>2</v>
      </c>
      <c r="U220" s="2">
        <v>111</v>
      </c>
      <c r="V220" s="2"/>
      <c r="W220" s="282" t="s">
        <v>3412</v>
      </c>
      <c r="X220" s="2"/>
      <c r="Y220" s="7"/>
      <c r="Z220" s="2">
        <v>97947</v>
      </c>
      <c r="AA220" s="340" t="s">
        <v>442</v>
      </c>
      <c r="AB220" s="16">
        <v>46129</v>
      </c>
      <c r="AC220" s="339" t="s">
        <v>3142</v>
      </c>
      <c r="AD220" s="1">
        <f>VLOOKUP(ENTRADAS71417[[#This Row],[CÓDIGO]],PRODUCTOS31316[],2,FALSE)</f>
        <v>16301</v>
      </c>
      <c r="AE220" s="1" t="str">
        <f>VLOOKUP(ENTRADAS71417[[#This Row],[CÓDIGO]],PRODUCTOS31316[],3,FALSE)</f>
        <v>PISTOLA DE TRANSFERENCIA DE EMBRIONES 0,25 DE MANGO DE ALUMINIO</v>
      </c>
      <c r="AF220" s="2">
        <v>10</v>
      </c>
      <c r="AG220" s="2"/>
      <c r="AH220" s="2"/>
    </row>
    <row r="221" spans="1:34" ht="49.95" customHeight="1" x14ac:dyDescent="0.3">
      <c r="A221" s="2" t="s">
        <v>841</v>
      </c>
      <c r="C221" s="1" t="s">
        <v>842</v>
      </c>
      <c r="D221" s="1" t="s">
        <v>843</v>
      </c>
      <c r="F221" s="1" t="s">
        <v>844</v>
      </c>
      <c r="G221" s="2">
        <v>0</v>
      </c>
      <c r="H221" s="14">
        <f>SUMIF(ENTRADAS71417[CÓDIGO],PRODUCTOS31316[[#This Row],[CÓDIGO]],ENTRADAS71417[CANTIDAD])</f>
        <v>0</v>
      </c>
      <c r="I221" s="11">
        <f>SUMIF(SALIDAS111518[CÓDIGO],PRODUCTOS31316[[#This Row],[CÓDIGO]],SALIDAS111518[CANTIDAD])</f>
        <v>0</v>
      </c>
      <c r="J221" s="6">
        <f>PRODUCTOS31316[[#This Row],[EXISTENCIAS]]+PRODUCTOS31316[[#This Row],[ENTRADAS]]-PRODUCTOS31316[[#This Row],[SALIDAS]]</f>
        <v>0</v>
      </c>
      <c r="L221" s="282"/>
      <c r="M221" s="282"/>
      <c r="N221" s="282">
        <v>7753</v>
      </c>
      <c r="O221" s="283" t="s">
        <v>3137</v>
      </c>
      <c r="P221" s="16">
        <v>46044</v>
      </c>
      <c r="Q221" s="282" t="s">
        <v>369</v>
      </c>
      <c r="R221" s="2">
        <f>VLOOKUP(SALIDAS111518[[#This Row],[CÓDIGO]],PRODUCTOS31316[],2,FALSE)</f>
        <v>0</v>
      </c>
      <c r="S221" s="1" t="str">
        <f>VLOOKUP(SALIDAS111518[[#This Row],[CÓDIGO]],PRODUCTOS31316[],3,FALSE)</f>
        <v>FUNDA UNIVERSAL PARA I.A. RANURADA</v>
      </c>
      <c r="T221" s="2">
        <v>2</v>
      </c>
      <c r="U221" s="2"/>
      <c r="V221" s="2"/>
      <c r="W221" s="2"/>
      <c r="X221" s="30"/>
      <c r="Y221" s="7"/>
      <c r="Z221" s="2">
        <v>97947</v>
      </c>
      <c r="AA221" s="340" t="s">
        <v>442</v>
      </c>
      <c r="AB221" s="16">
        <v>46129</v>
      </c>
      <c r="AC221" s="339" t="s">
        <v>4774</v>
      </c>
      <c r="AD221" s="1">
        <f>VLOOKUP(ENTRADAS71417[[#This Row],[CÓDIGO]],PRODUCTOS31316[],2,FALSE)</f>
        <v>10415</v>
      </c>
      <c r="AE221" s="1" t="str">
        <f>VLOOKUP(ENTRADAS71417[[#This Row],[CÓDIGO]],PRODUCTOS31316[],3,FALSE)</f>
        <v>FUNDA PARA TRANSFERENCIA DE 0.5 EQUNINOS  MARCA: WTA</v>
      </c>
      <c r="AF221" s="2">
        <v>20</v>
      </c>
      <c r="AG221" s="2"/>
      <c r="AH221" s="2"/>
    </row>
    <row r="222" spans="1:34" ht="49.95" customHeight="1" x14ac:dyDescent="0.3">
      <c r="A222" s="2" t="s">
        <v>846</v>
      </c>
      <c r="B222" s="1">
        <v>440356</v>
      </c>
      <c r="C222" s="1" t="s">
        <v>847</v>
      </c>
      <c r="D222" s="1" t="s">
        <v>822</v>
      </c>
      <c r="E222" s="1" t="s">
        <v>24</v>
      </c>
      <c r="F222" s="1" t="s">
        <v>30</v>
      </c>
      <c r="G222" s="2">
        <v>0</v>
      </c>
      <c r="H222" s="14">
        <f>SUMIF(ENTRADAS71417[CÓDIGO],PRODUCTOS31316[[#This Row],[CÓDIGO]],ENTRADAS71417[CANTIDAD])</f>
        <v>0</v>
      </c>
      <c r="I222" s="11">
        <f>SUMIF(SALIDAS111518[CÓDIGO],PRODUCTOS31316[[#This Row],[CÓDIGO]],SALIDAS111518[CANTIDAD])</f>
        <v>0</v>
      </c>
      <c r="J222" s="6">
        <f>PRODUCTOS31316[[#This Row],[EXISTENCIAS]]+PRODUCTOS31316[[#This Row],[ENTRADAS]]-PRODUCTOS31316[[#This Row],[SALIDAS]]</f>
        <v>0</v>
      </c>
      <c r="L222" s="282"/>
      <c r="M222" s="282"/>
      <c r="N222" s="282">
        <v>7753</v>
      </c>
      <c r="O222" s="283" t="s">
        <v>3137</v>
      </c>
      <c r="P222" s="16">
        <v>46044</v>
      </c>
      <c r="Q222" s="282" t="s">
        <v>3395</v>
      </c>
      <c r="R222" s="2">
        <f>VLOOKUP(SALIDAS111518[[#This Row],[CÓDIGO]],PRODUCTOS31316[],2,FALSE)</f>
        <v>17062</v>
      </c>
      <c r="S222" s="1" t="str">
        <f>VLOOKUP(SALIDAS111518[[#This Row],[CÓDIGO]],PRODUCTOS31316[],3,FALSE)</f>
        <v>CORTAPAJILLAS MARCA MINITUBE</v>
      </c>
      <c r="T222" s="2">
        <v>1</v>
      </c>
      <c r="U222" s="2"/>
      <c r="V222" s="2"/>
      <c r="W222" s="2"/>
      <c r="X222" s="30"/>
      <c r="Y222" s="7"/>
      <c r="Z222" s="2">
        <v>97947</v>
      </c>
      <c r="AA222" s="340" t="s">
        <v>442</v>
      </c>
      <c r="AB222" s="16">
        <v>46129</v>
      </c>
      <c r="AC222" s="339" t="s">
        <v>4451</v>
      </c>
      <c r="AD222" s="1">
        <f>VLOOKUP(ENTRADAS71417[[#This Row],[CÓDIGO]],PRODUCTOS31316[],2,FALSE)</f>
        <v>21977</v>
      </c>
      <c r="AE222" s="1" t="str">
        <f>VLOOKUP(ENTRADAS71417[[#This Row],[CÓDIGO]],PRODUCTOS31316[],3,FALSE)</f>
        <v>PLATINA CALENTADORA SMZ REDONDA WTA</v>
      </c>
      <c r="AF222" s="2">
        <v>1</v>
      </c>
      <c r="AG222" s="2"/>
      <c r="AH222" s="2"/>
    </row>
    <row r="223" spans="1:34" ht="49.95" customHeight="1" x14ac:dyDescent="0.3">
      <c r="A223" s="2" t="s">
        <v>849</v>
      </c>
      <c r="B223" s="1" t="s">
        <v>850</v>
      </c>
      <c r="C223" s="1" t="s">
        <v>851</v>
      </c>
      <c r="D223" s="1" t="s">
        <v>852</v>
      </c>
      <c r="E223" s="1" t="s">
        <v>475</v>
      </c>
      <c r="F223" s="1" t="s">
        <v>30</v>
      </c>
      <c r="G223" s="2">
        <v>3</v>
      </c>
      <c r="H223" s="14">
        <f>SUMIF(ENTRADAS71417[CÓDIGO],PRODUCTOS31316[[#This Row],[CÓDIGO]],ENTRADAS71417[CANTIDAD])</f>
        <v>0</v>
      </c>
      <c r="I223" s="11">
        <f>SUMIF(SALIDAS111518[CÓDIGO],PRODUCTOS31316[[#This Row],[CÓDIGO]],SALIDAS111518[CANTIDAD])</f>
        <v>0</v>
      </c>
      <c r="J223" s="6">
        <f>PRODUCTOS31316[[#This Row],[EXISTENCIAS]]+PRODUCTOS31316[[#This Row],[ENTRADAS]]-PRODUCTOS31316[[#This Row],[SALIDAS]]</f>
        <v>3</v>
      </c>
      <c r="L223" s="282" t="s">
        <v>3520</v>
      </c>
      <c r="M223" s="282" t="s">
        <v>3653</v>
      </c>
      <c r="N223" s="283" t="s">
        <v>3857</v>
      </c>
      <c r="O223" s="282" t="s">
        <v>2215</v>
      </c>
      <c r="P223" s="16">
        <v>46044</v>
      </c>
      <c r="Q223" s="282" t="s">
        <v>63</v>
      </c>
      <c r="R223" s="2">
        <f>VLOOKUP(SALIDAS111518[[#This Row],[CÓDIGO]],PRODUCTOS31316[],2,FALSE)</f>
        <v>25458</v>
      </c>
      <c r="S223" s="1" t="str">
        <f>VLOOKUP(SALIDAS111518[[#This Row],[CÓDIGO]],PRODUCTOS31316[],3,FALSE)</f>
        <v>FILTROS PARA OPU 100 UL</v>
      </c>
      <c r="T223" s="2">
        <v>1</v>
      </c>
      <c r="U223" s="2">
        <v>106</v>
      </c>
      <c r="V223" s="2"/>
      <c r="W223" s="2"/>
      <c r="X223" s="30"/>
      <c r="Y223" s="7"/>
      <c r="Z223" s="2">
        <v>97947</v>
      </c>
      <c r="AA223" s="340" t="s">
        <v>442</v>
      </c>
      <c r="AB223" s="16">
        <v>46129</v>
      </c>
      <c r="AC223" s="350" t="s">
        <v>4546</v>
      </c>
      <c r="AD223" s="1">
        <f>VLOOKUP(ENTRADAS71417[[#This Row],[CÓDIGO]],PRODUCTOS31316[],2,FALSE)</f>
        <v>14418</v>
      </c>
      <c r="AE223" s="1" t="str">
        <f>VLOOKUP(ENTRADAS71417[[#This Row],[CÓDIGO]],PRODUCTOS31316[],3,FALSE)</f>
        <v>RACK DE ALUMINIO WTA 12 X 1.5 ML PARA TUBOS CONICOS</v>
      </c>
      <c r="AF223" s="2">
        <v>1</v>
      </c>
      <c r="AG223" s="2"/>
      <c r="AH223" s="2"/>
    </row>
    <row r="224" spans="1:34" ht="49.95" customHeight="1" x14ac:dyDescent="0.3">
      <c r="A224" s="2" t="s">
        <v>418</v>
      </c>
      <c r="B224" s="1">
        <v>302350</v>
      </c>
      <c r="C224" s="1" t="s">
        <v>854</v>
      </c>
      <c r="D224" s="1" t="s">
        <v>855</v>
      </c>
      <c r="E224" s="1" t="s">
        <v>410</v>
      </c>
      <c r="F224" s="1" t="s">
        <v>124</v>
      </c>
      <c r="G224" s="2">
        <v>0</v>
      </c>
      <c r="H224" s="14">
        <f>SUMIF(ENTRADAS71417[CÓDIGO],PRODUCTOS31316[[#This Row],[CÓDIGO]],ENTRADAS71417[CANTIDAD])</f>
        <v>0</v>
      </c>
      <c r="I224" s="11">
        <f>SUMIF(SALIDAS111518[CÓDIGO],PRODUCTOS31316[[#This Row],[CÓDIGO]],SALIDAS111518[CANTIDAD])</f>
        <v>0</v>
      </c>
      <c r="J224" s="6">
        <f>PRODUCTOS31316[[#This Row],[EXISTENCIAS]]+PRODUCTOS31316[[#This Row],[ENTRADAS]]-PRODUCTOS31316[[#This Row],[SALIDAS]]</f>
        <v>0</v>
      </c>
      <c r="L224" s="282"/>
      <c r="M224" s="282"/>
      <c r="N224" s="282">
        <v>7754</v>
      </c>
      <c r="O224" s="282" t="s">
        <v>2215</v>
      </c>
      <c r="P224" s="16">
        <v>46044</v>
      </c>
      <c r="Q224" s="282" t="s">
        <v>75</v>
      </c>
      <c r="R224" s="2" t="str">
        <f>VLOOKUP(SALIDAS111518[[#This Row],[CÓDIGO]],PRODUCTOS31316[],2,FALSE)</f>
        <v>18130E</v>
      </c>
      <c r="S224" s="1" t="str">
        <f>VLOOKUP(SALIDAS111518[[#This Row],[CÓDIGO]],PRODUCTOS31316[],3,FALSE)</f>
        <v>CAJA PETRI DESECHABLE ESTERIL 60X15 MM</v>
      </c>
      <c r="T224" s="2">
        <v>12</v>
      </c>
      <c r="U224" s="2"/>
      <c r="V224" s="2"/>
      <c r="W224" s="2"/>
      <c r="X224" s="30"/>
      <c r="Y224" s="7"/>
      <c r="Z224" s="2" t="s">
        <v>4781</v>
      </c>
      <c r="AA224" s="340" t="s">
        <v>2231</v>
      </c>
      <c r="AB224" s="16">
        <v>46129</v>
      </c>
      <c r="AC224" s="339" t="s">
        <v>2232</v>
      </c>
      <c r="AD224" s="1">
        <f>VLOOKUP(ENTRADAS71417[[#This Row],[CÓDIGO]],PRODUCTOS31316[],2,FALSE)</f>
        <v>0</v>
      </c>
      <c r="AE224" s="1" t="str">
        <f>VLOOKUP(ENTRADAS71417[[#This Row],[CÓDIGO]],PRODUCTOS31316[],3,FALSE)</f>
        <v>CONO RECOLECTOR</v>
      </c>
      <c r="AF224" s="2">
        <v>12</v>
      </c>
      <c r="AG224" s="2"/>
      <c r="AH224" s="2">
        <v>90</v>
      </c>
    </row>
    <row r="225" spans="1:34" ht="49.95" customHeight="1" x14ac:dyDescent="0.3">
      <c r="A225" s="2" t="s">
        <v>856</v>
      </c>
      <c r="B225" s="1">
        <v>2137</v>
      </c>
      <c r="C225" s="1" t="s">
        <v>857</v>
      </c>
      <c r="D225" s="1" t="s">
        <v>156</v>
      </c>
      <c r="E225" s="1" t="s">
        <v>410</v>
      </c>
      <c r="F225" s="1" t="s">
        <v>41</v>
      </c>
      <c r="G225" s="2">
        <v>0</v>
      </c>
      <c r="H225" s="14">
        <f>SUMIF(ENTRADAS71417[CÓDIGO],PRODUCTOS31316[[#This Row],[CÓDIGO]],ENTRADAS71417[CANTIDAD])</f>
        <v>0</v>
      </c>
      <c r="I225" s="11">
        <f>SUMIF(SALIDAS111518[CÓDIGO],PRODUCTOS31316[[#This Row],[CÓDIGO]],SALIDAS111518[CANTIDAD])</f>
        <v>0</v>
      </c>
      <c r="J225" s="6">
        <f>PRODUCTOS31316[[#This Row],[EXISTENCIAS]]+PRODUCTOS31316[[#This Row],[ENTRADAS]]-PRODUCTOS31316[[#This Row],[SALIDAS]]</f>
        <v>0</v>
      </c>
      <c r="L225" s="282" t="s">
        <v>3520</v>
      </c>
      <c r="M225" s="282" t="s">
        <v>3653</v>
      </c>
      <c r="N225" s="282" t="s">
        <v>3858</v>
      </c>
      <c r="O225" s="283" t="s">
        <v>3837</v>
      </c>
      <c r="P225" s="16">
        <v>46044</v>
      </c>
      <c r="Q225" s="282" t="s">
        <v>3791</v>
      </c>
      <c r="R225" s="2">
        <f>VLOOKUP(SALIDAS111518[[#This Row],[CÓDIGO]],PRODUCTOS31316[],2,FALSE)</f>
        <v>6936520864546</v>
      </c>
      <c r="S225" s="1" t="str">
        <f>VLOOKUP(SALIDAS111518[[#This Row],[CÓDIGO]],PRODUCTOS31316[],3,FALSE)</f>
        <v>TABLET 11" HONOR PAD X8A 128 GB</v>
      </c>
      <c r="T225" s="2">
        <v>1</v>
      </c>
      <c r="U225" s="2">
        <v>107</v>
      </c>
      <c r="V225" s="2"/>
      <c r="W225" s="2"/>
      <c r="X225" s="2"/>
      <c r="Y225" s="7"/>
      <c r="Z225" s="2" t="s">
        <v>4781</v>
      </c>
      <c r="AA225" s="340" t="s">
        <v>2231</v>
      </c>
      <c r="AB225" s="16">
        <v>46129</v>
      </c>
      <c r="AC225" s="339" t="s">
        <v>236</v>
      </c>
      <c r="AD225" s="1">
        <f>VLOOKUP(ENTRADAS71417[[#This Row],[CÓDIGO]],PRODUCTOS31316[],2,FALSE)</f>
        <v>0</v>
      </c>
      <c r="AE225" s="1" t="str">
        <f>VLOOKUP(ENTRADAS71417[[#This Row],[CÓDIGO]],PRODUCTOS31316[],3,FALSE)</f>
        <v>TERMO METÁLICO DESCONGELADOR</v>
      </c>
      <c r="AF225" s="2">
        <v>5</v>
      </c>
      <c r="AG225" s="2"/>
      <c r="AH225" s="2"/>
    </row>
    <row r="226" spans="1:34" ht="49.95" customHeight="1" x14ac:dyDescent="0.3">
      <c r="A226" s="2" t="s">
        <v>858</v>
      </c>
      <c r="B226" s="1" t="s">
        <v>859</v>
      </c>
      <c r="C226" s="1" t="s">
        <v>860</v>
      </c>
      <c r="D226" s="1" t="s">
        <v>861</v>
      </c>
      <c r="E226" s="1" t="s">
        <v>177</v>
      </c>
      <c r="F226" s="1" t="s">
        <v>862</v>
      </c>
      <c r="G226" s="2">
        <v>0</v>
      </c>
      <c r="H226" s="14">
        <f>SUMIF(ENTRADAS71417[CÓDIGO],PRODUCTOS31316[[#This Row],[CÓDIGO]],ENTRADAS71417[CANTIDAD])</f>
        <v>0</v>
      </c>
      <c r="I226" s="11">
        <f>SUMIF(SALIDAS111518[CÓDIGO],PRODUCTOS31316[[#This Row],[CÓDIGO]],SALIDAS111518[CANTIDAD])</f>
        <v>0</v>
      </c>
      <c r="J226" s="6">
        <f>PRODUCTOS31316[[#This Row],[EXISTENCIAS]]+PRODUCTOS31316[[#This Row],[ENTRADAS]]-PRODUCTOS31316[[#This Row],[SALIDAS]]</f>
        <v>0</v>
      </c>
      <c r="L226" s="282" t="s">
        <v>3520</v>
      </c>
      <c r="M226" s="282" t="s">
        <v>3653</v>
      </c>
      <c r="N226" s="283" t="s">
        <v>3859</v>
      </c>
      <c r="O226" s="282" t="s">
        <v>2196</v>
      </c>
      <c r="P226" s="16">
        <v>46045</v>
      </c>
      <c r="Q226" s="282" t="s">
        <v>167</v>
      </c>
      <c r="R226" s="2" t="str">
        <f>VLOOKUP(SALIDAS111518[[#This Row],[CÓDIGO]],PRODUCTOS31316[],2,FALSE)</f>
        <v>50050-1</v>
      </c>
      <c r="S226" s="1" t="str">
        <f>VLOOKUP(SALIDAS111518[[#This Row],[CÓDIGO]],PRODUCTOS31316[],3,FALSE)</f>
        <v>TUBO CONICO PLUG, AUTOCLAVABLE ESTERIL  TAPA ROSCA DE 50 ML</v>
      </c>
      <c r="T226" s="2">
        <v>1</v>
      </c>
      <c r="U226" s="2">
        <v>108</v>
      </c>
      <c r="V226" s="2"/>
      <c r="W226" s="2"/>
      <c r="X226" s="2"/>
      <c r="Y226" s="7"/>
      <c r="Z226" s="2" t="s">
        <v>4781</v>
      </c>
      <c r="AA226" s="340" t="s">
        <v>2231</v>
      </c>
      <c r="AB226" s="16">
        <v>46129</v>
      </c>
      <c r="AC226" s="339" t="s">
        <v>2382</v>
      </c>
      <c r="AD226" s="1">
        <f>VLOOKUP(ENTRADAS71417[[#This Row],[CÓDIGO]],PRODUCTOS31316[],2,FALSE)</f>
        <v>1</v>
      </c>
      <c r="AE226" s="1" t="str">
        <f>VLOOKUP(ENTRADAS71417[[#This Row],[CÓDIGO]],PRODUCTOS31316[],3,FALSE)</f>
        <v>TERMO DE TRANSPORTE 1 LITRO</v>
      </c>
      <c r="AF226" s="2">
        <v>11</v>
      </c>
      <c r="AG226" s="2"/>
      <c r="AH226" s="2"/>
    </row>
    <row r="227" spans="1:34" ht="49.95" customHeight="1" x14ac:dyDescent="0.3">
      <c r="A227" s="2" t="s">
        <v>863</v>
      </c>
      <c r="B227" s="1" t="s">
        <v>864</v>
      </c>
      <c r="C227" s="1" t="s">
        <v>865</v>
      </c>
      <c r="D227" s="1" t="s">
        <v>866</v>
      </c>
      <c r="E227" s="1" t="s">
        <v>190</v>
      </c>
      <c r="F227" s="1" t="s">
        <v>641</v>
      </c>
      <c r="G227" s="2">
        <v>0</v>
      </c>
      <c r="H227" s="14">
        <f>SUMIF(ENTRADAS71417[CÓDIGO],PRODUCTOS31316[[#This Row],[CÓDIGO]],ENTRADAS71417[CANTIDAD])</f>
        <v>0</v>
      </c>
      <c r="I227" s="11">
        <f>SUMIF(SALIDAS111518[CÓDIGO],PRODUCTOS31316[[#This Row],[CÓDIGO]],SALIDAS111518[CANTIDAD])</f>
        <v>0</v>
      </c>
      <c r="J227" s="6">
        <f>PRODUCTOS31316[[#This Row],[EXISTENCIAS]]+PRODUCTOS31316[[#This Row],[ENTRADAS]]-PRODUCTOS31316[[#This Row],[SALIDAS]]</f>
        <v>0</v>
      </c>
      <c r="L227" s="282"/>
      <c r="M227" s="282"/>
      <c r="N227" s="276">
        <v>7759</v>
      </c>
      <c r="O227" s="282" t="s">
        <v>2196</v>
      </c>
      <c r="P227" s="16">
        <v>46045</v>
      </c>
      <c r="Q227" s="282" t="s">
        <v>63</v>
      </c>
      <c r="R227" s="2">
        <f>VLOOKUP(SALIDAS111518[[#This Row],[CÓDIGO]],PRODUCTOS31316[],2,FALSE)</f>
        <v>25458</v>
      </c>
      <c r="S227" s="1" t="str">
        <f>VLOOKUP(SALIDAS111518[[#This Row],[CÓDIGO]],PRODUCTOS31316[],3,FALSE)</f>
        <v>FILTROS PARA OPU 100 UL</v>
      </c>
      <c r="T227" s="2">
        <v>1</v>
      </c>
      <c r="U227" s="2"/>
      <c r="V227" s="2"/>
      <c r="W227" s="2"/>
      <c r="X227" s="2"/>
      <c r="Y227" s="7"/>
      <c r="Z227" s="350" t="s">
        <v>4907</v>
      </c>
      <c r="AA227" s="351" t="s">
        <v>2751</v>
      </c>
      <c r="AB227" s="16">
        <v>46126</v>
      </c>
      <c r="AC227" s="350" t="s">
        <v>969</v>
      </c>
      <c r="AD227" s="1">
        <f>VLOOKUP(ENTRADAS71417[[#This Row],[CÓDIGO]],PRODUCTOS31316[],2,FALSE)</f>
        <v>13316</v>
      </c>
      <c r="AE227" s="1" t="str">
        <f>VLOOKUP(ENTRADAS71417[[#This Row],[CÓDIGO]],PRODUCTOS31316[],3,FALSE)</f>
        <v>AGUJA PARA ASPIRACIÓN 20G</v>
      </c>
      <c r="AF227" s="2">
        <v>117</v>
      </c>
      <c r="AG227" s="2"/>
      <c r="AH227" s="2">
        <v>91</v>
      </c>
    </row>
    <row r="228" spans="1:34" ht="49.95" customHeight="1" x14ac:dyDescent="0.3">
      <c r="A228" s="2" t="s">
        <v>867</v>
      </c>
      <c r="B228" s="1">
        <v>2688</v>
      </c>
      <c r="C228" s="1" t="s">
        <v>868</v>
      </c>
      <c r="D228" s="1" t="s">
        <v>869</v>
      </c>
      <c r="E228" s="1" t="s">
        <v>410</v>
      </c>
      <c r="F228" s="1" t="s">
        <v>30</v>
      </c>
      <c r="G228" s="2">
        <v>0</v>
      </c>
      <c r="H228" s="14">
        <f>SUMIF(ENTRADAS71417[CÓDIGO],PRODUCTOS31316[[#This Row],[CÓDIGO]],ENTRADAS71417[CANTIDAD])</f>
        <v>0</v>
      </c>
      <c r="I228" s="11">
        <f>SUMIF(SALIDAS111518[CÓDIGO],PRODUCTOS31316[[#This Row],[CÓDIGO]],SALIDAS111518[CANTIDAD])</f>
        <v>0</v>
      </c>
      <c r="J228" s="6">
        <f>PRODUCTOS31316[[#This Row],[EXISTENCIAS]]+PRODUCTOS31316[[#This Row],[ENTRADAS]]-PRODUCTOS31316[[#This Row],[SALIDAS]]</f>
        <v>0</v>
      </c>
      <c r="L228" s="282"/>
      <c r="M228" s="282"/>
      <c r="N228" s="276">
        <v>7759</v>
      </c>
      <c r="O228" s="282" t="s">
        <v>2196</v>
      </c>
      <c r="P228" s="16">
        <v>46045</v>
      </c>
      <c r="Q228" s="282" t="s">
        <v>602</v>
      </c>
      <c r="R228" s="2">
        <f>VLOOKUP(SALIDAS111518[[#This Row],[CÓDIGO]],PRODUCTOS31316[],2,FALSE)</f>
        <v>4845</v>
      </c>
      <c r="S228" s="1" t="str">
        <f>VLOOKUP(SALIDAS111518[[#This Row],[CÓDIGO]],PRODUCTOS31316[],3,FALSE)</f>
        <v>PUNTAS AMARILLAS, UNIVERSALES. PLASTICAS, NO ESTERIL. LIBRES DE RNASE, DNASE Y PYROGENOS. RANGO DE 1-200UL. BOLSA X1000UDS.</v>
      </c>
      <c r="T228" s="2">
        <v>1</v>
      </c>
      <c r="U228" s="2"/>
      <c r="V228" s="2"/>
      <c r="W228" s="2"/>
      <c r="X228" s="2"/>
      <c r="Y228" s="7"/>
      <c r="Z228" s="350" t="s">
        <v>4908</v>
      </c>
      <c r="AA228" s="351" t="s">
        <v>2751</v>
      </c>
      <c r="AB228" s="16">
        <v>46126</v>
      </c>
      <c r="AC228" s="350" t="s">
        <v>2381</v>
      </c>
      <c r="AD228" s="1">
        <f>VLOOKUP(ENTRADAS71417[[#This Row],[CÓDIGO]],PRODUCTOS31316[],2,FALSE)</f>
        <v>21532</v>
      </c>
      <c r="AE228" s="1" t="str">
        <f>VLOOKUP(ENTRADAS71417[[#This Row],[CÓDIGO]],PRODUCTOS31316[],3,FALSE)</f>
        <v>AGUJA PARA ASPIRACIÓN 18G</v>
      </c>
      <c r="AF228" s="2">
        <v>9</v>
      </c>
      <c r="AG228" s="2"/>
      <c r="AH228" s="2"/>
    </row>
    <row r="229" spans="1:34" ht="49.95" customHeight="1" x14ac:dyDescent="0.3">
      <c r="A229" s="2" t="s">
        <v>871</v>
      </c>
      <c r="B229" s="1" t="s">
        <v>872</v>
      </c>
      <c r="C229" s="1" t="s">
        <v>873</v>
      </c>
      <c r="D229" s="1" t="s">
        <v>484</v>
      </c>
      <c r="E229" s="1" t="s">
        <v>485</v>
      </c>
      <c r="F229" s="1" t="s">
        <v>30</v>
      </c>
      <c r="G229" s="2">
        <v>0</v>
      </c>
      <c r="H229" s="14">
        <f>SUMIF(ENTRADAS71417[CÓDIGO],PRODUCTOS31316[[#This Row],[CÓDIGO]],ENTRADAS71417[CANTIDAD])</f>
        <v>0</v>
      </c>
      <c r="I229" s="11">
        <f>SUMIF(SALIDAS111518[CÓDIGO],PRODUCTOS31316[[#This Row],[CÓDIGO]],SALIDAS111518[CANTIDAD])</f>
        <v>0</v>
      </c>
      <c r="J229" s="6">
        <f>PRODUCTOS31316[[#This Row],[EXISTENCIAS]]+PRODUCTOS31316[[#This Row],[ENTRADAS]]-PRODUCTOS31316[[#This Row],[SALIDAS]]</f>
        <v>0</v>
      </c>
      <c r="L229" s="282" t="s">
        <v>3520</v>
      </c>
      <c r="M229" s="282" t="s">
        <v>3653</v>
      </c>
      <c r="N229" s="290" t="s">
        <v>3861</v>
      </c>
      <c r="O229" s="282" t="s">
        <v>3183</v>
      </c>
      <c r="P229" s="16">
        <v>46045</v>
      </c>
      <c r="Q229" s="282" t="s">
        <v>2755</v>
      </c>
      <c r="R229" s="2" t="str">
        <f>VLOOKUP(SALIDAS111518[[#This Row],[CÓDIGO]],PRODUCTOS31316[],2,FALSE)</f>
        <v>MSLDO05</v>
      </c>
      <c r="S229" s="1" t="str">
        <f>VLOOKUP(SALIDAS111518[[#This Row],[CÓDIGO]],PRODUCTOS31316[],3,FALSE)</f>
        <v>TERMO DE RECOLECCIÓN DE SEMEN/ USO VETERINARIO</v>
      </c>
      <c r="T229" s="2">
        <v>1</v>
      </c>
      <c r="U229" s="282" t="s">
        <v>3860</v>
      </c>
      <c r="V229" s="2"/>
      <c r="W229" s="282" t="s">
        <v>2823</v>
      </c>
      <c r="X229" s="2"/>
      <c r="Y229" s="7"/>
      <c r="Z229" s="2">
        <v>16518</v>
      </c>
      <c r="AA229" s="340" t="s">
        <v>2744</v>
      </c>
      <c r="AB229" s="16">
        <v>46129</v>
      </c>
      <c r="AC229" s="339" t="s">
        <v>3022</v>
      </c>
      <c r="AD229" s="1" t="str">
        <f>VLOOKUP(ENTRADAS71417[[#This Row],[CÓDIGO]],PRODUCTOS31316[],2,FALSE)</f>
        <v>H003-B</v>
      </c>
      <c r="AE229" s="1" t="str">
        <f>VLOOKUP(ENTRADAS71417[[#This Row],[CÓDIGO]],PRODUCTOS31316[],3,FALSE)</f>
        <v>BOMBA DE VACIO DE 1000 ML</v>
      </c>
      <c r="AF229" s="2">
        <v>1</v>
      </c>
      <c r="AG229" s="2"/>
      <c r="AH229" s="2">
        <v>96</v>
      </c>
    </row>
    <row r="230" spans="1:34" ht="49.95" customHeight="1" x14ac:dyDescent="0.3">
      <c r="A230" s="2" t="s">
        <v>874</v>
      </c>
      <c r="B230" s="1">
        <v>3481</v>
      </c>
      <c r="C230" s="1" t="s">
        <v>875</v>
      </c>
      <c r="D230" s="1" t="s">
        <v>869</v>
      </c>
      <c r="E230" s="1" t="s">
        <v>410</v>
      </c>
      <c r="F230" s="1" t="s">
        <v>250</v>
      </c>
      <c r="G230" s="2">
        <v>0</v>
      </c>
      <c r="H230" s="14">
        <f>SUMIF(ENTRADAS71417[CÓDIGO],PRODUCTOS31316[[#This Row],[CÓDIGO]],ENTRADAS71417[CANTIDAD])</f>
        <v>0</v>
      </c>
      <c r="I230" s="11">
        <f>SUMIF(SALIDAS111518[CÓDIGO],PRODUCTOS31316[[#This Row],[CÓDIGO]],SALIDAS111518[CANTIDAD])</f>
        <v>0</v>
      </c>
      <c r="J230" s="6">
        <f>PRODUCTOS31316[[#This Row],[EXISTENCIAS]]+PRODUCTOS31316[[#This Row],[ENTRADAS]]-PRODUCTOS31316[[#This Row],[SALIDAS]]</f>
        <v>0</v>
      </c>
      <c r="L230" s="282" t="s">
        <v>3520</v>
      </c>
      <c r="M230" s="282" t="s">
        <v>3653</v>
      </c>
      <c r="N230" s="290" t="s">
        <v>3942</v>
      </c>
      <c r="O230" s="283" t="s">
        <v>3101</v>
      </c>
      <c r="P230" s="16">
        <v>46050</v>
      </c>
      <c r="Q230" s="282" t="s">
        <v>1006</v>
      </c>
      <c r="R230" s="2" t="str">
        <f>VLOOKUP(SALIDAS111518[[#This Row],[CÓDIGO]],PRODUCTOS31316[],2,FALSE)</f>
        <v>44-0200</v>
      </c>
      <c r="S230" s="1" t="str">
        <f>VLOOKUP(SALIDAS111518[[#This Row],[CÓDIGO]],PRODUCTOS31316[],3,FALSE)</f>
        <v>POLVO SELLADOR DE PAJILLAS COLOR BLANCO, 750GR</v>
      </c>
      <c r="T230" s="2">
        <v>1</v>
      </c>
      <c r="U230" s="2">
        <v>152</v>
      </c>
      <c r="V230" s="2"/>
      <c r="W230" s="282"/>
      <c r="X230" s="2"/>
      <c r="Y230" s="7"/>
      <c r="Z230" s="2">
        <v>24207</v>
      </c>
      <c r="AA230" s="344" t="s">
        <v>4194</v>
      </c>
      <c r="AB230" s="16">
        <v>46133</v>
      </c>
      <c r="AC230" s="345" t="s">
        <v>1631</v>
      </c>
      <c r="AD230" s="1" t="str">
        <f>VLOOKUP(ENTRADAS71417[[#This Row],[CÓDIGO]],PRODUCTOS31316[],2,FALSE)</f>
        <v>7101-CRAL</v>
      </c>
      <c r="AE230" s="1" t="str">
        <f>VLOOKUP(ENTRADAS71417[[#This Row],[CÓDIGO]],PRODUCTOS31316[],3,FALSE)</f>
        <v>LAMINA PORTA OBJETOS LISA EN VIDRIO 26X76MM, BORDE ESMERILADO</v>
      </c>
      <c r="AF230" s="2">
        <v>30</v>
      </c>
      <c r="AG230" s="2"/>
      <c r="AH230" s="2">
        <v>89</v>
      </c>
    </row>
    <row r="231" spans="1:34" ht="49.95" customHeight="1" x14ac:dyDescent="0.3">
      <c r="A231" s="2" t="s">
        <v>877</v>
      </c>
      <c r="B231" s="1">
        <v>238</v>
      </c>
      <c r="C231" s="1" t="s">
        <v>878</v>
      </c>
      <c r="D231" s="1" t="s">
        <v>879</v>
      </c>
      <c r="E231" s="1" t="s">
        <v>410</v>
      </c>
      <c r="F231" s="1" t="s">
        <v>30</v>
      </c>
      <c r="G231" s="2">
        <v>0</v>
      </c>
      <c r="H231" s="14">
        <f>SUMIF(ENTRADAS71417[CÓDIGO],PRODUCTOS31316[[#This Row],[CÓDIGO]],ENTRADAS71417[CANTIDAD])</f>
        <v>0</v>
      </c>
      <c r="I231" s="11">
        <f>SUMIF(SALIDAS111518[CÓDIGO],PRODUCTOS31316[[#This Row],[CÓDIGO]],SALIDAS111518[CANTIDAD])</f>
        <v>0</v>
      </c>
      <c r="J231" s="6">
        <f>PRODUCTOS31316[[#This Row],[EXISTENCIAS]]+PRODUCTOS31316[[#This Row],[ENTRADAS]]-PRODUCTOS31316[[#This Row],[SALIDAS]]</f>
        <v>0</v>
      </c>
      <c r="L231" s="282"/>
      <c r="M231" s="282"/>
      <c r="N231" s="276">
        <v>7790</v>
      </c>
      <c r="O231" s="283" t="s">
        <v>3101</v>
      </c>
      <c r="P231" s="16">
        <v>46050</v>
      </c>
      <c r="Q231" s="282" t="s">
        <v>3009</v>
      </c>
      <c r="R231" s="2">
        <f>VLOOKUP(SALIDAS111518[[#This Row],[CÓDIGO]],PRODUCTOS31316[],2,FALSE)</f>
        <v>7176</v>
      </c>
      <c r="S231" s="1" t="str">
        <f>VLOOKUP(SALIDAS111518[[#This Row],[CÓDIGO]],PRODUCTOS31316[],3,FALSE)</f>
        <v>PISTOLA DE INSEMINACION OVINO- CAPRINO/  PARA VAINAS MINI</v>
      </c>
      <c r="T231" s="2">
        <v>2</v>
      </c>
      <c r="U231" s="2"/>
      <c r="V231" s="2"/>
      <c r="W231" s="282"/>
      <c r="X231" s="2"/>
      <c r="Y231" s="7"/>
      <c r="Z231" s="2">
        <v>24207</v>
      </c>
      <c r="AA231" s="344" t="s">
        <v>4194</v>
      </c>
      <c r="AB231" s="16">
        <v>46133</v>
      </c>
      <c r="AC231" s="345" t="s">
        <v>3165</v>
      </c>
      <c r="AD231" s="1">
        <f>VLOOKUP(ENTRADAS71417[[#This Row],[CÓDIGO]],PRODUCTOS31316[],2,FALSE)</f>
        <v>30943</v>
      </c>
      <c r="AE231" s="1" t="str">
        <f>VLOOKUP(ENTRADAS71417[[#This Row],[CÓDIGO]],PRODUCTOS31316[],3,FALSE)</f>
        <v xml:space="preserve">CAJA PETRI DESECHABLE ESTERIL 90X 15 </v>
      </c>
      <c r="AF231" s="2">
        <v>0</v>
      </c>
      <c r="AG231" s="2"/>
      <c r="AH231" s="2"/>
    </row>
    <row r="232" spans="1:34" ht="49.95" customHeight="1" x14ac:dyDescent="0.3">
      <c r="A232" s="2" t="s">
        <v>881</v>
      </c>
      <c r="B232" s="1">
        <v>1095350001</v>
      </c>
      <c r="C232" s="216" t="s">
        <v>882</v>
      </c>
      <c r="E232" s="1" t="s">
        <v>640</v>
      </c>
      <c r="F232" s="1" t="s">
        <v>883</v>
      </c>
      <c r="G232" s="2">
        <v>6</v>
      </c>
      <c r="H232" s="14">
        <f>SUMIF(ENTRADAS71417[CÓDIGO],PRODUCTOS31316[[#This Row],[CÓDIGO]],ENTRADAS71417[CANTIDAD])</f>
        <v>15</v>
      </c>
      <c r="I232" s="11">
        <f>SUMIF(SALIDAS111518[CÓDIGO],PRODUCTOS31316[[#This Row],[CÓDIGO]],SALIDAS111518[CANTIDAD])</f>
        <v>10</v>
      </c>
      <c r="J232" s="6">
        <f>PRODUCTOS31316[[#This Row],[EXISTENCIAS]]+PRODUCTOS31316[[#This Row],[ENTRADAS]]-PRODUCTOS31316[[#This Row],[SALIDAS]]</f>
        <v>11</v>
      </c>
      <c r="L232" s="282"/>
      <c r="M232" s="282"/>
      <c r="N232" s="276">
        <v>7790</v>
      </c>
      <c r="O232" s="283" t="s">
        <v>3101</v>
      </c>
      <c r="P232" s="285">
        <v>46050</v>
      </c>
      <c r="Q232" s="282" t="s">
        <v>1799</v>
      </c>
      <c r="R232" s="2">
        <f>VLOOKUP(SALIDAS111518[[#This Row],[CÓDIGO]],PRODUCTOS31316[],2,FALSE)</f>
        <v>4846</v>
      </c>
      <c r="S232" s="1" t="str">
        <f>VLOOKUP(SALIDAS111518[[#This Row],[CÓDIGO]],PRODUCTOS31316[],3,FALSE)</f>
        <v>PUNTA AZULES UNIVERSALES 100- 1000 UL</v>
      </c>
      <c r="T232" s="2">
        <v>1</v>
      </c>
      <c r="U232" s="2"/>
      <c r="V232" s="2"/>
      <c r="W232" s="282"/>
      <c r="X232" s="2"/>
      <c r="Y232" s="7"/>
      <c r="Z232" s="348" t="s">
        <v>4834</v>
      </c>
      <c r="AA232" s="344" t="s">
        <v>3915</v>
      </c>
      <c r="AB232" s="16">
        <v>46135</v>
      </c>
      <c r="AC232" s="345" t="s">
        <v>47</v>
      </c>
      <c r="AD232" s="1">
        <f>VLOOKUP(ENTRADAS71417[[#This Row],[CÓDIGO]],PRODUCTOS31316[],2,FALSE)</f>
        <v>1135</v>
      </c>
      <c r="AE232" s="1" t="str">
        <f>VLOOKUP(ENTRADAS71417[[#This Row],[CÓDIGO]],PRODUCTOS31316[],3,FALSE)</f>
        <v>TRILADYL</v>
      </c>
      <c r="AF232" s="2">
        <v>8</v>
      </c>
      <c r="AG232" s="2"/>
      <c r="AH232" s="2">
        <v>93</v>
      </c>
    </row>
    <row r="233" spans="1:34" ht="49.95" customHeight="1" x14ac:dyDescent="0.3">
      <c r="A233" s="2" t="s">
        <v>886</v>
      </c>
      <c r="B233" s="1" t="s">
        <v>887</v>
      </c>
      <c r="C233" s="1" t="s">
        <v>888</v>
      </c>
      <c r="E233" s="1" t="s">
        <v>889</v>
      </c>
      <c r="F233" s="1" t="s">
        <v>890</v>
      </c>
      <c r="G233" s="2">
        <v>0</v>
      </c>
      <c r="H233" s="14">
        <f>SUMIF(ENTRADAS71417[CÓDIGO],PRODUCTOS31316[[#This Row],[CÓDIGO]],ENTRADAS71417[CANTIDAD])</f>
        <v>0</v>
      </c>
      <c r="I233" s="11">
        <f>SUMIF(SALIDAS111518[CÓDIGO],PRODUCTOS31316[[#This Row],[CÓDIGO]],SALIDAS111518[CANTIDAD])</f>
        <v>0</v>
      </c>
      <c r="J233" s="6">
        <f>PRODUCTOS31316[[#This Row],[EXISTENCIAS]]+PRODUCTOS31316[[#This Row],[ENTRADAS]]-PRODUCTOS31316[[#This Row],[SALIDAS]]</f>
        <v>0</v>
      </c>
      <c r="L233" s="282" t="s">
        <v>3520</v>
      </c>
      <c r="M233" s="282" t="s">
        <v>3653</v>
      </c>
      <c r="N233" s="294" t="s">
        <v>4078</v>
      </c>
      <c r="O233" s="283" t="s">
        <v>3101</v>
      </c>
      <c r="P233" s="16">
        <v>46069</v>
      </c>
      <c r="Q233" s="282" t="s">
        <v>909</v>
      </c>
      <c r="R233" s="2" t="str">
        <f>VLOOKUP(SALIDAS111518[[#This Row],[CÓDIGO]],PRODUCTOS31316[],2,FALSE)</f>
        <v>26-0</v>
      </c>
      <c r="S233" s="1" t="str">
        <f>VLOOKUP(SALIDAS111518[[#This Row],[CÓDIGO]],PRODUCTOS31316[],3,FALSE)</f>
        <v>ELECTRO PARA OVINO- CAPRINO/ PROBE 1 1/4" DE DIÁMETRO FUNCIONA CON 2 BATERIAS 9V</v>
      </c>
      <c r="T233" s="2">
        <v>1</v>
      </c>
      <c r="U233" s="283" t="s">
        <v>3905</v>
      </c>
      <c r="V233" s="2"/>
      <c r="W233" s="282"/>
      <c r="X233" s="2"/>
      <c r="Y233" s="7"/>
      <c r="Z233" s="2" t="s">
        <v>4863</v>
      </c>
      <c r="AA233" s="1" t="s">
        <v>3786</v>
      </c>
      <c r="AB233" s="16">
        <v>46136</v>
      </c>
      <c r="AC233" s="2" t="s">
        <v>3075</v>
      </c>
      <c r="AD233" s="1">
        <f>VLOOKUP(ENTRADAS71417[[#This Row],[CÓDIGO]],PRODUCTOS31316[],2,FALSE)</f>
        <v>0</v>
      </c>
      <c r="AE233" s="1" t="str">
        <f>VLOOKUP(ENTRADAS71417[[#This Row],[CÓDIGO]],PRODUCTOS31316[],3,FALSE)</f>
        <v>AUTOJAC V3 ELECTROEYACUALADOR MANUAL Y AUTOMÁTICO</v>
      </c>
      <c r="AF233" s="2">
        <v>3</v>
      </c>
      <c r="AG233" s="2"/>
      <c r="AH233" s="2">
        <v>99</v>
      </c>
    </row>
    <row r="234" spans="1:34" ht="49.95" customHeight="1" x14ac:dyDescent="0.3">
      <c r="A234" s="2" t="s">
        <v>2345</v>
      </c>
      <c r="B234" s="1" t="s">
        <v>2346</v>
      </c>
      <c r="C234" s="1" t="s">
        <v>2347</v>
      </c>
      <c r="E234" s="1" t="s">
        <v>889</v>
      </c>
      <c r="F234" s="1" t="s">
        <v>890</v>
      </c>
      <c r="G234" s="2">
        <v>0</v>
      </c>
      <c r="H234" s="14">
        <f>SUMIF(ENTRADAS71417[CÓDIGO],PRODUCTOS31316[[#This Row],[CÓDIGO]],ENTRADAS71417[CANTIDAD])</f>
        <v>0</v>
      </c>
      <c r="I234" s="11">
        <f>SUMIF(SALIDAS111518[CÓDIGO],PRODUCTOS31316[[#This Row],[CÓDIGO]],SALIDAS111518[CANTIDAD])</f>
        <v>0</v>
      </c>
      <c r="J234" s="6">
        <f>PRODUCTOS31316[[#This Row],[EXISTENCIAS]]+PRODUCTOS31316[[#This Row],[ENTRADAS]]-PRODUCTOS31316[[#This Row],[SALIDAS]]</f>
        <v>0</v>
      </c>
      <c r="L234" s="282" t="s">
        <v>3521</v>
      </c>
      <c r="M234" s="282" t="s">
        <v>3653</v>
      </c>
      <c r="N234" s="110" t="s">
        <v>3865</v>
      </c>
      <c r="O234" s="107" t="s">
        <v>3838</v>
      </c>
      <c r="P234" s="16">
        <v>46045</v>
      </c>
      <c r="Q234" s="282" t="s">
        <v>3181</v>
      </c>
      <c r="R234" s="2">
        <f>VLOOKUP(SALIDAS111518[[#This Row],[CÓDIGO]],PRODUCTOS31316[],2,FALSE)</f>
        <v>7416</v>
      </c>
      <c r="S234" s="1" t="str">
        <f>VLOOKUP(SALIDAS111518[[#This Row],[CÓDIGO]],PRODUCTOS31316[],3,FALSE)</f>
        <v>CAJA PLÁSTICA DE 22" DE TRANSPORTE</v>
      </c>
      <c r="T234" s="2">
        <v>1</v>
      </c>
      <c r="U234" s="2">
        <v>114</v>
      </c>
      <c r="V234" s="2"/>
      <c r="W234" s="282" t="s">
        <v>3412</v>
      </c>
      <c r="X234" s="2"/>
      <c r="Y234" s="7"/>
      <c r="Z234" s="2" t="s">
        <v>4863</v>
      </c>
      <c r="AA234" s="1" t="s">
        <v>3786</v>
      </c>
      <c r="AB234" s="16">
        <v>46136</v>
      </c>
      <c r="AC234" s="350" t="s">
        <v>4546</v>
      </c>
      <c r="AD234" s="1">
        <f>VLOOKUP(ENTRADAS71417[[#This Row],[CÓDIGO]],PRODUCTOS31316[],2,FALSE)</f>
        <v>14418</v>
      </c>
      <c r="AE234" s="1" t="str">
        <f>VLOOKUP(ENTRADAS71417[[#This Row],[CÓDIGO]],PRODUCTOS31316[],3,FALSE)</f>
        <v>RACK DE ALUMINIO WTA 12 X 1.5 ML PARA TUBOS CONICOS</v>
      </c>
      <c r="AF234" s="2">
        <v>1</v>
      </c>
      <c r="AG234" s="2"/>
      <c r="AH234" s="2"/>
    </row>
    <row r="235" spans="1:34" ht="49.95" customHeight="1" x14ac:dyDescent="0.3">
      <c r="A235" s="2" t="s">
        <v>2348</v>
      </c>
      <c r="B235" s="1" t="s">
        <v>2349</v>
      </c>
      <c r="C235" s="1" t="s">
        <v>2350</v>
      </c>
      <c r="D235" s="1" t="s">
        <v>2351</v>
      </c>
      <c r="E235" s="1" t="s">
        <v>183</v>
      </c>
      <c r="F235" s="1" t="s">
        <v>62</v>
      </c>
      <c r="G235" s="2">
        <v>0</v>
      </c>
      <c r="H235" s="14">
        <f>SUMIF(ENTRADAS71417[CÓDIGO],PRODUCTOS31316[[#This Row],[CÓDIGO]],ENTRADAS71417[CANTIDAD])</f>
        <v>0</v>
      </c>
      <c r="I235" s="11">
        <f>SUMIF(SALIDAS111518[CÓDIGO],PRODUCTOS31316[[#This Row],[CÓDIGO]],SALIDAS111518[CANTIDAD])</f>
        <v>0</v>
      </c>
      <c r="J235" s="6">
        <f>PRODUCTOS31316[[#This Row],[EXISTENCIAS]]+PRODUCTOS31316[[#This Row],[ENTRADAS]]-PRODUCTOS31316[[#This Row],[SALIDAS]]</f>
        <v>0</v>
      </c>
      <c r="L235" s="282"/>
      <c r="M235" s="282"/>
      <c r="N235" s="276">
        <v>7757</v>
      </c>
      <c r="O235" s="282" t="s">
        <v>3838</v>
      </c>
      <c r="P235" s="16">
        <v>45680</v>
      </c>
      <c r="Q235" s="282" t="s">
        <v>153</v>
      </c>
      <c r="R235" s="2">
        <f>VLOOKUP(SALIDAS111518[[#This Row],[CÓDIGO]],PRODUCTOS31316[],2,FALSE)</f>
        <v>1132</v>
      </c>
      <c r="S235" s="1" t="str">
        <f>VLOOKUP(SALIDAS111518[[#This Row],[CÓDIGO]],PRODUCTOS31316[],3,FALSE)</f>
        <v>PISTOLA QUICKLOCK CLASIC</v>
      </c>
      <c r="T235" s="2">
        <v>1</v>
      </c>
      <c r="U235" s="2"/>
      <c r="V235" s="2"/>
      <c r="W235" s="282"/>
      <c r="X235" s="2"/>
      <c r="Y235" s="7"/>
      <c r="Z235" s="2" t="s">
        <v>4864</v>
      </c>
      <c r="AA235" s="1" t="s">
        <v>3737</v>
      </c>
      <c r="AB235" s="16">
        <v>46136</v>
      </c>
      <c r="AC235" s="2" t="s">
        <v>1356</v>
      </c>
      <c r="AD235" s="1">
        <f>VLOOKUP(ENTRADAS71417[[#This Row],[CÓDIGO]],PRODUCTOS31316[],2,FALSE)</f>
        <v>1106</v>
      </c>
      <c r="AE235" s="1" t="str">
        <f>VLOOKUP(ENTRADAS71417[[#This Row],[CÓDIGO]],PRODUCTOS31316[],3,FALSE)</f>
        <v>SONDA PROVETSCAN WIFI SR-2C/ WRPCCFB019</v>
      </c>
      <c r="AF235" s="2">
        <v>1</v>
      </c>
      <c r="AG235" s="2"/>
      <c r="AH235" s="2">
        <v>98</v>
      </c>
    </row>
    <row r="236" spans="1:34" ht="49.95" customHeight="1" x14ac:dyDescent="0.3">
      <c r="A236" s="2" t="s">
        <v>2352</v>
      </c>
      <c r="B236" s="1" t="s">
        <v>2353</v>
      </c>
      <c r="C236" s="1" t="s">
        <v>2354</v>
      </c>
      <c r="D236" s="1" t="s">
        <v>364</v>
      </c>
      <c r="E236" s="1" t="s">
        <v>183</v>
      </c>
      <c r="F236" s="1" t="s">
        <v>224</v>
      </c>
      <c r="G236" s="2">
        <v>0</v>
      </c>
      <c r="H236" s="14">
        <f>SUMIF(ENTRADAS71417[CÓDIGO],PRODUCTOS31316[[#This Row],[CÓDIGO]],ENTRADAS71417[CANTIDAD])</f>
        <v>0</v>
      </c>
      <c r="I236" s="11">
        <f>SUMIF(SALIDAS111518[CÓDIGO],PRODUCTOS31316[[#This Row],[CÓDIGO]],SALIDAS111518[CANTIDAD])</f>
        <v>0</v>
      </c>
      <c r="J236" s="6">
        <f>PRODUCTOS31316[[#This Row],[EXISTENCIAS]]+PRODUCTOS31316[[#This Row],[ENTRADAS]]-PRODUCTOS31316[[#This Row],[SALIDAS]]</f>
        <v>0</v>
      </c>
      <c r="L236" s="282"/>
      <c r="M236" s="282"/>
      <c r="N236" s="276">
        <v>7757</v>
      </c>
      <c r="O236" s="282" t="s">
        <v>3838</v>
      </c>
      <c r="P236" s="16">
        <v>45680</v>
      </c>
      <c r="Q236" s="282" t="s">
        <v>369</v>
      </c>
      <c r="R236" s="2">
        <f>VLOOKUP(SALIDAS111518[[#This Row],[CÓDIGO]],PRODUCTOS31316[],2,FALSE)</f>
        <v>0</v>
      </c>
      <c r="S236" s="1" t="str">
        <f>VLOOKUP(SALIDAS111518[[#This Row],[CÓDIGO]],PRODUCTOS31316[],3,FALSE)</f>
        <v>FUNDA UNIVERSAL PARA I.A. RANURADA</v>
      </c>
      <c r="T236" s="2">
        <v>1</v>
      </c>
      <c r="U236" s="2"/>
      <c r="V236" s="2"/>
      <c r="W236" s="282"/>
      <c r="X236" s="2"/>
      <c r="Y236" s="7"/>
      <c r="Z236" s="2" t="s">
        <v>4864</v>
      </c>
      <c r="AA236" s="1" t="s">
        <v>3737</v>
      </c>
      <c r="AB236" s="16">
        <v>46136</v>
      </c>
      <c r="AC236" s="2" t="s">
        <v>2329</v>
      </c>
      <c r="AD236" s="1">
        <f>VLOOKUP(ENTRADAS71417[[#This Row],[CÓDIGO]],PRODUCTOS31316[],2,FALSE)</f>
        <v>1505</v>
      </c>
      <c r="AE236" s="1" t="str">
        <f>VLOOKUP(ENTRADAS71417[[#This Row],[CÓDIGO]],PRODUCTOS31316[],3,FALSE)</f>
        <v>SONDA PROVETSCAN WIFI SU-3/ INCLUYE: CARGADOR GENÉRICO 2A, ARNES GENÉRICO, MALETA SU-3A</v>
      </c>
      <c r="AF236" s="2">
        <v>1</v>
      </c>
      <c r="AG236" s="2"/>
      <c r="AH236" s="2"/>
    </row>
    <row r="237" spans="1:34" ht="49.95" customHeight="1" x14ac:dyDescent="0.3">
      <c r="A237" s="2" t="s">
        <v>892</v>
      </c>
      <c r="B237" s="1" t="s">
        <v>893</v>
      </c>
      <c r="C237" s="1" t="s">
        <v>894</v>
      </c>
      <c r="D237" s="1" t="s">
        <v>182</v>
      </c>
      <c r="E237" s="1" t="s">
        <v>183</v>
      </c>
      <c r="F237" s="1" t="s">
        <v>184</v>
      </c>
      <c r="G237" s="2">
        <v>0</v>
      </c>
      <c r="H237" s="14">
        <f>SUMIF(ENTRADAS71417[CÓDIGO],PRODUCTOS31316[[#This Row],[CÓDIGO]],ENTRADAS71417[CANTIDAD])</f>
        <v>0</v>
      </c>
      <c r="I237" s="11">
        <f>SUMIF(SALIDAS111518[CÓDIGO],PRODUCTOS31316[[#This Row],[CÓDIGO]],SALIDAS111518[CANTIDAD])</f>
        <v>0</v>
      </c>
      <c r="J237" s="6">
        <f>PRODUCTOS31316[[#This Row],[EXISTENCIAS]]+PRODUCTOS31316[[#This Row],[ENTRADAS]]-PRODUCTOS31316[[#This Row],[SALIDAS]]</f>
        <v>0</v>
      </c>
      <c r="L237" s="282"/>
      <c r="M237" s="282"/>
      <c r="N237" s="276">
        <v>7757</v>
      </c>
      <c r="O237" s="282" t="s">
        <v>3838</v>
      </c>
      <c r="P237" s="16">
        <v>45680</v>
      </c>
      <c r="Q237" s="282" t="s">
        <v>658</v>
      </c>
      <c r="R237" s="2">
        <f>VLOOKUP(SALIDAS111518[[#This Row],[CÓDIGO]],PRODUCTOS31316[],2,FALSE)</f>
        <v>0</v>
      </c>
      <c r="S237" s="1" t="str">
        <f>VLOOKUP(SALIDAS111518[[#This Row],[CÓDIGO]],PRODUCTOS31316[],3,FALSE)</f>
        <v>CATETER TALADRO TRANSPARENTE 18"</v>
      </c>
      <c r="T237" s="2">
        <v>1</v>
      </c>
      <c r="U237" s="2"/>
      <c r="V237" s="2"/>
      <c r="W237" s="282"/>
      <c r="X237" s="2"/>
      <c r="Y237" s="7"/>
      <c r="Z237" s="2" t="s">
        <v>4871</v>
      </c>
      <c r="AA237" s="1" t="s">
        <v>3915</v>
      </c>
      <c r="AB237" s="16">
        <v>46139</v>
      </c>
      <c r="AC237" s="2" t="s">
        <v>369</v>
      </c>
      <c r="AD237" s="1">
        <f>VLOOKUP(ENTRADAS71417[[#This Row],[CÓDIGO]],PRODUCTOS31316[],2,FALSE)</f>
        <v>0</v>
      </c>
      <c r="AE237" s="1" t="str">
        <f>VLOOKUP(ENTRADAS71417[[#This Row],[CÓDIGO]],PRODUCTOS31316[],3,FALSE)</f>
        <v>FUNDA UNIVERSAL PARA I.A. RANURADA</v>
      </c>
      <c r="AF237" s="2">
        <v>200</v>
      </c>
      <c r="AG237" s="2"/>
      <c r="AH237" s="2">
        <v>97</v>
      </c>
    </row>
    <row r="238" spans="1:34" ht="49.95" customHeight="1" x14ac:dyDescent="0.3">
      <c r="A238" s="2" t="s">
        <v>896</v>
      </c>
      <c r="B238" s="1" t="s">
        <v>897</v>
      </c>
      <c r="C238" s="1" t="s">
        <v>898</v>
      </c>
      <c r="D238" s="1" t="s">
        <v>639</v>
      </c>
      <c r="E238" s="1" t="s">
        <v>640</v>
      </c>
      <c r="F238" s="1" t="s">
        <v>678</v>
      </c>
      <c r="G238" s="2">
        <v>0</v>
      </c>
      <c r="H238" s="14">
        <f>SUMIF(ENTRADAS71417[CÓDIGO],PRODUCTOS31316[[#This Row],[CÓDIGO]],ENTRADAS71417[CANTIDAD])</f>
        <v>0</v>
      </c>
      <c r="I238" s="11">
        <f>SUMIF(SALIDAS111518[CÓDIGO],PRODUCTOS31316[[#This Row],[CÓDIGO]],SALIDAS111518[CANTIDAD])</f>
        <v>0</v>
      </c>
      <c r="J238" s="6">
        <f>PRODUCTOS31316[[#This Row],[EXISTENCIAS]]+PRODUCTOS31316[[#This Row],[ENTRADAS]]-PRODUCTOS31316[[#This Row],[SALIDAS]]</f>
        <v>0</v>
      </c>
      <c r="L238" s="282"/>
      <c r="M238" s="282"/>
      <c r="N238" s="276">
        <v>7757</v>
      </c>
      <c r="O238" s="282" t="s">
        <v>3838</v>
      </c>
      <c r="P238" s="16">
        <v>45680</v>
      </c>
      <c r="Q238" s="282" t="s">
        <v>1779</v>
      </c>
      <c r="R238" s="2">
        <f>VLOOKUP(SALIDAS111518[[#This Row],[CÓDIGO]],PRODUCTOS31316[],2,FALSE)</f>
        <v>5563</v>
      </c>
      <c r="S238" s="1" t="str">
        <f>VLOOKUP(SALIDAS111518[[#This Row],[CÓDIGO]],PRODUCTOS31316[],3,FALSE)</f>
        <v>CAMISA SANITARIA ROLLO X 80</v>
      </c>
      <c r="T238" s="2">
        <v>1</v>
      </c>
      <c r="U238" s="2"/>
      <c r="V238" s="2"/>
      <c r="W238" s="282"/>
      <c r="X238" s="2"/>
      <c r="Y238" s="7"/>
      <c r="Z238" s="2" t="s">
        <v>4871</v>
      </c>
      <c r="AA238" s="1" t="s">
        <v>3915</v>
      </c>
      <c r="AB238" s="16">
        <v>46139</v>
      </c>
      <c r="AC238" s="2" t="s">
        <v>153</v>
      </c>
      <c r="AD238" s="1">
        <f>VLOOKUP(ENTRADAS71417[[#This Row],[CÓDIGO]],PRODUCTOS31316[],2,FALSE)</f>
        <v>1132</v>
      </c>
      <c r="AE238" s="1" t="str">
        <f>VLOOKUP(ENTRADAS71417[[#This Row],[CÓDIGO]],PRODUCTOS31316[],3,FALSE)</f>
        <v>PISTOLA QUICKLOCK CLASIC</v>
      </c>
      <c r="AF238" s="2">
        <v>20</v>
      </c>
      <c r="AG238" s="2"/>
      <c r="AH238" s="2"/>
    </row>
    <row r="239" spans="1:34" ht="49.95" customHeight="1" x14ac:dyDescent="0.3">
      <c r="A239" s="2" t="s">
        <v>900</v>
      </c>
      <c r="B239" s="1" t="s">
        <v>901</v>
      </c>
      <c r="C239" s="1" t="s">
        <v>902</v>
      </c>
      <c r="D239" s="1" t="s">
        <v>639</v>
      </c>
      <c r="E239" s="1" t="s">
        <v>640</v>
      </c>
      <c r="F239" s="1" t="s">
        <v>903</v>
      </c>
      <c r="G239" s="2">
        <v>0</v>
      </c>
      <c r="H239" s="14">
        <f>SUMIF(ENTRADAS71417[CÓDIGO],PRODUCTOS31316[[#This Row],[CÓDIGO]],ENTRADAS71417[CANTIDAD])</f>
        <v>0</v>
      </c>
      <c r="I239" s="11">
        <f>SUMIF(SALIDAS111518[CÓDIGO],PRODUCTOS31316[[#This Row],[CÓDIGO]],SALIDAS111518[CANTIDAD])</f>
        <v>0</v>
      </c>
      <c r="J239" s="6">
        <f>PRODUCTOS31316[[#This Row],[EXISTENCIAS]]+PRODUCTOS31316[[#This Row],[ENTRADAS]]-PRODUCTOS31316[[#This Row],[SALIDAS]]</f>
        <v>0</v>
      </c>
      <c r="L239" s="282"/>
      <c r="M239" s="282"/>
      <c r="N239" s="276">
        <v>7757</v>
      </c>
      <c r="O239" s="282" t="s">
        <v>3838</v>
      </c>
      <c r="P239" s="16">
        <v>45680</v>
      </c>
      <c r="Q239" s="282" t="s">
        <v>382</v>
      </c>
      <c r="R239" s="2">
        <f>VLOOKUP(SALIDAS111518[[#This Row],[CÓDIGO]],PRODUCTOS31316[],2,FALSE)</f>
        <v>605032</v>
      </c>
      <c r="S239" s="1" t="str">
        <f>VLOOKUP(SALIDAS111518[[#This Row],[CÓDIGO]],PRODUCTOS31316[],3,FALSE)</f>
        <v>LUBRICANTE OB, NO ESPERMICIDA</v>
      </c>
      <c r="T239" s="2">
        <v>1</v>
      </c>
      <c r="U239" s="2"/>
      <c r="V239" s="2"/>
      <c r="W239" s="282"/>
      <c r="X239" s="2"/>
      <c r="Y239" s="7"/>
      <c r="Z239" s="369" t="s">
        <v>4909</v>
      </c>
      <c r="AA239" s="351" t="s">
        <v>2411</v>
      </c>
      <c r="AB239" s="16">
        <v>46141</v>
      </c>
      <c r="AC239" s="350" t="s">
        <v>3301</v>
      </c>
      <c r="AD239" s="1" t="str">
        <f>VLOOKUP(ENTRADAS71417[[#This Row],[CÓDIGO]],PRODUCTOS31316[],2,FALSE)</f>
        <v>S7/B-W</v>
      </c>
      <c r="AE239" s="1" t="str">
        <f>VLOOKUP(ENTRADAS71417[[#This Row],[CÓDIGO]],PRODUCTOS31316[],3,FALSE)</f>
        <v>ECÓGRAFO S7 B/W ( BLANCO Y NEGRO) BMV - Plataforma BLANCO Y NEGROSIN BATERÍA</v>
      </c>
      <c r="AF239" s="2">
        <v>2</v>
      </c>
      <c r="AG239" s="2"/>
      <c r="AH239" s="2">
        <v>109</v>
      </c>
    </row>
    <row r="240" spans="1:34" ht="49.95" customHeight="1" x14ac:dyDescent="0.3">
      <c r="A240" s="2" t="s">
        <v>905</v>
      </c>
      <c r="B240" s="1" t="s">
        <v>906</v>
      </c>
      <c r="C240" s="1" t="s">
        <v>907</v>
      </c>
      <c r="D240" s="1" t="s">
        <v>639</v>
      </c>
      <c r="E240" s="1" t="s">
        <v>640</v>
      </c>
      <c r="F240" s="1" t="s">
        <v>908</v>
      </c>
      <c r="G240" s="2">
        <v>0</v>
      </c>
      <c r="H240" s="14">
        <f>SUMIF(ENTRADAS71417[CÓDIGO],PRODUCTOS31316[[#This Row],[CÓDIGO]],ENTRADAS71417[CANTIDAD])</f>
        <v>0</v>
      </c>
      <c r="I240" s="11">
        <f>SUMIF(SALIDAS111518[CÓDIGO],PRODUCTOS31316[[#This Row],[CÓDIGO]],SALIDAS111518[CANTIDAD])</f>
        <v>0</v>
      </c>
      <c r="J240" s="6">
        <f>PRODUCTOS31316[[#This Row],[EXISTENCIAS]]+PRODUCTOS31316[[#This Row],[ENTRADAS]]-PRODUCTOS31316[[#This Row],[SALIDAS]]</f>
        <v>0</v>
      </c>
      <c r="L240" s="282"/>
      <c r="M240" s="282"/>
      <c r="N240" s="276">
        <v>7757</v>
      </c>
      <c r="O240" s="282" t="s">
        <v>3838</v>
      </c>
      <c r="P240" s="16">
        <v>45680</v>
      </c>
      <c r="Q240" s="282" t="s">
        <v>236</v>
      </c>
      <c r="R240" s="2">
        <f>VLOOKUP(SALIDAS111518[[#This Row],[CÓDIGO]],PRODUCTOS31316[],2,FALSE)</f>
        <v>0</v>
      </c>
      <c r="S240" s="1" t="str">
        <f>VLOOKUP(SALIDAS111518[[#This Row],[CÓDIGO]],PRODUCTOS31316[],3,FALSE)</f>
        <v>TERMO METÁLICO DESCONGELADOR</v>
      </c>
      <c r="T240" s="2">
        <v>1</v>
      </c>
      <c r="U240" s="2"/>
      <c r="V240" s="2"/>
      <c r="W240" s="282"/>
      <c r="X240" s="2"/>
      <c r="Y240" s="7"/>
      <c r="Z240" s="350" t="s">
        <v>4909</v>
      </c>
      <c r="AA240" s="351" t="s">
        <v>2411</v>
      </c>
      <c r="AB240" s="16">
        <v>46141</v>
      </c>
      <c r="AC240" s="350" t="s">
        <v>3346</v>
      </c>
      <c r="AD240" s="1" t="str">
        <f>VLOOKUP(ENTRADAS71417[[#This Row],[CÓDIGO]],PRODUCTOS31316[],2,FALSE)</f>
        <v>S7PRO</v>
      </c>
      <c r="AE240" s="1" t="str">
        <f>VLOOKUP(ENTRADAS71417[[#This Row],[CÓDIGO]],PRODUCTOS31316[],3,FALSE)</f>
        <v>ECÓGRAFO S7 PRO VET CON SONDA LINEAL RECTAL</v>
      </c>
      <c r="AF240" s="2">
        <v>6</v>
      </c>
      <c r="AG240" s="2"/>
      <c r="AH240" s="2"/>
    </row>
    <row r="241" spans="1:34" ht="49.95" customHeight="1" x14ac:dyDescent="0.3">
      <c r="A241" s="2" t="s">
        <v>910</v>
      </c>
      <c r="B241" s="1" t="s">
        <v>911</v>
      </c>
      <c r="C241" s="1" t="s">
        <v>912</v>
      </c>
      <c r="D241" s="1" t="s">
        <v>639</v>
      </c>
      <c r="E241" s="1" t="s">
        <v>640</v>
      </c>
      <c r="F241" s="1" t="s">
        <v>678</v>
      </c>
      <c r="G241" s="2">
        <v>0</v>
      </c>
      <c r="H241" s="14">
        <f>SUMIF(ENTRADAS71417[CÓDIGO],PRODUCTOS31316[[#This Row],[CÓDIGO]],ENTRADAS71417[CANTIDAD])</f>
        <v>0</v>
      </c>
      <c r="I241" s="11">
        <f>SUMIF(SALIDAS111518[CÓDIGO],PRODUCTOS31316[[#This Row],[CÓDIGO]],SALIDAS111518[CANTIDAD])</f>
        <v>0</v>
      </c>
      <c r="J241" s="6">
        <f>PRODUCTOS31316[[#This Row],[EXISTENCIAS]]+PRODUCTOS31316[[#This Row],[ENTRADAS]]-PRODUCTOS31316[[#This Row],[SALIDAS]]</f>
        <v>0</v>
      </c>
      <c r="L241" s="282"/>
      <c r="M241" s="282"/>
      <c r="N241" s="276">
        <v>7757</v>
      </c>
      <c r="O241" s="282" t="s">
        <v>3838</v>
      </c>
      <c r="P241" s="16">
        <v>45680</v>
      </c>
      <c r="Q241" s="282" t="s">
        <v>210</v>
      </c>
      <c r="R241" s="2">
        <f>VLOOKUP(SALIDAS111518[[#This Row],[CÓDIGO]],PRODUCTOS31316[],2,FALSE)</f>
        <v>101257</v>
      </c>
      <c r="S241" s="1" t="str">
        <f>VLOOKUP(SALIDAS111518[[#This Row],[CÓDIGO]],PRODUCTOS31316[],3,FALSE)</f>
        <v>MANGA DESECHABLE SUPER SENSITIVA</v>
      </c>
      <c r="T241" s="2">
        <v>1</v>
      </c>
      <c r="U241" s="2"/>
      <c r="V241" s="2"/>
      <c r="W241" s="282"/>
      <c r="X241" s="2"/>
      <c r="Y241" s="7"/>
      <c r="Z241" s="350" t="s">
        <v>4909</v>
      </c>
      <c r="AA241" s="351" t="s">
        <v>2411</v>
      </c>
      <c r="AB241" s="16">
        <v>46141</v>
      </c>
      <c r="AC241" s="350" t="s">
        <v>2412</v>
      </c>
      <c r="AD241" s="1" t="str">
        <f>VLOOKUP(ENTRADAS71417[[#This Row],[CÓDIGO]],PRODUCTOS31316[],2,FALSE)</f>
        <v>PTC</v>
      </c>
      <c r="AE241" s="1" t="str">
        <f>VLOOKUP(ENTRADAS71417[[#This Row],[CÓDIGO]],PRODUCTOS31316[],3,FALSE)</f>
        <v>PISTOLA DE INSEMINACIÓN ARTIFICIAL CON CÁMARA</v>
      </c>
      <c r="AF241" s="2">
        <v>1</v>
      </c>
      <c r="AG241" s="2"/>
      <c r="AH241" s="2"/>
    </row>
    <row r="242" spans="1:34" ht="49.95" customHeight="1" x14ac:dyDescent="0.3">
      <c r="A242" s="2" t="s">
        <v>914</v>
      </c>
      <c r="B242" s="1">
        <v>342512</v>
      </c>
      <c r="C242" s="1" t="s">
        <v>915</v>
      </c>
      <c r="D242" s="1" t="s">
        <v>166</v>
      </c>
      <c r="E242" s="1" t="s">
        <v>24</v>
      </c>
      <c r="F242" s="1" t="s">
        <v>41</v>
      </c>
      <c r="G242" s="2">
        <v>0</v>
      </c>
      <c r="H242" s="14">
        <f>SUMIF(ENTRADAS71417[CÓDIGO],PRODUCTOS31316[[#This Row],[CÓDIGO]],ENTRADAS71417[CANTIDAD])</f>
        <v>0</v>
      </c>
      <c r="I242" s="11">
        <f>SUMIF(SALIDAS111518[CÓDIGO],PRODUCTOS31316[[#This Row],[CÓDIGO]],SALIDAS111518[CANTIDAD])</f>
        <v>0</v>
      </c>
      <c r="J242" s="6">
        <f>PRODUCTOS31316[[#This Row],[EXISTENCIAS]]+PRODUCTOS31316[[#This Row],[ENTRADAS]]-PRODUCTOS31316[[#This Row],[SALIDAS]]</f>
        <v>0</v>
      </c>
      <c r="L242" s="282"/>
      <c r="M242" s="282"/>
      <c r="N242" s="276">
        <v>7757</v>
      </c>
      <c r="O242" s="282" t="s">
        <v>3838</v>
      </c>
      <c r="P242" s="16">
        <v>45680</v>
      </c>
      <c r="Q242" s="282" t="s">
        <v>581</v>
      </c>
      <c r="R242" s="2">
        <f>VLOOKUP(SALIDAS111518[[#This Row],[CÓDIGO]],PRODUCTOS31316[],2,FALSE)</f>
        <v>11571</v>
      </c>
      <c r="S242" s="1" t="str">
        <f>VLOOKUP(SALIDAS111518[[#This Row],[CÓDIGO]],PRODUCTOS31316[],3,FALSE)</f>
        <v>PINZA COGEPAJILLA</v>
      </c>
      <c r="T242" s="2">
        <v>1</v>
      </c>
      <c r="U242" s="2"/>
      <c r="V242" s="2"/>
      <c r="W242" s="282"/>
      <c r="X242" s="2"/>
      <c r="Y242" s="7"/>
      <c r="Z242" s="350" t="s">
        <v>4909</v>
      </c>
      <c r="AA242" s="351" t="s">
        <v>2411</v>
      </c>
      <c r="AB242" s="16">
        <v>46141</v>
      </c>
      <c r="AC242" s="350" t="s">
        <v>3083</v>
      </c>
      <c r="AD242" s="1">
        <f>VLOOKUP(ENTRADAS71417[[#This Row],[CÓDIGO]],PRODUCTOS31316[],2,FALSE)</f>
        <v>0</v>
      </c>
      <c r="AE242" s="1" t="str">
        <f>VLOOKUP(ENTRADAS71417[[#This Row],[CÓDIGO]],PRODUCTOS31316[],3,FALSE)</f>
        <v>RECTAL PROBE INTRODUCER</v>
      </c>
      <c r="AF242" s="2">
        <v>2</v>
      </c>
      <c r="AG242" s="2"/>
      <c r="AH242" s="2"/>
    </row>
    <row r="243" spans="1:34" ht="49.95" customHeight="1" x14ac:dyDescent="0.3">
      <c r="A243" s="2" t="s">
        <v>916</v>
      </c>
      <c r="C243" s="1" t="s">
        <v>917</v>
      </c>
      <c r="D243" s="1" t="s">
        <v>918</v>
      </c>
      <c r="E243" s="1" t="s">
        <v>156</v>
      </c>
      <c r="F243" s="1" t="s">
        <v>30</v>
      </c>
      <c r="G243" s="2">
        <v>0</v>
      </c>
      <c r="H243" s="14">
        <f>SUMIF(ENTRADAS71417[CÓDIGO],PRODUCTOS31316[[#This Row],[CÓDIGO]],ENTRADAS71417[CANTIDAD])</f>
        <v>0</v>
      </c>
      <c r="I243" s="11">
        <f>SUMIF(SALIDAS111518[CÓDIGO],PRODUCTOS31316[[#This Row],[CÓDIGO]],SALIDAS111518[CANTIDAD])</f>
        <v>0</v>
      </c>
      <c r="J243" s="6">
        <f>PRODUCTOS31316[[#This Row],[EXISTENCIAS]]+PRODUCTOS31316[[#This Row],[ENTRADAS]]-PRODUCTOS31316[[#This Row],[SALIDAS]]</f>
        <v>0</v>
      </c>
      <c r="L243" s="282"/>
      <c r="M243" s="282"/>
      <c r="N243" s="276">
        <v>7757</v>
      </c>
      <c r="O243" s="282" t="s">
        <v>3838</v>
      </c>
      <c r="P243" s="16">
        <v>45680</v>
      </c>
      <c r="Q243" s="282" t="s">
        <v>2364</v>
      </c>
      <c r="R243" s="2">
        <f>VLOOKUP(SALIDAS111518[[#This Row],[CÓDIGO]],PRODUCTOS31316[],2,FALSE)</f>
        <v>0</v>
      </c>
      <c r="S243" s="1" t="str">
        <f>VLOOKUP(SALIDAS111518[[#This Row],[CÓDIGO]],PRODUCTOS31316[],3,FALSE)</f>
        <v>CORTAPAJILLAS WTA</v>
      </c>
      <c r="T243" s="2">
        <v>1</v>
      </c>
      <c r="U243" s="2"/>
      <c r="V243" s="2"/>
      <c r="W243" s="282"/>
      <c r="X243" s="2"/>
      <c r="Y243" s="7"/>
      <c r="Z243" s="350" t="s">
        <v>4909</v>
      </c>
      <c r="AA243" s="351" t="s">
        <v>2411</v>
      </c>
      <c r="AB243" s="16">
        <v>46141</v>
      </c>
      <c r="AC243" s="350" t="s">
        <v>1368</v>
      </c>
      <c r="AD243" s="1" t="str">
        <f>VLOOKUP(ENTRADAS71417[[#This Row],[CÓDIGO]],PRODUCTOS31316[],2,FALSE)</f>
        <v>L 60</v>
      </c>
      <c r="AE243" s="1" t="str">
        <f>VLOOKUP(ENTRADAS71417[[#This Row],[CÓDIGO]],PRODUCTOS31316[],3,FALSE)</f>
        <v>SONDA MICRO CONVEXA</v>
      </c>
      <c r="AF243" s="2">
        <v>1</v>
      </c>
      <c r="AG243" s="2"/>
      <c r="AH243" s="2"/>
    </row>
    <row r="244" spans="1:34" ht="49.95" customHeight="1" x14ac:dyDescent="0.3">
      <c r="A244" s="2" t="s">
        <v>920</v>
      </c>
      <c r="B244" s="1" t="s">
        <v>921</v>
      </c>
      <c r="C244" s="1" t="s">
        <v>922</v>
      </c>
      <c r="D244" s="1" t="s">
        <v>163</v>
      </c>
      <c r="E244" s="1" t="s">
        <v>177</v>
      </c>
      <c r="F244" s="1" t="s">
        <v>641</v>
      </c>
      <c r="G244" s="2">
        <v>0</v>
      </c>
      <c r="H244" s="14">
        <f>SUMIF(ENTRADAS71417[CÓDIGO],PRODUCTOS31316[[#This Row],[CÓDIGO]],ENTRADAS71417[CANTIDAD])</f>
        <v>0</v>
      </c>
      <c r="I244" s="11">
        <f>SUMIF(SALIDAS111518[CÓDIGO],PRODUCTOS31316[[#This Row],[CÓDIGO]],SALIDAS111518[CANTIDAD])</f>
        <v>0</v>
      </c>
      <c r="J244" s="6">
        <f>PRODUCTOS31316[[#This Row],[EXISTENCIAS]]+PRODUCTOS31316[[#This Row],[ENTRADAS]]-PRODUCTOS31316[[#This Row],[SALIDAS]]</f>
        <v>0</v>
      </c>
      <c r="L244" s="282" t="s">
        <v>3520</v>
      </c>
      <c r="M244" s="282" t="s">
        <v>3653</v>
      </c>
      <c r="N244" s="283" t="s">
        <v>3863</v>
      </c>
      <c r="O244" s="282" t="s">
        <v>3839</v>
      </c>
      <c r="P244" s="285">
        <v>46048</v>
      </c>
      <c r="Q244" s="282" t="s">
        <v>2412</v>
      </c>
      <c r="R244" s="2" t="str">
        <f>VLOOKUP(SALIDAS111518[[#This Row],[CÓDIGO]],PRODUCTOS31316[],2,FALSE)</f>
        <v>PTC</v>
      </c>
      <c r="S244" s="1" t="str">
        <f>VLOOKUP(SALIDAS111518[[#This Row],[CÓDIGO]],PRODUCTOS31316[],3,FALSE)</f>
        <v>PISTOLA DE INSEMINACIÓN ARTIFICIAL CON CÁMARA</v>
      </c>
      <c r="T244" s="2">
        <v>1</v>
      </c>
      <c r="U244" s="2">
        <v>112</v>
      </c>
      <c r="V244" s="2"/>
      <c r="W244" s="282"/>
      <c r="X244" s="2"/>
      <c r="Y244" s="7"/>
      <c r="Z244" s="350" t="s">
        <v>4909</v>
      </c>
      <c r="AA244" s="351" t="s">
        <v>2411</v>
      </c>
      <c r="AB244" s="16">
        <v>46141</v>
      </c>
      <c r="AC244" s="369" t="s">
        <v>3286</v>
      </c>
      <c r="AD244" s="1">
        <f>VLOOKUP(ENTRADAS71417[[#This Row],[CÓDIGO]],PRODUCTOS31316[],2,FALSE)</f>
        <v>0</v>
      </c>
      <c r="AE244" s="1" t="str">
        <f>VLOOKUP(ENTRADAS71417[[#This Row],[CÓDIGO]],PRODUCTOS31316[],3,FALSE)</f>
        <v>CARCASA TABLET BMV</v>
      </c>
      <c r="AF244" s="2">
        <v>8</v>
      </c>
      <c r="AG244" s="2"/>
      <c r="AH244" s="2"/>
    </row>
    <row r="245" spans="1:34" ht="49.95" customHeight="1" x14ac:dyDescent="0.3">
      <c r="A245" s="2" t="s">
        <v>925</v>
      </c>
      <c r="B245" s="1" t="s">
        <v>926</v>
      </c>
      <c r="C245" s="1" t="s">
        <v>927</v>
      </c>
      <c r="D245" s="1" t="s">
        <v>769</v>
      </c>
      <c r="E245" s="1" t="s">
        <v>183</v>
      </c>
      <c r="F245" s="1" t="s">
        <v>146</v>
      </c>
      <c r="G245" s="2">
        <v>0</v>
      </c>
      <c r="H245" s="14">
        <f>SUMIF(ENTRADAS71417[CÓDIGO],PRODUCTOS31316[[#This Row],[CÓDIGO]],ENTRADAS71417[CANTIDAD])</f>
        <v>0</v>
      </c>
      <c r="I245" s="11">
        <f>SUMIF(SALIDAS111518[CÓDIGO],PRODUCTOS31316[[#This Row],[CÓDIGO]],SALIDAS111518[CANTIDAD])</f>
        <v>0</v>
      </c>
      <c r="J245" s="6">
        <f>PRODUCTOS31316[[#This Row],[EXISTENCIAS]]+PRODUCTOS31316[[#This Row],[ENTRADAS]]-PRODUCTOS31316[[#This Row],[SALIDAS]]</f>
        <v>0</v>
      </c>
      <c r="L245" s="282" t="s">
        <v>3520</v>
      </c>
      <c r="M245" s="282" t="s">
        <v>3653</v>
      </c>
      <c r="N245" s="283" t="s">
        <v>3864</v>
      </c>
      <c r="O245" s="283" t="s">
        <v>2937</v>
      </c>
      <c r="P245" s="285">
        <v>46045</v>
      </c>
      <c r="Q245" s="282" t="s">
        <v>104</v>
      </c>
      <c r="R245" s="2">
        <f>VLOOKUP(SALIDAS111518[[#This Row],[CÓDIGO]],PRODUCTOS31316[],2,FALSE)</f>
        <v>0</v>
      </c>
      <c r="S245" s="1" t="str">
        <f>VLOOKUP(SALIDAS111518[[#This Row],[CÓDIGO]],PRODUCTOS31316[],3,FALSE)</f>
        <v>ISPERM CHIPS (500 TESTS PER BOX) PAQ. X 50 UND</v>
      </c>
      <c r="T245" s="2">
        <v>1</v>
      </c>
      <c r="U245" s="2">
        <v>113</v>
      </c>
      <c r="V245" s="2"/>
      <c r="W245" s="282"/>
      <c r="X245" s="2"/>
      <c r="Y245" s="7"/>
      <c r="Z245" s="364" t="s">
        <v>5004</v>
      </c>
      <c r="AA245" s="359" t="s">
        <v>3795</v>
      </c>
      <c r="AB245" s="16">
        <v>46146</v>
      </c>
      <c r="AC245" s="360" t="s">
        <v>3791</v>
      </c>
      <c r="AD245" s="1">
        <f>VLOOKUP(ENTRADAS71417[[#This Row],[CÓDIGO]],PRODUCTOS31316[],2,FALSE)</f>
        <v>6936520864546</v>
      </c>
      <c r="AE245" s="1" t="str">
        <f>VLOOKUP(ENTRADAS71417[[#This Row],[CÓDIGO]],PRODUCTOS31316[],3,FALSE)</f>
        <v>TABLET 11" HONOR PAD X8A 128 GB</v>
      </c>
      <c r="AF245" s="31">
        <v>1</v>
      </c>
      <c r="AG245" s="364" t="s">
        <v>5009</v>
      </c>
      <c r="AH245" s="2">
        <v>104</v>
      </c>
    </row>
    <row r="246" spans="1:34" ht="49.95" customHeight="1" x14ac:dyDescent="0.3">
      <c r="A246" s="2" t="s">
        <v>929</v>
      </c>
      <c r="B246" s="1">
        <v>614616</v>
      </c>
      <c r="C246" s="1" t="s">
        <v>930</v>
      </c>
      <c r="D246" s="1" t="s">
        <v>166</v>
      </c>
      <c r="E246" s="1" t="s">
        <v>24</v>
      </c>
      <c r="F246" s="1" t="s">
        <v>30</v>
      </c>
      <c r="G246" s="2">
        <v>0</v>
      </c>
      <c r="H246" s="14">
        <f>SUMIF(ENTRADAS71417[CÓDIGO],PRODUCTOS31316[[#This Row],[CÓDIGO]],ENTRADAS71417[CANTIDAD])</f>
        <v>0</v>
      </c>
      <c r="I246" s="11">
        <f>SUMIF(SALIDAS111518[CÓDIGO],PRODUCTOS31316[[#This Row],[CÓDIGO]],SALIDAS111518[CANTIDAD])</f>
        <v>0</v>
      </c>
      <c r="J246" s="6">
        <f>PRODUCTOS31316[[#This Row],[EXISTENCIAS]]+PRODUCTOS31316[[#This Row],[ENTRADAS]]-PRODUCTOS31316[[#This Row],[SALIDAS]]</f>
        <v>0</v>
      </c>
      <c r="L246" s="282"/>
      <c r="M246" s="282"/>
      <c r="N246" s="276">
        <v>7758</v>
      </c>
      <c r="O246" s="283" t="s">
        <v>2937</v>
      </c>
      <c r="P246" s="285">
        <v>46045</v>
      </c>
      <c r="Q246" s="282" t="s">
        <v>2232</v>
      </c>
      <c r="R246" s="2">
        <f>VLOOKUP(SALIDAS111518[[#This Row],[CÓDIGO]],PRODUCTOS31316[],2,FALSE)</f>
        <v>0</v>
      </c>
      <c r="S246" s="1" t="str">
        <f>VLOOKUP(SALIDAS111518[[#This Row],[CÓDIGO]],PRODUCTOS31316[],3,FALSE)</f>
        <v>CONO RECOLECTOR</v>
      </c>
      <c r="T246" s="2">
        <v>1</v>
      </c>
      <c r="U246" s="2"/>
      <c r="V246" s="2"/>
      <c r="W246" s="282"/>
      <c r="X246" s="2"/>
      <c r="Y246" s="7"/>
      <c r="Z246" s="364" t="s">
        <v>5005</v>
      </c>
      <c r="AA246" s="359" t="s">
        <v>3795</v>
      </c>
      <c r="AB246" s="16">
        <v>46146</v>
      </c>
      <c r="AC246" s="360" t="s">
        <v>3791</v>
      </c>
      <c r="AD246" s="1">
        <f>VLOOKUP(ENTRADAS71417[[#This Row],[CÓDIGO]],PRODUCTOS31316[],2,FALSE)</f>
        <v>6936520864546</v>
      </c>
      <c r="AE246" s="1" t="str">
        <f>VLOOKUP(ENTRADAS71417[[#This Row],[CÓDIGO]],PRODUCTOS31316[],3,FALSE)</f>
        <v>TABLET 11" HONOR PAD X8A 128 GB</v>
      </c>
      <c r="AF246" s="2">
        <v>3</v>
      </c>
      <c r="AG246" s="2"/>
      <c r="AH246" s="2">
        <v>105</v>
      </c>
    </row>
    <row r="247" spans="1:34" ht="49.95" customHeight="1" x14ac:dyDescent="0.3">
      <c r="A247" s="2" t="s">
        <v>933</v>
      </c>
      <c r="B247" s="1" t="s">
        <v>934</v>
      </c>
      <c r="C247" s="1" t="s">
        <v>935</v>
      </c>
      <c r="D247" s="1" t="s">
        <v>166</v>
      </c>
      <c r="E247" s="1" t="s">
        <v>936</v>
      </c>
      <c r="F247" s="1" t="s">
        <v>30</v>
      </c>
      <c r="G247" s="2">
        <v>0</v>
      </c>
      <c r="H247" s="14">
        <f>SUMIF(ENTRADAS71417[CÓDIGO],PRODUCTOS31316[[#This Row],[CÓDIGO]],ENTRADAS71417[CANTIDAD])</f>
        <v>0</v>
      </c>
      <c r="I247" s="11">
        <f>SUMIF(SALIDAS111518[CÓDIGO],PRODUCTOS31316[[#This Row],[CÓDIGO]],SALIDAS111518[CANTIDAD])</f>
        <v>0</v>
      </c>
      <c r="J247" s="6">
        <f>PRODUCTOS31316[[#This Row],[EXISTENCIAS]]+PRODUCTOS31316[[#This Row],[ENTRADAS]]-PRODUCTOS31316[[#This Row],[SALIDAS]]</f>
        <v>0</v>
      </c>
      <c r="L247" s="282" t="s">
        <v>3520</v>
      </c>
      <c r="M247" s="282" t="s">
        <v>3653</v>
      </c>
      <c r="N247" s="283" t="s">
        <v>3866</v>
      </c>
      <c r="O247" s="283" t="s">
        <v>2705</v>
      </c>
      <c r="P247" s="16">
        <v>46045</v>
      </c>
      <c r="Q247" s="282" t="s">
        <v>602</v>
      </c>
      <c r="R247" s="2">
        <f>VLOOKUP(SALIDAS111518[[#This Row],[CÓDIGO]],PRODUCTOS31316[],2,FALSE)</f>
        <v>4845</v>
      </c>
      <c r="S247" s="1" t="str">
        <f>VLOOKUP(SALIDAS111518[[#This Row],[CÓDIGO]],PRODUCTOS31316[],3,FALSE)</f>
        <v>PUNTAS AMARILLAS, UNIVERSALES. PLASTICAS, NO ESTERIL. LIBRES DE RNASE, DNASE Y PYROGENOS. RANGO DE 1-200UL. BOLSA X1000UDS.</v>
      </c>
      <c r="T247" s="2">
        <v>5</v>
      </c>
      <c r="U247" s="2">
        <v>116</v>
      </c>
      <c r="V247" s="2" t="s">
        <v>2709</v>
      </c>
      <c r="W247" s="282"/>
      <c r="X247" s="2"/>
      <c r="Y247" s="7"/>
      <c r="Z247" s="2">
        <v>16594</v>
      </c>
      <c r="AA247" s="359" t="s">
        <v>2744</v>
      </c>
      <c r="AB247" s="16">
        <v>46147</v>
      </c>
      <c r="AC247" s="360" t="s">
        <v>2306</v>
      </c>
      <c r="AD247" s="1">
        <f>VLOOKUP(ENTRADAS71417[[#This Row],[CÓDIGO]],PRODUCTOS31316[],2,FALSE)</f>
        <v>0</v>
      </c>
      <c r="AE247" s="1" t="str">
        <f>VLOOKUP(ENTRADAS71417[[#This Row],[CÓDIGO]],PRODUCTOS31316[],3,FALSE)</f>
        <v>ESCALERILLAS METÁLICAS DE 10 MM</v>
      </c>
      <c r="AF247" s="2">
        <v>10</v>
      </c>
      <c r="AG247" s="2"/>
      <c r="AH247" s="2">
        <v>110</v>
      </c>
    </row>
    <row r="248" spans="1:34" ht="49.95" customHeight="1" x14ac:dyDescent="0.3">
      <c r="A248" s="2" t="s">
        <v>937</v>
      </c>
      <c r="B248" s="1" t="s">
        <v>938</v>
      </c>
      <c r="C248" s="1" t="s">
        <v>939</v>
      </c>
      <c r="D248" s="1" t="s">
        <v>166</v>
      </c>
      <c r="E248" s="1" t="s">
        <v>936</v>
      </c>
      <c r="F248" s="1" t="s">
        <v>30</v>
      </c>
      <c r="G248" s="2">
        <v>0</v>
      </c>
      <c r="H248" s="14">
        <f>SUMIF(ENTRADAS71417[CÓDIGO],PRODUCTOS31316[[#This Row],[CÓDIGO]],ENTRADAS71417[CANTIDAD])</f>
        <v>0</v>
      </c>
      <c r="I248" s="11">
        <f>SUMIF(SALIDAS111518[CÓDIGO],PRODUCTOS31316[[#This Row],[CÓDIGO]],SALIDAS111518[CANTIDAD])</f>
        <v>0</v>
      </c>
      <c r="J248" s="6">
        <f>PRODUCTOS31316[[#This Row],[EXISTENCIAS]]+PRODUCTOS31316[[#This Row],[ENTRADAS]]-PRODUCTOS31316[[#This Row],[SALIDAS]]</f>
        <v>0</v>
      </c>
      <c r="L248" s="282"/>
      <c r="M248" s="282"/>
      <c r="N248" s="276">
        <v>7762</v>
      </c>
      <c r="O248" s="283" t="s">
        <v>2705</v>
      </c>
      <c r="P248" s="16">
        <v>46045</v>
      </c>
      <c r="Q248" s="282" t="s">
        <v>3322</v>
      </c>
      <c r="R248" s="2">
        <f>VLOOKUP(SALIDAS111518[[#This Row],[CÓDIGO]],PRODUCTOS31316[],2,FALSE)</f>
        <v>9014001</v>
      </c>
      <c r="S248" s="1" t="str">
        <f>VLOOKUP(SALIDAS111518[[#This Row],[CÓDIGO]],PRODUCTOS31316[],3,FALSE)</f>
        <v>MICROFILTRO 0,75 uM</v>
      </c>
      <c r="T248" s="2">
        <v>10</v>
      </c>
      <c r="U248" s="2"/>
      <c r="V248" s="2"/>
      <c r="W248" s="282"/>
      <c r="X248" s="2"/>
      <c r="Y248" s="7"/>
      <c r="Z248" s="2">
        <v>16595</v>
      </c>
      <c r="AA248" s="359" t="s">
        <v>2744</v>
      </c>
      <c r="AB248" s="16">
        <v>46147</v>
      </c>
      <c r="AC248" s="360" t="s">
        <v>819</v>
      </c>
      <c r="AD248" s="1">
        <f>VLOOKUP(ENTRADAS71417[[#This Row],[CÓDIGO]],PRODUCTOS31316[],2,FALSE)</f>
        <v>0</v>
      </c>
      <c r="AE248" s="1" t="str">
        <f>VLOOKUP(ENTRADAS71417[[#This Row],[CÓDIGO]],PRODUCTOS31316[],3,FALSE)</f>
        <v>GOBLET DE 13 MM AMARILLO</v>
      </c>
      <c r="AF248" s="2">
        <v>10</v>
      </c>
      <c r="AG248" s="2"/>
      <c r="AH248" s="2">
        <v>111</v>
      </c>
    </row>
    <row r="249" spans="1:34" ht="49.95" customHeight="1" x14ac:dyDescent="0.3">
      <c r="A249" s="2" t="s">
        <v>940</v>
      </c>
      <c r="B249" s="1" t="s">
        <v>941</v>
      </c>
      <c r="C249" s="1" t="s">
        <v>942</v>
      </c>
      <c r="D249" s="1" t="s">
        <v>380</v>
      </c>
      <c r="E249" s="1" t="s">
        <v>381</v>
      </c>
      <c r="F249" s="1" t="s">
        <v>30</v>
      </c>
      <c r="G249" s="2">
        <v>0</v>
      </c>
      <c r="H249" s="14">
        <f>SUMIF(ENTRADAS71417[CÓDIGO],PRODUCTOS31316[[#This Row],[CÓDIGO]],ENTRADAS71417[CANTIDAD])</f>
        <v>0</v>
      </c>
      <c r="I249" s="11">
        <f>SUMIF(SALIDAS111518[CÓDIGO],PRODUCTOS31316[[#This Row],[CÓDIGO]],SALIDAS111518[CANTIDAD])</f>
        <v>0</v>
      </c>
      <c r="J249" s="6">
        <f>PRODUCTOS31316[[#This Row],[EXISTENCIAS]]+PRODUCTOS31316[[#This Row],[ENTRADAS]]-PRODUCTOS31316[[#This Row],[SALIDAS]]</f>
        <v>0</v>
      </c>
      <c r="L249" s="282" t="s">
        <v>3520</v>
      </c>
      <c r="M249" s="282" t="s">
        <v>3653</v>
      </c>
      <c r="N249" s="282" t="s">
        <v>3867</v>
      </c>
      <c r="O249" s="282" t="s">
        <v>3103</v>
      </c>
      <c r="P249" s="16">
        <v>46045</v>
      </c>
      <c r="Q249" s="282" t="s">
        <v>2433</v>
      </c>
      <c r="R249" s="2">
        <f>VLOOKUP(SALIDAS111518[[#This Row],[CÓDIGO]],PRODUCTOS31316[],2,FALSE)</f>
        <v>0</v>
      </c>
      <c r="S249" s="1" t="str">
        <f>VLOOKUP(SALIDAS111518[[#This Row],[CÓDIGO]],PRODUCTOS31316[],3,FALSE)</f>
        <v>SONDA LINEAL RECTAL DAWEI</v>
      </c>
      <c r="T249" s="2">
        <v>1</v>
      </c>
      <c r="U249" s="2">
        <v>118</v>
      </c>
      <c r="V249" s="2"/>
      <c r="W249" s="282"/>
      <c r="X249" s="2"/>
      <c r="Y249" s="7"/>
      <c r="Z249" s="2">
        <v>16595</v>
      </c>
      <c r="AA249" s="359" t="s">
        <v>2744</v>
      </c>
      <c r="AB249" s="16">
        <v>46147</v>
      </c>
      <c r="AC249" s="360" t="s">
        <v>411</v>
      </c>
      <c r="AD249" s="1">
        <f>VLOOKUP(ENTRADAS71417[[#This Row],[CÓDIGO]],PRODUCTOS31316[],2,FALSE)</f>
        <v>0</v>
      </c>
      <c r="AE249" s="1" t="str">
        <f>VLOOKUP(ENTRADAS71417[[#This Row],[CÓDIGO]],PRODUCTOS31316[],3,FALSE)</f>
        <v>BOLSA WHIRL-PAK 4 oz</v>
      </c>
      <c r="AF249" s="2">
        <v>1000</v>
      </c>
      <c r="AG249" s="2"/>
      <c r="AH249" s="2"/>
    </row>
    <row r="250" spans="1:34" ht="49.95" customHeight="1" x14ac:dyDescent="0.3">
      <c r="A250" s="2" t="s">
        <v>943</v>
      </c>
      <c r="B250" s="1" t="s">
        <v>944</v>
      </c>
      <c r="C250" s="1" t="s">
        <v>945</v>
      </c>
      <c r="E250" s="1" t="s">
        <v>946</v>
      </c>
      <c r="F250" s="1" t="s">
        <v>30</v>
      </c>
      <c r="G250" s="2">
        <v>0</v>
      </c>
      <c r="H250" s="14">
        <f>SUMIF(ENTRADAS71417[CÓDIGO],PRODUCTOS31316[[#This Row],[CÓDIGO]],ENTRADAS71417[CANTIDAD])</f>
        <v>0</v>
      </c>
      <c r="I250" s="11">
        <f>SUMIF(SALIDAS111518[CÓDIGO],PRODUCTOS31316[[#This Row],[CÓDIGO]],SALIDAS111518[CANTIDAD])</f>
        <v>0</v>
      </c>
      <c r="J250" s="6">
        <f>PRODUCTOS31316[[#This Row],[EXISTENCIAS]]+PRODUCTOS31316[[#This Row],[ENTRADAS]]-PRODUCTOS31316[[#This Row],[SALIDAS]]</f>
        <v>0</v>
      </c>
      <c r="L250" s="282" t="s">
        <v>3520</v>
      </c>
      <c r="M250" s="282" t="s">
        <v>3653</v>
      </c>
      <c r="N250" s="283" t="s">
        <v>3868</v>
      </c>
      <c r="O250" s="282" t="s">
        <v>2801</v>
      </c>
      <c r="P250" s="16">
        <v>46048</v>
      </c>
      <c r="Q250" s="282" t="s">
        <v>366</v>
      </c>
      <c r="R250" s="2">
        <f>VLOOKUP(SALIDAS111518[[#This Row],[CÓDIGO]],PRODUCTOS31316[],2,FALSE)</f>
        <v>505003</v>
      </c>
      <c r="S250" s="1" t="str">
        <f>VLOOKUP(SALIDAS111518[[#This Row],[CÓDIGO]],PRODUCTOS31316[],3,FALSE)</f>
        <v>LACRADOR REDONDO BLANCO</v>
      </c>
      <c r="T250" s="2">
        <v>9</v>
      </c>
      <c r="U250" s="2">
        <v>119</v>
      </c>
      <c r="V250" s="2"/>
      <c r="W250" s="282"/>
      <c r="X250" s="2"/>
      <c r="Y250" s="7"/>
      <c r="Z250" s="2">
        <v>16595</v>
      </c>
      <c r="AA250" s="359" t="s">
        <v>2744</v>
      </c>
      <c r="AB250" s="16">
        <v>46147</v>
      </c>
      <c r="AC250" s="360" t="s">
        <v>2295</v>
      </c>
      <c r="AD250" s="1" t="str">
        <f>VLOOKUP(ENTRADAS71417[[#This Row],[CÓDIGO]],PRODUCTOS31316[],2,FALSE)</f>
        <v>B00992</v>
      </c>
      <c r="AE250" s="1" t="str">
        <f>VLOOKUP(ENTRADAS71417[[#This Row],[CÓDIGO]],PRODUCTOS31316[],3,FALSE)</f>
        <v>BOLSA WHRIL-PAK 7 OZ</v>
      </c>
      <c r="AF250" s="2">
        <v>1000</v>
      </c>
      <c r="AG250" s="2"/>
      <c r="AH250" s="2"/>
    </row>
    <row r="251" spans="1:34" ht="49.95" customHeight="1" x14ac:dyDescent="0.3">
      <c r="A251" s="2" t="s">
        <v>947</v>
      </c>
      <c r="B251" s="1">
        <v>90009000003</v>
      </c>
      <c r="C251" s="1" t="s">
        <v>948</v>
      </c>
      <c r="D251" s="1" t="s">
        <v>156</v>
      </c>
      <c r="E251" s="1" t="s">
        <v>157</v>
      </c>
      <c r="F251" s="1" t="s">
        <v>949</v>
      </c>
      <c r="G251" s="2">
        <v>0</v>
      </c>
      <c r="H251" s="14">
        <f>SUMIF(ENTRADAS71417[CÓDIGO],PRODUCTOS31316[[#This Row],[CÓDIGO]],ENTRADAS71417[CANTIDAD])</f>
        <v>0</v>
      </c>
      <c r="I251" s="11">
        <f>SUMIF(SALIDAS111518[CÓDIGO],PRODUCTOS31316[[#This Row],[CÓDIGO]],SALIDAS111518[CANTIDAD])</f>
        <v>0</v>
      </c>
      <c r="J251" s="6">
        <f>PRODUCTOS31316[[#This Row],[EXISTENCIAS]]+PRODUCTOS31316[[#This Row],[ENTRADAS]]-PRODUCTOS31316[[#This Row],[SALIDAS]]</f>
        <v>0</v>
      </c>
      <c r="L251" s="282"/>
      <c r="M251" s="282"/>
      <c r="N251" s="276">
        <v>7763</v>
      </c>
      <c r="O251" s="282" t="s">
        <v>2801</v>
      </c>
      <c r="P251" s="16">
        <v>46048</v>
      </c>
      <c r="Q251" s="282" t="s">
        <v>3165</v>
      </c>
      <c r="R251" s="2">
        <f>VLOOKUP(SALIDAS111518[[#This Row],[CÓDIGO]],PRODUCTOS31316[],2,FALSE)</f>
        <v>30943</v>
      </c>
      <c r="S251" s="1" t="str">
        <f>VLOOKUP(SALIDAS111518[[#This Row],[CÓDIGO]],PRODUCTOS31316[],3,FALSE)</f>
        <v xml:space="preserve">CAJA PETRI DESECHABLE ESTERIL 90X 15 </v>
      </c>
      <c r="T251" s="2">
        <v>10</v>
      </c>
      <c r="U251" s="2"/>
      <c r="V251" s="2"/>
      <c r="W251" s="282"/>
      <c r="X251" s="2"/>
      <c r="Y251" s="7"/>
      <c r="Z251" s="364" t="s">
        <v>5006</v>
      </c>
      <c r="AA251" s="359" t="s">
        <v>3795</v>
      </c>
      <c r="AB251" s="16">
        <v>46149</v>
      </c>
      <c r="AC251" s="364" t="s">
        <v>3791</v>
      </c>
      <c r="AD251" s="1">
        <f>VLOOKUP(ENTRADAS71417[[#This Row],[CÓDIGO]],PRODUCTOS31316[],2,FALSE)</f>
        <v>6936520864546</v>
      </c>
      <c r="AE251" s="1" t="str">
        <f>VLOOKUP(ENTRADAS71417[[#This Row],[CÓDIGO]],PRODUCTOS31316[],3,FALSE)</f>
        <v>TABLET 11" HONOR PAD X8A 128 GB</v>
      </c>
      <c r="AF251" s="2">
        <v>3</v>
      </c>
      <c r="AG251" s="2"/>
      <c r="AH251" s="2">
        <v>106</v>
      </c>
    </row>
    <row r="252" spans="1:34" ht="49.95" customHeight="1" x14ac:dyDescent="0.3">
      <c r="A252" s="2" t="s">
        <v>950</v>
      </c>
      <c r="C252" s="1" t="s">
        <v>951</v>
      </c>
      <c r="D252" s="1" t="s">
        <v>839</v>
      </c>
      <c r="E252" s="1" t="s">
        <v>952</v>
      </c>
      <c r="F252" s="1" t="s">
        <v>953</v>
      </c>
      <c r="G252" s="2">
        <v>0</v>
      </c>
      <c r="H252" s="14">
        <f>SUMIF(ENTRADAS71417[CÓDIGO],PRODUCTOS31316[[#This Row],[CÓDIGO]],ENTRADAS71417[CANTIDAD])</f>
        <v>0</v>
      </c>
      <c r="I252" s="11">
        <f>SUMIF(SALIDAS111518[CÓDIGO],PRODUCTOS31316[[#This Row],[CÓDIGO]],SALIDAS111518[CANTIDAD])</f>
        <v>0</v>
      </c>
      <c r="J252" s="6">
        <f>PRODUCTOS31316[[#This Row],[EXISTENCIAS]]+PRODUCTOS31316[[#This Row],[ENTRADAS]]-PRODUCTOS31316[[#This Row],[SALIDAS]]</f>
        <v>0</v>
      </c>
      <c r="L252" s="282"/>
      <c r="M252" s="282"/>
      <c r="N252" s="276">
        <v>7763</v>
      </c>
      <c r="O252" s="282" t="s">
        <v>2801</v>
      </c>
      <c r="P252" s="16">
        <v>46048</v>
      </c>
      <c r="Q252" s="282" t="s">
        <v>3703</v>
      </c>
      <c r="R252" s="2" t="str">
        <f>VLOOKUP(SALIDAS111518[[#This Row],[CÓDIGO]],PRODUCTOS31316[],2,FALSE)</f>
        <v>13407-010</v>
      </c>
      <c r="S252" s="1" t="str">
        <f>VLOOKUP(SALIDAS111518[[#This Row],[CÓDIGO]],PRODUCTOS31316[],3,FALSE)</f>
        <v>PAJUELA TRANSPARENTES 0.25/ PAQ. X 2000 MARCA MINITUBE</v>
      </c>
      <c r="T252" s="2">
        <v>1</v>
      </c>
      <c r="U252" s="2"/>
      <c r="V252" s="2"/>
      <c r="W252" s="282"/>
      <c r="X252" s="2"/>
      <c r="Y252" s="7"/>
      <c r="Z252" s="364" t="s">
        <v>5007</v>
      </c>
      <c r="AA252" s="359" t="s">
        <v>3795</v>
      </c>
      <c r="AB252" s="16">
        <v>46149</v>
      </c>
      <c r="AC252" s="364" t="s">
        <v>3791</v>
      </c>
      <c r="AD252" s="1">
        <f>VLOOKUP(ENTRADAS71417[[#This Row],[CÓDIGO]],PRODUCTOS31316[],2,FALSE)</f>
        <v>6936520864546</v>
      </c>
      <c r="AE252" s="1" t="str">
        <f>VLOOKUP(ENTRADAS71417[[#This Row],[CÓDIGO]],PRODUCTOS31316[],3,FALSE)</f>
        <v>TABLET 11" HONOR PAD X8A 128 GB</v>
      </c>
      <c r="AF252" s="2">
        <v>3</v>
      </c>
      <c r="AG252" s="2"/>
      <c r="AH252" s="2">
        <v>107</v>
      </c>
    </row>
    <row r="253" spans="1:34" ht="49.95" customHeight="1" x14ac:dyDescent="0.3">
      <c r="A253" s="203" t="s">
        <v>75</v>
      </c>
      <c r="B253" s="257" t="s">
        <v>954</v>
      </c>
      <c r="C253" s="1" t="s">
        <v>955</v>
      </c>
      <c r="D253" s="1" t="s">
        <v>956</v>
      </c>
      <c r="E253" s="1" t="s">
        <v>957</v>
      </c>
      <c r="F253" s="1" t="s">
        <v>172</v>
      </c>
      <c r="G253" s="31">
        <v>384</v>
      </c>
      <c r="H253" s="14">
        <f>SUMIF(ENTRADAS71417[CÓDIGO],PRODUCTOS31316[[#This Row],[CÓDIGO]],ENTRADAS71417[CANTIDAD])</f>
        <v>0</v>
      </c>
      <c r="I253" s="11">
        <f>SUMIF(SALIDAS111518[CÓDIGO],PRODUCTOS31316[[#This Row],[CÓDIGO]],SALIDAS111518[CANTIDAD])</f>
        <v>384</v>
      </c>
      <c r="J253" s="6">
        <f>PRODUCTOS31316[[#This Row],[EXISTENCIAS]]+PRODUCTOS31316[[#This Row],[ENTRADAS]]-PRODUCTOS31316[[#This Row],[SALIDAS]]</f>
        <v>0</v>
      </c>
      <c r="L253" s="282"/>
      <c r="M253" s="282"/>
      <c r="N253" s="276">
        <v>7763</v>
      </c>
      <c r="O253" s="282" t="s">
        <v>2801</v>
      </c>
      <c r="P253" s="16">
        <v>46048</v>
      </c>
      <c r="Q253" s="282" t="s">
        <v>3707</v>
      </c>
      <c r="R253" s="2" t="str">
        <f>VLOOKUP(SALIDAS111518[[#This Row],[CÓDIGO]],PRODUCTOS31316[],2,FALSE)</f>
        <v>13407-094</v>
      </c>
      <c r="S253" s="1" t="str">
        <f>VLOOKUP(SALIDAS111518[[#This Row],[CÓDIGO]],PRODUCTOS31316[],3,FALSE)</f>
        <v>PAJUELA AMARILLA 0.25/ PAQ. X 2000 MARCA MINITUBE</v>
      </c>
      <c r="T253" s="2">
        <v>1</v>
      </c>
      <c r="U253" s="2"/>
      <c r="V253" s="2"/>
      <c r="W253" s="282"/>
      <c r="X253" s="2"/>
      <c r="Y253" s="7"/>
      <c r="Z253" s="364" t="s">
        <v>5008</v>
      </c>
      <c r="AA253" s="359" t="s">
        <v>3795</v>
      </c>
      <c r="AB253" s="16">
        <v>46149</v>
      </c>
      <c r="AC253" s="364" t="s">
        <v>3791</v>
      </c>
      <c r="AD253" s="1">
        <f>VLOOKUP(ENTRADAS71417[[#This Row],[CÓDIGO]],PRODUCTOS31316[],2,FALSE)</f>
        <v>6936520864546</v>
      </c>
      <c r="AE253" s="1" t="str">
        <f>VLOOKUP(ENTRADAS71417[[#This Row],[CÓDIGO]],PRODUCTOS31316[],3,FALSE)</f>
        <v>TABLET 11" HONOR PAD X8A 128 GB</v>
      </c>
      <c r="AF253" s="2">
        <v>3</v>
      </c>
      <c r="AG253" s="2"/>
      <c r="AH253" s="2">
        <v>108</v>
      </c>
    </row>
    <row r="254" spans="1:34" ht="49.95" customHeight="1" x14ac:dyDescent="0.3">
      <c r="A254" s="2" t="s">
        <v>959</v>
      </c>
      <c r="B254" s="1" t="s">
        <v>960</v>
      </c>
      <c r="C254" s="1" t="s">
        <v>961</v>
      </c>
      <c r="D254" s="1" t="s">
        <v>639</v>
      </c>
      <c r="E254" s="1" t="s">
        <v>640</v>
      </c>
      <c r="F254" s="1" t="s">
        <v>908</v>
      </c>
      <c r="G254" s="2">
        <v>0</v>
      </c>
      <c r="H254" s="14">
        <f>SUMIF(ENTRADAS71417[CÓDIGO],PRODUCTOS31316[[#This Row],[CÓDIGO]],ENTRADAS71417[CANTIDAD])</f>
        <v>0</v>
      </c>
      <c r="I254" s="11">
        <f>SUMIF(SALIDAS111518[CÓDIGO],PRODUCTOS31316[[#This Row],[CÓDIGO]],SALIDAS111518[CANTIDAD])</f>
        <v>0</v>
      </c>
      <c r="J254" s="6">
        <f>PRODUCTOS31316[[#This Row],[EXISTENCIAS]]+PRODUCTOS31316[[#This Row],[ENTRADAS]]-PRODUCTOS31316[[#This Row],[SALIDAS]]</f>
        <v>0</v>
      </c>
      <c r="L254" s="282" t="s">
        <v>3521</v>
      </c>
      <c r="M254" s="282" t="s">
        <v>3653</v>
      </c>
      <c r="N254" s="283" t="s">
        <v>3869</v>
      </c>
      <c r="O254" s="282" t="s">
        <v>3841</v>
      </c>
      <c r="P254" s="16">
        <v>46048</v>
      </c>
      <c r="Q254" s="282" t="s">
        <v>2755</v>
      </c>
      <c r="R254" s="2" t="str">
        <f>VLOOKUP(SALIDAS111518[[#This Row],[CÓDIGO]],PRODUCTOS31316[],2,FALSE)</f>
        <v>MSLDO05</v>
      </c>
      <c r="S254" s="1" t="str">
        <f>VLOOKUP(SALIDAS111518[[#This Row],[CÓDIGO]],PRODUCTOS31316[],3,FALSE)</f>
        <v>TERMO DE RECOLECCIÓN DE SEMEN/ USO VETERINARIO</v>
      </c>
      <c r="T254" s="2">
        <v>1</v>
      </c>
      <c r="U254" s="2">
        <v>120</v>
      </c>
      <c r="V254" s="2"/>
      <c r="W254" s="282"/>
      <c r="X254" s="2"/>
      <c r="Y254" s="7"/>
      <c r="Z254" s="369" t="s">
        <v>5039</v>
      </c>
      <c r="AA254" s="1" t="s">
        <v>2322</v>
      </c>
      <c r="AB254" s="16">
        <v>46150</v>
      </c>
      <c r="AC254" s="2" t="s">
        <v>104</v>
      </c>
      <c r="AD254" s="1">
        <f>VLOOKUP(ENTRADAS71417[[#This Row],[CÓDIGO]],PRODUCTOS31316[],2,FALSE)</f>
        <v>0</v>
      </c>
      <c r="AE254" s="1" t="str">
        <f>VLOOKUP(ENTRADAS71417[[#This Row],[CÓDIGO]],PRODUCTOS31316[],3,FALSE)</f>
        <v>ISPERM CHIPS (500 TESTS PER BOX) PAQ. X 50 UND</v>
      </c>
      <c r="AF254" s="2">
        <v>240</v>
      </c>
      <c r="AG254" s="2"/>
      <c r="AH254" s="2">
        <v>112</v>
      </c>
    </row>
    <row r="255" spans="1:34" ht="49.95" customHeight="1" x14ac:dyDescent="0.3">
      <c r="A255" s="2" t="s">
        <v>962</v>
      </c>
      <c r="B255" s="1" t="s">
        <v>963</v>
      </c>
      <c r="C255" s="1" t="s">
        <v>964</v>
      </c>
      <c r="D255" s="1" t="s">
        <v>639</v>
      </c>
      <c r="E255" s="1" t="s">
        <v>640</v>
      </c>
      <c r="F255" s="1" t="s">
        <v>965</v>
      </c>
      <c r="G255" s="2">
        <v>0</v>
      </c>
      <c r="H255" s="14">
        <f>SUMIF(ENTRADAS71417[CÓDIGO],PRODUCTOS31316[[#This Row],[CÓDIGO]],ENTRADAS71417[CANTIDAD])</f>
        <v>0</v>
      </c>
      <c r="I255" s="11">
        <f>SUMIF(SALIDAS111518[CÓDIGO],PRODUCTOS31316[[#This Row],[CÓDIGO]],SALIDAS111518[CANTIDAD])</f>
        <v>0</v>
      </c>
      <c r="J255" s="6">
        <f>PRODUCTOS31316[[#This Row],[EXISTENCIAS]]+PRODUCTOS31316[[#This Row],[ENTRADAS]]-PRODUCTOS31316[[#This Row],[SALIDAS]]</f>
        <v>0</v>
      </c>
      <c r="L255" s="282" t="s">
        <v>3520</v>
      </c>
      <c r="M255" s="286">
        <v>45962</v>
      </c>
      <c r="N255" s="283" t="s">
        <v>3870</v>
      </c>
      <c r="O255" s="282" t="s">
        <v>2200</v>
      </c>
      <c r="P255" s="16">
        <v>45973</v>
      </c>
      <c r="Q255" s="282" t="s">
        <v>1356</v>
      </c>
      <c r="R255" s="2">
        <f>VLOOKUP(SALIDAS111518[[#This Row],[CÓDIGO]],PRODUCTOS31316[],2,FALSE)</f>
        <v>1106</v>
      </c>
      <c r="S255" s="1" t="str">
        <f>VLOOKUP(SALIDAS111518[[#This Row],[CÓDIGO]],PRODUCTOS31316[],3,FALSE)</f>
        <v>SONDA PROVETSCAN WIFI SR-2C/ WRPCCFB019</v>
      </c>
      <c r="T255" s="2">
        <v>1</v>
      </c>
      <c r="U255" s="2">
        <v>121</v>
      </c>
      <c r="V255" s="2"/>
      <c r="W255" s="282"/>
      <c r="X255" s="2"/>
      <c r="Y255" s="7"/>
      <c r="Z255" s="369" t="s">
        <v>5040</v>
      </c>
      <c r="AA255" s="1" t="s">
        <v>2330</v>
      </c>
      <c r="AB255" s="16">
        <v>46150</v>
      </c>
      <c r="AC255" s="2" t="s">
        <v>913</v>
      </c>
      <c r="AD255" s="1" t="str">
        <f>VLOOKUP(ENTRADAS71417[[#This Row],[CÓDIGO]],PRODUCTOS31316[],2,FALSE)</f>
        <v>HC-R069</v>
      </c>
      <c r="AE255" s="1" t="str">
        <f>VLOOKUP(ENTRADAS71417[[#This Row],[CÓDIGO]],PRODUCTOS31316[],3,FALSE)</f>
        <v>MICROSCOPIO CON PLATINA Y PANTALLA 7"</v>
      </c>
      <c r="AF255" s="2">
        <v>15</v>
      </c>
      <c r="AG255" s="2"/>
      <c r="AH255" s="2">
        <v>113</v>
      </c>
    </row>
    <row r="256" spans="1:34" ht="49.95" customHeight="1" x14ac:dyDescent="0.3">
      <c r="A256" s="2" t="s">
        <v>966</v>
      </c>
      <c r="B256" s="1" t="s">
        <v>967</v>
      </c>
      <c r="C256" s="1" t="s">
        <v>968</v>
      </c>
      <c r="D256" s="1" t="s">
        <v>639</v>
      </c>
      <c r="E256" s="1" t="s">
        <v>640</v>
      </c>
      <c r="F256" s="1" t="s">
        <v>908</v>
      </c>
      <c r="G256" s="2">
        <v>0</v>
      </c>
      <c r="H256" s="14">
        <f>SUMIF(ENTRADAS71417[CÓDIGO],PRODUCTOS31316[[#This Row],[CÓDIGO]],ENTRADAS71417[CANTIDAD])</f>
        <v>0</v>
      </c>
      <c r="I256" s="11">
        <f>SUMIF(SALIDAS111518[CÓDIGO],PRODUCTOS31316[[#This Row],[CÓDIGO]],SALIDAS111518[CANTIDAD])</f>
        <v>0</v>
      </c>
      <c r="J256" s="6">
        <f>PRODUCTOS31316[[#This Row],[EXISTENCIAS]]+PRODUCTOS31316[[#This Row],[ENTRADAS]]-PRODUCTOS31316[[#This Row],[SALIDAS]]</f>
        <v>0</v>
      </c>
      <c r="L256" s="282"/>
      <c r="M256" s="282"/>
      <c r="N256" s="282">
        <v>7765</v>
      </c>
      <c r="O256" s="259" t="s">
        <v>2200</v>
      </c>
      <c r="P256" s="16">
        <v>45973</v>
      </c>
      <c r="Q256" s="282" t="s">
        <v>3376</v>
      </c>
      <c r="R256" s="2">
        <f>VLOOKUP(SALIDAS111518[[#This Row],[CÓDIGO]],PRODUCTOS31316[],2,FALSE)</f>
        <v>0</v>
      </c>
      <c r="S256" s="1" t="str">
        <f>VLOOKUP(SALIDAS111518[[#This Row],[CÓDIGO]],PRODUCTOS31316[],3,FALSE)</f>
        <v>TERMO DE 380 ML MAS CAMPO</v>
      </c>
      <c r="T256" s="2">
        <v>1</v>
      </c>
      <c r="U256" s="2"/>
      <c r="V256" s="2"/>
      <c r="W256" s="282"/>
      <c r="X256" s="2"/>
      <c r="Y256" s="7"/>
      <c r="Z256" s="369" t="s">
        <v>5040</v>
      </c>
      <c r="AA256" s="1" t="s">
        <v>2330</v>
      </c>
      <c r="AB256" s="16">
        <v>46150</v>
      </c>
      <c r="AC256" s="2" t="s">
        <v>2888</v>
      </c>
      <c r="AD256" s="1" t="str">
        <f>VLOOKUP(ENTRADAS71417[[#This Row],[CÓDIGO]],PRODUCTOS31316[],2,FALSE)</f>
        <v>HC-R069A</v>
      </c>
      <c r="AE256" s="1" t="str">
        <f>VLOOKUP(ENTRADAS71417[[#This Row],[CÓDIGO]],PRODUCTOS31316[],3,FALSE)</f>
        <v>MICROSCOPIO BINOCULAR CON PLATINA Y PANTALLA 7"</v>
      </c>
      <c r="AF256" s="2">
        <v>5</v>
      </c>
      <c r="AG256" s="2"/>
      <c r="AH256" s="2"/>
    </row>
    <row r="257" spans="1:34" ht="49.95" customHeight="1" x14ac:dyDescent="0.3">
      <c r="A257" s="2" t="s">
        <v>970</v>
      </c>
      <c r="B257" s="1" t="s">
        <v>971</v>
      </c>
      <c r="C257" s="1" t="s">
        <v>972</v>
      </c>
      <c r="D257" s="1" t="s">
        <v>639</v>
      </c>
      <c r="E257" s="1" t="s">
        <v>640</v>
      </c>
      <c r="F257" s="1" t="s">
        <v>973</v>
      </c>
      <c r="G257" s="2">
        <v>0</v>
      </c>
      <c r="H257" s="14">
        <f>SUMIF(ENTRADAS71417[CÓDIGO],PRODUCTOS31316[[#This Row],[CÓDIGO]],ENTRADAS71417[CANTIDAD])</f>
        <v>0</v>
      </c>
      <c r="I257" s="11">
        <f>SUMIF(SALIDAS111518[CÓDIGO],PRODUCTOS31316[[#This Row],[CÓDIGO]],SALIDAS111518[CANTIDAD])</f>
        <v>0</v>
      </c>
      <c r="J257" s="6">
        <f>PRODUCTOS31316[[#This Row],[EXISTENCIAS]]+PRODUCTOS31316[[#This Row],[ENTRADAS]]-PRODUCTOS31316[[#This Row],[SALIDAS]]</f>
        <v>0</v>
      </c>
      <c r="L257" s="282"/>
      <c r="M257" s="282"/>
      <c r="N257" s="282">
        <v>7765</v>
      </c>
      <c r="O257" s="259" t="s">
        <v>2200</v>
      </c>
      <c r="P257" s="16">
        <v>45973</v>
      </c>
      <c r="Q257" s="282" t="s">
        <v>25</v>
      </c>
      <c r="R257" s="2">
        <f>VLOOKUP(SALIDAS111518[[#This Row],[CÓDIGO]],PRODUCTOS31316[],2,FALSE)</f>
        <v>0</v>
      </c>
      <c r="S257" s="1" t="str">
        <f>VLOOKUP(SALIDAS111518[[#This Row],[CÓDIGO]],PRODUCTOS31316[],3,FALSE)</f>
        <v>BOLSA TELA MAS CAMPO</v>
      </c>
      <c r="T257" s="2">
        <v>1</v>
      </c>
      <c r="U257" s="2"/>
      <c r="V257" s="2"/>
      <c r="W257" s="282"/>
      <c r="X257" s="2"/>
      <c r="Y257" s="7"/>
      <c r="Z257" s="380" t="s">
        <v>5514</v>
      </c>
      <c r="AA257" s="1" t="s">
        <v>3808</v>
      </c>
      <c r="AB257" s="16">
        <v>46154</v>
      </c>
      <c r="AC257" s="2" t="s">
        <v>2985</v>
      </c>
      <c r="AD257" s="1">
        <f>VLOOKUP(ENTRADAS71417[[#This Row],[CÓDIGO]],PRODUCTOS31316[],2,FALSE)</f>
        <v>6206</v>
      </c>
      <c r="AE257" s="1" t="str">
        <f>VLOOKUP(ENTRADAS71417[[#This Row],[CÓDIGO]],PRODUCTOS31316[],3,FALSE)</f>
        <v>AGUJA DESECHABLE 20G X 1 1/2</v>
      </c>
      <c r="AF257" s="2">
        <v>50</v>
      </c>
      <c r="AG257" s="2"/>
      <c r="AH257" s="2">
        <v>114</v>
      </c>
    </row>
    <row r="258" spans="1:34" ht="49.95" customHeight="1" x14ac:dyDescent="0.3">
      <c r="A258" s="2" t="s">
        <v>974</v>
      </c>
      <c r="B258" s="1" t="s">
        <v>975</v>
      </c>
      <c r="C258" s="1" t="s">
        <v>976</v>
      </c>
      <c r="D258" s="1" t="s">
        <v>639</v>
      </c>
      <c r="E258" s="1" t="s">
        <v>640</v>
      </c>
      <c r="F258" s="1" t="s">
        <v>973</v>
      </c>
      <c r="G258" s="2">
        <v>0</v>
      </c>
      <c r="H258" s="14">
        <f>SUMIF(ENTRADAS71417[CÓDIGO],PRODUCTOS31316[[#This Row],[CÓDIGO]],ENTRADAS71417[CANTIDAD])</f>
        <v>0</v>
      </c>
      <c r="I258" s="11">
        <f>SUMIF(SALIDAS111518[CÓDIGO],PRODUCTOS31316[[#This Row],[CÓDIGO]],SALIDAS111518[CANTIDAD])</f>
        <v>0</v>
      </c>
      <c r="J258" s="6">
        <f>PRODUCTOS31316[[#This Row],[EXISTENCIAS]]+PRODUCTOS31316[[#This Row],[ENTRADAS]]-PRODUCTOS31316[[#This Row],[SALIDAS]]</f>
        <v>0</v>
      </c>
      <c r="L258" s="282" t="s">
        <v>3520</v>
      </c>
      <c r="M258" s="282" t="s">
        <v>3653</v>
      </c>
      <c r="N258" s="290" t="s">
        <v>3974</v>
      </c>
      <c r="O258" s="259" t="s">
        <v>2200</v>
      </c>
      <c r="P258" s="16">
        <v>46048</v>
      </c>
      <c r="Q258" s="259" t="s">
        <v>1356</v>
      </c>
      <c r="R258" s="2">
        <f>VLOOKUP(SALIDAS111518[[#This Row],[CÓDIGO]],PRODUCTOS31316[],2,FALSE)</f>
        <v>1106</v>
      </c>
      <c r="S258" s="1" t="str">
        <f>VLOOKUP(SALIDAS111518[[#This Row],[CÓDIGO]],PRODUCTOS31316[],3,FALSE)</f>
        <v>SONDA PROVETSCAN WIFI SR-2C/ WRPCCFB019</v>
      </c>
      <c r="T258" s="2">
        <v>1</v>
      </c>
      <c r="U258" s="282" t="s">
        <v>3871</v>
      </c>
      <c r="V258" s="2"/>
      <c r="W258" s="282"/>
      <c r="X258" s="2"/>
      <c r="Y258" s="7"/>
      <c r="Z258" s="369">
        <v>6439</v>
      </c>
      <c r="AA258" s="1" t="s">
        <v>3384</v>
      </c>
      <c r="AB258" s="16">
        <v>46155</v>
      </c>
      <c r="AC258" s="2" t="s">
        <v>3168</v>
      </c>
      <c r="AD258" s="1" t="str">
        <f>VLOOKUP(ENTRADAS71417[[#This Row],[CÓDIGO]],PRODUCTOS31316[],2,FALSE)</f>
        <v>MCTB015</v>
      </c>
      <c r="AE258" s="1" t="str">
        <f>VLOOKUP(ENTRADAS71417[[#This Row],[CÓDIGO]],PRODUCTOS31316[],3,FALSE)</f>
        <v>TUBO CONICO DE 1,5ml PRE ESTERILIZADO LIBRE DE Rnasa y Dnasa No pirogenico No DNA Humano Tapa a Presion</v>
      </c>
      <c r="AF258" s="2">
        <v>15</v>
      </c>
      <c r="AG258" s="2"/>
      <c r="AH258" s="2">
        <v>115</v>
      </c>
    </row>
    <row r="259" spans="1:34" ht="49.95" customHeight="1" x14ac:dyDescent="0.3">
      <c r="A259" s="2" t="s">
        <v>978</v>
      </c>
      <c r="B259" s="1" t="s">
        <v>979</v>
      </c>
      <c r="C259" s="1" t="s">
        <v>980</v>
      </c>
      <c r="D259" s="1" t="s">
        <v>639</v>
      </c>
      <c r="E259" s="1" t="s">
        <v>640</v>
      </c>
      <c r="F259" s="1" t="s">
        <v>981</v>
      </c>
      <c r="G259" s="2">
        <v>0</v>
      </c>
      <c r="H259" s="14">
        <f>SUMIF(ENTRADAS71417[CÓDIGO],PRODUCTOS31316[[#This Row],[CÓDIGO]],ENTRADAS71417[CANTIDAD])</f>
        <v>0</v>
      </c>
      <c r="I259" s="11">
        <f>SUMIF(SALIDAS111518[CÓDIGO],PRODUCTOS31316[[#This Row],[CÓDIGO]],SALIDAS111518[CANTIDAD])</f>
        <v>0</v>
      </c>
      <c r="J259" s="6">
        <f>PRODUCTOS31316[[#This Row],[EXISTENCIAS]]+PRODUCTOS31316[[#This Row],[ENTRADAS]]-PRODUCTOS31316[[#This Row],[SALIDAS]]</f>
        <v>0</v>
      </c>
      <c r="L259" s="282"/>
      <c r="M259" s="282"/>
      <c r="N259" s="2">
        <v>7831</v>
      </c>
      <c r="O259" s="259" t="s">
        <v>2200</v>
      </c>
      <c r="P259" s="16">
        <v>46048</v>
      </c>
      <c r="Q259" s="282" t="s">
        <v>3376</v>
      </c>
      <c r="R259" s="2">
        <f>VLOOKUP(SALIDAS111518[[#This Row],[CÓDIGO]],PRODUCTOS31316[],2,FALSE)</f>
        <v>0</v>
      </c>
      <c r="S259" s="1" t="str">
        <f>VLOOKUP(SALIDAS111518[[#This Row],[CÓDIGO]],PRODUCTOS31316[],3,FALSE)</f>
        <v>TERMO DE 380 ML MAS CAMPO</v>
      </c>
      <c r="T259" s="2">
        <v>1</v>
      </c>
      <c r="U259" s="282"/>
      <c r="V259" s="2"/>
      <c r="W259" s="282"/>
      <c r="X259" s="2"/>
      <c r="Y259" s="7"/>
      <c r="Z259" s="369">
        <v>6439</v>
      </c>
      <c r="AA259" s="1" t="s">
        <v>3384</v>
      </c>
      <c r="AB259" s="16">
        <v>46155</v>
      </c>
      <c r="AC259" s="2" t="s">
        <v>341</v>
      </c>
      <c r="AD259" s="1" t="str">
        <f>VLOOKUP(ENTRADAS71417[[#This Row],[CÓDIGO]],PRODUCTOS31316[],2,FALSE)</f>
        <v>CTB50</v>
      </c>
      <c r="AE259" s="1" t="str">
        <f>VLOOKUP(ENTRADAS71417[[#This Row],[CÓDIGO]],PRODUCTOS31316[],3,FALSE)</f>
        <v>TUBO CÓNICO DE 50 mL, TAPA ROSCA, PRE ESTERILIZADO. RCF MAX: 10000xg, graduados, PCR puro.</v>
      </c>
      <c r="AF259" s="2">
        <v>20</v>
      </c>
      <c r="AG259" s="2"/>
      <c r="AH259" s="2"/>
    </row>
    <row r="260" spans="1:34" ht="49.95" customHeight="1" x14ac:dyDescent="0.3">
      <c r="A260" s="2" t="s">
        <v>982</v>
      </c>
      <c r="B260" s="1" t="s">
        <v>983</v>
      </c>
      <c r="C260" s="1" t="s">
        <v>984</v>
      </c>
      <c r="D260" s="1" t="s">
        <v>639</v>
      </c>
      <c r="E260" s="1" t="s">
        <v>640</v>
      </c>
      <c r="F260" s="1" t="s">
        <v>973</v>
      </c>
      <c r="G260" s="2">
        <v>0</v>
      </c>
      <c r="H260" s="14">
        <f>SUMIF(ENTRADAS71417[CÓDIGO],PRODUCTOS31316[[#This Row],[CÓDIGO]],ENTRADAS71417[CANTIDAD])</f>
        <v>0</v>
      </c>
      <c r="I260" s="11">
        <f>SUMIF(SALIDAS111518[CÓDIGO],PRODUCTOS31316[[#This Row],[CÓDIGO]],SALIDAS111518[CANTIDAD])</f>
        <v>0</v>
      </c>
      <c r="J260" s="6">
        <f>PRODUCTOS31316[[#This Row],[EXISTENCIAS]]+PRODUCTOS31316[[#This Row],[ENTRADAS]]-PRODUCTOS31316[[#This Row],[SALIDAS]]</f>
        <v>0</v>
      </c>
      <c r="L260" s="282"/>
      <c r="M260" s="282"/>
      <c r="N260" s="2">
        <v>7831</v>
      </c>
      <c r="O260" s="259" t="s">
        <v>2200</v>
      </c>
      <c r="P260" s="16">
        <v>46048</v>
      </c>
      <c r="Q260" s="282" t="s">
        <v>3095</v>
      </c>
      <c r="R260" s="2">
        <f>VLOOKUP(SALIDAS111518[[#This Row],[CÓDIGO]],PRODUCTOS31316[],2,FALSE)</f>
        <v>0</v>
      </c>
      <c r="S260" s="1" t="str">
        <f>VLOOKUP(SALIDAS111518[[#This Row],[CÓDIGO]],PRODUCTOS31316[],3,FALSE)</f>
        <v>GORRA MAS CAMPO</v>
      </c>
      <c r="T260" s="2">
        <v>1</v>
      </c>
      <c r="U260" s="282"/>
      <c r="V260" s="2"/>
      <c r="W260" s="282"/>
      <c r="X260" s="2"/>
      <c r="Y260" s="7"/>
      <c r="Z260" s="369">
        <v>6439</v>
      </c>
      <c r="AA260" s="1" t="s">
        <v>3384</v>
      </c>
      <c r="AB260" s="16">
        <v>46155</v>
      </c>
      <c r="AC260" s="2" t="s">
        <v>3026</v>
      </c>
      <c r="AD260" s="1" t="str">
        <f>VLOOKUP(ENTRADAS71417[[#This Row],[CÓDIGO]],PRODUCTOS31316[],2,FALSE)</f>
        <v>MCTB020</v>
      </c>
      <c r="AE260" s="1" t="str">
        <f>VLOOKUP(ENTRADAS71417[[#This Row],[CÓDIGO]],PRODUCTOS31316[],3,FALSE)</f>
        <v>TUBO EPPENDORF DE 2,0 ML</v>
      </c>
      <c r="AF260" s="2">
        <v>5</v>
      </c>
      <c r="AG260" s="2"/>
      <c r="AH260" s="2"/>
    </row>
    <row r="261" spans="1:34" ht="49.95" customHeight="1" x14ac:dyDescent="0.3">
      <c r="A261" s="2" t="s">
        <v>986</v>
      </c>
      <c r="B261" s="1" t="s">
        <v>987</v>
      </c>
      <c r="C261" s="1" t="s">
        <v>988</v>
      </c>
      <c r="D261" s="1" t="s">
        <v>639</v>
      </c>
      <c r="E261" s="1" t="s">
        <v>640</v>
      </c>
      <c r="F261" s="1" t="s">
        <v>981</v>
      </c>
      <c r="G261" s="2">
        <v>0</v>
      </c>
      <c r="H261" s="14">
        <f>SUMIF(ENTRADAS71417[CÓDIGO],PRODUCTOS31316[[#This Row],[CÓDIGO]],ENTRADAS71417[CANTIDAD])</f>
        <v>0</v>
      </c>
      <c r="I261" s="11">
        <f>SUMIF(SALIDAS111518[CÓDIGO],PRODUCTOS31316[[#This Row],[CÓDIGO]],SALIDAS111518[CANTIDAD])</f>
        <v>0</v>
      </c>
      <c r="J261" s="6">
        <f>PRODUCTOS31316[[#This Row],[EXISTENCIAS]]+PRODUCTOS31316[[#This Row],[ENTRADAS]]-PRODUCTOS31316[[#This Row],[SALIDAS]]</f>
        <v>0</v>
      </c>
      <c r="L261" s="282" t="s">
        <v>3520</v>
      </c>
      <c r="M261" s="282" t="s">
        <v>3653</v>
      </c>
      <c r="N261" s="283" t="s">
        <v>3872</v>
      </c>
      <c r="O261" s="283" t="s">
        <v>3475</v>
      </c>
      <c r="P261" s="16">
        <v>46048</v>
      </c>
      <c r="Q261" s="282" t="s">
        <v>104</v>
      </c>
      <c r="R261" s="2">
        <f>VLOOKUP(SALIDAS111518[[#This Row],[CÓDIGO]],PRODUCTOS31316[],2,FALSE)</f>
        <v>0</v>
      </c>
      <c r="S261" s="1" t="str">
        <f>VLOOKUP(SALIDAS111518[[#This Row],[CÓDIGO]],PRODUCTOS31316[],3,FALSE)</f>
        <v>ISPERM CHIPS (500 TESTS PER BOX) PAQ. X 50 UND</v>
      </c>
      <c r="T261" s="2">
        <v>1</v>
      </c>
      <c r="U261" s="2">
        <v>123</v>
      </c>
      <c r="V261" s="2"/>
      <c r="W261" s="282"/>
      <c r="X261" s="2"/>
      <c r="Y261" s="7"/>
      <c r="Z261" s="369">
        <v>16361</v>
      </c>
      <c r="AA261" s="1" t="s">
        <v>2744</v>
      </c>
      <c r="AB261" s="16">
        <v>46157</v>
      </c>
      <c r="AC261" s="2" t="s">
        <v>1681</v>
      </c>
      <c r="AD261" s="1">
        <f>VLOOKUP(ENTRADAS71417[[#This Row],[CÓDIGO]],PRODUCTOS31316[],2,FALSE)</f>
        <v>347430</v>
      </c>
      <c r="AE261" s="1" t="str">
        <f>VLOOKUP(ENTRADAS71417[[#This Row],[CÓDIGO]],PRODUCTOS31316[],3,FALSE)</f>
        <v>GOBLETS BLANCOS DE 10 MM</v>
      </c>
      <c r="AF261" s="2">
        <v>5</v>
      </c>
      <c r="AG261" s="2"/>
      <c r="AH261" s="2">
        <v>116</v>
      </c>
    </row>
    <row r="262" spans="1:34" ht="49.95" customHeight="1" x14ac:dyDescent="0.3">
      <c r="A262" s="2" t="s">
        <v>989</v>
      </c>
      <c r="B262" s="1" t="s">
        <v>990</v>
      </c>
      <c r="C262" s="1" t="s">
        <v>991</v>
      </c>
      <c r="D262" s="1" t="s">
        <v>639</v>
      </c>
      <c r="E262" s="1" t="s">
        <v>640</v>
      </c>
      <c r="F262" s="1" t="s">
        <v>981</v>
      </c>
      <c r="G262" s="2">
        <v>0</v>
      </c>
      <c r="H262" s="14">
        <f>SUMIF(ENTRADAS71417[CÓDIGO],PRODUCTOS31316[[#This Row],[CÓDIGO]],ENTRADAS71417[CANTIDAD])</f>
        <v>0</v>
      </c>
      <c r="I262" s="11">
        <f>SUMIF(SALIDAS111518[CÓDIGO],PRODUCTOS31316[[#This Row],[CÓDIGO]],SALIDAS111518[CANTIDAD])</f>
        <v>0</v>
      </c>
      <c r="J262" s="6">
        <f>PRODUCTOS31316[[#This Row],[EXISTENCIAS]]+PRODUCTOS31316[[#This Row],[ENTRADAS]]-PRODUCTOS31316[[#This Row],[SALIDAS]]</f>
        <v>0</v>
      </c>
      <c r="L262" s="282"/>
      <c r="M262" s="282"/>
      <c r="N262" s="283" t="s">
        <v>3873</v>
      </c>
      <c r="O262" s="283" t="s">
        <v>3475</v>
      </c>
      <c r="P262" s="16">
        <v>46048</v>
      </c>
      <c r="Q262" s="282" t="s">
        <v>104</v>
      </c>
      <c r="R262" s="2">
        <f>VLOOKUP(SALIDAS111518[[#This Row],[CÓDIGO]],PRODUCTOS31316[],2,FALSE)</f>
        <v>0</v>
      </c>
      <c r="S262" s="1" t="str">
        <f>VLOOKUP(SALIDAS111518[[#This Row],[CÓDIGO]],PRODUCTOS31316[],3,FALSE)</f>
        <v>ISPERM CHIPS (500 TESTS PER BOX) PAQ. X 50 UND</v>
      </c>
      <c r="T262" s="2">
        <v>1</v>
      </c>
      <c r="U262" s="2">
        <v>124</v>
      </c>
      <c r="V262" s="2"/>
      <c r="W262" s="282"/>
      <c r="X262" s="2"/>
      <c r="Y262" s="7"/>
      <c r="Z262" s="369">
        <v>27476</v>
      </c>
      <c r="AA262" s="1" t="s">
        <v>4194</v>
      </c>
      <c r="AB262" s="16">
        <v>46162</v>
      </c>
      <c r="AC262" s="2" t="s">
        <v>3355</v>
      </c>
      <c r="AD262" s="1">
        <f>VLOOKUP(ENTRADAS71417[[#This Row],[CÓDIGO]],PRODUCTOS31316[],2,FALSE)</f>
        <v>140681</v>
      </c>
      <c r="AE262" s="1" t="str">
        <f>VLOOKUP(ENTRADAS71417[[#This Row],[CÓDIGO]],PRODUCTOS31316[],3,FALSE)</f>
        <v>CAJA DE PETRI DESECHABLE ESTERIL 60x15MM.</v>
      </c>
      <c r="AF262" s="2">
        <v>500</v>
      </c>
      <c r="AG262" s="2"/>
      <c r="AH262" s="2">
        <v>117</v>
      </c>
    </row>
    <row r="263" spans="1:34" ht="49.95" customHeight="1" x14ac:dyDescent="0.3">
      <c r="A263" s="2" t="s">
        <v>992</v>
      </c>
      <c r="B263" s="1" t="s">
        <v>993</v>
      </c>
      <c r="C263" s="1" t="s">
        <v>994</v>
      </c>
      <c r="D263" s="1" t="s">
        <v>639</v>
      </c>
      <c r="E263" s="1" t="s">
        <v>640</v>
      </c>
      <c r="F263" s="1" t="s">
        <v>965</v>
      </c>
      <c r="G263" s="2">
        <v>0</v>
      </c>
      <c r="H263" s="14">
        <f>SUMIF(ENTRADAS71417[CÓDIGO],PRODUCTOS31316[[#This Row],[CÓDIGO]],ENTRADAS71417[CANTIDAD])</f>
        <v>0</v>
      </c>
      <c r="I263" s="11">
        <f>SUMIF(SALIDAS111518[CÓDIGO],PRODUCTOS31316[[#This Row],[CÓDIGO]],SALIDAS111518[CANTIDAD])</f>
        <v>0</v>
      </c>
      <c r="J263" s="6">
        <f>PRODUCTOS31316[[#This Row],[EXISTENCIAS]]+PRODUCTOS31316[[#This Row],[ENTRADAS]]-PRODUCTOS31316[[#This Row],[SALIDAS]]</f>
        <v>0</v>
      </c>
      <c r="L263" s="282"/>
      <c r="M263" s="282"/>
      <c r="N263" s="15"/>
      <c r="O263" s="283" t="s">
        <v>3475</v>
      </c>
      <c r="P263" s="16">
        <v>46048</v>
      </c>
      <c r="Q263" s="282" t="s">
        <v>3842</v>
      </c>
      <c r="R263" s="2" t="e">
        <f>VLOOKUP(SALIDAS111518[[#This Row],[CÓDIGO]],PRODUCTOS31316[],2,FALSE)</f>
        <v>#N/A</v>
      </c>
      <c r="S263" s="1" t="e">
        <f>VLOOKUP(SALIDAS111518[[#This Row],[CÓDIGO]],PRODUCTOS31316[],3,FALSE)</f>
        <v>#N/A</v>
      </c>
      <c r="T263" s="2">
        <v>1</v>
      </c>
      <c r="U263" s="2"/>
      <c r="V263" s="2"/>
      <c r="W263" s="282"/>
      <c r="X263" s="2"/>
      <c r="Y263" s="7"/>
      <c r="Z263" s="369">
        <v>11023</v>
      </c>
      <c r="AA263" s="1" t="s">
        <v>4258</v>
      </c>
      <c r="AB263" s="16">
        <v>46167</v>
      </c>
      <c r="AC263" s="2" t="s">
        <v>5113</v>
      </c>
      <c r="AD263" s="1">
        <f>VLOOKUP(ENTRADAS71417[[#This Row],[CÓDIGO]],PRODUCTOS31316[],2,FALSE)</f>
        <v>0</v>
      </c>
      <c r="AE263" s="1" t="str">
        <f>VLOOKUP(ENTRADAS71417[[#This Row],[CÓDIGO]],PRODUCTOS31316[],3,FALSE)</f>
        <v>MICROPIPETA AUTOMATICA VOLUMEN VARIABLE DE 20 - 200 UL MARCA: JOAN LAB</v>
      </c>
      <c r="AF263" s="2">
        <v>2</v>
      </c>
      <c r="AG263" s="2"/>
      <c r="AH263" s="2">
        <v>118</v>
      </c>
    </row>
    <row r="264" spans="1:34" ht="49.95" customHeight="1" x14ac:dyDescent="0.3">
      <c r="A264" s="2" t="s">
        <v>693</v>
      </c>
      <c r="B264" s="1" t="s">
        <v>995</v>
      </c>
      <c r="C264" s="1" t="s">
        <v>996</v>
      </c>
      <c r="D264" s="1" t="s">
        <v>639</v>
      </c>
      <c r="E264" s="1" t="s">
        <v>640</v>
      </c>
      <c r="F264" s="1" t="s">
        <v>641</v>
      </c>
      <c r="G264" s="2">
        <v>0</v>
      </c>
      <c r="H264" s="14">
        <f>SUMIF(ENTRADAS71417[CÓDIGO],PRODUCTOS31316[[#This Row],[CÓDIGO]],ENTRADAS71417[CANTIDAD])</f>
        <v>0</v>
      </c>
      <c r="I264" s="11">
        <f>SUMIF(SALIDAS111518[CÓDIGO],PRODUCTOS31316[[#This Row],[CÓDIGO]],SALIDAS111518[CANTIDAD])</f>
        <v>0</v>
      </c>
      <c r="J264" s="6">
        <f>PRODUCTOS31316[[#This Row],[EXISTENCIAS]]+PRODUCTOS31316[[#This Row],[ENTRADAS]]-PRODUCTOS31316[[#This Row],[SALIDAS]]</f>
        <v>0</v>
      </c>
      <c r="L264" s="282" t="s">
        <v>3520</v>
      </c>
      <c r="M264" s="282" t="s">
        <v>3653</v>
      </c>
      <c r="N264" s="283" t="s">
        <v>3874</v>
      </c>
      <c r="O264" s="282" t="s">
        <v>2446</v>
      </c>
      <c r="P264" s="16">
        <v>46048</v>
      </c>
      <c r="Q264" s="282" t="s">
        <v>15</v>
      </c>
      <c r="R264" s="2" t="str">
        <f>VLOOKUP(SALIDAS111518[[#This Row],[CÓDIGO]],PRODUCTOS31316[],2,FALSE)</f>
        <v>BTE-025PT/ 504002</v>
      </c>
      <c r="S264" s="1" t="str">
        <f>VLOOKUP(SALIDAS111518[[#This Row],[CÓDIGO]],PRODUCTOS31316[],3,FALSE)</f>
        <v>FUNDAS PARA TRANSFERENCIA DE EMBRIONES</v>
      </c>
      <c r="T264" s="2">
        <v>100</v>
      </c>
      <c r="U264" s="2">
        <v>125</v>
      </c>
      <c r="V264" s="2"/>
      <c r="W264" s="282"/>
      <c r="X264" s="2"/>
      <c r="Y264" s="7"/>
      <c r="Z264" s="380" t="s">
        <v>5515</v>
      </c>
      <c r="AA264" s="1" t="s">
        <v>3795</v>
      </c>
      <c r="AB264" s="16">
        <v>46165</v>
      </c>
      <c r="AC264" s="2" t="s">
        <v>5114</v>
      </c>
      <c r="AD264" s="1">
        <f>VLOOKUP(ENTRADAS71417[[#This Row],[CÓDIGO]],PRODUCTOS31316[],2,FALSE)</f>
        <v>0</v>
      </c>
      <c r="AE264" s="1" t="str">
        <f>VLOOKUP(ENTRADAS71417[[#This Row],[CÓDIGO]],PRODUCTOS31316[],3,FALSE)</f>
        <v>TABLET SANSUNG GALAXY TAB A11+ MARCA: SANSUNG COLOR SEGUN DISPONIBILIDAD</v>
      </c>
      <c r="AF264" s="2">
        <v>4</v>
      </c>
      <c r="AG264" s="2"/>
      <c r="AH264" s="2">
        <v>119</v>
      </c>
    </row>
    <row r="265" spans="1:34" ht="49.95" customHeight="1" x14ac:dyDescent="0.3">
      <c r="A265" s="2" t="s">
        <v>997</v>
      </c>
      <c r="B265" s="1" t="s">
        <v>998</v>
      </c>
      <c r="C265" s="1" t="s">
        <v>999</v>
      </c>
      <c r="D265" s="1" t="s">
        <v>639</v>
      </c>
      <c r="E265" s="1" t="s">
        <v>640</v>
      </c>
      <c r="F265" s="1" t="s">
        <v>973</v>
      </c>
      <c r="G265" s="2">
        <v>0</v>
      </c>
      <c r="H265" s="14">
        <f>SUMIF(ENTRADAS71417[CÓDIGO],PRODUCTOS31316[[#This Row],[CÓDIGO]],ENTRADAS71417[CANTIDAD])</f>
        <v>0</v>
      </c>
      <c r="I265" s="11">
        <f>SUMIF(SALIDAS111518[CÓDIGO],PRODUCTOS31316[[#This Row],[CÓDIGO]],SALIDAS111518[CANTIDAD])</f>
        <v>0</v>
      </c>
      <c r="J265" s="6">
        <f>PRODUCTOS31316[[#This Row],[EXISTENCIAS]]+PRODUCTOS31316[[#This Row],[ENTRADAS]]-PRODUCTOS31316[[#This Row],[SALIDAS]]</f>
        <v>0</v>
      </c>
      <c r="L265" s="282"/>
      <c r="M265" s="282"/>
      <c r="N265" s="276">
        <v>7767</v>
      </c>
      <c r="O265" s="282" t="s">
        <v>2446</v>
      </c>
      <c r="P265" s="16">
        <v>46048</v>
      </c>
      <c r="Q265" s="282" t="s">
        <v>3303</v>
      </c>
      <c r="R265" s="2">
        <f>VLOOKUP(SALIDAS111518[[#This Row],[CÓDIGO]],PRODUCTOS31316[],2,FALSE)</f>
        <v>10</v>
      </c>
      <c r="S265" s="1" t="str">
        <f>VLOOKUP(SALIDAS111518[[#This Row],[CÓDIGO]],PRODUCTOS31316[],3,FALSE)</f>
        <v>CAJA PETRI 4 POZOS / 3,026X3,026 CM</v>
      </c>
      <c r="T265" s="2">
        <v>6</v>
      </c>
      <c r="U265" s="2"/>
      <c r="V265" s="2"/>
      <c r="W265" s="282"/>
      <c r="X265" s="2"/>
      <c r="Y265" s="7"/>
      <c r="Z265" s="369">
        <v>16716</v>
      </c>
      <c r="AA265" s="1" t="s">
        <v>2744</v>
      </c>
      <c r="AB265" s="16">
        <v>46169</v>
      </c>
      <c r="AC265" s="2" t="s">
        <v>79</v>
      </c>
      <c r="AD265" s="1" t="str">
        <f>VLOOKUP(ENTRADAS71417[[#This Row],[CÓDIGO]],PRODUCTOS31316[],2,FALSE)</f>
        <v>ABT ADAPT HOLDING</v>
      </c>
      <c r="AE265" s="1" t="str">
        <f>VLOOKUP(ENTRADAS71417[[#This Row],[CÓDIGO]],PRODUCTOS31316[],3,FALSE)</f>
        <v>ABT ADAPT HOLDING CON HA 7 ML</v>
      </c>
      <c r="AF265" s="2">
        <v>30</v>
      </c>
      <c r="AG265" s="2"/>
      <c r="AH265" s="2">
        <v>120</v>
      </c>
    </row>
    <row r="266" spans="1:34" ht="49.95" customHeight="1" x14ac:dyDescent="0.3">
      <c r="A266" s="2" t="s">
        <v>1000</v>
      </c>
      <c r="B266" s="1" t="s">
        <v>1001</v>
      </c>
      <c r="C266" s="1" t="s">
        <v>1002</v>
      </c>
      <c r="D266" s="1" t="s">
        <v>639</v>
      </c>
      <c r="E266" s="1" t="s">
        <v>640</v>
      </c>
      <c r="F266" s="1" t="s">
        <v>908</v>
      </c>
      <c r="G266" s="2">
        <v>0</v>
      </c>
      <c r="H266" s="14">
        <f>SUMIF(ENTRADAS71417[CÓDIGO],PRODUCTOS31316[[#This Row],[CÓDIGO]],ENTRADAS71417[CANTIDAD])</f>
        <v>0</v>
      </c>
      <c r="I266" s="11">
        <f>SUMIF(SALIDAS111518[CÓDIGO],PRODUCTOS31316[[#This Row],[CÓDIGO]],SALIDAS111518[CANTIDAD])</f>
        <v>0</v>
      </c>
      <c r="J266" s="6">
        <f>PRODUCTOS31316[[#This Row],[EXISTENCIAS]]+PRODUCTOS31316[[#This Row],[ENTRADAS]]-PRODUCTOS31316[[#This Row],[SALIDAS]]</f>
        <v>0</v>
      </c>
      <c r="L266" s="282" t="s">
        <v>3520</v>
      </c>
      <c r="M266" s="282" t="s">
        <v>3653</v>
      </c>
      <c r="N266" s="283" t="s">
        <v>3875</v>
      </c>
      <c r="O266" s="282" t="s">
        <v>2733</v>
      </c>
      <c r="P266" s="16">
        <v>46048</v>
      </c>
      <c r="Q266" s="282" t="s">
        <v>969</v>
      </c>
      <c r="R266" s="2">
        <f>VLOOKUP(SALIDAS111518[[#This Row],[CÓDIGO]],PRODUCTOS31316[],2,FALSE)</f>
        <v>13316</v>
      </c>
      <c r="S266" s="1" t="str">
        <f>VLOOKUP(SALIDAS111518[[#This Row],[CÓDIGO]],PRODUCTOS31316[],3,FALSE)</f>
        <v>AGUJA PARA ASPIRACIÓN 20G</v>
      </c>
      <c r="T266" s="2">
        <v>10</v>
      </c>
      <c r="U266" s="2">
        <v>126</v>
      </c>
      <c r="V266" s="2"/>
      <c r="W266" s="282"/>
      <c r="X266" s="2"/>
      <c r="Y266" s="7"/>
      <c r="Z266" s="369">
        <v>16716</v>
      </c>
      <c r="AA266" s="1" t="s">
        <v>2744</v>
      </c>
      <c r="AB266" s="16">
        <v>46169</v>
      </c>
      <c r="AC266" s="2" t="s">
        <v>2833</v>
      </c>
      <c r="AD266" s="1">
        <f>VLOOKUP(ENTRADAS71417[[#This Row],[CÓDIGO]],PRODUCTOS31316[],2,FALSE)</f>
        <v>0</v>
      </c>
      <c r="AE266" s="1" t="str">
        <f>VLOOKUP(ENTRADAS71417[[#This Row],[CÓDIGO]],PRODUCTOS31316[],3,FALSE)</f>
        <v>ETHYLENE GRYCOL ABT FREEZE CON SUCROSA Y HA X 7 ML</v>
      </c>
      <c r="AF266" s="2">
        <v>20</v>
      </c>
      <c r="AG266" s="2"/>
      <c r="AH266" s="2"/>
    </row>
    <row r="267" spans="1:34" ht="49.95" customHeight="1" x14ac:dyDescent="0.3">
      <c r="A267" s="2" t="s">
        <v>1003</v>
      </c>
      <c r="B267" s="1" t="s">
        <v>1004</v>
      </c>
      <c r="C267" s="1" t="s">
        <v>1005</v>
      </c>
      <c r="D267" s="1" t="s">
        <v>639</v>
      </c>
      <c r="E267" s="1" t="s">
        <v>640</v>
      </c>
      <c r="F267" s="1" t="s">
        <v>973</v>
      </c>
      <c r="G267" s="2">
        <v>0</v>
      </c>
      <c r="H267" s="14">
        <f>SUMIF(ENTRADAS71417[CÓDIGO],PRODUCTOS31316[[#This Row],[CÓDIGO]],ENTRADAS71417[CANTIDAD])</f>
        <v>0</v>
      </c>
      <c r="I267" s="11">
        <f>SUMIF(SALIDAS111518[CÓDIGO],PRODUCTOS31316[[#This Row],[CÓDIGO]],SALIDAS111518[CANTIDAD])</f>
        <v>0</v>
      </c>
      <c r="J267" s="6">
        <f>PRODUCTOS31316[[#This Row],[EXISTENCIAS]]+PRODUCTOS31316[[#This Row],[ENTRADAS]]-PRODUCTOS31316[[#This Row],[SALIDAS]]</f>
        <v>0</v>
      </c>
      <c r="L267" s="282"/>
      <c r="M267" s="282"/>
      <c r="N267" s="276">
        <v>7768</v>
      </c>
      <c r="O267" s="391" t="s">
        <v>2733</v>
      </c>
      <c r="P267" s="16">
        <v>46048</v>
      </c>
      <c r="Q267" s="282" t="s">
        <v>2381</v>
      </c>
      <c r="R267" s="2">
        <f>VLOOKUP(SALIDAS111518[[#This Row],[CÓDIGO]],PRODUCTOS31316[],2,FALSE)</f>
        <v>21532</v>
      </c>
      <c r="S267" s="1" t="str">
        <f>VLOOKUP(SALIDAS111518[[#This Row],[CÓDIGO]],PRODUCTOS31316[],3,FALSE)</f>
        <v>AGUJA PARA ASPIRACIÓN 18G</v>
      </c>
      <c r="T267" s="2">
        <v>40</v>
      </c>
      <c r="U267" s="2"/>
      <c r="V267" s="2"/>
      <c r="W267" s="282"/>
      <c r="X267" s="2"/>
      <c r="Y267" s="7"/>
      <c r="Z267" s="397" t="s">
        <v>5516</v>
      </c>
      <c r="AA267" s="1" t="s">
        <v>2230</v>
      </c>
      <c r="AB267" s="16">
        <v>46168</v>
      </c>
      <c r="AC267" s="2" t="s">
        <v>168</v>
      </c>
      <c r="AD267" s="1">
        <f>VLOOKUP(ENTRADAS71417[[#This Row],[CÓDIGO]],PRODUCTOS31316[],2,FALSE)</f>
        <v>4840</v>
      </c>
      <c r="AE267" s="1" t="str">
        <f>VLOOKUP(ENTRADAS71417[[#This Row],[CÓDIGO]],PRODUCTOS31316[],3,FALSE)</f>
        <v>PUNTAS BLANCAS UNIVERSALES, PLÁSTICAS, LIBRES DE DNASAS, RNASA Y PIROGENOS, RANGO DE 0.1 A 10UL. (CORTAS).</v>
      </c>
      <c r="AF267" s="2">
        <v>30</v>
      </c>
      <c r="AG267" s="2"/>
      <c r="AH267" s="2">
        <v>121</v>
      </c>
    </row>
    <row r="268" spans="1:34" ht="49.95" customHeight="1" x14ac:dyDescent="0.3">
      <c r="A268" s="2" t="s">
        <v>1007</v>
      </c>
      <c r="B268" s="1" t="s">
        <v>1008</v>
      </c>
      <c r="C268" s="1" t="s">
        <v>1009</v>
      </c>
      <c r="D268" s="1" t="s">
        <v>639</v>
      </c>
      <c r="E268" s="1" t="s">
        <v>640</v>
      </c>
      <c r="F268" s="1" t="s">
        <v>908</v>
      </c>
      <c r="G268" s="2">
        <v>0</v>
      </c>
      <c r="H268" s="14">
        <f>SUMIF(ENTRADAS71417[CÓDIGO],PRODUCTOS31316[[#This Row],[CÓDIGO]],ENTRADAS71417[CANTIDAD])</f>
        <v>0</v>
      </c>
      <c r="I268" s="11">
        <f>SUMIF(SALIDAS111518[CÓDIGO],PRODUCTOS31316[[#This Row],[CÓDIGO]],SALIDAS111518[CANTIDAD])</f>
        <v>0</v>
      </c>
      <c r="J268" s="6">
        <f>PRODUCTOS31316[[#This Row],[EXISTENCIAS]]+PRODUCTOS31316[[#This Row],[ENTRADAS]]-PRODUCTOS31316[[#This Row],[SALIDAS]]</f>
        <v>0</v>
      </c>
      <c r="L268" s="282" t="s">
        <v>3520</v>
      </c>
      <c r="M268" s="282" t="s">
        <v>3653</v>
      </c>
      <c r="N268" s="283" t="s">
        <v>3876</v>
      </c>
      <c r="O268" s="282" t="s">
        <v>3236</v>
      </c>
      <c r="P268" s="16">
        <v>46048</v>
      </c>
      <c r="Q268" s="282" t="s">
        <v>369</v>
      </c>
      <c r="R268" s="2">
        <f>VLOOKUP(SALIDAS111518[[#This Row],[CÓDIGO]],PRODUCTOS31316[],2,FALSE)</f>
        <v>0</v>
      </c>
      <c r="S268" s="1" t="str">
        <f>VLOOKUP(SALIDAS111518[[#This Row],[CÓDIGO]],PRODUCTOS31316[],3,FALSE)</f>
        <v>FUNDA UNIVERSAL PARA I.A. RANURADA</v>
      </c>
      <c r="T268" s="2">
        <v>2</v>
      </c>
      <c r="U268" s="2">
        <v>127</v>
      </c>
      <c r="V268" s="2"/>
      <c r="W268" s="282"/>
      <c r="X268" s="2"/>
      <c r="Y268" s="7"/>
      <c r="Z268" s="380" t="s">
        <v>5516</v>
      </c>
      <c r="AA268" s="1" t="s">
        <v>2230</v>
      </c>
      <c r="AB268" s="16">
        <v>46168</v>
      </c>
      <c r="AC268" s="2" t="s">
        <v>247</v>
      </c>
      <c r="AD268" s="1">
        <f>VLOOKUP(ENTRADAS71417[[#This Row],[CÓDIGO]],PRODUCTOS31316[],2,FALSE)</f>
        <v>352054</v>
      </c>
      <c r="AE268" s="1" t="str">
        <f>VLOOKUP(ENTRADAS71417[[#This Row],[CÓDIGO]],PRODUCTOS31316[],3,FALSE)</f>
        <v>TUBO DE FONDO REDONDO DE 5ML 12X75MM , POLIESTIRENO</v>
      </c>
      <c r="AF268" s="2">
        <v>32</v>
      </c>
      <c r="AG268" s="2"/>
      <c r="AH268" s="2"/>
    </row>
    <row r="269" spans="1:34" ht="49.95" customHeight="1" x14ac:dyDescent="0.3">
      <c r="A269" s="2" t="s">
        <v>1011</v>
      </c>
      <c r="B269" s="1" t="s">
        <v>1012</v>
      </c>
      <c r="C269" s="1" t="s">
        <v>1013</v>
      </c>
      <c r="D269" s="1" t="s">
        <v>769</v>
      </c>
      <c r="E269" s="1" t="s">
        <v>183</v>
      </c>
      <c r="F269" s="1" t="s">
        <v>68</v>
      </c>
      <c r="G269" s="2">
        <v>0</v>
      </c>
      <c r="H269" s="14">
        <f>SUMIF(ENTRADAS71417[CÓDIGO],PRODUCTOS31316[[#This Row],[CÓDIGO]],ENTRADAS71417[CANTIDAD])</f>
        <v>0</v>
      </c>
      <c r="I269" s="11">
        <f>SUMIF(SALIDAS111518[CÓDIGO],PRODUCTOS31316[[#This Row],[CÓDIGO]],SALIDAS111518[CANTIDAD])</f>
        <v>0</v>
      </c>
      <c r="J269" s="6">
        <f>PRODUCTOS31316[[#This Row],[EXISTENCIAS]]+PRODUCTOS31316[[#This Row],[ENTRADAS]]-PRODUCTOS31316[[#This Row],[SALIDAS]]</f>
        <v>0</v>
      </c>
      <c r="L269" s="282"/>
      <c r="M269" s="282"/>
      <c r="N269" s="276">
        <v>7769</v>
      </c>
      <c r="O269" s="282" t="s">
        <v>3236</v>
      </c>
      <c r="P269" s="16">
        <v>46048</v>
      </c>
      <c r="Q269" s="282" t="s">
        <v>210</v>
      </c>
      <c r="R269" s="2">
        <f>VLOOKUP(SALIDAS111518[[#This Row],[CÓDIGO]],PRODUCTOS31316[],2,FALSE)</f>
        <v>101257</v>
      </c>
      <c r="S269" s="1" t="str">
        <f>VLOOKUP(SALIDAS111518[[#This Row],[CÓDIGO]],PRODUCTOS31316[],3,FALSE)</f>
        <v>MANGA DESECHABLE SUPER SENSITIVA</v>
      </c>
      <c r="T269" s="2">
        <v>1</v>
      </c>
      <c r="U269" s="2"/>
      <c r="V269" s="2"/>
      <c r="W269" s="282"/>
      <c r="X269" s="2"/>
      <c r="Y269" s="7"/>
      <c r="Z269" s="380" t="s">
        <v>5517</v>
      </c>
      <c r="AA269" s="1" t="s">
        <v>640</v>
      </c>
      <c r="AB269" s="16">
        <v>46168</v>
      </c>
      <c r="AC269" s="2" t="s">
        <v>881</v>
      </c>
      <c r="AD269" s="1">
        <f>VLOOKUP(ENTRADAS71417[[#This Row],[CÓDIGO]],PRODUCTOS31316[],2,FALSE)</f>
        <v>1095350001</v>
      </c>
      <c r="AE269" s="1" t="str">
        <f>VLOOKUP(ENTRADAS71417[[#This Row],[CÓDIGO]],PRODUCTOS31316[],3,FALSE)</f>
        <v>TIRAS INDICADORAS DEL PH PH 0 - 14 INDICADOR UNIVERSAL NO DESTIÑEN 100 STRIPS</v>
      </c>
      <c r="AF269" s="2">
        <v>15</v>
      </c>
      <c r="AG269" s="2"/>
      <c r="AH269" s="2">
        <v>122</v>
      </c>
    </row>
    <row r="270" spans="1:34" ht="49.95" customHeight="1" x14ac:dyDescent="0.3">
      <c r="A270" s="2" t="s">
        <v>31</v>
      </c>
      <c r="B270" s="1" t="s">
        <v>1015</v>
      </c>
      <c r="C270" s="1" t="s">
        <v>1016</v>
      </c>
      <c r="D270" s="1" t="s">
        <v>956</v>
      </c>
      <c r="E270" s="1" t="s">
        <v>957</v>
      </c>
      <c r="F270" s="1" t="s">
        <v>172</v>
      </c>
      <c r="G270" s="31">
        <v>0</v>
      </c>
      <c r="H270" s="14">
        <f>SUMIF(ENTRADAS71417[CÓDIGO],PRODUCTOS31316[[#This Row],[CÓDIGO]],ENTRADAS71417[CANTIDAD])</f>
        <v>0</v>
      </c>
      <c r="I270" s="11">
        <f>SUMIF(SALIDAS111518[CÓDIGO],PRODUCTOS31316[[#This Row],[CÓDIGO]],SALIDAS111518[CANTIDAD])</f>
        <v>0</v>
      </c>
      <c r="J270" s="6">
        <f>PRODUCTOS31316[[#This Row],[EXISTENCIAS]]+PRODUCTOS31316[[#This Row],[ENTRADAS]]-PRODUCTOS31316[[#This Row],[SALIDAS]]</f>
        <v>0</v>
      </c>
      <c r="L270" s="282"/>
      <c r="M270" s="282"/>
      <c r="N270" s="276">
        <v>7769</v>
      </c>
      <c r="O270" s="282" t="s">
        <v>3236</v>
      </c>
      <c r="P270" s="16">
        <v>46048</v>
      </c>
      <c r="Q270" s="282" t="s">
        <v>1779</v>
      </c>
      <c r="R270" s="2">
        <f>VLOOKUP(SALIDAS111518[[#This Row],[CÓDIGO]],PRODUCTOS31316[],2,FALSE)</f>
        <v>5563</v>
      </c>
      <c r="S270" s="1" t="str">
        <f>VLOOKUP(SALIDAS111518[[#This Row],[CÓDIGO]],PRODUCTOS31316[],3,FALSE)</f>
        <v>CAMISA SANITARIA ROLLO X 80</v>
      </c>
      <c r="T270" s="2">
        <v>1</v>
      </c>
      <c r="U270" s="2"/>
      <c r="V270" s="2"/>
      <c r="W270" s="282"/>
      <c r="X270" s="2"/>
      <c r="Y270" s="7"/>
      <c r="Z270" s="380" t="s">
        <v>5518</v>
      </c>
      <c r="AA270" s="1" t="s">
        <v>2231</v>
      </c>
      <c r="AB270" s="16">
        <v>46169</v>
      </c>
      <c r="AC270" s="2" t="s">
        <v>2232</v>
      </c>
      <c r="AD270" s="1">
        <f>VLOOKUP(ENTRADAS71417[[#This Row],[CÓDIGO]],PRODUCTOS31316[],2,FALSE)</f>
        <v>0</v>
      </c>
      <c r="AE270" s="1" t="str">
        <f>VLOOKUP(ENTRADAS71417[[#This Row],[CÓDIGO]],PRODUCTOS31316[],3,FALSE)</f>
        <v>CONO RECOLECTOR</v>
      </c>
      <c r="AF270" s="2">
        <v>30</v>
      </c>
      <c r="AG270" s="2"/>
      <c r="AH270" s="2">
        <v>123</v>
      </c>
    </row>
    <row r="271" spans="1:34" ht="49.95" customHeight="1" x14ac:dyDescent="0.3">
      <c r="A271" s="2" t="s">
        <v>1017</v>
      </c>
      <c r="B271" s="1">
        <v>706001</v>
      </c>
      <c r="C271" s="1" t="s">
        <v>1018</v>
      </c>
      <c r="D271" s="1" t="s">
        <v>1019</v>
      </c>
      <c r="E271" s="1" t="s">
        <v>177</v>
      </c>
      <c r="F271" s="1" t="s">
        <v>184</v>
      </c>
      <c r="G271" s="2">
        <v>0</v>
      </c>
      <c r="H271" s="14">
        <f>SUMIF(ENTRADAS71417[CÓDIGO],PRODUCTOS31316[[#This Row],[CÓDIGO]],ENTRADAS71417[CANTIDAD])</f>
        <v>0</v>
      </c>
      <c r="I271" s="11">
        <f>SUMIF(SALIDAS111518[CÓDIGO],PRODUCTOS31316[[#This Row],[CÓDIGO]],SALIDAS111518[CANTIDAD])</f>
        <v>0</v>
      </c>
      <c r="J271" s="6">
        <f>PRODUCTOS31316[[#This Row],[EXISTENCIAS]]+PRODUCTOS31316[[#This Row],[ENTRADAS]]-PRODUCTOS31316[[#This Row],[SALIDAS]]</f>
        <v>0</v>
      </c>
      <c r="L271" s="282" t="s">
        <v>3520</v>
      </c>
      <c r="M271" s="282" t="s">
        <v>3653</v>
      </c>
      <c r="N271" s="304" t="s">
        <v>4237</v>
      </c>
      <c r="O271" s="305" t="s">
        <v>2216</v>
      </c>
      <c r="P271" s="16">
        <v>46045</v>
      </c>
      <c r="Q271" s="282" t="s">
        <v>1720</v>
      </c>
      <c r="R271" s="2">
        <f>VLOOKUP(SALIDAS111518[[#This Row],[CÓDIGO]],PRODUCTOS31316[],2,FALSE)</f>
        <v>0</v>
      </c>
      <c r="S271" s="1" t="str">
        <f>VLOOKUP(SALIDAS111518[[#This Row],[CÓDIGO]],PRODUCTOS31316[],3,FALSE)</f>
        <v>LENTE ISPERM</v>
      </c>
      <c r="T271" s="2">
        <v>1</v>
      </c>
      <c r="U271" s="2">
        <v>354</v>
      </c>
      <c r="V271" s="2"/>
      <c r="W271" s="282" t="s">
        <v>3412</v>
      </c>
      <c r="X271" s="2"/>
      <c r="Y271" s="7"/>
      <c r="Z271" s="380" t="s">
        <v>5518</v>
      </c>
      <c r="AA271" s="1" t="s">
        <v>2231</v>
      </c>
      <c r="AB271" s="16">
        <v>46169</v>
      </c>
      <c r="AC271" s="2" t="s">
        <v>2382</v>
      </c>
      <c r="AD271" s="1">
        <f>VLOOKUP(ENTRADAS71417[[#This Row],[CÓDIGO]],PRODUCTOS31316[],2,FALSE)</f>
        <v>1</v>
      </c>
      <c r="AE271" s="1" t="str">
        <f>VLOOKUP(ENTRADAS71417[[#This Row],[CÓDIGO]],PRODUCTOS31316[],3,FALSE)</f>
        <v>TERMO DE TRANSPORTE 1 LITRO</v>
      </c>
      <c r="AF271" s="2">
        <v>8</v>
      </c>
      <c r="AG271" s="2"/>
      <c r="AH271" s="2"/>
    </row>
    <row r="272" spans="1:34" ht="49.95" customHeight="1" x14ac:dyDescent="0.3">
      <c r="A272" s="2" t="s">
        <v>1020</v>
      </c>
      <c r="C272" s="1" t="s">
        <v>1021</v>
      </c>
      <c r="D272" s="1" t="s">
        <v>156</v>
      </c>
      <c r="E272" s="1" t="s">
        <v>352</v>
      </c>
      <c r="F272" s="1" t="s">
        <v>1022</v>
      </c>
      <c r="G272" s="2">
        <v>0</v>
      </c>
      <c r="H272" s="14">
        <f>SUMIF(ENTRADAS71417[CÓDIGO],PRODUCTOS31316[[#This Row],[CÓDIGO]],ENTRADAS71417[CANTIDAD])</f>
        <v>0</v>
      </c>
      <c r="I272" s="11">
        <f>SUMIF(SALIDAS111518[CÓDIGO],PRODUCTOS31316[[#This Row],[CÓDIGO]],SALIDAS111518[CANTIDAD])</f>
        <v>0</v>
      </c>
      <c r="J272" s="6">
        <f>PRODUCTOS31316[[#This Row],[EXISTENCIAS]]+PRODUCTOS31316[[#This Row],[ENTRADAS]]-PRODUCTOS31316[[#This Row],[SALIDAS]]</f>
        <v>0</v>
      </c>
      <c r="L272" s="282" t="s">
        <v>3520</v>
      </c>
      <c r="M272" s="282" t="s">
        <v>3653</v>
      </c>
      <c r="N272" s="283" t="s">
        <v>3877</v>
      </c>
      <c r="O272" s="282" t="s">
        <v>2871</v>
      </c>
      <c r="P272" s="16">
        <v>46048</v>
      </c>
      <c r="Q272" s="282" t="s">
        <v>2232</v>
      </c>
      <c r="R272" s="2">
        <f>VLOOKUP(SALIDAS111518[[#This Row],[CÓDIGO]],PRODUCTOS31316[],2,FALSE)</f>
        <v>0</v>
      </c>
      <c r="S272" s="1" t="str">
        <f>VLOOKUP(SALIDAS111518[[#This Row],[CÓDIGO]],PRODUCTOS31316[],3,FALSE)</f>
        <v>CONO RECOLECTOR</v>
      </c>
      <c r="T272" s="2">
        <v>1</v>
      </c>
      <c r="U272" s="2">
        <v>128</v>
      </c>
      <c r="V272" s="2"/>
      <c r="W272" s="2"/>
      <c r="X272" s="2"/>
      <c r="Y272" s="7"/>
      <c r="Z272" s="380" t="s">
        <v>5519</v>
      </c>
      <c r="AA272" s="1" t="s">
        <v>3220</v>
      </c>
      <c r="AB272" s="16">
        <v>46176</v>
      </c>
      <c r="AC272" s="2" t="s">
        <v>2755</v>
      </c>
      <c r="AD272" s="1" t="str">
        <f>VLOOKUP(ENTRADAS71417[[#This Row],[CÓDIGO]],PRODUCTOS31316[],2,FALSE)</f>
        <v>MSLDO05</v>
      </c>
      <c r="AE272" s="1" t="str">
        <f>VLOOKUP(ENTRADAS71417[[#This Row],[CÓDIGO]],PRODUCTOS31316[],3,FALSE)</f>
        <v>TERMO DE RECOLECCIÓN DE SEMEN/ USO VETERINARIO</v>
      </c>
      <c r="AF272" s="2">
        <v>80</v>
      </c>
      <c r="AG272" s="2"/>
      <c r="AH272" s="2">
        <v>124</v>
      </c>
    </row>
    <row r="273" spans="1:34" ht="49.95" customHeight="1" x14ac:dyDescent="0.3">
      <c r="A273" s="2" t="s">
        <v>1024</v>
      </c>
      <c r="B273" s="1" t="s">
        <v>1025</v>
      </c>
      <c r="C273" s="1" t="s">
        <v>1026</v>
      </c>
      <c r="D273" s="1" t="s">
        <v>1027</v>
      </c>
      <c r="E273" s="1" t="s">
        <v>352</v>
      </c>
      <c r="F273" s="1" t="s">
        <v>30</v>
      </c>
      <c r="G273" s="2">
        <v>0</v>
      </c>
      <c r="H273" s="14">
        <f>SUMIF(ENTRADAS71417[CÓDIGO],PRODUCTOS31316[[#This Row],[CÓDIGO]],ENTRADAS71417[CANTIDAD])</f>
        <v>0</v>
      </c>
      <c r="I273" s="11">
        <f>SUMIF(SALIDAS111518[CÓDIGO],PRODUCTOS31316[[#This Row],[CÓDIGO]],SALIDAS111518[CANTIDAD])</f>
        <v>0</v>
      </c>
      <c r="J273" s="6">
        <f>PRODUCTOS31316[[#This Row],[EXISTENCIAS]]+PRODUCTOS31316[[#This Row],[ENTRADAS]]-PRODUCTOS31316[[#This Row],[SALIDAS]]</f>
        <v>0</v>
      </c>
      <c r="L273" s="282" t="s">
        <v>3520</v>
      </c>
      <c r="M273" s="282" t="s">
        <v>3653</v>
      </c>
      <c r="N273" s="290" t="s">
        <v>3883</v>
      </c>
      <c r="O273" s="282" t="s">
        <v>2796</v>
      </c>
      <c r="P273" s="16">
        <v>46048</v>
      </c>
      <c r="Q273" s="282" t="s">
        <v>2904</v>
      </c>
      <c r="R273" s="2" t="str">
        <f>VLOOKUP(SALIDAS111518[[#This Row],[CÓDIGO]],PRODUCTOS31316[],2,FALSE)</f>
        <v>AIG/2U</v>
      </c>
      <c r="S273" s="1" t="str">
        <f>VLOOKUP(SALIDAS111518[[#This Row],[CÓDIGO]],PRODUCTOS31316[],3,FALSE)</f>
        <v>PISTOLA DE INSEMINACIÓN ARTIFICIAL UNIVERSAL TIPO CIRCLIP</v>
      </c>
      <c r="T273" s="2">
        <v>1</v>
      </c>
      <c r="U273" s="2">
        <v>135</v>
      </c>
      <c r="V273" s="2"/>
      <c r="W273" s="282" t="s">
        <v>3412</v>
      </c>
      <c r="X273" s="2"/>
      <c r="Y273" s="7"/>
      <c r="Z273" s="380" t="s">
        <v>5520</v>
      </c>
      <c r="AA273" s="1" t="s">
        <v>3795</v>
      </c>
      <c r="AB273" s="16">
        <v>46174</v>
      </c>
      <c r="AC273" s="2" t="s">
        <v>5114</v>
      </c>
      <c r="AD273" s="1">
        <f>VLOOKUP(ENTRADAS71417[[#This Row],[CÓDIGO]],PRODUCTOS31316[],2,FALSE)</f>
        <v>0</v>
      </c>
      <c r="AE273" s="1" t="str">
        <f>VLOOKUP(ENTRADAS71417[[#This Row],[CÓDIGO]],PRODUCTOS31316[],3,FALSE)</f>
        <v>TABLET SANSUNG GALAXY TAB A11+ MARCA: SANSUNG COLOR SEGUN DISPONIBILIDAD</v>
      </c>
      <c r="AF273" s="2">
        <v>3</v>
      </c>
      <c r="AG273" s="2"/>
      <c r="AH273" s="2">
        <v>125</v>
      </c>
    </row>
    <row r="274" spans="1:34" ht="49.95" customHeight="1" x14ac:dyDescent="0.3">
      <c r="A274" s="2" t="s">
        <v>1028</v>
      </c>
      <c r="B274" s="1" t="s">
        <v>1029</v>
      </c>
      <c r="C274" s="1" t="s">
        <v>1030</v>
      </c>
      <c r="D274" s="1" t="s">
        <v>956</v>
      </c>
      <c r="E274" s="1" t="s">
        <v>177</v>
      </c>
      <c r="F274" s="1" t="s">
        <v>1031</v>
      </c>
      <c r="G274" s="2">
        <v>0</v>
      </c>
      <c r="H274" s="14">
        <f>SUMIF(ENTRADAS71417[CÓDIGO],PRODUCTOS31316[[#This Row],[CÓDIGO]],ENTRADAS71417[CANTIDAD])</f>
        <v>0</v>
      </c>
      <c r="I274" s="11">
        <f>SUMIF(SALIDAS111518[CÓDIGO],PRODUCTOS31316[[#This Row],[CÓDIGO]],SALIDAS111518[CANTIDAD])</f>
        <v>0</v>
      </c>
      <c r="J274" s="6">
        <f>PRODUCTOS31316[[#This Row],[EXISTENCIAS]]+PRODUCTOS31316[[#This Row],[ENTRADAS]]-PRODUCTOS31316[[#This Row],[SALIDAS]]</f>
        <v>0</v>
      </c>
      <c r="L274" s="282"/>
      <c r="M274" s="282"/>
      <c r="N274" s="276">
        <v>7771</v>
      </c>
      <c r="O274" s="282" t="s">
        <v>2796</v>
      </c>
      <c r="P274" s="16">
        <v>46048</v>
      </c>
      <c r="Q274" s="282" t="s">
        <v>3375</v>
      </c>
      <c r="R274" s="2" t="str">
        <f>VLOOKUP(SALIDAS111518[[#This Row],[CÓDIGO]],PRODUCTOS31316[],2,FALSE)</f>
        <v>13500/0250</v>
      </c>
      <c r="S274" s="1" t="str">
        <f>VLOOKUP(SALIDAS111518[[#This Row],[CÓDIGO]],PRODUCTOS31316[],3,FALSE)</f>
        <v>TRILADYL 250 ML</v>
      </c>
      <c r="T274" s="2">
        <v>1</v>
      </c>
      <c r="U274" s="2"/>
      <c r="V274" s="2"/>
      <c r="W274" s="2"/>
      <c r="X274" s="2"/>
      <c r="Y274" s="7"/>
      <c r="Z274" s="380" t="s">
        <v>5521</v>
      </c>
      <c r="AA274" s="1" t="s">
        <v>3795</v>
      </c>
      <c r="AB274" s="16">
        <v>46176</v>
      </c>
      <c r="AC274" s="2" t="s">
        <v>5114</v>
      </c>
      <c r="AD274" s="1">
        <f>VLOOKUP(ENTRADAS71417[[#This Row],[CÓDIGO]],PRODUCTOS31316[],2,FALSE)</f>
        <v>0</v>
      </c>
      <c r="AE274" s="1" t="str">
        <f>VLOOKUP(ENTRADAS71417[[#This Row],[CÓDIGO]],PRODUCTOS31316[],3,FALSE)</f>
        <v>TABLET SANSUNG GALAXY TAB A11+ MARCA: SANSUNG COLOR SEGUN DISPONIBILIDAD</v>
      </c>
      <c r="AF274" s="2">
        <v>4</v>
      </c>
      <c r="AG274" s="2"/>
      <c r="AH274" s="2">
        <v>126</v>
      </c>
    </row>
    <row r="275" spans="1:34" ht="49.95" customHeight="1" x14ac:dyDescent="0.3">
      <c r="A275" s="2" t="s">
        <v>1032</v>
      </c>
      <c r="C275" s="1" t="s">
        <v>1033</v>
      </c>
      <c r="D275" s="1" t="s">
        <v>166</v>
      </c>
      <c r="E275" s="1" t="s">
        <v>475</v>
      </c>
      <c r="F275" s="1" t="s">
        <v>1034</v>
      </c>
      <c r="G275" s="2">
        <v>0</v>
      </c>
      <c r="H275" s="14">
        <f>SUMIF(ENTRADAS71417[CÓDIGO],PRODUCTOS31316[[#This Row],[CÓDIGO]],ENTRADAS71417[CANTIDAD])</f>
        <v>0</v>
      </c>
      <c r="I275" s="11">
        <f>SUMIF(SALIDAS111518[CÓDIGO],PRODUCTOS31316[[#This Row],[CÓDIGO]],SALIDAS111518[CANTIDAD])</f>
        <v>0</v>
      </c>
      <c r="J275" s="6">
        <f>PRODUCTOS31316[[#This Row],[EXISTENCIAS]]+PRODUCTOS31316[[#This Row],[ENTRADAS]]-PRODUCTOS31316[[#This Row],[SALIDAS]]</f>
        <v>0</v>
      </c>
      <c r="L275" s="282"/>
      <c r="M275" s="282"/>
      <c r="N275" s="276">
        <v>7771</v>
      </c>
      <c r="O275" s="282" t="s">
        <v>2796</v>
      </c>
      <c r="P275" s="16">
        <v>46048</v>
      </c>
      <c r="Q275" s="282" t="s">
        <v>2364</v>
      </c>
      <c r="R275" s="2">
        <f>VLOOKUP(SALIDAS111518[[#This Row],[CÓDIGO]],PRODUCTOS31316[],2,FALSE)</f>
        <v>0</v>
      </c>
      <c r="S275" s="1" t="str">
        <f>VLOOKUP(SALIDAS111518[[#This Row],[CÓDIGO]],PRODUCTOS31316[],3,FALSE)</f>
        <v>CORTAPAJILLAS WTA</v>
      </c>
      <c r="T275" s="2">
        <v>1</v>
      </c>
      <c r="U275" s="2"/>
      <c r="V275" s="2"/>
      <c r="W275" s="2"/>
      <c r="X275" s="2"/>
      <c r="Y275" s="7"/>
      <c r="Z275" s="369">
        <v>2319</v>
      </c>
      <c r="AA275" s="1" t="s">
        <v>3970</v>
      </c>
      <c r="AB275" s="16">
        <v>46171</v>
      </c>
      <c r="AC275" s="2" t="s">
        <v>3469</v>
      </c>
      <c r="AD275" s="1" t="str">
        <f>VLOOKUP(ENTRADAS71417[[#This Row],[CÓDIGO]],PRODUCTOS31316[],2,FALSE)</f>
        <v>BOT.30.0003</v>
      </c>
      <c r="AE275" s="1" t="str">
        <f>VLOOKUP(ENTRADAS71417[[#This Row],[CÓDIGO]],PRODUCTOS31316[],3,FALSE)</f>
        <v>BOTU SEMEN SPECIAL 8,5 G</v>
      </c>
      <c r="AF275" s="2">
        <v>7</v>
      </c>
      <c r="AG275" s="2"/>
      <c r="AH275" s="2">
        <v>127</v>
      </c>
    </row>
    <row r="276" spans="1:34" ht="49.95" customHeight="1" x14ac:dyDescent="0.3">
      <c r="A276" s="2" t="s">
        <v>1035</v>
      </c>
      <c r="B276" s="1">
        <v>526</v>
      </c>
      <c r="C276" s="1" t="s">
        <v>1036</v>
      </c>
      <c r="D276" s="1" t="s">
        <v>1037</v>
      </c>
      <c r="E276" s="1" t="s">
        <v>410</v>
      </c>
      <c r="F276" s="1" t="s">
        <v>30</v>
      </c>
      <c r="G276" s="2">
        <v>0</v>
      </c>
      <c r="H276" s="14">
        <f>SUMIF(ENTRADAS71417[CÓDIGO],PRODUCTOS31316[[#This Row],[CÓDIGO]],ENTRADAS71417[CANTIDAD])</f>
        <v>0</v>
      </c>
      <c r="I276" s="11">
        <f>SUMIF(SALIDAS111518[CÓDIGO],PRODUCTOS31316[[#This Row],[CÓDIGO]],SALIDAS111518[CANTIDAD])</f>
        <v>0</v>
      </c>
      <c r="J276" s="6">
        <f>PRODUCTOS31316[[#This Row],[EXISTENCIAS]]+PRODUCTOS31316[[#This Row],[ENTRADAS]]-PRODUCTOS31316[[#This Row],[SALIDAS]]</f>
        <v>0</v>
      </c>
      <c r="L276" s="282"/>
      <c r="M276" s="282"/>
      <c r="N276" s="276">
        <v>7771</v>
      </c>
      <c r="O276" s="282" t="s">
        <v>2796</v>
      </c>
      <c r="P276" s="16">
        <v>46048</v>
      </c>
      <c r="Q276" s="282" t="s">
        <v>3308</v>
      </c>
      <c r="R276" s="2">
        <f>VLOOKUP(SALIDAS111518[[#This Row],[CÓDIGO]],PRODUCTOS31316[],2,FALSE)</f>
        <v>50</v>
      </c>
      <c r="S276" s="1" t="str">
        <f>VLOOKUP(SALIDAS111518[[#This Row],[CÓDIGO]],PRODUCTOS31316[],3,FALSE)</f>
        <v>MAXI FILTRO</v>
      </c>
      <c r="T276" s="2">
        <v>1</v>
      </c>
      <c r="U276" s="2"/>
      <c r="V276" s="2"/>
      <c r="W276" s="2"/>
      <c r="X276" s="2"/>
      <c r="Y276" s="7"/>
      <c r="Z276" s="369">
        <v>2319</v>
      </c>
      <c r="AA276" s="1" t="s">
        <v>3970</v>
      </c>
      <c r="AB276" s="16">
        <v>46171</v>
      </c>
      <c r="AC276" s="2" t="s">
        <v>5116</v>
      </c>
      <c r="AD276" s="1">
        <f>VLOOKUP(ENTRADAS71417[[#This Row],[CÓDIGO]],PRODUCTOS31316[],2,FALSE)</f>
        <v>0</v>
      </c>
      <c r="AE276" s="1" t="str">
        <f>VLOOKUP(ENTRADAS71417[[#This Row],[CÓDIGO]],PRODUCTOS31316[],3,FALSE)</f>
        <v xml:space="preserve">BOTHUSEMEN GOLD (Caseina + Colesterol)  Sobre x 8,5 g </v>
      </c>
      <c r="AF276" s="2">
        <v>7</v>
      </c>
      <c r="AG276" s="2"/>
      <c r="AH276" s="2"/>
    </row>
    <row r="277" spans="1:34" ht="49.95" customHeight="1" x14ac:dyDescent="0.3">
      <c r="A277" s="2" t="s">
        <v>1039</v>
      </c>
      <c r="B277" s="1" t="s">
        <v>1040</v>
      </c>
      <c r="C277" s="1" t="s">
        <v>1041</v>
      </c>
      <c r="D277" s="1" t="s">
        <v>1037</v>
      </c>
      <c r="E277" s="1" t="s">
        <v>410</v>
      </c>
      <c r="F277" s="1" t="s">
        <v>30</v>
      </c>
      <c r="G277" s="2">
        <v>0</v>
      </c>
      <c r="H277" s="14">
        <f>SUMIF(ENTRADAS71417[CÓDIGO],PRODUCTOS31316[[#This Row],[CÓDIGO]],ENTRADAS71417[CANTIDAD])</f>
        <v>0</v>
      </c>
      <c r="I277" s="11">
        <f>SUMIF(SALIDAS111518[CÓDIGO],PRODUCTOS31316[[#This Row],[CÓDIGO]],SALIDAS111518[CANTIDAD])</f>
        <v>0</v>
      </c>
      <c r="J277" s="6">
        <f>PRODUCTOS31316[[#This Row],[EXISTENCIAS]]+PRODUCTOS31316[[#This Row],[ENTRADAS]]-PRODUCTOS31316[[#This Row],[SALIDAS]]</f>
        <v>0</v>
      </c>
      <c r="L277" s="282" t="s">
        <v>3520</v>
      </c>
      <c r="M277" s="282" t="s">
        <v>3653</v>
      </c>
      <c r="N277" s="283" t="s">
        <v>3879</v>
      </c>
      <c r="O277" s="282" t="s">
        <v>3844</v>
      </c>
      <c r="P277" s="16">
        <v>46048</v>
      </c>
      <c r="Q277" s="282" t="s">
        <v>15</v>
      </c>
      <c r="R277" s="2" t="str">
        <f>VLOOKUP(SALIDAS111518[[#This Row],[CÓDIGO]],PRODUCTOS31316[],2,FALSE)</f>
        <v>BTE-025PT/ 504002</v>
      </c>
      <c r="S277" s="1" t="str">
        <f>VLOOKUP(SALIDAS111518[[#This Row],[CÓDIGO]],PRODUCTOS31316[],3,FALSE)</f>
        <v>FUNDAS PARA TRANSFERENCIA DE EMBRIONES</v>
      </c>
      <c r="T277" s="2">
        <v>100</v>
      </c>
      <c r="U277" s="282" t="s">
        <v>3878</v>
      </c>
      <c r="V277" s="2"/>
      <c r="W277" s="2"/>
      <c r="X277" s="2"/>
      <c r="Y277" s="7"/>
      <c r="Z277" s="369">
        <v>2319</v>
      </c>
      <c r="AA277" s="1" t="s">
        <v>3970</v>
      </c>
      <c r="AB277" s="16">
        <v>46171</v>
      </c>
      <c r="AC277" s="2" t="s">
        <v>5117</v>
      </c>
      <c r="AD277" s="1">
        <f>VLOOKUP(ENTRADAS71417[[#This Row],[CÓDIGO]],PRODUCTOS31316[],2,FALSE)</f>
        <v>0</v>
      </c>
      <c r="AE277" s="1" t="str">
        <f>VLOOKUP(ENTRADAS71417[[#This Row],[CÓDIGO]],PRODUCTOS31316[],3,FALSE)</f>
        <v>BOTU FLEX/ BOTUPHARMA</v>
      </c>
      <c r="AF277" s="2">
        <v>1</v>
      </c>
      <c r="AG277" s="2"/>
      <c r="AH277" s="2"/>
    </row>
    <row r="278" spans="1:34" ht="49.95" customHeight="1" x14ac:dyDescent="0.3">
      <c r="A278" s="2" t="s">
        <v>1043</v>
      </c>
      <c r="B278" s="1" t="s">
        <v>1044</v>
      </c>
      <c r="C278" s="1" t="s">
        <v>1045</v>
      </c>
      <c r="D278" s="1" t="s">
        <v>1037</v>
      </c>
      <c r="E278" s="1" t="s">
        <v>410</v>
      </c>
      <c r="F278" s="1" t="s">
        <v>30</v>
      </c>
      <c r="G278" s="2">
        <v>0</v>
      </c>
      <c r="H278" s="14">
        <f>SUMIF(ENTRADAS71417[CÓDIGO],PRODUCTOS31316[[#This Row],[CÓDIGO]],ENTRADAS71417[CANTIDAD])</f>
        <v>0</v>
      </c>
      <c r="I278" s="11">
        <f>SUMIF(SALIDAS111518[CÓDIGO],PRODUCTOS31316[[#This Row],[CÓDIGO]],SALIDAS111518[CANTIDAD])</f>
        <v>0</v>
      </c>
      <c r="J278" s="6">
        <f>PRODUCTOS31316[[#This Row],[EXISTENCIAS]]+PRODUCTOS31316[[#This Row],[ENTRADAS]]-PRODUCTOS31316[[#This Row],[SALIDAS]]</f>
        <v>0</v>
      </c>
      <c r="L278" s="282" t="s">
        <v>3520</v>
      </c>
      <c r="M278" s="282" t="s">
        <v>3653</v>
      </c>
      <c r="N278" s="296" t="s">
        <v>4102</v>
      </c>
      <c r="O278" s="282" t="s">
        <v>3845</v>
      </c>
      <c r="P278" s="16">
        <v>46067</v>
      </c>
      <c r="Q278" s="282" t="s">
        <v>3560</v>
      </c>
      <c r="R278" s="2" t="str">
        <f>VLOOKUP(SALIDAS111518[[#This Row],[CÓDIGO]],PRODUCTOS31316[],2,FALSE)</f>
        <v>426570-9901-000</v>
      </c>
      <c r="S278" s="1" t="str">
        <f>VLOOKUP(SALIDAS111518[[#This Row],[CÓDIGO]],PRODUCTOS31316[],3,FALSE)</f>
        <v>AXIOCAM 212 COLOR MARCA ZEISS</v>
      </c>
      <c r="T278" s="2">
        <v>1</v>
      </c>
      <c r="U278" s="2">
        <v>277</v>
      </c>
      <c r="V278" s="2"/>
      <c r="W278" s="2"/>
      <c r="X278" s="2"/>
      <c r="Y278" s="7"/>
      <c r="Z278" s="369">
        <v>2319</v>
      </c>
      <c r="AA278" s="1" t="s">
        <v>3970</v>
      </c>
      <c r="AB278" s="16">
        <v>46171</v>
      </c>
      <c r="AC278" s="2" t="s">
        <v>5118</v>
      </c>
      <c r="AD278" s="1">
        <f>VLOOKUP(ENTRADAS71417[[#This Row],[CÓDIGO]],PRODUCTOS31316[],2,FALSE)</f>
        <v>0</v>
      </c>
      <c r="AE278" s="1" t="str">
        <f>VLOOKUP(ENTRADAS71417[[#This Row],[CÓDIGO]],PRODUCTOS31316[],3,FALSE)</f>
        <v>Botupharma- Botumix Garahnao Plus Fco x 1,5 Lt</v>
      </c>
      <c r="AF278" s="2">
        <v>1</v>
      </c>
      <c r="AG278" s="2"/>
      <c r="AH278" s="2"/>
    </row>
    <row r="279" spans="1:34" ht="49.95" customHeight="1" x14ac:dyDescent="0.3">
      <c r="A279" s="2" t="s">
        <v>1047</v>
      </c>
      <c r="B279" s="1" t="s">
        <v>1048</v>
      </c>
      <c r="C279" s="1" t="s">
        <v>1049</v>
      </c>
      <c r="D279" s="1" t="s">
        <v>507</v>
      </c>
      <c r="E279" s="1" t="s">
        <v>1050</v>
      </c>
      <c r="F279" s="1" t="s">
        <v>30</v>
      </c>
      <c r="G279" s="2">
        <v>0</v>
      </c>
      <c r="H279" s="14">
        <f>SUMIF(ENTRADAS71417[CÓDIGO],PRODUCTOS31316[[#This Row],[CÓDIGO]],ENTRADAS71417[CANTIDAD])</f>
        <v>0</v>
      </c>
      <c r="I279" s="11">
        <f>SUMIF(SALIDAS111518[CÓDIGO],PRODUCTOS31316[[#This Row],[CÓDIGO]],SALIDAS111518[CANTIDAD])</f>
        <v>0</v>
      </c>
      <c r="J279" s="6">
        <f>PRODUCTOS31316[[#This Row],[EXISTENCIAS]]+PRODUCTOS31316[[#This Row],[ENTRADAS]]-PRODUCTOS31316[[#This Row],[SALIDAS]]</f>
        <v>0</v>
      </c>
      <c r="L279" s="295" t="s">
        <v>3520</v>
      </c>
      <c r="M279" s="295" t="s">
        <v>3653</v>
      </c>
      <c r="N279" s="296" t="s">
        <v>4103</v>
      </c>
      <c r="O279" s="282" t="s">
        <v>3845</v>
      </c>
      <c r="P279" s="16">
        <v>46067</v>
      </c>
      <c r="Q279" s="282" t="s">
        <v>3449</v>
      </c>
      <c r="R279" s="2" t="str">
        <f>VLOOKUP(SALIDAS111518[[#This Row],[CÓDIGO]],PRODUCTOS31316[],2,FALSE)</f>
        <v>415501-0011-000</v>
      </c>
      <c r="S279" s="1" t="str">
        <f>VLOOKUP(SALIDAS111518[[#This Row],[CÓDIGO]],PRODUCTOS31316[],3,FALSE)</f>
        <v>MICROSCOPIO MODELO PRIMOSTAR 3 TRIOCULAR/ SERIAL 3178002348</v>
      </c>
      <c r="T279" s="2">
        <v>1</v>
      </c>
      <c r="U279" s="2">
        <v>278</v>
      </c>
      <c r="V279" s="2"/>
      <c r="W279" s="2"/>
      <c r="X279" s="2"/>
      <c r="Y279" s="7"/>
      <c r="Z279" s="380" t="s">
        <v>5522</v>
      </c>
      <c r="AA279" s="1" t="s">
        <v>2411</v>
      </c>
      <c r="AB279" s="16">
        <v>46176</v>
      </c>
      <c r="AC279" s="2" t="s">
        <v>648</v>
      </c>
      <c r="AD279" s="1" t="str">
        <f>VLOOKUP(ENTRADAS71417[[#This Row],[CÓDIGO]],PRODUCTOS31316[],2,FALSE)</f>
        <v>S5</v>
      </c>
      <c r="AE279" s="1" t="str">
        <f>VLOOKUP(ENTRADAS71417[[#This Row],[CÓDIGO]],PRODUCTOS31316[],3,FALSE)</f>
        <v>SONDA S5 UNIDAD PRINCIPAL CON SONDA LINEAL RECTAL</v>
      </c>
      <c r="AF279" s="2">
        <v>10</v>
      </c>
      <c r="AG279" s="2"/>
      <c r="AH279" s="2">
        <v>128</v>
      </c>
    </row>
    <row r="280" spans="1:34" ht="49.95" customHeight="1" x14ac:dyDescent="0.3">
      <c r="A280" s="2" t="s">
        <v>1051</v>
      </c>
      <c r="B280" s="1" t="s">
        <v>1052</v>
      </c>
      <c r="C280" s="1" t="s">
        <v>1053</v>
      </c>
      <c r="D280" s="1" t="s">
        <v>1054</v>
      </c>
      <c r="E280" s="1" t="s">
        <v>475</v>
      </c>
      <c r="F280" s="1" t="s">
        <v>30</v>
      </c>
      <c r="G280" s="2">
        <v>0</v>
      </c>
      <c r="H280" s="14">
        <f>SUMIF(ENTRADAS71417[CÓDIGO],PRODUCTOS31316[[#This Row],[CÓDIGO]],ENTRADAS71417[CANTIDAD])</f>
        <v>0</v>
      </c>
      <c r="I280" s="11">
        <f>SUMIF(SALIDAS111518[CÓDIGO],PRODUCTOS31316[[#This Row],[CÓDIGO]],SALIDAS111518[CANTIDAD])</f>
        <v>0</v>
      </c>
      <c r="J280" s="6">
        <f>PRODUCTOS31316[[#This Row],[EXISTENCIAS]]+PRODUCTOS31316[[#This Row],[ENTRADAS]]-PRODUCTOS31316[[#This Row],[SALIDAS]]</f>
        <v>0</v>
      </c>
      <c r="L280" s="282"/>
      <c r="M280" s="282"/>
      <c r="N280" s="276">
        <v>7890</v>
      </c>
      <c r="O280" s="282" t="s">
        <v>3845</v>
      </c>
      <c r="P280" s="16">
        <v>46067</v>
      </c>
      <c r="Q280" s="282" t="s">
        <v>3454</v>
      </c>
      <c r="R280" s="2" t="str">
        <f>VLOOKUP(SALIDAS111518[[#This Row],[CÓDIGO]],PRODUCTOS31316[],2,FALSE)</f>
        <v>415501-1625-000</v>
      </c>
      <c r="S280" s="1" t="str">
        <f>VLOOKUP(SALIDAS111518[[#This Row],[CÓDIGO]],PRODUCTOS31316[],3,FALSE)</f>
        <v>OBJETIVO IPLAN-ACHRAMAT 20X/0,45</v>
      </c>
      <c r="T280" s="2">
        <v>1</v>
      </c>
      <c r="U280" s="2"/>
      <c r="V280" s="2"/>
      <c r="W280" s="2"/>
      <c r="X280" s="2"/>
      <c r="Y280" s="7"/>
      <c r="Z280" s="380" t="s">
        <v>5522</v>
      </c>
      <c r="AA280" s="1" t="s">
        <v>2411</v>
      </c>
      <c r="AB280" s="16">
        <v>46176</v>
      </c>
      <c r="AC280" s="2" t="s">
        <v>3211</v>
      </c>
      <c r="AD280" s="1" t="str">
        <f>VLOOKUP(ENTRADAS71417[[#This Row],[CÓDIGO]],PRODUCTOS31316[],2,FALSE)</f>
        <v>S7</v>
      </c>
      <c r="AE280" s="1" t="str">
        <f>VLOOKUP(ENTRADAS71417[[#This Row],[CÓDIGO]],PRODUCTOS31316[],3,FALSE)</f>
        <v>SONDA S7 PLUS DOPPLER COLOR</v>
      </c>
      <c r="AF280" s="2">
        <v>5</v>
      </c>
      <c r="AG280" s="2"/>
      <c r="AH280" s="2"/>
    </row>
    <row r="281" spans="1:34" ht="49.95" customHeight="1" x14ac:dyDescent="0.3">
      <c r="A281" s="2" t="s">
        <v>326</v>
      </c>
      <c r="B281" s="1" t="s">
        <v>1055</v>
      </c>
      <c r="C281" s="1" t="s">
        <v>1056</v>
      </c>
      <c r="D281" s="1" t="s">
        <v>163</v>
      </c>
      <c r="E281" s="1" t="s">
        <v>177</v>
      </c>
      <c r="F281" s="1" t="s">
        <v>1057</v>
      </c>
      <c r="G281" s="2">
        <v>0</v>
      </c>
      <c r="H281" s="14">
        <f>SUMIF(ENTRADAS71417[CÓDIGO],PRODUCTOS31316[[#This Row],[CÓDIGO]],ENTRADAS71417[CANTIDAD])</f>
        <v>0</v>
      </c>
      <c r="I281" s="11">
        <f>SUMIF(SALIDAS111518[CÓDIGO],PRODUCTOS31316[[#This Row],[CÓDIGO]],SALIDAS111518[CANTIDAD])</f>
        <v>0</v>
      </c>
      <c r="J281" s="6">
        <f>PRODUCTOS31316[[#This Row],[EXISTENCIAS]]+PRODUCTOS31316[[#This Row],[ENTRADAS]]-PRODUCTOS31316[[#This Row],[SALIDAS]]</f>
        <v>0</v>
      </c>
      <c r="L281" s="282"/>
      <c r="M281" s="282"/>
      <c r="N281" s="276">
        <v>7890</v>
      </c>
      <c r="O281" s="282" t="s">
        <v>3845</v>
      </c>
      <c r="P281" s="16">
        <v>46067</v>
      </c>
      <c r="Q281" s="282" t="s">
        <v>3557</v>
      </c>
      <c r="R281" s="2" t="str">
        <f>VLOOKUP(SALIDAS111518[[#This Row],[CÓDIGO]],PRODUCTOS31316[],2,FALSE)</f>
        <v>415501-1645-000</v>
      </c>
      <c r="S281" s="1" t="str">
        <f>VLOOKUP(SALIDAS111518[[#This Row],[CÓDIGO]],PRODUCTOS31316[],3,FALSE)</f>
        <v>OBJETIVO IPLAN-ACHROMAT 100X/1.25 OIL PH3, PRIMOSTAR 3</v>
      </c>
      <c r="T281" s="2">
        <v>1</v>
      </c>
      <c r="U281" s="2"/>
      <c r="V281" s="2"/>
      <c r="W281" s="2"/>
      <c r="X281" s="2"/>
      <c r="Y281" s="7"/>
      <c r="Z281" s="380" t="s">
        <v>5522</v>
      </c>
      <c r="AA281" s="1" t="s">
        <v>2411</v>
      </c>
      <c r="AB281" s="16">
        <v>46176</v>
      </c>
      <c r="AC281" s="2" t="s">
        <v>3346</v>
      </c>
      <c r="AD281" s="1" t="str">
        <f>VLOOKUP(ENTRADAS71417[[#This Row],[CÓDIGO]],PRODUCTOS31316[],2,FALSE)</f>
        <v>S7PRO</v>
      </c>
      <c r="AE281" s="1" t="str">
        <f>VLOOKUP(ENTRADAS71417[[#This Row],[CÓDIGO]],PRODUCTOS31316[],3,FALSE)</f>
        <v>ECÓGRAFO S7 PRO VET CON SONDA LINEAL RECTAL</v>
      </c>
      <c r="AF281" s="2">
        <v>5</v>
      </c>
      <c r="AG281" s="2"/>
      <c r="AH281" s="2"/>
    </row>
    <row r="282" spans="1:34" ht="49.95" customHeight="1" x14ac:dyDescent="0.3">
      <c r="A282" s="2" t="s">
        <v>1060</v>
      </c>
      <c r="B282" s="1">
        <v>1129</v>
      </c>
      <c r="C282" s="1" t="s">
        <v>29</v>
      </c>
      <c r="D282" s="1" t="s">
        <v>103</v>
      </c>
      <c r="E282" s="1" t="s">
        <v>233</v>
      </c>
      <c r="F282" s="1" t="s">
        <v>30</v>
      </c>
      <c r="G282" s="2">
        <v>0</v>
      </c>
      <c r="H282" s="14">
        <f>SUMIF(ENTRADAS71417[CÓDIGO],PRODUCTOS31316[[#This Row],[CÓDIGO]],ENTRADAS71417[CANTIDAD])</f>
        <v>0</v>
      </c>
      <c r="I282" s="11">
        <f>SUMIF(SALIDAS111518[CÓDIGO],PRODUCTOS31316[[#This Row],[CÓDIGO]],SALIDAS111518[CANTIDAD])</f>
        <v>0</v>
      </c>
      <c r="J282" s="6">
        <f>PRODUCTOS31316[[#This Row],[EXISTENCIAS]]+PRODUCTOS31316[[#This Row],[ENTRADAS]]-PRODUCTOS31316[[#This Row],[SALIDAS]]</f>
        <v>0</v>
      </c>
      <c r="L282" s="282"/>
      <c r="M282" s="282"/>
      <c r="N282" s="276">
        <v>7890</v>
      </c>
      <c r="O282" s="282" t="s">
        <v>3845</v>
      </c>
      <c r="P282" s="16">
        <v>46067</v>
      </c>
      <c r="Q282" s="282" t="s">
        <v>3558</v>
      </c>
      <c r="R282" s="2" t="str">
        <f>VLOOKUP(SALIDAS111518[[#This Row],[CÓDIGO]],PRODUCTOS31316[],2,FALSE)</f>
        <v>415500-1826-000</v>
      </c>
      <c r="S282" s="1" t="str">
        <f>VLOOKUP(SALIDAS111518[[#This Row],[CÓDIGO]],PRODUCTOS31316[],3,FALSE)</f>
        <v>CORREDERA H, PH1, PH2, PH3 PARA PRIMO STAR.</v>
      </c>
      <c r="T282" s="2">
        <v>1</v>
      </c>
      <c r="U282" s="2"/>
      <c r="V282" s="2"/>
      <c r="W282" s="2"/>
      <c r="X282" s="32"/>
      <c r="Y282" s="7"/>
      <c r="Z282" s="380" t="s">
        <v>5522</v>
      </c>
      <c r="AA282" s="1" t="s">
        <v>2411</v>
      </c>
      <c r="AB282" s="16">
        <v>46176</v>
      </c>
      <c r="AC282" s="2" t="s">
        <v>20</v>
      </c>
      <c r="AD282" s="1" t="str">
        <f>VLOOKUP(ENTRADAS71417[[#This Row],[CÓDIGO]],PRODUCTOS31316[],2,FALSE)</f>
        <v>L60</v>
      </c>
      <c r="AE282" s="1" t="str">
        <f>VLOOKUP(ENTRADAS71417[[#This Row],[CÓDIGO]],PRODUCTOS31316[],3,FALSE)</f>
        <v>ECOGRAFO POTATIL L60 CON SONDA LINEAL RECTAL</v>
      </c>
      <c r="AF282" s="2">
        <v>2</v>
      </c>
      <c r="AG282" s="2"/>
      <c r="AH282" s="2"/>
    </row>
    <row r="283" spans="1:34" ht="49.95" customHeight="1" x14ac:dyDescent="0.3">
      <c r="A283" s="2" t="s">
        <v>349</v>
      </c>
      <c r="B283" s="1" t="s">
        <v>1061</v>
      </c>
      <c r="C283" s="1" t="s">
        <v>1062</v>
      </c>
      <c r="D283" s="1" t="s">
        <v>639</v>
      </c>
      <c r="E283" s="1" t="s">
        <v>640</v>
      </c>
      <c r="F283" s="1" t="s">
        <v>1057</v>
      </c>
      <c r="G283" s="2">
        <v>0</v>
      </c>
      <c r="H283" s="14">
        <f>SUMIF(ENTRADAS71417[CÓDIGO],PRODUCTOS31316[[#This Row],[CÓDIGO]],ENTRADAS71417[CANTIDAD])</f>
        <v>0</v>
      </c>
      <c r="I283" s="11">
        <f>SUMIF(SALIDAS111518[CÓDIGO],PRODUCTOS31316[[#This Row],[CÓDIGO]],SALIDAS111518[CANTIDAD])</f>
        <v>0</v>
      </c>
      <c r="J283" s="6">
        <f>PRODUCTOS31316[[#This Row],[EXISTENCIAS]]+PRODUCTOS31316[[#This Row],[ENTRADAS]]-PRODUCTOS31316[[#This Row],[SALIDAS]]</f>
        <v>0</v>
      </c>
      <c r="L283" s="282"/>
      <c r="M283" s="282"/>
      <c r="N283" s="276">
        <v>7890</v>
      </c>
      <c r="O283" s="282" t="s">
        <v>3845</v>
      </c>
      <c r="P283" s="16">
        <v>46067</v>
      </c>
      <c r="Q283" s="282" t="s">
        <v>3561</v>
      </c>
      <c r="R283" s="2" t="str">
        <f>VLOOKUP(SALIDAS111518[[#This Row],[CÓDIGO]],PRODUCTOS31316[],2,FALSE)</f>
        <v>415501-1811-000</v>
      </c>
      <c r="S283" s="1" t="str">
        <f>VLOOKUP(SALIDAS111518[[#This Row],[CÓDIGO]],PRODUCTOS31316[],3,FALSE)</f>
        <v>ADAPTADOR DE CAMARA P95 PARA PRIMO STAR 3</v>
      </c>
      <c r="T283" s="2">
        <v>1</v>
      </c>
      <c r="U283" s="2"/>
      <c r="V283" s="2"/>
      <c r="W283" s="2"/>
      <c r="X283" s="2"/>
      <c r="Y283" s="7"/>
      <c r="Z283" s="380" t="s">
        <v>5522</v>
      </c>
      <c r="AA283" s="1" t="s">
        <v>2411</v>
      </c>
      <c r="AB283" s="16">
        <v>46176</v>
      </c>
      <c r="AC283" s="2" t="s">
        <v>2326</v>
      </c>
      <c r="AD283" s="1">
        <f>VLOOKUP(ENTRADAS71417[[#This Row],[CÓDIGO]],PRODUCTOS31316[],2,FALSE)</f>
        <v>0</v>
      </c>
      <c r="AE283" s="1" t="str">
        <f>VLOOKUP(ENTRADAS71417[[#This Row],[CÓDIGO]],PRODUCTOS31316[],3,FALSE)</f>
        <v>GAFAS PARA ECÓGRAFO L60</v>
      </c>
      <c r="AF283" s="2">
        <v>1</v>
      </c>
      <c r="AG283" s="2"/>
      <c r="AH283" s="2"/>
    </row>
    <row r="284" spans="1:34" ht="49.95" customHeight="1" x14ac:dyDescent="0.3">
      <c r="A284" s="2" t="s">
        <v>1064</v>
      </c>
      <c r="B284" s="1" t="s">
        <v>1065</v>
      </c>
      <c r="C284" s="1" t="s">
        <v>1066</v>
      </c>
      <c r="D284" s="1" t="s">
        <v>1067</v>
      </c>
      <c r="E284" s="1" t="s">
        <v>1068</v>
      </c>
      <c r="F284" s="1" t="s">
        <v>1069</v>
      </c>
      <c r="G284" s="2">
        <v>0</v>
      </c>
      <c r="H284" s="14">
        <f>SUMIF(ENTRADAS71417[CÓDIGO],PRODUCTOS31316[[#This Row],[CÓDIGO]],ENTRADAS71417[CANTIDAD])</f>
        <v>0</v>
      </c>
      <c r="I284" s="11">
        <f>SUMIF(SALIDAS111518[CÓDIGO],PRODUCTOS31316[[#This Row],[CÓDIGO]],SALIDAS111518[CANTIDAD])</f>
        <v>0</v>
      </c>
      <c r="J284" s="6">
        <f>PRODUCTOS31316[[#This Row],[EXISTENCIAS]]+PRODUCTOS31316[[#This Row],[ENTRADAS]]-PRODUCTOS31316[[#This Row],[SALIDAS]]</f>
        <v>0</v>
      </c>
      <c r="L284" s="282" t="s">
        <v>3520</v>
      </c>
      <c r="M284" s="282" t="s">
        <v>3653</v>
      </c>
      <c r="N284" s="283" t="s">
        <v>3897</v>
      </c>
      <c r="O284" s="305" t="s">
        <v>3175</v>
      </c>
      <c r="P284" s="16">
        <v>46049</v>
      </c>
      <c r="Q284" s="282" t="s">
        <v>36</v>
      </c>
      <c r="R284" s="2">
        <f>VLOOKUP(SALIDAS111518[[#This Row],[CÓDIGO]],PRODUCTOS31316[],2,FALSE)</f>
        <v>1</v>
      </c>
      <c r="S284" s="1" t="str">
        <f>VLOOKUP(SALIDAS111518[[#This Row],[CÓDIGO]],PRODUCTOS31316[],3,FALSE)</f>
        <v xml:space="preserve">PARCHE ESTROTECT </v>
      </c>
      <c r="T284" s="2">
        <v>21</v>
      </c>
      <c r="U284" s="2">
        <v>130</v>
      </c>
      <c r="V284" s="2"/>
      <c r="W284" s="2"/>
      <c r="X284" s="2"/>
      <c r="Y284" s="7"/>
      <c r="Z284" s="380" t="s">
        <v>5522</v>
      </c>
      <c r="AA284" s="1" t="s">
        <v>2411</v>
      </c>
      <c r="AB284" s="16">
        <v>46176</v>
      </c>
      <c r="AC284" s="2" t="s">
        <v>3354</v>
      </c>
      <c r="AD284" s="1" t="str">
        <f>VLOOKUP(ENTRADAS71417[[#This Row],[CÓDIGO]],PRODUCTOS31316[],2,FALSE)</f>
        <v>MX5C</v>
      </c>
      <c r="AE284" s="1" t="str">
        <f>VLOOKUP(ENTRADAS71417[[#This Row],[CÓDIGO]],PRODUCTOS31316[],3,FALSE)</f>
        <v>ECOGRAFO MX5C CON SONDA LINEAL RECTAL/DOPLLER COLOR</v>
      </c>
      <c r="AF284" s="2">
        <v>5</v>
      </c>
      <c r="AG284" s="2"/>
      <c r="AH284" s="2"/>
    </row>
    <row r="285" spans="1:34" ht="49.95" customHeight="1" x14ac:dyDescent="0.3">
      <c r="A285" s="2" t="s">
        <v>1071</v>
      </c>
      <c r="C285" s="1" t="s">
        <v>1072</v>
      </c>
      <c r="D285" s="1" t="s">
        <v>454</v>
      </c>
      <c r="E285" s="1" t="s">
        <v>410</v>
      </c>
      <c r="F285" s="1" t="s">
        <v>124</v>
      </c>
      <c r="G285" s="2">
        <v>0</v>
      </c>
      <c r="H285" s="14">
        <f>SUMIF(ENTRADAS71417[CÓDIGO],PRODUCTOS31316[[#This Row],[CÓDIGO]],ENTRADAS71417[CANTIDAD])</f>
        <v>0</v>
      </c>
      <c r="I285" s="11">
        <f>SUMIF(SALIDAS111518[CÓDIGO],PRODUCTOS31316[[#This Row],[CÓDIGO]],SALIDAS111518[CANTIDAD])</f>
        <v>0</v>
      </c>
      <c r="J285" s="6">
        <f>PRODUCTOS31316[[#This Row],[EXISTENCIAS]]+PRODUCTOS31316[[#This Row],[ENTRADAS]]-PRODUCTOS31316[[#This Row],[SALIDAS]]</f>
        <v>0</v>
      </c>
      <c r="L285" s="282" t="s">
        <v>3521</v>
      </c>
      <c r="M285" s="282" t="s">
        <v>3653</v>
      </c>
      <c r="N285" s="283" t="s">
        <v>3881</v>
      </c>
      <c r="O285" s="282" t="s">
        <v>3299</v>
      </c>
      <c r="P285" s="16">
        <v>46066</v>
      </c>
      <c r="Q285" s="282" t="s">
        <v>913</v>
      </c>
      <c r="R285" s="2" t="str">
        <f>VLOOKUP(SALIDAS111518[[#This Row],[CÓDIGO]],PRODUCTOS31316[],2,FALSE)</f>
        <v>HC-R069</v>
      </c>
      <c r="S285" s="1" t="str">
        <f>VLOOKUP(SALIDAS111518[[#This Row],[CÓDIGO]],PRODUCTOS31316[],3,FALSE)</f>
        <v>MICROSCOPIO CON PLATINA Y PANTALLA 7"</v>
      </c>
      <c r="T285" s="2">
        <v>1</v>
      </c>
      <c r="U285" s="2">
        <v>132</v>
      </c>
      <c r="V285" s="2"/>
      <c r="W285" s="2"/>
      <c r="X285" s="2"/>
      <c r="Y285" s="7"/>
      <c r="Z285" s="380" t="s">
        <v>5522</v>
      </c>
      <c r="AA285" s="1" t="s">
        <v>2411</v>
      </c>
      <c r="AB285" s="16">
        <v>46176</v>
      </c>
      <c r="AC285" s="2" t="s">
        <v>3282</v>
      </c>
      <c r="AD285" s="1" t="str">
        <f>VLOOKUP(ENTRADAS71417[[#This Row],[CÓDIGO]],PRODUCTOS31316[],2,FALSE)</f>
        <v>S7/B-W</v>
      </c>
      <c r="AE285" s="1" t="str">
        <f>VLOOKUP(ENTRADAS71417[[#This Row],[CÓDIGO]],PRODUCTOS31316[],3,FALSE)</f>
        <v>ECÓGRAFO S7 B/W ( BLANCO Y NEGRO) BMV - Plataforma BLANCO Y NEGRO CON BATERÍA</v>
      </c>
      <c r="AF285" s="2">
        <v>1</v>
      </c>
      <c r="AG285" s="2"/>
      <c r="AH285" s="2"/>
    </row>
    <row r="286" spans="1:34" ht="49.95" customHeight="1" x14ac:dyDescent="0.3">
      <c r="A286" s="2" t="s">
        <v>703</v>
      </c>
      <c r="B286" s="1">
        <v>5546</v>
      </c>
      <c r="C286" s="1" t="s">
        <v>1074</v>
      </c>
      <c r="D286" s="1" t="s">
        <v>156</v>
      </c>
      <c r="E286" s="1" t="s">
        <v>352</v>
      </c>
      <c r="F286" s="1" t="s">
        <v>68</v>
      </c>
      <c r="G286" s="2">
        <v>0</v>
      </c>
      <c r="H286" s="14">
        <f>SUMIF(ENTRADAS71417[CÓDIGO],PRODUCTOS31316[[#This Row],[CÓDIGO]],ENTRADAS71417[CANTIDAD])</f>
        <v>0</v>
      </c>
      <c r="I286" s="11">
        <f>SUMIF(SALIDAS111518[CÓDIGO],PRODUCTOS31316[[#This Row],[CÓDIGO]],SALIDAS111518[CANTIDAD])</f>
        <v>0</v>
      </c>
      <c r="J286" s="6">
        <f>PRODUCTOS31316[[#This Row],[EXISTENCIAS]]+PRODUCTOS31316[[#This Row],[ENTRADAS]]-PRODUCTOS31316[[#This Row],[SALIDAS]]</f>
        <v>0</v>
      </c>
      <c r="L286" s="282" t="s">
        <v>3520</v>
      </c>
      <c r="M286" s="282"/>
      <c r="N286" s="282" t="s">
        <v>3880</v>
      </c>
      <c r="O286" s="283" t="s">
        <v>3386</v>
      </c>
      <c r="P286" s="16">
        <v>46049</v>
      </c>
      <c r="Q286" s="282" t="s">
        <v>2755</v>
      </c>
      <c r="R286" s="2" t="str">
        <f>VLOOKUP(SALIDAS111518[[#This Row],[CÓDIGO]],PRODUCTOS31316[],2,FALSE)</f>
        <v>MSLDO05</v>
      </c>
      <c r="S286" s="1" t="str">
        <f>VLOOKUP(SALIDAS111518[[#This Row],[CÓDIGO]],PRODUCTOS31316[],3,FALSE)</f>
        <v>TERMO DE RECOLECCIÓN DE SEMEN/ USO VETERINARIO</v>
      </c>
      <c r="T286" s="2">
        <v>1</v>
      </c>
      <c r="U286" s="2">
        <v>131</v>
      </c>
      <c r="V286" s="2"/>
      <c r="W286" s="2"/>
      <c r="X286" s="2"/>
      <c r="Y286" s="7"/>
      <c r="Z286" s="380" t="s">
        <v>5522</v>
      </c>
      <c r="AA286" s="1" t="s">
        <v>2411</v>
      </c>
      <c r="AB286" s="16">
        <v>46176</v>
      </c>
      <c r="AC286" s="2" t="s">
        <v>3286</v>
      </c>
      <c r="AD286" s="1">
        <f>VLOOKUP(ENTRADAS71417[[#This Row],[CÓDIGO]],PRODUCTOS31316[],2,FALSE)</f>
        <v>0</v>
      </c>
      <c r="AE286" s="1" t="str">
        <f>VLOOKUP(ENTRADAS71417[[#This Row],[CÓDIGO]],PRODUCTOS31316[],3,FALSE)</f>
        <v>CARCASA TABLET BMV</v>
      </c>
      <c r="AF286" s="2">
        <v>30</v>
      </c>
      <c r="AG286" s="2"/>
      <c r="AH286" s="2"/>
    </row>
    <row r="287" spans="1:34" ht="49.95" customHeight="1" x14ac:dyDescent="0.3">
      <c r="A287" s="2" t="s">
        <v>192</v>
      </c>
      <c r="B287" s="1">
        <v>9090</v>
      </c>
      <c r="C287" s="216" t="s">
        <v>1076</v>
      </c>
      <c r="D287" s="1" t="s">
        <v>166</v>
      </c>
      <c r="E287" s="1" t="s">
        <v>352</v>
      </c>
      <c r="F287" s="1" t="s">
        <v>1031</v>
      </c>
      <c r="G287" s="2">
        <v>1</v>
      </c>
      <c r="H287" s="14">
        <f>SUMIF(ENTRADAS71417[CÓDIGO],PRODUCTOS31316[[#This Row],[CÓDIGO]],ENTRADAS71417[CANTIDAD])</f>
        <v>0</v>
      </c>
      <c r="I287" s="11">
        <f>SUMIF(SALIDAS111518[CÓDIGO],PRODUCTOS31316[[#This Row],[CÓDIGO]],SALIDAS111518[CANTIDAD])</f>
        <v>0</v>
      </c>
      <c r="J287" s="6">
        <f>PRODUCTOS31316[[#This Row],[EXISTENCIAS]]+PRODUCTOS31316[[#This Row],[ENTRADAS]]-PRODUCTOS31316[[#This Row],[SALIDAS]]</f>
        <v>1</v>
      </c>
      <c r="L287" s="282" t="s">
        <v>3520</v>
      </c>
      <c r="M287" s="282" t="s">
        <v>3653</v>
      </c>
      <c r="N287" s="283" t="s">
        <v>3898</v>
      </c>
      <c r="O287" s="282" t="s">
        <v>3150</v>
      </c>
      <c r="P287" s="16">
        <v>46049</v>
      </c>
      <c r="Q287" s="282" t="s">
        <v>15</v>
      </c>
      <c r="R287" s="2" t="str">
        <f>VLOOKUP(SALIDAS111518[[#This Row],[CÓDIGO]],PRODUCTOS31316[],2,FALSE)</f>
        <v>BTE-025PT/ 504002</v>
      </c>
      <c r="S287" s="1" t="str">
        <f>VLOOKUP(SALIDAS111518[[#This Row],[CÓDIGO]],PRODUCTOS31316[],3,FALSE)</f>
        <v>FUNDAS PARA TRANSFERENCIA DE EMBRIONES</v>
      </c>
      <c r="T287" s="2">
        <v>20</v>
      </c>
      <c r="U287" s="2">
        <v>134</v>
      </c>
      <c r="V287" s="2"/>
      <c r="W287" s="2"/>
      <c r="X287" s="2"/>
      <c r="Y287" s="7"/>
      <c r="Z287" s="380" t="s">
        <v>5522</v>
      </c>
      <c r="AA287" s="1" t="s">
        <v>2411</v>
      </c>
      <c r="AB287" s="16">
        <v>46176</v>
      </c>
      <c r="AC287" s="2" t="s">
        <v>4254</v>
      </c>
      <c r="AD287" s="1">
        <f>VLOOKUP(ENTRADAS71417[[#This Row],[CÓDIGO]],PRODUCTOS31316[],2,FALSE)</f>
        <v>0</v>
      </c>
      <c r="AE287" s="1" t="str">
        <f>VLOOKUP(ENTRADAS71417[[#This Row],[CÓDIGO]],PRODUCTOS31316[],3,FALSE)</f>
        <v>TUBO 0.50 PARA PISTOLA DE INSEMINACIÓN CON CÁMARA BMV</v>
      </c>
      <c r="AF287" s="2">
        <v>7</v>
      </c>
      <c r="AG287" s="2"/>
      <c r="AH287" s="2"/>
    </row>
    <row r="288" spans="1:34" ht="49.95" customHeight="1" x14ac:dyDescent="0.3">
      <c r="A288" s="2" t="s">
        <v>1077</v>
      </c>
      <c r="B288" s="1">
        <v>77020</v>
      </c>
      <c r="C288" s="1" t="s">
        <v>1078</v>
      </c>
      <c r="D288" s="1" t="s">
        <v>166</v>
      </c>
      <c r="E288" s="1" t="s">
        <v>352</v>
      </c>
      <c r="F288" s="1" t="s">
        <v>68</v>
      </c>
      <c r="G288" s="2">
        <v>1</v>
      </c>
      <c r="H288" s="14">
        <f>SUMIF(ENTRADAS71417[CÓDIGO],PRODUCTOS31316[[#This Row],[CÓDIGO]],ENTRADAS71417[CANTIDAD])</f>
        <v>0</v>
      </c>
      <c r="I288" s="11">
        <f>SUMIF(SALIDAS111518[CÓDIGO],PRODUCTOS31316[[#This Row],[CÓDIGO]],SALIDAS111518[CANTIDAD])</f>
        <v>0</v>
      </c>
      <c r="J288" s="6">
        <f>PRODUCTOS31316[[#This Row],[EXISTENCIAS]]+PRODUCTOS31316[[#This Row],[ENTRADAS]]-PRODUCTOS31316[[#This Row],[SALIDAS]]</f>
        <v>1</v>
      </c>
      <c r="L288" s="282" t="s">
        <v>3520</v>
      </c>
      <c r="M288" s="282" t="s">
        <v>3653</v>
      </c>
      <c r="N288" s="283" t="s">
        <v>3899</v>
      </c>
      <c r="O288" s="282" t="s">
        <v>3067</v>
      </c>
      <c r="P288" s="16">
        <v>46049</v>
      </c>
      <c r="Q288" s="282" t="s">
        <v>15</v>
      </c>
      <c r="R288" s="2" t="str">
        <f>VLOOKUP(SALIDAS111518[[#This Row],[CÓDIGO]],PRODUCTOS31316[],2,FALSE)</f>
        <v>BTE-025PT/ 504002</v>
      </c>
      <c r="S288" s="1" t="str">
        <f>VLOOKUP(SALIDAS111518[[#This Row],[CÓDIGO]],PRODUCTOS31316[],3,FALSE)</f>
        <v>FUNDAS PARA TRANSFERENCIA DE EMBRIONES</v>
      </c>
      <c r="T288" s="2">
        <v>41</v>
      </c>
      <c r="U288" s="2">
        <v>136</v>
      </c>
      <c r="V288" s="2"/>
      <c r="W288" s="2"/>
      <c r="X288" s="2"/>
      <c r="Y288" s="7"/>
      <c r="Z288" s="380" t="s">
        <v>5522</v>
      </c>
      <c r="AA288" s="1" t="s">
        <v>2411</v>
      </c>
      <c r="AB288" s="16">
        <v>46176</v>
      </c>
      <c r="AC288" s="2" t="s">
        <v>3202</v>
      </c>
      <c r="AD288" s="1">
        <f>VLOOKUP(ENTRADAS71417[[#This Row],[CÓDIGO]],PRODUCTOS31316[],2,FALSE)</f>
        <v>0</v>
      </c>
      <c r="AE288" s="1" t="str">
        <f>VLOOKUP(ENTRADAS71417[[#This Row],[CÓDIGO]],PRODUCTOS31316[],3,FALSE)</f>
        <v>CABLE REPUESTO ECOGRAFO S5</v>
      </c>
      <c r="AF288" s="2">
        <v>24</v>
      </c>
      <c r="AG288" s="2"/>
      <c r="AH288" s="2"/>
    </row>
    <row r="289" spans="1:34" ht="49.95" customHeight="1" x14ac:dyDescent="0.3">
      <c r="A289" s="2" t="s">
        <v>307</v>
      </c>
      <c r="B289" s="1">
        <v>305179</v>
      </c>
      <c r="C289" s="1" t="s">
        <v>1080</v>
      </c>
      <c r="D289" s="1" t="s">
        <v>855</v>
      </c>
      <c r="E289" s="1" t="s">
        <v>352</v>
      </c>
      <c r="F289" s="1" t="s">
        <v>124</v>
      </c>
      <c r="G289" s="2">
        <v>0</v>
      </c>
      <c r="H289" s="14">
        <f>SUMIF(ENTRADAS71417[CÓDIGO],PRODUCTOS31316[[#This Row],[CÓDIGO]],ENTRADAS71417[CANTIDAD])</f>
        <v>0</v>
      </c>
      <c r="I289" s="11">
        <f>SUMIF(SALIDAS111518[CÓDIGO],PRODUCTOS31316[[#This Row],[CÓDIGO]],SALIDAS111518[CANTIDAD])</f>
        <v>0</v>
      </c>
      <c r="J289" s="6">
        <f>PRODUCTOS31316[[#This Row],[EXISTENCIAS]]+PRODUCTOS31316[[#This Row],[ENTRADAS]]-PRODUCTOS31316[[#This Row],[SALIDAS]]</f>
        <v>0</v>
      </c>
      <c r="L289" s="282"/>
      <c r="M289" s="282"/>
      <c r="N289" s="276">
        <v>7779</v>
      </c>
      <c r="O289" s="282" t="s">
        <v>3067</v>
      </c>
      <c r="P289" s="16">
        <v>46049</v>
      </c>
      <c r="Q289" s="282" t="s">
        <v>1779</v>
      </c>
      <c r="R289" s="2">
        <f>VLOOKUP(SALIDAS111518[[#This Row],[CÓDIGO]],PRODUCTOS31316[],2,FALSE)</f>
        <v>5563</v>
      </c>
      <c r="S289" s="1" t="str">
        <f>VLOOKUP(SALIDAS111518[[#This Row],[CÓDIGO]],PRODUCTOS31316[],3,FALSE)</f>
        <v>CAMISA SANITARIA ROLLO X 80</v>
      </c>
      <c r="T289" s="2">
        <v>2</v>
      </c>
      <c r="U289" s="2"/>
      <c r="V289" s="2"/>
      <c r="W289" s="2"/>
      <c r="X289" s="2"/>
      <c r="Y289" s="7"/>
      <c r="Z289" s="380" t="s">
        <v>5523</v>
      </c>
      <c r="AA289" s="1" t="s">
        <v>3741</v>
      </c>
      <c r="AB289" s="16">
        <v>46193</v>
      </c>
      <c r="AC289" s="2" t="s">
        <v>1779</v>
      </c>
      <c r="AD289" s="1">
        <f>VLOOKUP(ENTRADAS71417[[#This Row],[CÓDIGO]],PRODUCTOS31316[],2,FALSE)</f>
        <v>5563</v>
      </c>
      <c r="AE289" s="1" t="str">
        <f>VLOOKUP(ENTRADAS71417[[#This Row],[CÓDIGO]],PRODUCTOS31316[],3,FALSE)</f>
        <v>CAMISA SANITARIA ROLLO X 80</v>
      </c>
      <c r="AF289" s="2">
        <v>520</v>
      </c>
      <c r="AG289" s="2"/>
      <c r="AH289" s="2">
        <v>129</v>
      </c>
    </row>
    <row r="290" spans="1:34" ht="49.95" customHeight="1" x14ac:dyDescent="0.3">
      <c r="A290" s="2" t="s">
        <v>1082</v>
      </c>
      <c r="B290" s="1" t="s">
        <v>1083</v>
      </c>
      <c r="C290" s="1" t="s">
        <v>1084</v>
      </c>
      <c r="D290" s="1" t="s">
        <v>507</v>
      </c>
      <c r="E290" s="1" t="s">
        <v>1085</v>
      </c>
      <c r="F290" s="1" t="s">
        <v>537</v>
      </c>
      <c r="G290" s="2">
        <v>0</v>
      </c>
      <c r="H290" s="14">
        <f>SUMIF(ENTRADAS71417[CÓDIGO],PRODUCTOS31316[[#This Row],[CÓDIGO]],ENTRADAS71417[CANTIDAD])</f>
        <v>0</v>
      </c>
      <c r="I290" s="11">
        <f>SUMIF(SALIDAS111518[CÓDIGO],PRODUCTOS31316[[#This Row],[CÓDIGO]],SALIDAS111518[CANTIDAD])</f>
        <v>0</v>
      </c>
      <c r="J290" s="6">
        <f>PRODUCTOS31316[[#This Row],[EXISTENCIAS]]+PRODUCTOS31316[[#This Row],[ENTRADAS]]-PRODUCTOS31316[[#This Row],[SALIDAS]]</f>
        <v>0</v>
      </c>
      <c r="L290" s="282" t="s">
        <v>3520</v>
      </c>
      <c r="M290" s="282" t="s">
        <v>3653</v>
      </c>
      <c r="N290" s="290" t="s">
        <v>3900</v>
      </c>
      <c r="O290" s="282" t="s">
        <v>2241</v>
      </c>
      <c r="P290" s="16">
        <v>46049</v>
      </c>
      <c r="Q290" s="282" t="s">
        <v>3709</v>
      </c>
      <c r="R290" s="2" t="str">
        <f>VLOOKUP(SALIDAS111518[[#This Row],[CÓDIGO]],PRODUCTOS31316[],2,FALSE)</f>
        <v>13408-010</v>
      </c>
      <c r="S290" s="1" t="str">
        <f>VLOOKUP(SALIDAS111518[[#This Row],[CÓDIGO]],PRODUCTOS31316[],3,FALSE)</f>
        <v>PAJUELA TRANSPARENTE 0.50/ PAQ. X 2500 MARCA MINITUBE</v>
      </c>
      <c r="T290" s="2">
        <v>1</v>
      </c>
      <c r="U290" s="2">
        <v>141</v>
      </c>
      <c r="V290" s="2"/>
      <c r="W290" s="282" t="s">
        <v>3412</v>
      </c>
      <c r="X290" s="2"/>
      <c r="Y290" s="7"/>
      <c r="Z290" s="380" t="s">
        <v>5523</v>
      </c>
      <c r="AA290" s="1" t="s">
        <v>3741</v>
      </c>
      <c r="AB290" s="16">
        <v>46193</v>
      </c>
      <c r="AC290" s="2" t="s">
        <v>2255</v>
      </c>
      <c r="AD290" s="1">
        <f>VLOOKUP(ENTRADAS71417[[#This Row],[CÓDIGO]],PRODUCTOS31316[],2,FALSE)</f>
        <v>6459</v>
      </c>
      <c r="AE290" s="1" t="str">
        <f>VLOOKUP(ENTRADAS71417[[#This Row],[CÓDIGO]],PRODUCTOS31316[],3,FALSE)</f>
        <v>CAMISA SANITARIA CAJA X 100</v>
      </c>
      <c r="AF290" s="2">
        <v>80</v>
      </c>
      <c r="AG290" s="2"/>
      <c r="AH290" s="2"/>
    </row>
    <row r="291" spans="1:34" ht="49.95" customHeight="1" x14ac:dyDescent="0.3">
      <c r="A291" s="2" t="s">
        <v>904</v>
      </c>
      <c r="B291" s="1" t="s">
        <v>1087</v>
      </c>
      <c r="C291" s="1" t="s">
        <v>1088</v>
      </c>
      <c r="D291" s="1" t="s">
        <v>290</v>
      </c>
      <c r="E291" s="1" t="s">
        <v>1050</v>
      </c>
      <c r="F291" s="1" t="s">
        <v>124</v>
      </c>
      <c r="G291" s="2">
        <v>0</v>
      </c>
      <c r="H291" s="14">
        <f>SUMIF(ENTRADAS71417[CÓDIGO],PRODUCTOS31316[[#This Row],[CÓDIGO]],ENTRADAS71417[CANTIDAD])</f>
        <v>0</v>
      </c>
      <c r="I291" s="11">
        <f>SUMIF(SALIDAS111518[CÓDIGO],PRODUCTOS31316[[#This Row],[CÓDIGO]],SALIDAS111518[CANTIDAD])</f>
        <v>0</v>
      </c>
      <c r="J291" s="6">
        <f>PRODUCTOS31316[[#This Row],[EXISTENCIAS]]+PRODUCTOS31316[[#This Row],[ENTRADAS]]-PRODUCTOS31316[[#This Row],[SALIDAS]]</f>
        <v>0</v>
      </c>
      <c r="L291" s="282"/>
      <c r="M291" s="282"/>
      <c r="N291" s="276">
        <v>7780</v>
      </c>
      <c r="O291" s="282" t="s">
        <v>2241</v>
      </c>
      <c r="P291" s="16">
        <v>46049</v>
      </c>
      <c r="Q291" s="282" t="s">
        <v>369</v>
      </c>
      <c r="R291" s="2">
        <f>VLOOKUP(SALIDAS111518[[#This Row],[CÓDIGO]],PRODUCTOS31316[],2,FALSE)</f>
        <v>0</v>
      </c>
      <c r="S291" s="1" t="str">
        <f>VLOOKUP(SALIDAS111518[[#This Row],[CÓDIGO]],PRODUCTOS31316[],3,FALSE)</f>
        <v>FUNDA UNIVERSAL PARA I.A. RANURADA</v>
      </c>
      <c r="T291" s="2">
        <v>10</v>
      </c>
      <c r="U291" s="2"/>
      <c r="V291" s="2"/>
      <c r="W291" s="282"/>
      <c r="X291" s="2"/>
      <c r="Y291" s="7"/>
      <c r="Z291" s="380" t="s">
        <v>5523</v>
      </c>
      <c r="AA291" s="1" t="s">
        <v>3741</v>
      </c>
      <c r="AB291" s="16">
        <v>46193</v>
      </c>
      <c r="AC291" s="2" t="s">
        <v>3375</v>
      </c>
      <c r="AD291" s="1" t="str">
        <f>VLOOKUP(ENTRADAS71417[[#This Row],[CÓDIGO]],PRODUCTOS31316[],2,FALSE)</f>
        <v>13500/0250</v>
      </c>
      <c r="AE291" s="1" t="str">
        <f>VLOOKUP(ENTRADAS71417[[#This Row],[CÓDIGO]],PRODUCTOS31316[],3,FALSE)</f>
        <v>TRILADYL 250 ML</v>
      </c>
      <c r="AF291" s="2">
        <v>10</v>
      </c>
      <c r="AG291" s="2">
        <v>12</v>
      </c>
      <c r="AH291" s="2"/>
    </row>
    <row r="292" spans="1:34" ht="49.95" customHeight="1" x14ac:dyDescent="0.3">
      <c r="A292" s="2" t="s">
        <v>1090</v>
      </c>
      <c r="B292" s="1" t="s">
        <v>1091</v>
      </c>
      <c r="C292" s="1" t="s">
        <v>1092</v>
      </c>
      <c r="D292" s="1" t="s">
        <v>1093</v>
      </c>
      <c r="E292" s="1" t="s">
        <v>1094</v>
      </c>
      <c r="F292" s="1" t="s">
        <v>30</v>
      </c>
      <c r="G292" s="2">
        <v>1</v>
      </c>
      <c r="H292" s="14">
        <f>SUMIF(ENTRADAS71417[CÓDIGO],PRODUCTOS31316[[#This Row],[CÓDIGO]],ENTRADAS71417[CANTIDAD])</f>
        <v>0</v>
      </c>
      <c r="I292" s="11">
        <f>SUMIF(SALIDAS111518[CÓDIGO],PRODUCTOS31316[[#This Row],[CÓDIGO]],SALIDAS111518[CANTIDAD])</f>
        <v>0</v>
      </c>
      <c r="J292" s="6">
        <f>PRODUCTOS31316[[#This Row],[EXISTENCIAS]]+PRODUCTOS31316[[#This Row],[ENTRADAS]]-PRODUCTOS31316[[#This Row],[SALIDAS]]</f>
        <v>1</v>
      </c>
      <c r="L292" s="282"/>
      <c r="M292" s="282"/>
      <c r="N292" s="276">
        <v>7780</v>
      </c>
      <c r="O292" s="282" t="s">
        <v>2241</v>
      </c>
      <c r="P292" s="16">
        <v>46049</v>
      </c>
      <c r="Q292" s="282" t="s">
        <v>153</v>
      </c>
      <c r="R292" s="2">
        <f>VLOOKUP(SALIDAS111518[[#This Row],[CÓDIGO]],PRODUCTOS31316[],2,FALSE)</f>
        <v>1132</v>
      </c>
      <c r="S292" s="1" t="str">
        <f>VLOOKUP(SALIDAS111518[[#This Row],[CÓDIGO]],PRODUCTOS31316[],3,FALSE)</f>
        <v>PISTOLA QUICKLOCK CLASIC</v>
      </c>
      <c r="T292" s="2">
        <v>1</v>
      </c>
      <c r="U292" s="2"/>
      <c r="V292" s="2"/>
      <c r="W292" s="282"/>
      <c r="X292" s="2"/>
      <c r="Y292" s="7"/>
      <c r="Z292" s="380" t="s">
        <v>5523</v>
      </c>
      <c r="AA292" s="1" t="s">
        <v>3741</v>
      </c>
      <c r="AB292" s="16">
        <v>46193</v>
      </c>
      <c r="AC292" s="2" t="s">
        <v>2251</v>
      </c>
      <c r="AD292" s="1">
        <f>VLOOKUP(ENTRADAS71417[[#This Row],[CÓDIGO]],PRODUCTOS31316[],2,FALSE)</f>
        <v>7240</v>
      </c>
      <c r="AE292" s="1" t="str">
        <f>VLOOKUP(ENTRADAS71417[[#This Row],[CÓDIGO]],PRODUCTOS31316[],3,FALSE)</f>
        <v>PISTOLA DE TE 0,25 MARCA IMV</v>
      </c>
      <c r="AF292" s="2">
        <v>6</v>
      </c>
      <c r="AG292" s="2"/>
      <c r="AH292" s="2"/>
    </row>
    <row r="293" spans="1:34" ht="49.95" customHeight="1" x14ac:dyDescent="0.3">
      <c r="A293" s="2" t="s">
        <v>1096</v>
      </c>
      <c r="B293" s="1" t="s">
        <v>1097</v>
      </c>
      <c r="C293" s="1" t="s">
        <v>1098</v>
      </c>
      <c r="D293" s="1" t="s">
        <v>1099</v>
      </c>
      <c r="E293" s="1" t="s">
        <v>190</v>
      </c>
      <c r="F293" s="1" t="s">
        <v>641</v>
      </c>
      <c r="G293" s="2">
        <v>0</v>
      </c>
      <c r="H293" s="14">
        <f>SUMIF(ENTRADAS71417[CÓDIGO],PRODUCTOS31316[[#This Row],[CÓDIGO]],ENTRADAS71417[CANTIDAD])</f>
        <v>0</v>
      </c>
      <c r="I293" s="11">
        <f>SUMIF(SALIDAS111518[CÓDIGO],PRODUCTOS31316[[#This Row],[CÓDIGO]],SALIDAS111518[CANTIDAD])</f>
        <v>0</v>
      </c>
      <c r="J293" s="6">
        <f>PRODUCTOS31316[[#This Row],[EXISTENCIAS]]+PRODUCTOS31316[[#This Row],[ENTRADAS]]-PRODUCTOS31316[[#This Row],[SALIDAS]]</f>
        <v>0</v>
      </c>
      <c r="L293" s="282"/>
      <c r="M293" s="282"/>
      <c r="N293" s="276">
        <v>7780</v>
      </c>
      <c r="O293" s="282" t="s">
        <v>2241</v>
      </c>
      <c r="P293" s="16">
        <v>46049</v>
      </c>
      <c r="Q293" s="282" t="s">
        <v>1631</v>
      </c>
      <c r="R293" s="2" t="str">
        <f>VLOOKUP(SALIDAS111518[[#This Row],[CÓDIGO]],PRODUCTOS31316[],2,FALSE)</f>
        <v>7101-CRAL</v>
      </c>
      <c r="S293" s="1" t="str">
        <f>VLOOKUP(SALIDAS111518[[#This Row],[CÓDIGO]],PRODUCTOS31316[],3,FALSE)</f>
        <v>LAMINA PORTA OBJETOS LISA EN VIDRIO 26X76MM, BORDE ESMERILADO</v>
      </c>
      <c r="T293" s="2">
        <v>5</v>
      </c>
      <c r="U293" s="2"/>
      <c r="V293" s="2"/>
      <c r="W293" s="282"/>
      <c r="X293" s="2"/>
      <c r="Y293" s="7"/>
      <c r="Z293" s="380" t="s">
        <v>5523</v>
      </c>
      <c r="AA293" s="1" t="s">
        <v>3741</v>
      </c>
      <c r="AB293" s="16">
        <v>46193</v>
      </c>
      <c r="AC293" s="2" t="s">
        <v>2809</v>
      </c>
      <c r="AD293" s="1">
        <f>VLOOKUP(ENTRADAS71417[[#This Row],[CÓDIGO]],PRODUCTOS31316[],2,FALSE)</f>
        <v>5565</v>
      </c>
      <c r="AE293" s="1" t="str">
        <f>VLOOKUP(ENTRADAS71417[[#This Row],[CÓDIGO]],PRODUCTOS31316[],3,FALSE)</f>
        <v>PAJILLAS TRANSPARENTES 0,25</v>
      </c>
      <c r="AF293" s="2">
        <v>15</v>
      </c>
      <c r="AG293" s="2"/>
      <c r="AH293" s="2"/>
    </row>
    <row r="294" spans="1:34" ht="49.95" customHeight="1" x14ac:dyDescent="0.3">
      <c r="A294" s="2" t="s">
        <v>1100</v>
      </c>
      <c r="B294" s="1">
        <v>1410007</v>
      </c>
      <c r="C294" s="1" t="s">
        <v>1101</v>
      </c>
      <c r="D294" s="1" t="s">
        <v>1102</v>
      </c>
      <c r="E294" s="1" t="s">
        <v>1103</v>
      </c>
      <c r="F294" s="1" t="s">
        <v>1104</v>
      </c>
      <c r="G294" s="2">
        <v>0</v>
      </c>
      <c r="H294" s="14">
        <f>SUMIF(ENTRADAS71417[CÓDIGO],PRODUCTOS31316[[#This Row],[CÓDIGO]],ENTRADAS71417[CANTIDAD])</f>
        <v>0</v>
      </c>
      <c r="I294" s="11">
        <f>SUMIF(SALIDAS111518[CÓDIGO],PRODUCTOS31316[[#This Row],[CÓDIGO]],SALIDAS111518[CANTIDAD])</f>
        <v>0</v>
      </c>
      <c r="J294" s="6">
        <f>PRODUCTOS31316[[#This Row],[EXISTENCIAS]]+PRODUCTOS31316[[#This Row],[ENTRADAS]]-PRODUCTOS31316[[#This Row],[SALIDAS]]</f>
        <v>0</v>
      </c>
      <c r="L294" s="282" t="s">
        <v>3521</v>
      </c>
      <c r="M294" s="282" t="s">
        <v>3653</v>
      </c>
      <c r="N294" s="290" t="s">
        <v>3901</v>
      </c>
      <c r="O294" s="282" t="s">
        <v>3885</v>
      </c>
      <c r="P294" s="16">
        <v>46049</v>
      </c>
      <c r="Q294" s="282" t="s">
        <v>3157</v>
      </c>
      <c r="R294" s="2" t="str">
        <f>VLOOKUP(SALIDAS111518[[#This Row],[CÓDIGO]],PRODUCTOS31316[],2,FALSE)</f>
        <v>SLIGHT</v>
      </c>
      <c r="S294" s="1" t="str">
        <f>VLOOKUP(SALIDAS111518[[#This Row],[CÓDIGO]],PRODUCTOS31316[],3,FALSE)</f>
        <v>ECOGRAFO SLITES S 1</v>
      </c>
      <c r="T294" s="2">
        <v>1</v>
      </c>
      <c r="U294" s="2">
        <v>142</v>
      </c>
      <c r="V294" s="2"/>
      <c r="W294" s="282" t="s">
        <v>3412</v>
      </c>
      <c r="X294" s="32"/>
      <c r="Y294" s="7"/>
      <c r="Z294" s="380" t="s">
        <v>5523</v>
      </c>
      <c r="AA294" s="1" t="s">
        <v>3741</v>
      </c>
      <c r="AB294" s="16">
        <v>46193</v>
      </c>
      <c r="AC294" s="2" t="s">
        <v>2811</v>
      </c>
      <c r="AD294" s="1">
        <f>VLOOKUP(ENTRADAS71417[[#This Row],[CÓDIGO]],PRODUCTOS31316[],2,FALSE)</f>
        <v>5569</v>
      </c>
      <c r="AE294" s="1" t="str">
        <f>VLOOKUP(ENTRADAS71417[[#This Row],[CÓDIGO]],PRODUCTOS31316[],3,FALSE)</f>
        <v>PAJILLAS TRANSPARENTES 0,50</v>
      </c>
      <c r="AF294" s="2">
        <v>6</v>
      </c>
      <c r="AG294" s="2"/>
      <c r="AH294" s="2"/>
    </row>
    <row r="295" spans="1:34" ht="49.95" customHeight="1" x14ac:dyDescent="0.3">
      <c r="A295" s="2" t="s">
        <v>1106</v>
      </c>
      <c r="B295" s="1">
        <v>338000</v>
      </c>
      <c r="C295" s="1" t="s">
        <v>1107</v>
      </c>
      <c r="D295" s="1" t="s">
        <v>166</v>
      </c>
      <c r="E295" s="1" t="s">
        <v>352</v>
      </c>
      <c r="F295" s="1" t="s">
        <v>201</v>
      </c>
      <c r="G295" s="2">
        <v>0</v>
      </c>
      <c r="H295" s="14">
        <f>SUMIF(ENTRADAS71417[CÓDIGO],PRODUCTOS31316[[#This Row],[CÓDIGO]],ENTRADAS71417[CANTIDAD])</f>
        <v>0</v>
      </c>
      <c r="I295" s="11">
        <f>SUMIF(SALIDAS111518[CÓDIGO],PRODUCTOS31316[[#This Row],[CÓDIGO]],SALIDAS111518[CANTIDAD])</f>
        <v>0</v>
      </c>
      <c r="J295" s="6">
        <f>PRODUCTOS31316[[#This Row],[EXISTENCIAS]]+PRODUCTOS31316[[#This Row],[ENTRADAS]]-PRODUCTOS31316[[#This Row],[SALIDAS]]</f>
        <v>0</v>
      </c>
      <c r="L295" s="282"/>
      <c r="M295" s="282"/>
      <c r="N295" s="276">
        <v>7781</v>
      </c>
      <c r="O295" s="282" t="s">
        <v>3885</v>
      </c>
      <c r="P295" s="16">
        <v>46049</v>
      </c>
      <c r="Q295" s="282" t="s">
        <v>3095</v>
      </c>
      <c r="R295" s="2">
        <f>VLOOKUP(SALIDAS111518[[#This Row],[CÓDIGO]],PRODUCTOS31316[],2,FALSE)</f>
        <v>0</v>
      </c>
      <c r="S295" s="1" t="str">
        <f>VLOOKUP(SALIDAS111518[[#This Row],[CÓDIGO]],PRODUCTOS31316[],3,FALSE)</f>
        <v>GORRA MAS CAMPO</v>
      </c>
      <c r="T295" s="2">
        <v>1</v>
      </c>
      <c r="U295" s="2"/>
      <c r="V295" s="2"/>
      <c r="W295" s="2"/>
      <c r="X295" s="32"/>
      <c r="Y295" s="7"/>
      <c r="Z295" s="380" t="s">
        <v>5523</v>
      </c>
      <c r="AA295" s="1" t="s">
        <v>3741</v>
      </c>
      <c r="AB295" s="16">
        <v>46193</v>
      </c>
      <c r="AC295" s="2" t="s">
        <v>3397</v>
      </c>
      <c r="AD295" s="1">
        <f>VLOOKUP(ENTRADAS71417[[#This Row],[CÓDIGO]],PRODUCTOS31316[],2,FALSE)</f>
        <v>13407</v>
      </c>
      <c r="AE295" s="1" t="str">
        <f>VLOOKUP(ENTRADAS71417[[#This Row],[CÓDIGO]],PRODUCTOS31316[],3,FALSE)</f>
        <v>PAJILLAS TRANSPARENTES 0,25 MINITUBE</v>
      </c>
      <c r="AF295" s="2">
        <v>20</v>
      </c>
      <c r="AG295" s="2"/>
      <c r="AH295" s="2"/>
    </row>
    <row r="296" spans="1:34" ht="49.95" customHeight="1" x14ac:dyDescent="0.3">
      <c r="A296" s="2" t="s">
        <v>1109</v>
      </c>
      <c r="B296" s="1" t="s">
        <v>1110</v>
      </c>
      <c r="C296" s="1" t="s">
        <v>1111</v>
      </c>
      <c r="D296" s="1" t="s">
        <v>467</v>
      </c>
      <c r="E296" s="1" t="s">
        <v>467</v>
      </c>
      <c r="F296" s="1" t="s">
        <v>30</v>
      </c>
      <c r="G296" s="2">
        <v>0</v>
      </c>
      <c r="H296" s="14">
        <f>SUMIF(ENTRADAS71417[CÓDIGO],PRODUCTOS31316[[#This Row],[CÓDIGO]],ENTRADAS71417[CANTIDAD])</f>
        <v>0</v>
      </c>
      <c r="I296" s="11">
        <f>SUMIF(SALIDAS111518[CÓDIGO],PRODUCTOS31316[[#This Row],[CÓDIGO]],SALIDAS111518[CANTIDAD])</f>
        <v>0</v>
      </c>
      <c r="J296" s="6">
        <f>PRODUCTOS31316[[#This Row],[EXISTENCIAS]]+PRODUCTOS31316[[#This Row],[ENTRADAS]]-PRODUCTOS31316[[#This Row],[SALIDAS]]</f>
        <v>0</v>
      </c>
      <c r="L296" s="282" t="s">
        <v>3521</v>
      </c>
      <c r="M296" s="282" t="s">
        <v>3653</v>
      </c>
      <c r="N296" s="290" t="s">
        <v>3938</v>
      </c>
      <c r="O296" s="282" t="s">
        <v>3894</v>
      </c>
      <c r="P296" s="16">
        <v>46050</v>
      </c>
      <c r="Q296" s="282" t="s">
        <v>2755</v>
      </c>
      <c r="R296" s="2" t="str">
        <f>VLOOKUP(SALIDAS111518[[#This Row],[CÓDIGO]],PRODUCTOS31316[],2,FALSE)</f>
        <v>MSLDO05</v>
      </c>
      <c r="S296" s="1" t="str">
        <f>VLOOKUP(SALIDAS111518[[#This Row],[CÓDIGO]],PRODUCTOS31316[],3,FALSE)</f>
        <v>TERMO DE RECOLECCIÓN DE SEMEN/ USO VETERINARIO</v>
      </c>
      <c r="T296" s="2">
        <v>2</v>
      </c>
      <c r="U296" s="2">
        <v>154</v>
      </c>
      <c r="V296" s="2"/>
      <c r="W296" s="282" t="s">
        <v>3412</v>
      </c>
      <c r="X296" s="32"/>
      <c r="Y296" s="7"/>
      <c r="Z296" s="380" t="s">
        <v>5523</v>
      </c>
      <c r="AA296" s="1" t="s">
        <v>3741</v>
      </c>
      <c r="AB296" s="16">
        <v>46193</v>
      </c>
      <c r="AC296" s="2" t="s">
        <v>3398</v>
      </c>
      <c r="AD296" s="1">
        <f>VLOOKUP(ENTRADAS71417[[#This Row],[CÓDIGO]],PRODUCTOS31316[],2,FALSE)</f>
        <v>13408</v>
      </c>
      <c r="AE296" s="1" t="str">
        <f>VLOOKUP(ENTRADAS71417[[#This Row],[CÓDIGO]],PRODUCTOS31316[],3,FALSE)</f>
        <v>PAJILLAS TRANSPARENTES 0,50 MINITUBE</v>
      </c>
      <c r="AF296" s="2">
        <v>20</v>
      </c>
      <c r="AG296" s="2"/>
      <c r="AH296" s="2"/>
    </row>
    <row r="297" spans="1:34" ht="49.95" customHeight="1" x14ac:dyDescent="0.3">
      <c r="A297" s="2" t="s">
        <v>1113</v>
      </c>
      <c r="B297" s="1">
        <v>126263</v>
      </c>
      <c r="C297" s="1" t="s">
        <v>1114</v>
      </c>
      <c r="D297" s="1" t="s">
        <v>171</v>
      </c>
      <c r="E297" s="1" t="s">
        <v>1115</v>
      </c>
      <c r="F297" s="1" t="s">
        <v>1116</v>
      </c>
      <c r="G297" s="2">
        <v>0</v>
      </c>
      <c r="H297" s="14">
        <f>SUMIF(ENTRADAS71417[CÓDIGO],PRODUCTOS31316[[#This Row],[CÓDIGO]],ENTRADAS71417[CANTIDAD])</f>
        <v>0</v>
      </c>
      <c r="I297" s="11">
        <f>SUMIF(SALIDAS111518[CÓDIGO],PRODUCTOS31316[[#This Row],[CÓDIGO]],SALIDAS111518[CANTIDAD])</f>
        <v>0</v>
      </c>
      <c r="J297" s="6">
        <f>PRODUCTOS31316[[#This Row],[EXISTENCIAS]]+PRODUCTOS31316[[#This Row],[ENTRADAS]]-PRODUCTOS31316[[#This Row],[SALIDAS]]</f>
        <v>0</v>
      </c>
      <c r="L297" s="282" t="s">
        <v>3520</v>
      </c>
      <c r="M297" s="282" t="s">
        <v>3653</v>
      </c>
      <c r="N297" s="283" t="s">
        <v>3902</v>
      </c>
      <c r="O297" s="282" t="s">
        <v>3118</v>
      </c>
      <c r="P297" s="16">
        <v>46055</v>
      </c>
      <c r="Q297" s="282" t="s">
        <v>1779</v>
      </c>
      <c r="R297" s="2">
        <f>VLOOKUP(SALIDAS111518[[#This Row],[CÓDIGO]],PRODUCTOS31316[],2,FALSE)</f>
        <v>5563</v>
      </c>
      <c r="S297" s="1" t="str">
        <f>VLOOKUP(SALIDAS111518[[#This Row],[CÓDIGO]],PRODUCTOS31316[],3,FALSE)</f>
        <v>CAMISA SANITARIA ROLLO X 80</v>
      </c>
      <c r="T297" s="2">
        <v>1</v>
      </c>
      <c r="U297" s="2">
        <v>143</v>
      </c>
      <c r="V297" s="2"/>
      <c r="W297" s="2"/>
      <c r="X297" s="32"/>
      <c r="Y297" s="7"/>
      <c r="Z297" s="380" t="s">
        <v>5523</v>
      </c>
      <c r="AA297" s="1" t="s">
        <v>3741</v>
      </c>
      <c r="AB297" s="16">
        <v>46193</v>
      </c>
      <c r="AC297" s="2" t="s">
        <v>5119</v>
      </c>
      <c r="AD297" s="1">
        <f>VLOOKUP(ENTRADAS71417[[#This Row],[CÓDIGO]],PRODUCTOS31316[],2,FALSE)</f>
        <v>0</v>
      </c>
      <c r="AE297" s="1" t="str">
        <f>VLOOKUP(ENTRADAS71417[[#This Row],[CÓDIGO]],PRODUCTOS31316[],3,FALSE)</f>
        <v>RACK DE CONGELACIÓN 90 PAJILLAS 0.25- 0.50 ML MARCA: MINITUBE</v>
      </c>
      <c r="AF297" s="2">
        <v>2</v>
      </c>
      <c r="AG297" s="2"/>
      <c r="AH297" s="2"/>
    </row>
    <row r="298" spans="1:34" ht="49.95" customHeight="1" x14ac:dyDescent="0.3">
      <c r="A298" s="2" t="s">
        <v>292</v>
      </c>
      <c r="B298" s="1" t="s">
        <v>1118</v>
      </c>
      <c r="C298" s="1" t="s">
        <v>1119</v>
      </c>
      <c r="D298" s="1" t="s">
        <v>171</v>
      </c>
      <c r="E298" s="1" t="s">
        <v>1115</v>
      </c>
      <c r="F298" s="1" t="s">
        <v>1120</v>
      </c>
      <c r="G298" s="2">
        <v>0</v>
      </c>
      <c r="H298" s="14">
        <f>SUMIF(ENTRADAS71417[CÓDIGO],PRODUCTOS31316[[#This Row],[CÓDIGO]],ENTRADAS71417[CANTIDAD])</f>
        <v>0</v>
      </c>
      <c r="I298" s="11">
        <f>SUMIF(SALIDAS111518[CÓDIGO],PRODUCTOS31316[[#This Row],[CÓDIGO]],SALIDAS111518[CANTIDAD])</f>
        <v>0</v>
      </c>
      <c r="J298" s="6">
        <f>PRODUCTOS31316[[#This Row],[EXISTENCIAS]]+PRODUCTOS31316[[#This Row],[ENTRADAS]]-PRODUCTOS31316[[#This Row],[SALIDAS]]</f>
        <v>0</v>
      </c>
      <c r="L298" s="282" t="s">
        <v>3520</v>
      </c>
      <c r="M298" s="282" t="s">
        <v>3653</v>
      </c>
      <c r="N298" s="283" t="s">
        <v>3903</v>
      </c>
      <c r="O298" s="282" t="s">
        <v>3118</v>
      </c>
      <c r="P298" s="16">
        <v>46055</v>
      </c>
      <c r="Q298" s="282" t="s">
        <v>1779</v>
      </c>
      <c r="R298" s="2">
        <f>VLOOKUP(SALIDAS111518[[#This Row],[CÓDIGO]],PRODUCTOS31316[],2,FALSE)</f>
        <v>5563</v>
      </c>
      <c r="S298" s="1" t="str">
        <f>VLOOKUP(SALIDAS111518[[#This Row],[CÓDIGO]],PRODUCTOS31316[],3,FALSE)</f>
        <v>CAMISA SANITARIA ROLLO X 80</v>
      </c>
      <c r="T298" s="2">
        <v>1</v>
      </c>
      <c r="U298" s="2">
        <v>144</v>
      </c>
      <c r="V298" s="2"/>
      <c r="W298" s="2"/>
      <c r="X298" s="32"/>
      <c r="Y298" s="7"/>
      <c r="Z298" s="380" t="s">
        <v>5523</v>
      </c>
      <c r="AA298" s="1" t="s">
        <v>3741</v>
      </c>
      <c r="AB298" s="16">
        <v>46193</v>
      </c>
      <c r="AC298" s="2" t="s">
        <v>5120</v>
      </c>
      <c r="AD298" s="1">
        <f>VLOOKUP(ENTRADAS71417[[#This Row],[CÓDIGO]],PRODUCTOS31316[],2,FALSE)</f>
        <v>0</v>
      </c>
      <c r="AE298" s="1" t="str">
        <f>VLOOKUP(ENTRADAS71417[[#This Row],[CÓDIGO]],PRODUCTOS31316[],3,FALSE)</f>
        <v>PAJILLAS ANARANJADAS 0.5 PAQ. X 2000 UND MRCA: IMV</v>
      </c>
      <c r="AF298" s="2">
        <v>3</v>
      </c>
      <c r="AG298" s="2"/>
      <c r="AH298" s="2"/>
    </row>
    <row r="299" spans="1:34" ht="49.95" customHeight="1" x14ac:dyDescent="0.3">
      <c r="A299" s="2" t="s">
        <v>1122</v>
      </c>
      <c r="B299" s="1" t="s">
        <v>1123</v>
      </c>
      <c r="C299" s="1" t="s">
        <v>1124</v>
      </c>
      <c r="D299" s="1" t="s">
        <v>1125</v>
      </c>
      <c r="E299" s="1" t="s">
        <v>957</v>
      </c>
      <c r="F299" s="1" t="s">
        <v>30</v>
      </c>
      <c r="G299" s="2">
        <v>0</v>
      </c>
      <c r="H299" s="14">
        <f>SUMIF(ENTRADAS71417[CÓDIGO],PRODUCTOS31316[[#This Row],[CÓDIGO]],ENTRADAS71417[CANTIDAD])</f>
        <v>0</v>
      </c>
      <c r="I299" s="11">
        <f>SUMIF(SALIDAS111518[CÓDIGO],PRODUCTOS31316[[#This Row],[CÓDIGO]],SALIDAS111518[CANTIDAD])</f>
        <v>0</v>
      </c>
      <c r="J299" s="6">
        <f>PRODUCTOS31316[[#This Row],[EXISTENCIAS]]+PRODUCTOS31316[[#This Row],[ENTRADAS]]-PRODUCTOS31316[[#This Row],[SALIDAS]]</f>
        <v>0</v>
      </c>
      <c r="L299" s="282" t="s">
        <v>3520</v>
      </c>
      <c r="M299" s="282" t="s">
        <v>3653</v>
      </c>
      <c r="N299" s="334" t="s">
        <v>4708</v>
      </c>
      <c r="O299" s="283" t="s">
        <v>2747</v>
      </c>
      <c r="P299" s="16">
        <v>46050</v>
      </c>
      <c r="Q299" s="282" t="s">
        <v>33</v>
      </c>
      <c r="R299" s="2" t="str">
        <f>VLOOKUP(SALIDAS111518[[#This Row],[CÓDIGO]],PRODUCTOS31316[],2,FALSE)</f>
        <v>LA-120 /506003</v>
      </c>
      <c r="S299" s="1" t="str">
        <f>VLOOKUP(SALIDAS111518[[#This Row],[CÓDIGO]],PRODUCTOS31316[],3,FALSE)</f>
        <v>LíNEA PARA OPU 1,2 METROS</v>
      </c>
      <c r="T299" s="2">
        <v>10</v>
      </c>
      <c r="U299" s="2">
        <v>145</v>
      </c>
      <c r="V299" s="2"/>
      <c r="W299" s="2"/>
      <c r="X299" s="32"/>
      <c r="Y299" s="7"/>
      <c r="Z299" s="380" t="s">
        <v>5523</v>
      </c>
      <c r="AA299" s="1" t="s">
        <v>3741</v>
      </c>
      <c r="AB299" s="16">
        <v>46193</v>
      </c>
      <c r="AC299" s="2" t="s">
        <v>5121</v>
      </c>
      <c r="AD299" s="1">
        <f>VLOOKUP(ENTRADAS71417[[#This Row],[CÓDIGO]],PRODUCTOS31316[],2,FALSE)</f>
        <v>0</v>
      </c>
      <c r="AE299" s="1" t="str">
        <f>VLOOKUP(ENTRADAS71417[[#This Row],[CÓDIGO]],PRODUCTOS31316[],3,FALSE)</f>
        <v>PAJILLAS AMARILLAS DE 0.5 PAQ. X 2000 UND MARCA IMV</v>
      </c>
      <c r="AF299" s="2">
        <v>3</v>
      </c>
      <c r="AG299" s="2"/>
      <c r="AH299" s="2"/>
    </row>
    <row r="300" spans="1:34" ht="49.95" customHeight="1" x14ac:dyDescent="0.3">
      <c r="A300" s="2" t="s">
        <v>1127</v>
      </c>
      <c r="B300" s="1">
        <v>10372</v>
      </c>
      <c r="C300" s="216" t="s">
        <v>1128</v>
      </c>
      <c r="D300" s="1" t="s">
        <v>442</v>
      </c>
      <c r="E300" s="1" t="s">
        <v>442</v>
      </c>
      <c r="F300" s="1" t="s">
        <v>30</v>
      </c>
      <c r="G300" s="2">
        <v>4</v>
      </c>
      <c r="H300" s="14">
        <f>SUMIF(ENTRADAS71417[CÓDIGO],PRODUCTOS31316[[#This Row],[CÓDIGO]],ENTRADAS71417[CANTIDAD])</f>
        <v>3</v>
      </c>
      <c r="I300" s="11">
        <f>SUMIF(SALIDAS111518[CÓDIGO],PRODUCTOS31316[[#This Row],[CÓDIGO]],SALIDAS111518[CANTIDAD])</f>
        <v>4</v>
      </c>
      <c r="J300" s="6">
        <f>PRODUCTOS31316[[#This Row],[EXISTENCIAS]]+PRODUCTOS31316[[#This Row],[ENTRADAS]]-PRODUCTOS31316[[#This Row],[SALIDAS]]</f>
        <v>3</v>
      </c>
      <c r="L300" s="282"/>
      <c r="M300" s="282"/>
      <c r="N300" s="276">
        <v>7786</v>
      </c>
      <c r="O300" s="283" t="s">
        <v>2747</v>
      </c>
      <c r="P300" s="16">
        <v>46050</v>
      </c>
      <c r="Q300" s="282" t="s">
        <v>63</v>
      </c>
      <c r="R300" s="2">
        <f>VLOOKUP(SALIDAS111518[[#This Row],[CÓDIGO]],PRODUCTOS31316[],2,FALSE)</f>
        <v>25458</v>
      </c>
      <c r="S300" s="1" t="str">
        <f>VLOOKUP(SALIDAS111518[[#This Row],[CÓDIGO]],PRODUCTOS31316[],3,FALSE)</f>
        <v>FILTROS PARA OPU 100 UL</v>
      </c>
      <c r="T300" s="2">
        <v>1</v>
      </c>
      <c r="U300" s="2"/>
      <c r="V300" s="2"/>
      <c r="W300" s="2"/>
      <c r="X300" s="32"/>
      <c r="Y300" s="7"/>
      <c r="Z300" s="380" t="s">
        <v>5523</v>
      </c>
      <c r="AA300" s="1" t="s">
        <v>3741</v>
      </c>
      <c r="AB300" s="16">
        <v>46193</v>
      </c>
      <c r="AC300" s="2" t="s">
        <v>5122</v>
      </c>
      <c r="AD300" s="1">
        <f>VLOOKUP(ENTRADAS71417[[#This Row],[CÓDIGO]],PRODUCTOS31316[],2,FALSE)</f>
        <v>0</v>
      </c>
      <c r="AE300" s="1" t="str">
        <f>VLOOKUP(ENTRADAS71417[[#This Row],[CÓDIGO]],PRODUCTOS31316[],3,FALSE)</f>
        <v>PAJILLAS AMARILLAS DE 0.25 PAQ. 2000 UND/ MARCA: MINITUBE</v>
      </c>
      <c r="AF300" s="2">
        <v>5</v>
      </c>
      <c r="AG300" s="2"/>
      <c r="AH300" s="2"/>
    </row>
    <row r="301" spans="1:34" ht="49.95" customHeight="1" x14ac:dyDescent="0.3">
      <c r="A301" s="2" t="s">
        <v>1130</v>
      </c>
      <c r="B301" s="1">
        <v>10096</v>
      </c>
      <c r="C301" s="1" t="s">
        <v>1131</v>
      </c>
      <c r="D301" s="1" t="s">
        <v>442</v>
      </c>
      <c r="E301" s="1" t="s">
        <v>442</v>
      </c>
      <c r="F301" s="1" t="s">
        <v>30</v>
      </c>
      <c r="G301" s="2">
        <v>0</v>
      </c>
      <c r="H301" s="14">
        <f>SUMIF(ENTRADAS71417[CÓDIGO],PRODUCTOS31316[[#This Row],[CÓDIGO]],ENTRADAS71417[CANTIDAD])</f>
        <v>0</v>
      </c>
      <c r="I301" s="11">
        <f>SUMIF(SALIDAS111518[CÓDIGO],PRODUCTOS31316[[#This Row],[CÓDIGO]],SALIDAS111518[CANTIDAD])</f>
        <v>0</v>
      </c>
      <c r="J301" s="6">
        <f>PRODUCTOS31316[[#This Row],[EXISTENCIAS]]+PRODUCTOS31316[[#This Row],[ENTRADAS]]-PRODUCTOS31316[[#This Row],[SALIDAS]]</f>
        <v>0</v>
      </c>
      <c r="L301" s="282"/>
      <c r="M301" s="282"/>
      <c r="N301" s="276">
        <v>7786</v>
      </c>
      <c r="O301" s="283" t="s">
        <v>2747</v>
      </c>
      <c r="P301" s="16">
        <v>46050</v>
      </c>
      <c r="Q301" s="282" t="s">
        <v>75</v>
      </c>
      <c r="R301" s="2" t="str">
        <f>VLOOKUP(SALIDAS111518[[#This Row],[CÓDIGO]],PRODUCTOS31316[],2,FALSE)</f>
        <v>18130E</v>
      </c>
      <c r="S301" s="1" t="str">
        <f>VLOOKUP(SALIDAS111518[[#This Row],[CÓDIGO]],PRODUCTOS31316[],3,FALSE)</f>
        <v>CAJA PETRI DESECHABLE ESTERIL 60X15 MM</v>
      </c>
      <c r="T301" s="2">
        <v>10</v>
      </c>
      <c r="U301" s="2"/>
      <c r="V301" s="2"/>
      <c r="W301" s="2"/>
      <c r="X301" s="32"/>
      <c r="Y301" s="7"/>
      <c r="Z301" s="380"/>
      <c r="AA301" s="1" t="s">
        <v>5524</v>
      </c>
      <c r="AB301" s="16">
        <v>46177</v>
      </c>
      <c r="AC301" s="2" t="s">
        <v>2818</v>
      </c>
      <c r="AD301" s="1">
        <f>VLOOKUP(ENTRADAS71417[[#This Row],[CÓDIGO]],PRODUCTOS31316[],2,FALSE)</f>
        <v>0</v>
      </c>
      <c r="AE301" s="1" t="str">
        <f>VLOOKUP(ENTRADAS71417[[#This Row],[CÓDIGO]],PRODUCTOS31316[],3,FALSE)</f>
        <v>CARCASA ISPERM</v>
      </c>
      <c r="AF301" s="2">
        <v>1</v>
      </c>
      <c r="AG301" s="2"/>
      <c r="AH301" s="2">
        <v>130</v>
      </c>
    </row>
    <row r="302" spans="1:34" ht="49.95" customHeight="1" x14ac:dyDescent="0.3">
      <c r="A302" s="2" t="s">
        <v>1133</v>
      </c>
      <c r="B302" s="1">
        <v>10130</v>
      </c>
      <c r="C302" s="1" t="s">
        <v>1134</v>
      </c>
      <c r="D302" s="1" t="s">
        <v>442</v>
      </c>
      <c r="E302" s="1" t="s">
        <v>442</v>
      </c>
      <c r="F302" s="1" t="s">
        <v>30</v>
      </c>
      <c r="G302" s="2">
        <v>0</v>
      </c>
      <c r="H302" s="14">
        <f>SUMIF(ENTRADAS71417[CÓDIGO],PRODUCTOS31316[[#This Row],[CÓDIGO]],ENTRADAS71417[CANTIDAD])</f>
        <v>0</v>
      </c>
      <c r="I302" s="11">
        <f>SUMIF(SALIDAS111518[CÓDIGO],PRODUCTOS31316[[#This Row],[CÓDIGO]],SALIDAS111518[CANTIDAD])</f>
        <v>0</v>
      </c>
      <c r="J302" s="6">
        <f>PRODUCTOS31316[[#This Row],[EXISTENCIAS]]+PRODUCTOS31316[[#This Row],[ENTRADAS]]-PRODUCTOS31316[[#This Row],[SALIDAS]]</f>
        <v>0</v>
      </c>
      <c r="L302" s="282" t="s">
        <v>3521</v>
      </c>
      <c r="M302" s="282" t="s">
        <v>3653</v>
      </c>
      <c r="N302" s="283" t="s">
        <v>3904</v>
      </c>
      <c r="O302" s="283" t="s">
        <v>2926</v>
      </c>
      <c r="P302" s="16">
        <v>46055</v>
      </c>
      <c r="Q302" s="282" t="s">
        <v>2433</v>
      </c>
      <c r="R302" s="2">
        <f>VLOOKUP(SALIDAS111518[[#This Row],[CÓDIGO]],PRODUCTOS31316[],2,FALSE)</f>
        <v>0</v>
      </c>
      <c r="S302" s="1" t="str">
        <f>VLOOKUP(SALIDAS111518[[#This Row],[CÓDIGO]],PRODUCTOS31316[],3,FALSE)</f>
        <v>SONDA LINEAL RECTAL DAWEI</v>
      </c>
      <c r="T302" s="2">
        <v>1</v>
      </c>
      <c r="U302" s="2">
        <v>146</v>
      </c>
      <c r="V302" s="2"/>
      <c r="W302" s="2" t="s">
        <v>2228</v>
      </c>
      <c r="X302" s="32"/>
      <c r="Y302" s="7"/>
      <c r="Z302" s="380" t="s">
        <v>5525</v>
      </c>
      <c r="AA302" s="1" t="s">
        <v>2778</v>
      </c>
      <c r="AB302" s="16">
        <v>46178</v>
      </c>
      <c r="AC302" s="2" t="s">
        <v>5115</v>
      </c>
      <c r="AD302" s="1">
        <f>VLOOKUP(ENTRADAS71417[[#This Row],[CÓDIGO]],PRODUCTOS31316[],2,FALSE)</f>
        <v>0</v>
      </c>
      <c r="AE302" s="1" t="str">
        <f>VLOOKUP(ENTRADAS71417[[#This Row],[CÓDIGO]],PRODUCTOS31316[],3,FALSE)</f>
        <v xml:space="preserve">ECOGRAFO DAWEI L30i-VET </v>
      </c>
      <c r="AF302" s="2">
        <v>1</v>
      </c>
      <c r="AG302" s="2"/>
      <c r="AH302" s="2">
        <v>131</v>
      </c>
    </row>
    <row r="303" spans="1:34" ht="49.95" customHeight="1" x14ac:dyDescent="0.3">
      <c r="A303" s="2" t="s">
        <v>1136</v>
      </c>
      <c r="C303" s="1" t="s">
        <v>1137</v>
      </c>
      <c r="D303" s="1" t="s">
        <v>166</v>
      </c>
      <c r="F303" s="1" t="s">
        <v>41</v>
      </c>
      <c r="G303" s="2">
        <v>0</v>
      </c>
      <c r="H303" s="14">
        <f>SUMIF(ENTRADAS71417[CÓDIGO],PRODUCTOS31316[[#This Row],[CÓDIGO]],ENTRADAS71417[CANTIDAD])</f>
        <v>0</v>
      </c>
      <c r="I303" s="11">
        <f>SUMIF(SALIDAS111518[CÓDIGO],PRODUCTOS31316[[#This Row],[CÓDIGO]],SALIDAS111518[CANTIDAD])</f>
        <v>0</v>
      </c>
      <c r="J303" s="6">
        <f>PRODUCTOS31316[[#This Row],[EXISTENCIAS]]+PRODUCTOS31316[[#This Row],[ENTRADAS]]-PRODUCTOS31316[[#This Row],[SALIDAS]]</f>
        <v>0</v>
      </c>
      <c r="L303" s="282" t="s">
        <v>3521</v>
      </c>
      <c r="M303" s="282" t="s">
        <v>3653</v>
      </c>
      <c r="N303" s="290" t="s">
        <v>3916</v>
      </c>
      <c r="O303" s="282" t="s">
        <v>3895</v>
      </c>
      <c r="P303" s="16">
        <v>46050</v>
      </c>
      <c r="Q303" s="282" t="s">
        <v>15</v>
      </c>
      <c r="R303" s="2" t="str">
        <f>VLOOKUP(SALIDAS111518[[#This Row],[CÓDIGO]],PRODUCTOS31316[],2,FALSE)</f>
        <v>BTE-025PT/ 504002</v>
      </c>
      <c r="S303" s="1" t="str">
        <f>VLOOKUP(SALIDAS111518[[#This Row],[CÓDIGO]],PRODUCTOS31316[],3,FALSE)</f>
        <v>FUNDAS PARA TRANSFERENCIA DE EMBRIONES</v>
      </c>
      <c r="T303" s="2">
        <v>55</v>
      </c>
      <c r="U303" s="2">
        <v>147</v>
      </c>
      <c r="V303" s="2"/>
      <c r="W303" s="2"/>
      <c r="X303" s="2"/>
      <c r="Y303" s="7"/>
      <c r="Z303" s="380" t="s">
        <v>5526</v>
      </c>
      <c r="AA303" s="1" t="s">
        <v>3795</v>
      </c>
      <c r="AB303" s="16">
        <v>46179</v>
      </c>
      <c r="AC303" s="2" t="s">
        <v>5114</v>
      </c>
      <c r="AD303" s="1">
        <f>VLOOKUP(ENTRADAS71417[[#This Row],[CÓDIGO]],PRODUCTOS31316[],2,FALSE)</f>
        <v>0</v>
      </c>
      <c r="AE303" s="1" t="str">
        <f>VLOOKUP(ENTRADAS71417[[#This Row],[CÓDIGO]],PRODUCTOS31316[],3,FALSE)</f>
        <v>TABLET SANSUNG GALAXY TAB A11+ MARCA: SANSUNG COLOR SEGUN DISPONIBILIDAD</v>
      </c>
      <c r="AF303" s="2">
        <v>4</v>
      </c>
      <c r="AG303" s="2"/>
      <c r="AH303" s="2">
        <v>132</v>
      </c>
    </row>
    <row r="304" spans="1:34" ht="49.95" customHeight="1" x14ac:dyDescent="0.3">
      <c r="A304" s="2" t="s">
        <v>1138</v>
      </c>
      <c r="B304" s="1" t="s">
        <v>1139</v>
      </c>
      <c r="C304" s="1" t="s">
        <v>1140</v>
      </c>
      <c r="D304" s="1" t="s">
        <v>1141</v>
      </c>
      <c r="E304" s="1" t="s">
        <v>1142</v>
      </c>
      <c r="F304" s="1" t="s">
        <v>30</v>
      </c>
      <c r="G304" s="2">
        <v>0</v>
      </c>
      <c r="H304" s="14">
        <f>SUMIF(ENTRADAS71417[CÓDIGO],PRODUCTOS31316[[#This Row],[CÓDIGO]],ENTRADAS71417[CANTIDAD])</f>
        <v>0</v>
      </c>
      <c r="I304" s="11">
        <f>SUMIF(SALIDAS111518[CÓDIGO],PRODUCTOS31316[[#This Row],[CÓDIGO]],SALIDAS111518[CANTIDAD])</f>
        <v>0</v>
      </c>
      <c r="J304" s="6">
        <f>PRODUCTOS31316[[#This Row],[EXISTENCIAS]]+PRODUCTOS31316[[#This Row],[ENTRADAS]]-PRODUCTOS31316[[#This Row],[SALIDAS]]</f>
        <v>0</v>
      </c>
      <c r="L304" s="282"/>
      <c r="M304" s="282"/>
      <c r="N304" s="276">
        <v>7787</v>
      </c>
      <c r="O304" s="282" t="s">
        <v>3895</v>
      </c>
      <c r="P304" s="16">
        <v>46050</v>
      </c>
      <c r="Q304" s="282" t="s">
        <v>36</v>
      </c>
      <c r="R304" s="2">
        <f>VLOOKUP(SALIDAS111518[[#This Row],[CÓDIGO]],PRODUCTOS31316[],2,FALSE)</f>
        <v>1</v>
      </c>
      <c r="S304" s="1" t="str">
        <f>VLOOKUP(SALIDAS111518[[#This Row],[CÓDIGO]],PRODUCTOS31316[],3,FALSE)</f>
        <v xml:space="preserve">PARCHE ESTROTECT </v>
      </c>
      <c r="T304" s="2">
        <v>24</v>
      </c>
      <c r="U304" s="2"/>
      <c r="V304" s="2"/>
      <c r="W304" s="2"/>
      <c r="X304" s="2"/>
      <c r="Y304" s="7"/>
      <c r="Z304" s="380">
        <v>52498</v>
      </c>
      <c r="AA304" s="1" t="s">
        <v>4077</v>
      </c>
      <c r="AB304" s="16">
        <v>46182</v>
      </c>
      <c r="AC304" s="2" t="s">
        <v>2387</v>
      </c>
      <c r="AD304" s="1" t="str">
        <f>VLOOKUP(ENTRADAS71417[[#This Row],[CÓDIGO]],PRODUCTOS31316[],2,FALSE)</f>
        <v>25-60U</v>
      </c>
      <c r="AE304" s="1" t="str">
        <f>VLOOKUP(ENTRADAS71417[[#This Row],[CÓDIGO]],PRODUCTOS31316[],3,FALSE)</f>
        <v>TROBE VERTICAL DE 60MM PARA ELECTRO PULSATOR</v>
      </c>
      <c r="AF304" s="2">
        <v>1</v>
      </c>
      <c r="AG304" s="2"/>
      <c r="AH304" s="2">
        <v>133</v>
      </c>
    </row>
    <row r="305" spans="1:34" ht="49.95" customHeight="1" x14ac:dyDescent="0.3">
      <c r="A305" s="2" t="s">
        <v>1144</v>
      </c>
      <c r="B305" s="1">
        <v>25</v>
      </c>
      <c r="C305" s="1" t="s">
        <v>780</v>
      </c>
      <c r="D305" s="1" t="s">
        <v>781</v>
      </c>
      <c r="E305" s="1" t="s">
        <v>410</v>
      </c>
      <c r="F305" s="1" t="s">
        <v>124</v>
      </c>
      <c r="G305" s="2">
        <v>0</v>
      </c>
      <c r="H305" s="14">
        <f>SUMIF(ENTRADAS71417[CÓDIGO],PRODUCTOS31316[[#This Row],[CÓDIGO]],ENTRADAS71417[CANTIDAD])</f>
        <v>0</v>
      </c>
      <c r="I305" s="11">
        <f>SUMIF(SALIDAS111518[CÓDIGO],PRODUCTOS31316[[#This Row],[CÓDIGO]],SALIDAS111518[CANTIDAD])</f>
        <v>0</v>
      </c>
      <c r="J305" s="6">
        <f>PRODUCTOS31316[[#This Row],[EXISTENCIAS]]+PRODUCTOS31316[[#This Row],[ENTRADAS]]-PRODUCTOS31316[[#This Row],[SALIDAS]]</f>
        <v>0</v>
      </c>
      <c r="L305" s="282"/>
      <c r="M305" s="282"/>
      <c r="N305" s="276">
        <v>7787</v>
      </c>
      <c r="O305" s="282" t="s">
        <v>3895</v>
      </c>
      <c r="P305" s="16">
        <v>46050</v>
      </c>
      <c r="Q305" s="282" t="s">
        <v>3095</v>
      </c>
      <c r="R305" s="2">
        <f>VLOOKUP(SALIDAS111518[[#This Row],[CÓDIGO]],PRODUCTOS31316[],2,FALSE)</f>
        <v>0</v>
      </c>
      <c r="S305" s="1" t="str">
        <f>VLOOKUP(SALIDAS111518[[#This Row],[CÓDIGO]],PRODUCTOS31316[],3,FALSE)</f>
        <v>GORRA MAS CAMPO</v>
      </c>
      <c r="T305" s="2">
        <v>1</v>
      </c>
      <c r="U305" s="2"/>
      <c r="V305" s="2"/>
      <c r="W305" s="2"/>
      <c r="X305" s="2"/>
      <c r="Y305" s="7"/>
      <c r="Z305" s="380">
        <v>4324</v>
      </c>
      <c r="AA305" s="1" t="s">
        <v>3887</v>
      </c>
      <c r="AB305" s="16">
        <v>46183</v>
      </c>
      <c r="AC305" s="2" t="s">
        <v>3319</v>
      </c>
      <c r="AD305" s="1">
        <f>VLOOKUP(ENTRADAS71417[[#This Row],[CÓDIGO]],PRODUCTOS31316[],2,FALSE)</f>
        <v>9013002</v>
      </c>
      <c r="AE305" s="1" t="str">
        <f>VLOOKUP(ENTRADAS71417[[#This Row],[CÓDIGO]],PRODUCTOS31316[],3,FALSE)</f>
        <v>TERMO DESCONGELADOR DE SEMEN Y EMBRIONES DSE-480 CON BATERÍA BLUE/GRAY</v>
      </c>
      <c r="AF305" s="2">
        <v>5</v>
      </c>
      <c r="AG305" s="2"/>
      <c r="AH305" s="2">
        <v>134</v>
      </c>
    </row>
    <row r="306" spans="1:34" ht="49.95" customHeight="1" x14ac:dyDescent="0.3">
      <c r="A306" s="2" t="s">
        <v>1146</v>
      </c>
      <c r="B306" s="1">
        <v>732022</v>
      </c>
      <c r="C306" s="1" t="s">
        <v>1147</v>
      </c>
      <c r="D306" s="1" t="s">
        <v>425</v>
      </c>
      <c r="E306" s="1" t="s">
        <v>957</v>
      </c>
      <c r="F306" s="1" t="s">
        <v>365</v>
      </c>
      <c r="G306" s="2">
        <v>0</v>
      </c>
      <c r="H306" s="14">
        <f>SUMIF(ENTRADAS71417[CÓDIGO],PRODUCTOS31316[[#This Row],[CÓDIGO]],ENTRADAS71417[CANTIDAD])</f>
        <v>0</v>
      </c>
      <c r="I306" s="11">
        <f>SUMIF(SALIDAS111518[CÓDIGO],PRODUCTOS31316[[#This Row],[CÓDIGO]],SALIDAS111518[CANTIDAD])</f>
        <v>0</v>
      </c>
      <c r="J306" s="6">
        <f>PRODUCTOS31316[[#This Row],[EXISTENCIAS]]+PRODUCTOS31316[[#This Row],[ENTRADAS]]-PRODUCTOS31316[[#This Row],[SALIDAS]]</f>
        <v>0</v>
      </c>
      <c r="L306" s="282"/>
      <c r="M306" s="282"/>
      <c r="N306" s="276">
        <v>7787</v>
      </c>
      <c r="O306" s="282" t="s">
        <v>3895</v>
      </c>
      <c r="P306" s="16">
        <v>46050</v>
      </c>
      <c r="Q306" s="282" t="s">
        <v>3376</v>
      </c>
      <c r="R306" s="2">
        <f>VLOOKUP(SALIDAS111518[[#This Row],[CÓDIGO]],PRODUCTOS31316[],2,FALSE)</f>
        <v>0</v>
      </c>
      <c r="S306" s="1" t="str">
        <f>VLOOKUP(SALIDAS111518[[#This Row],[CÓDIGO]],PRODUCTOS31316[],3,FALSE)</f>
        <v>TERMO DE 380 ML MAS CAMPO</v>
      </c>
      <c r="T306" s="2">
        <v>1</v>
      </c>
      <c r="U306" s="2"/>
      <c r="V306" s="2"/>
      <c r="W306" s="2"/>
      <c r="X306" s="2"/>
      <c r="Y306" s="7"/>
      <c r="Z306" s="380">
        <v>4324</v>
      </c>
      <c r="AA306" s="1" t="s">
        <v>3887</v>
      </c>
      <c r="AB306" s="16">
        <v>46183</v>
      </c>
      <c r="AC306" s="2" t="s">
        <v>58</v>
      </c>
      <c r="AD306" s="1" t="str">
        <f>VLOOKUP(ENTRADAS71417[[#This Row],[CÓDIGO]],PRODUCTOS31316[],2,FALSE)</f>
        <v>TNB-0001-16</v>
      </c>
      <c r="AE306" s="1" t="str">
        <f>VLOOKUP(ENTRADAS71417[[#This Row],[CÓDIGO]],PRODUCTOS31316[],3,FALSE)</f>
        <v>CAMISA SANITARIA PARA OPU ASPIRACIÓN FOLICULAR</v>
      </c>
      <c r="AF306" s="2">
        <v>45</v>
      </c>
      <c r="AG306" s="2"/>
      <c r="AH306" s="2"/>
    </row>
    <row r="307" spans="1:34" ht="49.95" customHeight="1" x14ac:dyDescent="0.3">
      <c r="A307" s="2" t="s">
        <v>1148</v>
      </c>
      <c r="B307" s="1">
        <v>732028</v>
      </c>
      <c r="C307" s="1" t="s">
        <v>1149</v>
      </c>
      <c r="D307" s="1" t="s">
        <v>425</v>
      </c>
      <c r="E307" s="1" t="s">
        <v>957</v>
      </c>
      <c r="F307" s="1" t="s">
        <v>365</v>
      </c>
      <c r="G307" s="2">
        <v>0</v>
      </c>
      <c r="H307" s="14">
        <f>SUMIF(ENTRADAS71417[CÓDIGO],PRODUCTOS31316[[#This Row],[CÓDIGO]],ENTRADAS71417[CANTIDAD])</f>
        <v>0</v>
      </c>
      <c r="I307" s="11">
        <f>SUMIF(SALIDAS111518[CÓDIGO],PRODUCTOS31316[[#This Row],[CÓDIGO]],SALIDAS111518[CANTIDAD])</f>
        <v>0</v>
      </c>
      <c r="J307" s="6">
        <f>PRODUCTOS31316[[#This Row],[EXISTENCIAS]]+PRODUCTOS31316[[#This Row],[ENTRADAS]]-PRODUCTOS31316[[#This Row],[SALIDAS]]</f>
        <v>0</v>
      </c>
      <c r="L307" s="282" t="s">
        <v>3520</v>
      </c>
      <c r="M307" s="282" t="s">
        <v>3653</v>
      </c>
      <c r="N307" s="290" t="s">
        <v>3917</v>
      </c>
      <c r="O307" s="282" t="s">
        <v>3063</v>
      </c>
      <c r="P307" s="16">
        <v>46050</v>
      </c>
      <c r="Q307" s="282" t="s">
        <v>1494</v>
      </c>
      <c r="R307" s="2">
        <f>VLOOKUP(SALIDAS111518[[#This Row],[CÓDIGO]],PRODUCTOS31316[],2,FALSE)</f>
        <v>21315</v>
      </c>
      <c r="S307" s="1" t="str">
        <f>VLOOKUP(SALIDAS111518[[#This Row],[CÓDIGO]],PRODUCTOS31316[],3,FALSE)</f>
        <v xml:space="preserve">MICROTUBOS PARA CULTIVO CELULAR 1,2 ML. ESQUINAS REDONDEADAS </v>
      </c>
      <c r="T307" s="2">
        <v>2</v>
      </c>
      <c r="U307" s="2">
        <v>155</v>
      </c>
      <c r="V307" s="2"/>
      <c r="W307" s="2"/>
      <c r="X307" s="2"/>
      <c r="Y307" s="7"/>
      <c r="Z307" s="380">
        <v>4324</v>
      </c>
      <c r="AA307" s="1" t="s">
        <v>3887</v>
      </c>
      <c r="AB307" s="16">
        <v>46183</v>
      </c>
      <c r="AC307" s="2" t="s">
        <v>360</v>
      </c>
      <c r="AD307" s="1">
        <f>VLOOKUP(ENTRADAS71417[[#This Row],[CÓDIGO]],PRODUCTOS31316[],2,FALSE)</f>
        <v>505006</v>
      </c>
      <c r="AE307" s="1" t="str">
        <f>VLOOKUP(ENTRADAS71417[[#This Row],[CÓDIGO]],PRODUCTOS31316[],3,FALSE)</f>
        <v>LACRADOR REDONDO AMARILLO</v>
      </c>
      <c r="AF307" s="2">
        <v>99</v>
      </c>
      <c r="AG307" s="2"/>
      <c r="AH307" s="2"/>
    </row>
    <row r="308" spans="1:34" ht="49.95" customHeight="1" x14ac:dyDescent="0.3">
      <c r="A308" s="2" t="s">
        <v>1070</v>
      </c>
      <c r="B308" s="1" t="s">
        <v>1150</v>
      </c>
      <c r="C308" s="1" t="s">
        <v>1151</v>
      </c>
      <c r="D308" s="1" t="s">
        <v>262</v>
      </c>
      <c r="E308" s="1" t="s">
        <v>177</v>
      </c>
      <c r="F308" s="1" t="s">
        <v>62</v>
      </c>
      <c r="G308" s="2">
        <v>0</v>
      </c>
      <c r="H308" s="14">
        <f>SUMIF(ENTRADAS71417[CÓDIGO],PRODUCTOS31316[[#This Row],[CÓDIGO]],ENTRADAS71417[CANTIDAD])</f>
        <v>0</v>
      </c>
      <c r="I308" s="11">
        <f>SUMIF(SALIDAS111518[CÓDIGO],PRODUCTOS31316[[#This Row],[CÓDIGO]],SALIDAS111518[CANTIDAD])</f>
        <v>0</v>
      </c>
      <c r="J308" s="6">
        <f>PRODUCTOS31316[[#This Row],[EXISTENCIAS]]+PRODUCTOS31316[[#This Row],[ENTRADAS]]-PRODUCTOS31316[[#This Row],[SALIDAS]]</f>
        <v>0</v>
      </c>
      <c r="L308" s="282" t="s">
        <v>3520</v>
      </c>
      <c r="M308" s="282" t="s">
        <v>3653</v>
      </c>
      <c r="N308" s="290" t="s">
        <v>3918</v>
      </c>
      <c r="O308" s="282" t="s">
        <v>3906</v>
      </c>
      <c r="P308" s="16">
        <v>46050</v>
      </c>
      <c r="Q308" s="282" t="s">
        <v>15</v>
      </c>
      <c r="R308" s="2" t="str">
        <f>VLOOKUP(SALIDAS111518[[#This Row],[CÓDIGO]],PRODUCTOS31316[],2,FALSE)</f>
        <v>BTE-025PT/ 504002</v>
      </c>
      <c r="S308" s="1" t="str">
        <f>VLOOKUP(SALIDAS111518[[#This Row],[CÓDIGO]],PRODUCTOS31316[],3,FALSE)</f>
        <v>FUNDAS PARA TRANSFERENCIA DE EMBRIONES</v>
      </c>
      <c r="T308" s="2">
        <v>300</v>
      </c>
      <c r="U308" s="2">
        <v>156</v>
      </c>
      <c r="V308" s="2"/>
      <c r="W308" s="2"/>
      <c r="X308" s="2"/>
      <c r="Y308" s="7"/>
      <c r="Z308" s="380">
        <v>4324</v>
      </c>
      <c r="AA308" s="1" t="s">
        <v>3887</v>
      </c>
      <c r="AB308" s="16">
        <v>46183</v>
      </c>
      <c r="AC308" s="2" t="s">
        <v>33</v>
      </c>
      <c r="AD308" s="1" t="str">
        <f>VLOOKUP(ENTRADAS71417[[#This Row],[CÓDIGO]],PRODUCTOS31316[],2,FALSE)</f>
        <v>LA-120 /506003</v>
      </c>
      <c r="AE308" s="1" t="str">
        <f>VLOOKUP(ENTRADAS71417[[#This Row],[CÓDIGO]],PRODUCTOS31316[],3,FALSE)</f>
        <v>LíNEA PARA OPU 1,2 METROS</v>
      </c>
      <c r="AF308" s="2">
        <v>300</v>
      </c>
      <c r="AG308" s="2"/>
      <c r="AH308" s="2"/>
    </row>
    <row r="309" spans="1:34" ht="49.95" customHeight="1" x14ac:dyDescent="0.3">
      <c r="A309" s="2" t="s">
        <v>272</v>
      </c>
      <c r="B309" s="1">
        <v>627161</v>
      </c>
      <c r="C309" s="1" t="s">
        <v>1152</v>
      </c>
      <c r="D309" s="1" t="s">
        <v>171</v>
      </c>
      <c r="E309" s="1" t="s">
        <v>1115</v>
      </c>
      <c r="F309" s="1" t="s">
        <v>1153</v>
      </c>
      <c r="G309" s="31">
        <v>0</v>
      </c>
      <c r="H309" s="14">
        <f>SUMIF(ENTRADAS71417[CÓDIGO],PRODUCTOS31316[[#This Row],[CÓDIGO]],ENTRADAS71417[CANTIDAD])</f>
        <v>740</v>
      </c>
      <c r="I309" s="11">
        <f>SUMIF(SALIDAS111518[CÓDIGO],PRODUCTOS31316[[#This Row],[CÓDIGO]],SALIDAS111518[CANTIDAD])</f>
        <v>467</v>
      </c>
      <c r="J309" s="6">
        <f>PRODUCTOS31316[[#This Row],[EXISTENCIAS]]+PRODUCTOS31316[[#This Row],[ENTRADAS]]-PRODUCTOS31316[[#This Row],[SALIDAS]]</f>
        <v>273</v>
      </c>
      <c r="L309" s="282" t="s">
        <v>3520</v>
      </c>
      <c r="M309" s="282" t="s">
        <v>3653</v>
      </c>
      <c r="N309" s="290" t="s">
        <v>3919</v>
      </c>
      <c r="O309" s="282" t="s">
        <v>2670</v>
      </c>
      <c r="P309" s="16">
        <v>46051</v>
      </c>
      <c r="Q309" s="282" t="s">
        <v>15</v>
      </c>
      <c r="R309" s="2" t="str">
        <f>VLOOKUP(SALIDAS111518[[#This Row],[CÓDIGO]],PRODUCTOS31316[],2,FALSE)</f>
        <v>BTE-025PT/ 504002</v>
      </c>
      <c r="S309" s="1" t="str">
        <f>VLOOKUP(SALIDAS111518[[#This Row],[CÓDIGO]],PRODUCTOS31316[],3,FALSE)</f>
        <v>FUNDAS PARA TRANSFERENCIA DE EMBRIONES</v>
      </c>
      <c r="T309" s="2">
        <v>60</v>
      </c>
      <c r="U309" s="2">
        <v>157</v>
      </c>
      <c r="V309" s="2"/>
      <c r="W309" s="2"/>
      <c r="X309" s="2"/>
      <c r="Y309" s="7"/>
      <c r="Z309" s="380">
        <v>4324</v>
      </c>
      <c r="AA309" s="1" t="s">
        <v>3887</v>
      </c>
      <c r="AB309" s="16">
        <v>46183</v>
      </c>
      <c r="AC309" s="2" t="s">
        <v>5122</v>
      </c>
      <c r="AD309" s="1">
        <f>VLOOKUP(ENTRADAS71417[[#This Row],[CÓDIGO]],PRODUCTOS31316[],2,FALSE)</f>
        <v>0</v>
      </c>
      <c r="AE309" s="1" t="str">
        <f>VLOOKUP(ENTRADAS71417[[#This Row],[CÓDIGO]],PRODUCTOS31316[],3,FALSE)</f>
        <v>PAJILLAS AMARILLAS DE 0.25 PAQ. 2000 UND/ MARCA: MINITUBE</v>
      </c>
      <c r="AF309" s="2">
        <v>4</v>
      </c>
      <c r="AG309" s="2"/>
      <c r="AH309" s="2"/>
    </row>
    <row r="310" spans="1:34" ht="49.95" customHeight="1" x14ac:dyDescent="0.3">
      <c r="A310" s="203" t="s">
        <v>63</v>
      </c>
      <c r="B310" s="1">
        <v>25458</v>
      </c>
      <c r="C310" s="216" t="s">
        <v>1154</v>
      </c>
      <c r="D310" s="1" t="s">
        <v>442</v>
      </c>
      <c r="E310" s="1" t="s">
        <v>442</v>
      </c>
      <c r="F310" s="1" t="s">
        <v>1155</v>
      </c>
      <c r="G310" s="2">
        <v>13</v>
      </c>
      <c r="H310" s="14">
        <f>SUMIF(ENTRADAS71417[CÓDIGO],PRODUCTOS31316[[#This Row],[CÓDIGO]],ENTRADAS71417[CANTIDAD])</f>
        <v>48</v>
      </c>
      <c r="I310" s="11">
        <f>SUMIF(SALIDAS111518[CÓDIGO],PRODUCTOS31316[[#This Row],[CÓDIGO]],SALIDAS111518[CANTIDAD])</f>
        <v>61</v>
      </c>
      <c r="J310" s="6">
        <f>PRODUCTOS31316[[#This Row],[EXISTENCIAS]]+PRODUCTOS31316[[#This Row],[ENTRADAS]]-PRODUCTOS31316[[#This Row],[SALIDAS]]</f>
        <v>0</v>
      </c>
      <c r="L310" s="282"/>
      <c r="M310" s="282"/>
      <c r="N310" s="276">
        <v>7793</v>
      </c>
      <c r="O310" s="319" t="s">
        <v>2670</v>
      </c>
      <c r="P310" s="16">
        <v>46048</v>
      </c>
      <c r="Q310" s="282" t="s">
        <v>1779</v>
      </c>
      <c r="R310" s="2">
        <f>VLOOKUP(SALIDAS111518[[#This Row],[CÓDIGO]],PRODUCTOS31316[],2,FALSE)</f>
        <v>5563</v>
      </c>
      <c r="S310" s="1" t="str">
        <f>VLOOKUP(SALIDAS111518[[#This Row],[CÓDIGO]],PRODUCTOS31316[],3,FALSE)</f>
        <v>CAMISA SANITARIA ROLLO X 80</v>
      </c>
      <c r="T310" s="2">
        <v>4</v>
      </c>
      <c r="U310" s="2"/>
      <c r="V310" s="2"/>
      <c r="W310" s="2"/>
      <c r="X310" s="2"/>
      <c r="Y310" s="7"/>
      <c r="Z310" s="380">
        <v>4324</v>
      </c>
      <c r="AA310" s="1" t="s">
        <v>3887</v>
      </c>
      <c r="AB310" s="16">
        <v>46183</v>
      </c>
      <c r="AC310" s="2" t="s">
        <v>5123</v>
      </c>
      <c r="AD310" s="1">
        <f>VLOOKUP(ENTRADAS71417[[#This Row],[CÓDIGO]],PRODUCTOS31316[],2,FALSE)</f>
        <v>0</v>
      </c>
      <c r="AE310" s="1" t="str">
        <f>VLOOKUP(ENTRADAS71417[[#This Row],[CÓDIGO]],PRODUCTOS31316[],3,FALSE)</f>
        <v>MICROFILTRO 0,90 UM  PAQ. X 20 UND MARCA: TED</v>
      </c>
      <c r="AF310" s="2">
        <v>24</v>
      </c>
      <c r="AG310" s="2"/>
      <c r="AH310" s="2"/>
    </row>
    <row r="311" spans="1:34" ht="49.95" customHeight="1" x14ac:dyDescent="0.3">
      <c r="A311" s="2" t="s">
        <v>1156</v>
      </c>
      <c r="B311" s="1" t="s">
        <v>1157</v>
      </c>
      <c r="C311" s="1" t="s">
        <v>1158</v>
      </c>
      <c r="D311" s="1" t="s">
        <v>1159</v>
      </c>
      <c r="E311" s="1" t="s">
        <v>449</v>
      </c>
      <c r="F311" s="1" t="s">
        <v>1160</v>
      </c>
      <c r="G311" s="2">
        <v>0</v>
      </c>
      <c r="H311" s="14">
        <f>SUMIF(ENTRADAS71417[CÓDIGO],PRODUCTOS31316[[#This Row],[CÓDIGO]],ENTRADAS71417[CANTIDAD])</f>
        <v>0</v>
      </c>
      <c r="I311" s="11">
        <f>SUMIF(SALIDAS111518[CÓDIGO],PRODUCTOS31316[[#This Row],[CÓDIGO]],SALIDAS111518[CANTIDAD])</f>
        <v>0</v>
      </c>
      <c r="J311" s="6">
        <f>PRODUCTOS31316[[#This Row],[EXISTENCIAS]]+PRODUCTOS31316[[#This Row],[ENTRADAS]]-PRODUCTOS31316[[#This Row],[SALIDAS]]</f>
        <v>0</v>
      </c>
      <c r="L311" s="282" t="s">
        <v>3521</v>
      </c>
      <c r="M311" s="282" t="s">
        <v>3653</v>
      </c>
      <c r="N311" s="304" t="s">
        <v>4115</v>
      </c>
      <c r="O311" s="288" t="s">
        <v>3907</v>
      </c>
      <c r="P311" s="16">
        <v>46052</v>
      </c>
      <c r="Q311" s="282" t="s">
        <v>3156</v>
      </c>
      <c r="R311" s="2" t="str">
        <f>VLOOKUP(SALIDAS111518[[#This Row],[CÓDIGO]],PRODUCTOS31316[],2,FALSE)</f>
        <v>ULTRAS</v>
      </c>
      <c r="S311" s="1" t="str">
        <f>VLOOKUP(SALIDAS111518[[#This Row],[CÓDIGO]],PRODUCTOS31316[],3,FALSE)</f>
        <v>ECOGRAFO ULTRAS SO</v>
      </c>
      <c r="T311" s="2">
        <v>1</v>
      </c>
      <c r="U311" s="2">
        <v>262</v>
      </c>
      <c r="V311" s="2"/>
      <c r="W311" s="282" t="s">
        <v>3412</v>
      </c>
      <c r="X311" s="2"/>
      <c r="Y311" s="7"/>
      <c r="Z311" s="380">
        <v>4324</v>
      </c>
      <c r="AA311" s="1" t="s">
        <v>3887</v>
      </c>
      <c r="AB311" s="16">
        <v>46183</v>
      </c>
      <c r="AC311" s="2" t="s">
        <v>5124</v>
      </c>
      <c r="AD311" s="1">
        <f>VLOOKUP(ENTRADAS71417[[#This Row],[CÓDIGO]],PRODUCTOS31316[],2,FALSE)</f>
        <v>0</v>
      </c>
      <c r="AE311" s="1" t="str">
        <f>VLOOKUP(ENTRADAS71417[[#This Row],[CÓDIGO]],PRODUCTOS31316[],3,FALSE)</f>
        <v>MICROFILTRO 0,90 UM  PAQ. X 20 UND MARCA: TED</v>
      </c>
      <c r="AF311" s="2">
        <v>19</v>
      </c>
      <c r="AG311" s="2"/>
      <c r="AH311" s="2"/>
    </row>
    <row r="312" spans="1:34" ht="49.95" customHeight="1" x14ac:dyDescent="0.3">
      <c r="A312" s="2" t="s">
        <v>1161</v>
      </c>
      <c r="B312" s="1" t="s">
        <v>1162</v>
      </c>
      <c r="C312" s="1" t="s">
        <v>1163</v>
      </c>
      <c r="D312" s="1" t="s">
        <v>1159</v>
      </c>
      <c r="E312" s="1" t="s">
        <v>449</v>
      </c>
      <c r="F312" s="1" t="s">
        <v>30</v>
      </c>
      <c r="G312" s="2">
        <v>0</v>
      </c>
      <c r="H312" s="14">
        <f>SUMIF(ENTRADAS71417[CÓDIGO],PRODUCTOS31316[[#This Row],[CÓDIGO]],ENTRADAS71417[CANTIDAD])</f>
        <v>0</v>
      </c>
      <c r="I312" s="11">
        <f>SUMIF(SALIDAS111518[CÓDIGO],PRODUCTOS31316[[#This Row],[CÓDIGO]],SALIDAS111518[CANTIDAD])</f>
        <v>0</v>
      </c>
      <c r="J312" s="6">
        <f>PRODUCTOS31316[[#This Row],[EXISTENCIAS]]+PRODUCTOS31316[[#This Row],[ENTRADAS]]-PRODUCTOS31316[[#This Row],[SALIDAS]]</f>
        <v>0</v>
      </c>
      <c r="L312" s="282"/>
      <c r="M312" s="282"/>
      <c r="N312" s="297" t="s">
        <v>4114</v>
      </c>
      <c r="O312" s="282" t="s">
        <v>3907</v>
      </c>
      <c r="P312" s="16">
        <v>46071</v>
      </c>
      <c r="Q312" s="282" t="s">
        <v>2938</v>
      </c>
      <c r="R312" s="2" t="str">
        <f>VLOOKUP(SALIDAS111518[[#This Row],[CÓDIGO]],PRODUCTOS31316[],2,FALSE)</f>
        <v>UT01</v>
      </c>
      <c r="S312" s="1" t="str">
        <f>VLOOKUP(SALIDAS111518[[#This Row],[CÓDIGO]],PRODUCTOS31316[],3,FALSE)</f>
        <v>MEDIDOR DE GRASA DORSAL UT01</v>
      </c>
      <c r="T312" s="2">
        <v>1</v>
      </c>
      <c r="U312" s="2"/>
      <c r="V312" s="2"/>
      <c r="W312" s="2"/>
      <c r="X312" s="2"/>
      <c r="Y312" s="7"/>
      <c r="Z312" s="380">
        <v>4324</v>
      </c>
      <c r="AA312" s="1" t="s">
        <v>3887</v>
      </c>
      <c r="AB312" s="16">
        <v>46183</v>
      </c>
      <c r="AC312" s="2" t="s">
        <v>5098</v>
      </c>
      <c r="AD312" s="1">
        <f>VLOOKUP(ENTRADAS71417[[#This Row],[CÓDIGO]],PRODUCTOS31316[],2,FALSE)</f>
        <v>0</v>
      </c>
      <c r="AE312" s="1" t="str">
        <f>VLOOKUP(ENTRADAS71417[[#This Row],[CÓDIGO]],PRODUCTOS31316[],3,FALSE)</f>
        <v>FUNDA DE TRANSFERENCIA DE EMBRIONES 0.25 PUNTA PLÁSTICA MARCA TED</v>
      </c>
      <c r="AF312" s="2">
        <v>4001</v>
      </c>
      <c r="AG312" s="2"/>
      <c r="AH312" s="2"/>
    </row>
    <row r="313" spans="1:34" ht="49.95" customHeight="1" x14ac:dyDescent="0.3">
      <c r="A313" s="2" t="s">
        <v>1164</v>
      </c>
      <c r="B313" s="1" t="s">
        <v>1165</v>
      </c>
      <c r="C313" s="1" t="s">
        <v>1166</v>
      </c>
      <c r="E313" s="1" t="s">
        <v>449</v>
      </c>
      <c r="F313" s="1" t="s">
        <v>903</v>
      </c>
      <c r="G313" s="2">
        <v>0</v>
      </c>
      <c r="H313" s="14">
        <f>SUMIF(ENTRADAS71417[CÓDIGO],PRODUCTOS31316[[#This Row],[CÓDIGO]],ENTRADAS71417[CANTIDAD])</f>
        <v>0</v>
      </c>
      <c r="I313" s="11">
        <f>SUMIF(SALIDAS111518[CÓDIGO],PRODUCTOS31316[[#This Row],[CÓDIGO]],SALIDAS111518[CANTIDAD])</f>
        <v>0</v>
      </c>
      <c r="J313" s="6">
        <f>PRODUCTOS31316[[#This Row],[EXISTENCIAS]]+PRODUCTOS31316[[#This Row],[ENTRADAS]]-PRODUCTOS31316[[#This Row],[SALIDAS]]</f>
        <v>0</v>
      </c>
      <c r="L313" s="282" t="s">
        <v>3520</v>
      </c>
      <c r="M313" s="282" t="s">
        <v>3653</v>
      </c>
      <c r="N313" s="290" t="s">
        <v>3922</v>
      </c>
      <c r="O313" s="282" t="s">
        <v>2717</v>
      </c>
      <c r="P313" s="16">
        <v>46051</v>
      </c>
      <c r="Q313" s="282" t="s">
        <v>2232</v>
      </c>
      <c r="R313" s="2">
        <f>VLOOKUP(SALIDAS111518[[#This Row],[CÓDIGO]],PRODUCTOS31316[],2,FALSE)</f>
        <v>0</v>
      </c>
      <c r="S313" s="1" t="str">
        <f>VLOOKUP(SALIDAS111518[[#This Row],[CÓDIGO]],PRODUCTOS31316[],3,FALSE)</f>
        <v>CONO RECOLECTOR</v>
      </c>
      <c r="T313" s="2">
        <v>2</v>
      </c>
      <c r="U313" s="288" t="s">
        <v>3921</v>
      </c>
      <c r="V313" s="2"/>
      <c r="W313" s="2"/>
      <c r="X313" s="2"/>
      <c r="Y313" s="7"/>
      <c r="Z313" s="380">
        <v>14286</v>
      </c>
      <c r="AA313" s="1" t="s">
        <v>3827</v>
      </c>
      <c r="AB313" s="16">
        <v>46097</v>
      </c>
      <c r="AC313" s="2" t="s">
        <v>2797</v>
      </c>
      <c r="AD313" s="1" t="str">
        <f>VLOOKUP(ENTRADAS71417[[#This Row],[CÓDIGO]],PRODUCTOS31316[],2,FALSE)</f>
        <v>PT113</v>
      </c>
      <c r="AE313" s="1" t="str">
        <f>VLOOKUP(ENTRADAS71417[[#This Row],[CÓDIGO]],PRODUCTOS31316[],3,FALSE)</f>
        <v>NATURAL FERTILITY X 2 KL</v>
      </c>
      <c r="AF313" s="2">
        <v>2</v>
      </c>
      <c r="AG313" s="2"/>
      <c r="AH313" s="2">
        <v>135</v>
      </c>
    </row>
    <row r="314" spans="1:34" ht="49.95" customHeight="1" x14ac:dyDescent="0.3">
      <c r="A314" s="2" t="s">
        <v>1167</v>
      </c>
      <c r="B314" s="1" t="s">
        <v>1168</v>
      </c>
      <c r="C314" s="1" t="s">
        <v>1169</v>
      </c>
      <c r="D314" s="1" t="s">
        <v>1170</v>
      </c>
      <c r="E314" s="1" t="s">
        <v>449</v>
      </c>
      <c r="F314" s="1" t="s">
        <v>1171</v>
      </c>
      <c r="G314" s="2">
        <v>0</v>
      </c>
      <c r="H314" s="14">
        <f>SUMIF(ENTRADAS71417[CÓDIGO],PRODUCTOS31316[[#This Row],[CÓDIGO]],ENTRADAS71417[CANTIDAD])</f>
        <v>0</v>
      </c>
      <c r="I314" s="11">
        <f>SUMIF(SALIDAS111518[CÓDIGO],PRODUCTOS31316[[#This Row],[CÓDIGO]],SALIDAS111518[CANTIDAD])</f>
        <v>0</v>
      </c>
      <c r="J314" s="6">
        <f>PRODUCTOS31316[[#This Row],[EXISTENCIAS]]+PRODUCTOS31316[[#This Row],[ENTRADAS]]-PRODUCTOS31316[[#This Row],[SALIDAS]]</f>
        <v>0</v>
      </c>
      <c r="L314" s="282"/>
      <c r="M314" s="282"/>
      <c r="N314" s="276">
        <v>7796</v>
      </c>
      <c r="O314" s="288" t="s">
        <v>2717</v>
      </c>
      <c r="P314" s="16">
        <v>46051</v>
      </c>
      <c r="Q314" s="282" t="s">
        <v>770</v>
      </c>
      <c r="R314" s="2" t="str">
        <f>VLOOKUP(SALIDAS111518[[#This Row],[CÓDIGO]],PRODUCTOS31316[],2,FALSE)</f>
        <v>12300/1111</v>
      </c>
      <c r="S314" s="1" t="str">
        <f>VLOOKUP(SALIDAS111518[[#This Row],[CÓDIGO]],PRODUCTOS31316[],3,FALSE)</f>
        <v>MICROCUBETA PARA FOTÓMETRO SDM 1, 100/CAJA</v>
      </c>
      <c r="T314" s="2">
        <v>1</v>
      </c>
      <c r="U314" s="2"/>
      <c r="V314" s="2"/>
      <c r="W314" s="2"/>
      <c r="X314" s="2"/>
      <c r="Y314" s="7"/>
      <c r="Z314" s="380" t="s">
        <v>5527</v>
      </c>
      <c r="AA314" s="1" t="s">
        <v>2778</v>
      </c>
      <c r="AB314" s="16">
        <v>46184</v>
      </c>
      <c r="AC314" s="2" t="s">
        <v>3591</v>
      </c>
      <c r="AD314" s="1">
        <f>VLOOKUP(ENTRADAS71417[[#This Row],[CÓDIGO]],PRODUCTOS31316[],2,FALSE)</f>
        <v>9018121000</v>
      </c>
      <c r="AE314" s="1" t="str">
        <f>VLOOKUP(ENTRADAS71417[[#This Row],[CÓDIGO]],PRODUCTOS31316[],3,FALSE)</f>
        <v>ECÓGRAFO Y6 CON SONDA LINEAL RECTAL</v>
      </c>
      <c r="AF314" s="2">
        <v>1</v>
      </c>
      <c r="AG314" s="2"/>
      <c r="AH314" s="2">
        <v>136</v>
      </c>
    </row>
    <row r="315" spans="1:34" ht="49.95" customHeight="1" x14ac:dyDescent="0.3">
      <c r="A315" s="2" t="s">
        <v>1172</v>
      </c>
      <c r="B315" s="1" t="s">
        <v>1173</v>
      </c>
      <c r="C315" s="1" t="s">
        <v>1174</v>
      </c>
      <c r="D315" s="1" t="s">
        <v>1175</v>
      </c>
      <c r="E315" s="1" t="s">
        <v>449</v>
      </c>
      <c r="F315" s="1" t="s">
        <v>678</v>
      </c>
      <c r="G315" s="2">
        <v>0</v>
      </c>
      <c r="H315" s="14">
        <f>SUMIF(ENTRADAS71417[CÓDIGO],PRODUCTOS31316[[#This Row],[CÓDIGO]],ENTRADAS71417[CANTIDAD])</f>
        <v>0</v>
      </c>
      <c r="I315" s="11">
        <f>SUMIF(SALIDAS111518[CÓDIGO],PRODUCTOS31316[[#This Row],[CÓDIGO]],SALIDAS111518[CANTIDAD])</f>
        <v>0</v>
      </c>
      <c r="J315" s="6">
        <f>PRODUCTOS31316[[#This Row],[EXISTENCIAS]]+PRODUCTOS31316[[#This Row],[ENTRADAS]]-PRODUCTOS31316[[#This Row],[SALIDAS]]</f>
        <v>0</v>
      </c>
      <c r="L315" s="282" t="s">
        <v>3520</v>
      </c>
      <c r="M315" s="282" t="s">
        <v>3653</v>
      </c>
      <c r="N315" s="290" t="s">
        <v>3937</v>
      </c>
      <c r="O315" s="283" t="s">
        <v>3101</v>
      </c>
      <c r="P315" s="16">
        <v>46055</v>
      </c>
      <c r="Q315" s="282" t="s">
        <v>382</v>
      </c>
      <c r="R315" s="2">
        <f>VLOOKUP(SALIDAS111518[[#This Row],[CÓDIGO]],PRODUCTOS31316[],2,FALSE)</f>
        <v>605032</v>
      </c>
      <c r="S315" s="1" t="str">
        <f>VLOOKUP(SALIDAS111518[[#This Row],[CÓDIGO]],PRODUCTOS31316[],3,FALSE)</f>
        <v>LUBRICANTE OB, NO ESPERMICIDA</v>
      </c>
      <c r="T315" s="2">
        <v>8</v>
      </c>
      <c r="U315" s="2">
        <v>159</v>
      </c>
      <c r="V315" s="2"/>
      <c r="W315" s="2"/>
      <c r="X315" s="2"/>
      <c r="Y315" s="7"/>
      <c r="Z315" s="380" t="s">
        <v>5527</v>
      </c>
      <c r="AA315" s="1" t="s">
        <v>2778</v>
      </c>
      <c r="AB315" s="16">
        <v>46184</v>
      </c>
      <c r="AC315" s="2" t="s">
        <v>5125</v>
      </c>
      <c r="AD315" s="1">
        <f>VLOOKUP(ENTRADAS71417[[#This Row],[CÓDIGO]],PRODUCTOS31316[],2,FALSE)</f>
        <v>0</v>
      </c>
      <c r="AE315" s="1" t="str">
        <f>VLOOKUP(ENTRADAS71417[[#This Row],[CÓDIGO]],PRODUCTOS31316[],3,FALSE)</f>
        <v>GAFAS PARA ECOGRAFO  Y6 MARCA: DAWEI</v>
      </c>
      <c r="AF315" s="2">
        <v>1</v>
      </c>
      <c r="AG315" s="2"/>
      <c r="AH315" s="2"/>
    </row>
    <row r="316" spans="1:34" ht="49.95" customHeight="1" x14ac:dyDescent="0.3">
      <c r="A316" s="2" t="s">
        <v>777</v>
      </c>
      <c r="B316" s="21">
        <v>770515204142</v>
      </c>
      <c r="C316" s="1" t="s">
        <v>1176</v>
      </c>
      <c r="D316" s="1" t="s">
        <v>1177</v>
      </c>
      <c r="E316" s="1" t="s">
        <v>1178</v>
      </c>
      <c r="F316" s="1" t="s">
        <v>30</v>
      </c>
      <c r="G316" s="2">
        <v>0</v>
      </c>
      <c r="H316" s="14">
        <f>SUMIF(ENTRADAS71417[CÓDIGO],PRODUCTOS31316[[#This Row],[CÓDIGO]],ENTRADAS71417[CANTIDAD])</f>
        <v>0</v>
      </c>
      <c r="I316" s="11">
        <f>SUMIF(SALIDAS111518[CÓDIGO],PRODUCTOS31316[[#This Row],[CÓDIGO]],SALIDAS111518[CANTIDAD])</f>
        <v>0</v>
      </c>
      <c r="J316" s="6">
        <f>PRODUCTOS31316[[#This Row],[EXISTENCIAS]]+PRODUCTOS31316[[#This Row],[ENTRADAS]]-PRODUCTOS31316[[#This Row],[SALIDAS]]</f>
        <v>0</v>
      </c>
      <c r="L316" s="282"/>
      <c r="M316" s="282"/>
      <c r="N316" s="276">
        <v>7792</v>
      </c>
      <c r="O316" s="283" t="s">
        <v>3101</v>
      </c>
      <c r="P316" s="16">
        <v>46055</v>
      </c>
      <c r="Q316" s="282" t="s">
        <v>3375</v>
      </c>
      <c r="R316" s="2" t="str">
        <f>VLOOKUP(SALIDAS111518[[#This Row],[CÓDIGO]],PRODUCTOS31316[],2,FALSE)</f>
        <v>13500/0250</v>
      </c>
      <c r="S316" s="1" t="str">
        <f>VLOOKUP(SALIDAS111518[[#This Row],[CÓDIGO]],PRODUCTOS31316[],3,FALSE)</f>
        <v>TRILADYL 250 ML</v>
      </c>
      <c r="T316" s="2">
        <v>3</v>
      </c>
      <c r="U316" s="2"/>
      <c r="V316" s="2"/>
      <c r="W316" s="2"/>
      <c r="X316" s="2"/>
      <c r="Y316" s="7"/>
      <c r="Z316" s="380">
        <v>4324</v>
      </c>
      <c r="AA316" s="1" t="s">
        <v>3887</v>
      </c>
      <c r="AB316" s="16">
        <v>46183</v>
      </c>
      <c r="AC316" s="2" t="s">
        <v>44</v>
      </c>
      <c r="AD316" s="1" t="str">
        <f>VLOOKUP(ENTRADAS71417[[#This Row],[CÓDIGO]],PRODUCTOS31316[],2,FALSE)</f>
        <v>RS-01</v>
      </c>
      <c r="AE316" s="1" t="str">
        <f>VLOOKUP(ENTRADAS71417[[#This Row],[CÓDIGO]],PRODUCTOS31316[],3,FALSE)</f>
        <v>TAPON DE SILICONA PARA OPU</v>
      </c>
      <c r="AF316" s="2">
        <v>6</v>
      </c>
      <c r="AG316" s="2"/>
      <c r="AH316" s="2">
        <v>137</v>
      </c>
    </row>
    <row r="317" spans="1:34" ht="49.95" customHeight="1" x14ac:dyDescent="0.3">
      <c r="A317" s="2" t="s">
        <v>1180</v>
      </c>
      <c r="B317" s="1" t="s">
        <v>1181</v>
      </c>
      <c r="C317" s="1" t="s">
        <v>1182</v>
      </c>
      <c r="F317" s="1" t="s">
        <v>30</v>
      </c>
      <c r="G317" s="2">
        <v>0</v>
      </c>
      <c r="H317" s="14">
        <f>SUMIF(ENTRADAS71417[CÓDIGO],PRODUCTOS31316[[#This Row],[CÓDIGO]],ENTRADAS71417[CANTIDAD])</f>
        <v>0</v>
      </c>
      <c r="I317" s="11">
        <f>SUMIF(SALIDAS111518[CÓDIGO],PRODUCTOS31316[[#This Row],[CÓDIGO]],SALIDAS111518[CANTIDAD])</f>
        <v>0</v>
      </c>
      <c r="J317" s="6">
        <f>PRODUCTOS31316[[#This Row],[EXISTENCIAS]]+PRODUCTOS31316[[#This Row],[ENTRADAS]]-PRODUCTOS31316[[#This Row],[SALIDAS]]</f>
        <v>0</v>
      </c>
      <c r="L317" s="282"/>
      <c r="M317" s="282"/>
      <c r="N317" s="276">
        <v>7792</v>
      </c>
      <c r="O317" s="283" t="s">
        <v>3101</v>
      </c>
      <c r="P317" s="16">
        <v>46055</v>
      </c>
      <c r="Q317" s="282" t="s">
        <v>273</v>
      </c>
      <c r="R317" s="2">
        <f>VLOOKUP(SALIDAS111518[[#This Row],[CÓDIGO]],PRODUCTOS31316[],2,FALSE)</f>
        <v>1003514</v>
      </c>
      <c r="S317" s="1" t="str">
        <f>VLOOKUP(SALIDAS111518[[#This Row],[CÓDIGO]],PRODUCTOS31316[],3,FALSE)</f>
        <v>JALEA CONDUCTIVA (GEL ULTRASONICO) GALON X 3785 ML AZUL</v>
      </c>
      <c r="T317" s="2">
        <v>8</v>
      </c>
      <c r="U317" s="2"/>
      <c r="V317" s="2"/>
      <c r="W317" s="2"/>
      <c r="X317" s="2"/>
      <c r="Y317" s="7"/>
      <c r="Z317" s="369">
        <v>112188</v>
      </c>
      <c r="AA317" s="1" t="s">
        <v>3808</v>
      </c>
      <c r="AB317" s="16">
        <v>46189</v>
      </c>
      <c r="AC317" s="2" t="s">
        <v>3065</v>
      </c>
      <c r="AD317" s="1">
        <f>VLOOKUP(ENTRADAS71417[[#This Row],[CÓDIGO]],PRODUCTOS31316[],2,FALSE)</f>
        <v>20597559</v>
      </c>
      <c r="AE317" s="1" t="str">
        <f>VLOOKUP(ENTRADAS71417[[#This Row],[CÓDIGO]],PRODUCTOS31316[],3,FALSE)</f>
        <v>TERMO NITRÓGENO ET- 20</v>
      </c>
      <c r="AF317" s="2">
        <v>1</v>
      </c>
      <c r="AG317" s="2"/>
      <c r="AH317" s="2">
        <v>138</v>
      </c>
    </row>
    <row r="318" spans="1:34" ht="49.95" customHeight="1" x14ac:dyDescent="0.3">
      <c r="A318" s="2" t="s">
        <v>1184</v>
      </c>
      <c r="B318" s="1" t="s">
        <v>1185</v>
      </c>
      <c r="C318" s="1" t="s">
        <v>1186</v>
      </c>
      <c r="D318" s="1" t="s">
        <v>639</v>
      </c>
      <c r="E318" s="1" t="s">
        <v>640</v>
      </c>
      <c r="F318" s="1" t="s">
        <v>973</v>
      </c>
      <c r="G318" s="2">
        <v>0</v>
      </c>
      <c r="H318" s="14">
        <f>SUMIF(ENTRADAS71417[CÓDIGO],PRODUCTOS31316[[#This Row],[CÓDIGO]],ENTRADAS71417[CANTIDAD])</f>
        <v>0</v>
      </c>
      <c r="I318" s="11">
        <f>SUMIF(SALIDAS111518[CÓDIGO],PRODUCTOS31316[[#This Row],[CÓDIGO]],SALIDAS111518[CANTIDAD])</f>
        <v>0</v>
      </c>
      <c r="J318" s="6">
        <f>PRODUCTOS31316[[#This Row],[EXISTENCIAS]]+PRODUCTOS31316[[#This Row],[ENTRADAS]]-PRODUCTOS31316[[#This Row],[SALIDAS]]</f>
        <v>0</v>
      </c>
      <c r="L318" s="282" t="s">
        <v>3521</v>
      </c>
      <c r="M318" s="282" t="s">
        <v>3653</v>
      </c>
      <c r="N318" s="290" t="s">
        <v>3923</v>
      </c>
      <c r="O318" s="305" t="s">
        <v>3908</v>
      </c>
      <c r="P318" s="16">
        <v>46051</v>
      </c>
      <c r="Q318" s="282" t="s">
        <v>3346</v>
      </c>
      <c r="R318" s="2" t="str">
        <f>VLOOKUP(SALIDAS111518[[#This Row],[CÓDIGO]],PRODUCTOS31316[],2,FALSE)</f>
        <v>S7PRO</v>
      </c>
      <c r="S318" s="1" t="str">
        <f>VLOOKUP(SALIDAS111518[[#This Row],[CÓDIGO]],PRODUCTOS31316[],3,FALSE)</f>
        <v>ECÓGRAFO S7 PRO VET CON SONDA LINEAL RECTAL</v>
      </c>
      <c r="T318" s="2">
        <v>1</v>
      </c>
      <c r="U318" s="2" t="s">
        <v>3924</v>
      </c>
      <c r="V318" s="2"/>
      <c r="W318" s="288" t="s">
        <v>3412</v>
      </c>
      <c r="X318" s="2"/>
      <c r="Y318" s="7"/>
      <c r="Z318" s="369">
        <v>112188</v>
      </c>
      <c r="AA318" s="1" t="s">
        <v>3808</v>
      </c>
      <c r="AB318" s="16">
        <v>46189</v>
      </c>
      <c r="AC318" s="2" t="s">
        <v>2336</v>
      </c>
      <c r="AD318" s="1">
        <f>VLOOKUP(ENTRADAS71417[[#This Row],[CÓDIGO]],PRODUCTOS31316[],2,FALSE)</f>
        <v>4451</v>
      </c>
      <c r="AE318" s="1" t="str">
        <f>VLOOKUP(ENTRADAS71417[[#This Row],[CÓDIGO]],PRODUCTOS31316[],3,FALSE)</f>
        <v>TERMO NITRÓGEN ET-3</v>
      </c>
      <c r="AF318" s="2">
        <v>1</v>
      </c>
      <c r="AG318" s="2"/>
      <c r="AH318" s="31"/>
    </row>
    <row r="319" spans="1:34" ht="49.95" customHeight="1" x14ac:dyDescent="0.3">
      <c r="A319" s="2" t="s">
        <v>1187</v>
      </c>
      <c r="B319" s="1" t="s">
        <v>1188</v>
      </c>
      <c r="C319" s="1" t="s">
        <v>1189</v>
      </c>
      <c r="D319" s="1" t="s">
        <v>639</v>
      </c>
      <c r="E319" s="1" t="s">
        <v>640</v>
      </c>
      <c r="F319" s="1" t="s">
        <v>641</v>
      </c>
      <c r="G319" s="2">
        <v>0</v>
      </c>
      <c r="H319" s="14">
        <f>SUMIF(ENTRADAS71417[CÓDIGO],PRODUCTOS31316[[#This Row],[CÓDIGO]],ENTRADAS71417[CANTIDAD])</f>
        <v>0</v>
      </c>
      <c r="I319" s="11">
        <f>SUMIF(SALIDAS111518[CÓDIGO],PRODUCTOS31316[[#This Row],[CÓDIGO]],SALIDAS111518[CANTIDAD])</f>
        <v>0</v>
      </c>
      <c r="J319" s="6">
        <f>PRODUCTOS31316[[#This Row],[EXISTENCIAS]]+PRODUCTOS31316[[#This Row],[ENTRADAS]]-PRODUCTOS31316[[#This Row],[SALIDAS]]</f>
        <v>0</v>
      </c>
      <c r="L319" s="282"/>
      <c r="M319" s="282"/>
      <c r="N319" s="276">
        <v>7794</v>
      </c>
      <c r="O319" s="282" t="s">
        <v>3908</v>
      </c>
      <c r="P319" s="16">
        <v>46051</v>
      </c>
      <c r="Q319" s="282" t="s">
        <v>3095</v>
      </c>
      <c r="R319" s="2">
        <f>VLOOKUP(SALIDAS111518[[#This Row],[CÓDIGO]],PRODUCTOS31316[],2,FALSE)</f>
        <v>0</v>
      </c>
      <c r="S319" s="1" t="str">
        <f>VLOOKUP(SALIDAS111518[[#This Row],[CÓDIGO]],PRODUCTOS31316[],3,FALSE)</f>
        <v>GORRA MAS CAMPO</v>
      </c>
      <c r="T319" s="2">
        <v>1</v>
      </c>
      <c r="U319" s="2"/>
      <c r="V319" s="2"/>
      <c r="W319" s="2"/>
      <c r="X319" s="2"/>
      <c r="Y319" s="7"/>
      <c r="Z319" s="369">
        <v>1803</v>
      </c>
      <c r="AA319" s="381" t="s">
        <v>2229</v>
      </c>
      <c r="AB319" s="16">
        <v>46165</v>
      </c>
      <c r="AC319" s="380" t="s">
        <v>36</v>
      </c>
      <c r="AD319" s="1">
        <f>VLOOKUP(ENTRADAS71417[[#This Row],[CÓDIGO]],PRODUCTOS31316[],2,FALSE)</f>
        <v>1</v>
      </c>
      <c r="AE319" s="1" t="str">
        <f>VLOOKUP(ENTRADAS71417[[#This Row],[CÓDIGO]],PRODUCTOS31316[],3,FALSE)</f>
        <v xml:space="preserve">PARCHE ESTROTECT </v>
      </c>
      <c r="AF319" s="2">
        <v>485</v>
      </c>
      <c r="AG319" s="2"/>
      <c r="AH319" s="107">
        <v>139</v>
      </c>
    </row>
    <row r="320" spans="1:34" ht="49.95" customHeight="1" x14ac:dyDescent="0.3">
      <c r="A320" s="2" t="s">
        <v>1191</v>
      </c>
      <c r="B320" s="1" t="s">
        <v>1192</v>
      </c>
      <c r="C320" s="1" t="s">
        <v>1193</v>
      </c>
      <c r="D320" s="1" t="s">
        <v>639</v>
      </c>
      <c r="E320" s="1" t="s">
        <v>640</v>
      </c>
      <c r="F320" s="1" t="s">
        <v>1194</v>
      </c>
      <c r="G320" s="2">
        <v>0</v>
      </c>
      <c r="H320" s="14">
        <f>SUMIF(ENTRADAS71417[CÓDIGO],PRODUCTOS31316[[#This Row],[CÓDIGO]],ENTRADAS71417[CANTIDAD])</f>
        <v>0</v>
      </c>
      <c r="I320" s="11">
        <f>SUMIF(SALIDAS111518[CÓDIGO],PRODUCTOS31316[[#This Row],[CÓDIGO]],SALIDAS111518[CANTIDAD])</f>
        <v>0</v>
      </c>
      <c r="J320" s="6">
        <f>PRODUCTOS31316[[#This Row],[EXISTENCIAS]]+PRODUCTOS31316[[#This Row],[ENTRADAS]]-PRODUCTOS31316[[#This Row],[SALIDAS]]</f>
        <v>0</v>
      </c>
      <c r="L320" s="282"/>
      <c r="M320" s="282"/>
      <c r="N320" s="276">
        <v>7794</v>
      </c>
      <c r="O320" s="282" t="s">
        <v>3908</v>
      </c>
      <c r="P320" s="16">
        <v>46048</v>
      </c>
      <c r="Q320" s="282" t="s">
        <v>25</v>
      </c>
      <c r="R320" s="2">
        <f>VLOOKUP(SALIDAS111518[[#This Row],[CÓDIGO]],PRODUCTOS31316[],2,FALSE)</f>
        <v>0</v>
      </c>
      <c r="S320" s="1" t="str">
        <f>VLOOKUP(SALIDAS111518[[#This Row],[CÓDIGO]],PRODUCTOS31316[],3,FALSE)</f>
        <v>BOLSA TELA MAS CAMPO</v>
      </c>
      <c r="T320" s="2">
        <v>1</v>
      </c>
      <c r="U320" s="2"/>
      <c r="V320" s="2"/>
      <c r="W320" s="2"/>
      <c r="X320" s="2"/>
      <c r="Y320" s="7"/>
      <c r="Z320" s="380" t="s">
        <v>5530</v>
      </c>
      <c r="AA320" s="1" t="s">
        <v>3079</v>
      </c>
      <c r="AB320" s="16">
        <v>46195</v>
      </c>
      <c r="AC320" s="2" t="s">
        <v>5083</v>
      </c>
      <c r="AD320" s="1">
        <f>VLOOKUP(ENTRADAS71417[[#This Row],[CÓDIGO]],PRODUCTOS31316[],2,FALSE)</f>
        <v>0</v>
      </c>
      <c r="AE320" s="1" t="str">
        <f>VLOOKUP(ENTRADAS71417[[#This Row],[CÓDIGO]],PRODUCTOS31316[],3,FALSE)</f>
        <v>TABLET SANSUNG GALAXY TAB A11+</v>
      </c>
      <c r="AF320" s="2">
        <v>15</v>
      </c>
      <c r="AG320" s="2"/>
      <c r="AH320" s="2">
        <v>140</v>
      </c>
    </row>
    <row r="321" spans="1:34" ht="49.95" customHeight="1" x14ac:dyDescent="0.3">
      <c r="A321" s="2" t="s">
        <v>1195</v>
      </c>
      <c r="B321" s="1" t="s">
        <v>1196</v>
      </c>
      <c r="C321" s="1" t="s">
        <v>1197</v>
      </c>
      <c r="D321" s="1" t="s">
        <v>239</v>
      </c>
      <c r="E321" s="1" t="s">
        <v>239</v>
      </c>
      <c r="F321" s="1" t="s">
        <v>30</v>
      </c>
      <c r="G321" s="2">
        <v>0</v>
      </c>
      <c r="H321" s="14">
        <f>SUMIF(ENTRADAS71417[CÓDIGO],PRODUCTOS31316[[#This Row],[CÓDIGO]],ENTRADAS71417[CANTIDAD])</f>
        <v>0</v>
      </c>
      <c r="I321" s="11">
        <f>SUMIF(SALIDAS111518[CÓDIGO],PRODUCTOS31316[[#This Row],[CÓDIGO]],SALIDAS111518[CANTIDAD])</f>
        <v>0</v>
      </c>
      <c r="J321" s="6">
        <f>PRODUCTOS31316[[#This Row],[EXISTENCIAS]]+PRODUCTOS31316[[#This Row],[ENTRADAS]]-PRODUCTOS31316[[#This Row],[SALIDAS]]</f>
        <v>0</v>
      </c>
      <c r="L321" s="282" t="s">
        <v>3520</v>
      </c>
      <c r="M321" s="282" t="s">
        <v>3653</v>
      </c>
      <c r="N321" s="290" t="s">
        <v>3936</v>
      </c>
      <c r="O321" s="282" t="s">
        <v>3909</v>
      </c>
      <c r="P321" s="16">
        <v>46055</v>
      </c>
      <c r="Q321" s="282" t="s">
        <v>3405</v>
      </c>
      <c r="R321" s="2" t="str">
        <f>VLOOKUP(SALIDAS111518[[#This Row],[CÓDIGO]],PRODUCTOS31316[],2,FALSE)</f>
        <v>17209/1265</v>
      </c>
      <c r="S321" s="1" t="str">
        <f>VLOOKUP(SALIDAS111518[[#This Row],[CÓDIGO]],PRODUCTOS31316[],3,FALSE)</f>
        <v>PIPETA EQUINA DE 65 CM</v>
      </c>
      <c r="T321" s="2">
        <v>20</v>
      </c>
      <c r="U321" s="2">
        <v>165</v>
      </c>
      <c r="V321" s="2"/>
      <c r="W321" s="2"/>
      <c r="X321" s="2"/>
      <c r="Y321" s="7"/>
      <c r="Z321" s="380" t="s">
        <v>5531</v>
      </c>
      <c r="AA321" s="381" t="s">
        <v>442</v>
      </c>
      <c r="AB321" s="16">
        <v>46178</v>
      </c>
      <c r="AC321" s="380" t="s">
        <v>2303</v>
      </c>
      <c r="AD321" s="1">
        <f>VLOOKUP(ENTRADAS71417[[#This Row],[CÓDIGO]],PRODUCTOS31316[],2,FALSE)</f>
        <v>28804</v>
      </c>
      <c r="AE321" s="1" t="str">
        <f>VLOOKUP(ENTRADAS71417[[#This Row],[CÓDIGO]],PRODUCTOS31316[],3,FALSE)</f>
        <v>PISTOLA DE INSEMINACIÓN 0,50</v>
      </c>
      <c r="AF321" s="2">
        <v>4</v>
      </c>
      <c r="AG321" s="2"/>
      <c r="AH321" s="2">
        <v>142</v>
      </c>
    </row>
    <row r="322" spans="1:34" ht="49.95" customHeight="1" x14ac:dyDescent="0.3">
      <c r="A322" s="2" t="s">
        <v>1199</v>
      </c>
      <c r="B322" s="1" t="s">
        <v>1200</v>
      </c>
      <c r="C322" s="1" t="s">
        <v>1201</v>
      </c>
      <c r="D322" s="1" t="s">
        <v>467</v>
      </c>
      <c r="E322" s="1" t="s">
        <v>467</v>
      </c>
      <c r="F322" s="1" t="s">
        <v>30</v>
      </c>
      <c r="G322" s="2">
        <v>0</v>
      </c>
      <c r="H322" s="14">
        <f>SUMIF(ENTRADAS71417[CÓDIGO],PRODUCTOS31316[[#This Row],[CÓDIGO]],ENTRADAS71417[CANTIDAD])</f>
        <v>0</v>
      </c>
      <c r="I322" s="11">
        <f>SUMIF(SALIDAS111518[CÓDIGO],PRODUCTOS31316[[#This Row],[CÓDIGO]],SALIDAS111518[CANTIDAD])</f>
        <v>0</v>
      </c>
      <c r="J322" s="6">
        <f>PRODUCTOS31316[[#This Row],[EXISTENCIAS]]+PRODUCTOS31316[[#This Row],[ENTRADAS]]-PRODUCTOS31316[[#This Row],[SALIDAS]]</f>
        <v>0</v>
      </c>
      <c r="L322" s="282"/>
      <c r="M322" s="282"/>
      <c r="N322" s="276">
        <v>7805</v>
      </c>
      <c r="O322" s="282" t="s">
        <v>3909</v>
      </c>
      <c r="P322" s="16">
        <v>46055</v>
      </c>
      <c r="Q322" s="288" t="s">
        <v>3929</v>
      </c>
      <c r="R322" s="2">
        <f>VLOOKUP(SALIDAS111518[[#This Row],[CÓDIGO]],PRODUCTOS31316[],2,FALSE)</f>
        <v>0</v>
      </c>
      <c r="S322" s="1" t="str">
        <f>VLOOKUP(SALIDAS111518[[#This Row],[CÓDIGO]],PRODUCTOS31316[],3,FALSE)</f>
        <v>BOTUSEMEN 8 GM</v>
      </c>
      <c r="T322" s="2">
        <v>10</v>
      </c>
      <c r="U322" s="2"/>
      <c r="V322" s="2"/>
      <c r="W322" s="2"/>
      <c r="X322" s="2"/>
      <c r="Y322" s="7"/>
      <c r="Z322" s="380" t="s">
        <v>5531</v>
      </c>
      <c r="AA322" s="381" t="s">
        <v>442</v>
      </c>
      <c r="AB322" s="16">
        <v>46178</v>
      </c>
      <c r="AC322" s="380" t="s">
        <v>2406</v>
      </c>
      <c r="AD322" s="1">
        <f>VLOOKUP(ENTRADAS71417[[#This Row],[CÓDIGO]],PRODUCTOS31316[],2,FALSE)</f>
        <v>28801</v>
      </c>
      <c r="AE322" s="1" t="str">
        <f>VLOOKUP(ENTRADAS71417[[#This Row],[CÓDIGO]],PRODUCTOS31316[],3,FALSE)</f>
        <v>FUNDA DE INSEMINACIÓN 3W 0,25</v>
      </c>
      <c r="AF322" s="2">
        <v>5</v>
      </c>
      <c r="AG322" s="2"/>
      <c r="AH322" s="2"/>
    </row>
    <row r="323" spans="1:34" ht="49.95" customHeight="1" x14ac:dyDescent="0.3">
      <c r="A323" s="2" t="s">
        <v>1202</v>
      </c>
      <c r="C323" s="1" t="s">
        <v>1203</v>
      </c>
      <c r="F323" s="1" t="s">
        <v>30</v>
      </c>
      <c r="G323" s="2">
        <v>0</v>
      </c>
      <c r="H323" s="14">
        <f>SUMIF(ENTRADAS71417[CÓDIGO],PRODUCTOS31316[[#This Row],[CÓDIGO]],ENTRADAS71417[CANTIDAD])</f>
        <v>0</v>
      </c>
      <c r="I323" s="11">
        <f>SUMIF(SALIDAS111518[CÓDIGO],PRODUCTOS31316[[#This Row],[CÓDIGO]],SALIDAS111518[CANTIDAD])</f>
        <v>0</v>
      </c>
      <c r="J323" s="6">
        <f>PRODUCTOS31316[[#This Row],[EXISTENCIAS]]+PRODUCTOS31316[[#This Row],[ENTRADAS]]-PRODUCTOS31316[[#This Row],[SALIDAS]]</f>
        <v>0</v>
      </c>
      <c r="L323" s="282" t="s">
        <v>3520</v>
      </c>
      <c r="M323" s="282" t="s">
        <v>3653</v>
      </c>
      <c r="N323" s="290" t="s">
        <v>4021</v>
      </c>
      <c r="O323" s="282" t="s">
        <v>94</v>
      </c>
      <c r="P323" s="16">
        <v>46051</v>
      </c>
      <c r="Q323" s="282" t="s">
        <v>15</v>
      </c>
      <c r="R323" s="2" t="str">
        <f>VLOOKUP(SALIDAS111518[[#This Row],[CÓDIGO]],PRODUCTOS31316[],2,FALSE)</f>
        <v>BTE-025PT/ 504002</v>
      </c>
      <c r="S323" s="1" t="str">
        <f>VLOOKUP(SALIDAS111518[[#This Row],[CÓDIGO]],PRODUCTOS31316[],3,FALSE)</f>
        <v>FUNDAS PARA TRANSFERENCIA DE EMBRIONES</v>
      </c>
      <c r="T323" s="2">
        <v>600</v>
      </c>
      <c r="U323" s="288" t="s">
        <v>4020</v>
      </c>
      <c r="V323" s="2"/>
      <c r="W323" s="2"/>
      <c r="X323" s="2"/>
      <c r="Y323" s="7"/>
      <c r="Z323" s="369"/>
      <c r="AA323" s="1"/>
      <c r="AB323" s="16"/>
      <c r="AC323" s="2"/>
      <c r="AD323" s="1" t="e">
        <f>VLOOKUP(ENTRADAS71417[[#This Row],[CÓDIGO]],PRODUCTOS31316[],2,FALSE)</f>
        <v>#N/A</v>
      </c>
      <c r="AE323" s="1" t="e">
        <f>VLOOKUP(ENTRADAS71417[[#This Row],[CÓDIGO]],PRODUCTOS31316[],3,FALSE)</f>
        <v>#N/A</v>
      </c>
      <c r="AG323" s="2"/>
      <c r="AH323" s="31">
        <v>141</v>
      </c>
    </row>
    <row r="324" spans="1:34" ht="49.95" customHeight="1" x14ac:dyDescent="0.3">
      <c r="A324" s="2" t="s">
        <v>1204</v>
      </c>
      <c r="C324" s="1" t="s">
        <v>1205</v>
      </c>
      <c r="E324" s="1" t="s">
        <v>1206</v>
      </c>
      <c r="F324" s="1" t="s">
        <v>30</v>
      </c>
      <c r="G324" s="2">
        <v>0</v>
      </c>
      <c r="H324" s="14">
        <f>SUMIF(ENTRADAS71417[CÓDIGO],PRODUCTOS31316[[#This Row],[CÓDIGO]],ENTRADAS71417[CANTIDAD])</f>
        <v>0</v>
      </c>
      <c r="I324" s="11">
        <f>SUMIF(SALIDAS111518[CÓDIGO],PRODUCTOS31316[[#This Row],[CÓDIGO]],SALIDAS111518[CANTIDAD])</f>
        <v>0</v>
      </c>
      <c r="J324" s="6">
        <f>PRODUCTOS31316[[#This Row],[EXISTENCIAS]]+PRODUCTOS31316[[#This Row],[ENTRADAS]]-PRODUCTOS31316[[#This Row],[SALIDAS]]</f>
        <v>0</v>
      </c>
      <c r="L324" s="288" t="s">
        <v>3521</v>
      </c>
      <c r="M324" s="288" t="s">
        <v>3653</v>
      </c>
      <c r="N324" s="290" t="s">
        <v>3926</v>
      </c>
      <c r="O324" s="283" t="s">
        <v>3911</v>
      </c>
      <c r="P324" s="16">
        <v>46052</v>
      </c>
      <c r="Q324" s="282" t="s">
        <v>3181</v>
      </c>
      <c r="R324" s="2">
        <f>VLOOKUP(SALIDAS111518[[#This Row],[CÓDIGO]],PRODUCTOS31316[],2,FALSE)</f>
        <v>7416</v>
      </c>
      <c r="S324" s="1" t="str">
        <f>VLOOKUP(SALIDAS111518[[#This Row],[CÓDIGO]],PRODUCTOS31316[],3,FALSE)</f>
        <v>CAJA PLÁSTICA DE 22" DE TRANSPORTE</v>
      </c>
      <c r="T324" s="2">
        <v>1</v>
      </c>
      <c r="U324" s="288" t="s">
        <v>3925</v>
      </c>
      <c r="V324" s="2"/>
      <c r="W324" s="2"/>
      <c r="X324" s="2"/>
      <c r="Y324" s="7"/>
      <c r="Z324" s="369">
        <v>27207</v>
      </c>
      <c r="AA324" s="1" t="s">
        <v>4194</v>
      </c>
      <c r="AB324" s="16">
        <v>46196</v>
      </c>
      <c r="AC324" s="2" t="s">
        <v>5128</v>
      </c>
      <c r="AD324" s="1">
        <f>VLOOKUP(ENTRADAS71417[[#This Row],[CÓDIGO]],PRODUCTOS31316[],2,FALSE)</f>
        <v>0</v>
      </c>
      <c r="AE324" s="1" t="str">
        <f>VLOOKUP(ENTRADAS71417[[#This Row],[CÓDIGO]],PRODUCTOS31316[],3,FALSE)</f>
        <v>CAJA DE PETRI PLASTICA  DESECHABLE ESTERIL DE 90x15MM. BIO SEEN PAQ. X 20 UND</v>
      </c>
      <c r="AF324" s="2">
        <v>25</v>
      </c>
      <c r="AG324" s="2"/>
      <c r="AH324" s="2">
        <v>143</v>
      </c>
    </row>
    <row r="325" spans="1:34" ht="49.95" customHeight="1" x14ac:dyDescent="0.3">
      <c r="A325" s="2" t="s">
        <v>1207</v>
      </c>
      <c r="C325" s="1" t="s">
        <v>1208</v>
      </c>
      <c r="E325" s="1" t="s">
        <v>1206</v>
      </c>
      <c r="F325" s="1" t="s">
        <v>1209</v>
      </c>
      <c r="G325" s="2">
        <v>0</v>
      </c>
      <c r="H325" s="14">
        <f>SUMIF(ENTRADAS71417[CÓDIGO],PRODUCTOS31316[[#This Row],[CÓDIGO]],ENTRADAS71417[CANTIDAD])</f>
        <v>0</v>
      </c>
      <c r="I325" s="11">
        <f>SUMIF(SALIDAS111518[CÓDIGO],PRODUCTOS31316[[#This Row],[CÓDIGO]],SALIDAS111518[CANTIDAD])</f>
        <v>0</v>
      </c>
      <c r="J325" s="6">
        <f>PRODUCTOS31316[[#This Row],[EXISTENCIAS]]+PRODUCTOS31316[[#This Row],[ENTRADAS]]-PRODUCTOS31316[[#This Row],[SALIDAS]]</f>
        <v>0</v>
      </c>
      <c r="L325" s="282"/>
      <c r="M325" s="282"/>
      <c r="N325" s="276">
        <v>7595</v>
      </c>
      <c r="O325" s="283" t="s">
        <v>3911</v>
      </c>
      <c r="P325" s="16">
        <v>46052</v>
      </c>
      <c r="Q325" s="282" t="s">
        <v>153</v>
      </c>
      <c r="R325" s="2">
        <f>VLOOKUP(SALIDAS111518[[#This Row],[CÓDIGO]],PRODUCTOS31316[],2,FALSE)</f>
        <v>1132</v>
      </c>
      <c r="S325" s="1" t="str">
        <f>VLOOKUP(SALIDAS111518[[#This Row],[CÓDIGO]],PRODUCTOS31316[],3,FALSE)</f>
        <v>PISTOLA QUICKLOCK CLASIC</v>
      </c>
      <c r="T325" s="2">
        <v>1</v>
      </c>
      <c r="U325" s="282"/>
      <c r="V325" s="2"/>
      <c r="W325" s="2"/>
      <c r="X325" s="2"/>
      <c r="Y325" s="7"/>
      <c r="Z325" s="369">
        <v>96154</v>
      </c>
      <c r="AA325" s="1" t="s">
        <v>442</v>
      </c>
      <c r="AB325" s="16">
        <v>46203</v>
      </c>
      <c r="AC325" s="2" t="s">
        <v>70</v>
      </c>
      <c r="AD325" s="1">
        <f>VLOOKUP(ENTRADAS71417[[#This Row],[CÓDIGO]],PRODUCTOS31316[],2,FALSE)</f>
        <v>25458</v>
      </c>
      <c r="AE325" s="1" t="str">
        <f>VLOOKUP(ENTRADAS71417[[#This Row],[CÓDIGO]],PRODUCTOS31316[],3,FALSE)</f>
        <v>FILTROS PARA OPU 100 UL</v>
      </c>
      <c r="AF325" s="2">
        <v>20</v>
      </c>
      <c r="AG325" s="2"/>
      <c r="AH325" s="2">
        <v>144</v>
      </c>
    </row>
    <row r="326" spans="1:34" ht="49.95" customHeight="1" x14ac:dyDescent="0.3">
      <c r="A326" s="2" t="s">
        <v>1211</v>
      </c>
      <c r="C326" s="1" t="s">
        <v>1212</v>
      </c>
      <c r="E326" s="1" t="s">
        <v>1206</v>
      </c>
      <c r="F326" s="1" t="s">
        <v>30</v>
      </c>
      <c r="G326" s="2">
        <v>0</v>
      </c>
      <c r="H326" s="14">
        <f>SUMIF(ENTRADAS71417[CÓDIGO],PRODUCTOS31316[[#This Row],[CÓDIGO]],ENTRADAS71417[CANTIDAD])</f>
        <v>0</v>
      </c>
      <c r="I326" s="11">
        <f>SUMIF(SALIDAS111518[CÓDIGO],PRODUCTOS31316[[#This Row],[CÓDIGO]],SALIDAS111518[CANTIDAD])</f>
        <v>0</v>
      </c>
      <c r="J326" s="6">
        <f>PRODUCTOS31316[[#This Row],[EXISTENCIAS]]+PRODUCTOS31316[[#This Row],[ENTRADAS]]-PRODUCTOS31316[[#This Row],[SALIDAS]]</f>
        <v>0</v>
      </c>
      <c r="L326" s="282"/>
      <c r="M326" s="282"/>
      <c r="N326" s="276">
        <v>7595</v>
      </c>
      <c r="O326" s="283" t="s">
        <v>3911</v>
      </c>
      <c r="P326" s="16">
        <v>46052</v>
      </c>
      <c r="Q326" s="282" t="s">
        <v>369</v>
      </c>
      <c r="R326" s="2">
        <f>VLOOKUP(SALIDAS111518[[#This Row],[CÓDIGO]],PRODUCTOS31316[],2,FALSE)</f>
        <v>0</v>
      </c>
      <c r="S326" s="1" t="str">
        <f>VLOOKUP(SALIDAS111518[[#This Row],[CÓDIGO]],PRODUCTOS31316[],3,FALSE)</f>
        <v>FUNDA UNIVERSAL PARA I.A. RANURADA</v>
      </c>
      <c r="T326" s="2">
        <v>1</v>
      </c>
      <c r="U326" s="282"/>
      <c r="V326" s="2"/>
      <c r="W326" s="2"/>
      <c r="X326" s="2"/>
      <c r="Y326" s="7"/>
      <c r="Z326" s="380" t="s">
        <v>5529</v>
      </c>
      <c r="AA326" s="1" t="s">
        <v>5528</v>
      </c>
      <c r="AB326" s="16">
        <v>46204</v>
      </c>
      <c r="AC326" s="2" t="s">
        <v>2235</v>
      </c>
      <c r="AD326" s="1">
        <f>VLOOKUP(ENTRADAS71417[[#This Row],[CÓDIGO]],PRODUCTOS31316[],2,FALSE)</f>
        <v>1868703</v>
      </c>
      <c r="AE326" s="1" t="str">
        <f>VLOOKUP(ENTRADAS71417[[#This Row],[CÓDIGO]],PRODUCTOS31316[],3,FALSE)</f>
        <v>PARAFILM 38M X 10 CM</v>
      </c>
      <c r="AF326" s="2">
        <v>6</v>
      </c>
      <c r="AG326" s="2"/>
      <c r="AH326" s="2">
        <v>145</v>
      </c>
    </row>
    <row r="327" spans="1:34" ht="49.95" customHeight="1" x14ac:dyDescent="0.3">
      <c r="A327" s="2" t="s">
        <v>1213</v>
      </c>
      <c r="C327" s="1" t="s">
        <v>1214</v>
      </c>
      <c r="E327" s="1" t="s">
        <v>1206</v>
      </c>
      <c r="F327" s="1" t="s">
        <v>30</v>
      </c>
      <c r="G327" s="2">
        <v>0</v>
      </c>
      <c r="H327" s="14">
        <f>SUMIF(ENTRADAS71417[CÓDIGO],PRODUCTOS31316[[#This Row],[CÓDIGO]],ENTRADAS71417[CANTIDAD])</f>
        <v>0</v>
      </c>
      <c r="I327" s="11">
        <f>SUMIF(SALIDAS111518[CÓDIGO],PRODUCTOS31316[[#This Row],[CÓDIGO]],SALIDAS111518[CANTIDAD])</f>
        <v>0</v>
      </c>
      <c r="J327" s="6">
        <f>PRODUCTOS31316[[#This Row],[EXISTENCIAS]]+PRODUCTOS31316[[#This Row],[ENTRADAS]]-PRODUCTOS31316[[#This Row],[SALIDAS]]</f>
        <v>0</v>
      </c>
      <c r="L327" s="282"/>
      <c r="M327" s="282"/>
      <c r="N327" s="276">
        <v>7595</v>
      </c>
      <c r="O327" s="283" t="s">
        <v>3911</v>
      </c>
      <c r="P327" s="16">
        <v>46052</v>
      </c>
      <c r="Q327" s="282" t="s">
        <v>658</v>
      </c>
      <c r="R327" s="2">
        <f>VLOOKUP(SALIDAS111518[[#This Row],[CÓDIGO]],PRODUCTOS31316[],2,FALSE)</f>
        <v>0</v>
      </c>
      <c r="S327" s="1" t="str">
        <f>VLOOKUP(SALIDAS111518[[#This Row],[CÓDIGO]],PRODUCTOS31316[],3,FALSE)</f>
        <v>CATETER TALADRO TRANSPARENTE 18"</v>
      </c>
      <c r="T327" s="2">
        <v>1</v>
      </c>
      <c r="U327" s="282"/>
      <c r="V327" s="2"/>
      <c r="W327" s="2"/>
      <c r="X327" s="2"/>
      <c r="Y327" s="7"/>
      <c r="Z327" s="369">
        <v>10557</v>
      </c>
      <c r="AA327" s="1" t="s">
        <v>4485</v>
      </c>
      <c r="AB327" s="16">
        <v>46205</v>
      </c>
      <c r="AC327" s="2" t="s">
        <v>3309</v>
      </c>
      <c r="AD327" s="1">
        <f>VLOOKUP(ENTRADAS71417[[#This Row],[CÓDIGO]],PRODUCTOS31316[],2,FALSE)</f>
        <v>60</v>
      </c>
      <c r="AE327" s="1" t="str">
        <f>VLOOKUP(ENTRADAS71417[[#This Row],[CÓDIGO]],PRODUCTOS31316[],3,FALSE)</f>
        <v>SONDA EN "Y" CON VÁLVULA PARA BOVINOS</v>
      </c>
      <c r="AF327" s="2">
        <v>16</v>
      </c>
      <c r="AG327" s="2"/>
      <c r="AH327" s="2">
        <v>146</v>
      </c>
    </row>
    <row r="328" spans="1:34" ht="49.95" customHeight="1" x14ac:dyDescent="0.3">
      <c r="A328" s="2" t="s">
        <v>1216</v>
      </c>
      <c r="C328" s="1" t="s">
        <v>1217</v>
      </c>
      <c r="E328" s="1" t="s">
        <v>1206</v>
      </c>
      <c r="F328" s="1" t="s">
        <v>1209</v>
      </c>
      <c r="G328" s="2">
        <v>0</v>
      </c>
      <c r="H328" s="14">
        <f>SUMIF(ENTRADAS71417[CÓDIGO],PRODUCTOS31316[[#This Row],[CÓDIGO]],ENTRADAS71417[CANTIDAD])</f>
        <v>0</v>
      </c>
      <c r="I328" s="11">
        <f>SUMIF(SALIDAS111518[CÓDIGO],PRODUCTOS31316[[#This Row],[CÓDIGO]],SALIDAS111518[CANTIDAD])</f>
        <v>0</v>
      </c>
      <c r="J328" s="6">
        <f>PRODUCTOS31316[[#This Row],[EXISTENCIAS]]+PRODUCTOS31316[[#This Row],[ENTRADAS]]-PRODUCTOS31316[[#This Row],[SALIDAS]]</f>
        <v>0</v>
      </c>
      <c r="L328" s="282"/>
      <c r="M328" s="282"/>
      <c r="N328" s="276">
        <v>7595</v>
      </c>
      <c r="O328" s="283" t="s">
        <v>3911</v>
      </c>
      <c r="P328" s="16">
        <v>46052</v>
      </c>
      <c r="Q328" s="282" t="s">
        <v>382</v>
      </c>
      <c r="R328" s="2">
        <f>VLOOKUP(SALIDAS111518[[#This Row],[CÓDIGO]],PRODUCTOS31316[],2,FALSE)</f>
        <v>605032</v>
      </c>
      <c r="S328" s="1" t="str">
        <f>VLOOKUP(SALIDAS111518[[#This Row],[CÓDIGO]],PRODUCTOS31316[],3,FALSE)</f>
        <v>LUBRICANTE OB, NO ESPERMICIDA</v>
      </c>
      <c r="T328" s="2">
        <v>1</v>
      </c>
      <c r="U328" s="282"/>
      <c r="V328" s="2"/>
      <c r="W328" s="2"/>
      <c r="X328" s="2"/>
      <c r="Y328" s="7"/>
      <c r="Z328" s="369"/>
      <c r="AA328" s="381" t="s">
        <v>5532</v>
      </c>
      <c r="AB328" s="16"/>
      <c r="AC328" s="2"/>
      <c r="AD328" s="1" t="e">
        <f>VLOOKUP(ENTRADAS71417[[#This Row],[CÓDIGO]],PRODUCTOS31316[],2,FALSE)</f>
        <v>#N/A</v>
      </c>
      <c r="AE328" s="1" t="e">
        <f>VLOOKUP(ENTRADAS71417[[#This Row],[CÓDIGO]],PRODUCTOS31316[],3,FALSE)</f>
        <v>#N/A</v>
      </c>
      <c r="AG328" s="2"/>
      <c r="AH328" s="107">
        <v>147</v>
      </c>
    </row>
    <row r="329" spans="1:34" ht="49.95" customHeight="1" x14ac:dyDescent="0.3">
      <c r="A329" s="2" t="s">
        <v>1218</v>
      </c>
      <c r="C329" s="1" t="s">
        <v>1219</v>
      </c>
      <c r="E329" s="1" t="s">
        <v>1206</v>
      </c>
      <c r="F329" s="1" t="s">
        <v>30</v>
      </c>
      <c r="G329" s="2">
        <v>0</v>
      </c>
      <c r="H329" s="14">
        <f>SUMIF(ENTRADAS71417[CÓDIGO],PRODUCTOS31316[[#This Row],[CÓDIGO]],ENTRADAS71417[CANTIDAD])</f>
        <v>0</v>
      </c>
      <c r="I329" s="11">
        <f>SUMIF(SALIDAS111518[CÓDIGO],PRODUCTOS31316[[#This Row],[CÓDIGO]],SALIDAS111518[CANTIDAD])</f>
        <v>0</v>
      </c>
      <c r="J329" s="6">
        <f>PRODUCTOS31316[[#This Row],[EXISTENCIAS]]+PRODUCTOS31316[[#This Row],[ENTRADAS]]-PRODUCTOS31316[[#This Row],[SALIDAS]]</f>
        <v>0</v>
      </c>
      <c r="L329" s="282"/>
      <c r="M329" s="282"/>
      <c r="N329" s="276">
        <v>7595</v>
      </c>
      <c r="O329" s="283" t="s">
        <v>3911</v>
      </c>
      <c r="P329" s="16">
        <v>46052</v>
      </c>
      <c r="Q329" s="282" t="s">
        <v>236</v>
      </c>
      <c r="R329" s="2">
        <f>VLOOKUP(SALIDAS111518[[#This Row],[CÓDIGO]],PRODUCTOS31316[],2,FALSE)</f>
        <v>0</v>
      </c>
      <c r="S329" s="1" t="str">
        <f>VLOOKUP(SALIDAS111518[[#This Row],[CÓDIGO]],PRODUCTOS31316[],3,FALSE)</f>
        <v>TERMO METÁLICO DESCONGELADOR</v>
      </c>
      <c r="T329" s="2">
        <v>1</v>
      </c>
      <c r="U329" s="282"/>
      <c r="V329" s="2"/>
      <c r="W329" s="2"/>
      <c r="X329" s="2"/>
      <c r="Y329" s="7"/>
      <c r="Z329" s="369">
        <v>96154</v>
      </c>
      <c r="AA329" s="1" t="s">
        <v>442</v>
      </c>
      <c r="AB329" s="16">
        <v>46203</v>
      </c>
      <c r="AC329" s="2" t="s">
        <v>70</v>
      </c>
      <c r="AD329" s="1">
        <f>VLOOKUP(ENTRADAS71417[[#This Row],[CÓDIGO]],PRODUCTOS31316[],2,FALSE)</f>
        <v>25458</v>
      </c>
      <c r="AE329" s="1" t="str">
        <f>VLOOKUP(ENTRADAS71417[[#This Row],[CÓDIGO]],PRODUCTOS31316[],3,FALSE)</f>
        <v>FILTROS PARA OPU 100 UL</v>
      </c>
      <c r="AF329" s="2">
        <v>20</v>
      </c>
      <c r="AG329" s="2"/>
      <c r="AH329" s="2">
        <v>148</v>
      </c>
    </row>
    <row r="330" spans="1:34" ht="49.95" customHeight="1" x14ac:dyDescent="0.3">
      <c r="A330" s="2" t="s">
        <v>1220</v>
      </c>
      <c r="C330" s="1" t="s">
        <v>1221</v>
      </c>
      <c r="E330" s="1" t="s">
        <v>1222</v>
      </c>
      <c r="F330" s="1" t="s">
        <v>30</v>
      </c>
      <c r="G330" s="2">
        <v>0</v>
      </c>
      <c r="H330" s="14">
        <f>SUMIF(ENTRADAS71417[CÓDIGO],PRODUCTOS31316[[#This Row],[CÓDIGO]],ENTRADAS71417[CANTIDAD])</f>
        <v>0</v>
      </c>
      <c r="I330" s="11">
        <f>SUMIF(SALIDAS111518[CÓDIGO],PRODUCTOS31316[[#This Row],[CÓDIGO]],SALIDAS111518[CANTIDAD])</f>
        <v>0</v>
      </c>
      <c r="J330" s="6">
        <f>PRODUCTOS31316[[#This Row],[EXISTENCIAS]]+PRODUCTOS31316[[#This Row],[ENTRADAS]]-PRODUCTOS31316[[#This Row],[SALIDAS]]</f>
        <v>0</v>
      </c>
      <c r="L330" s="282"/>
      <c r="M330" s="282"/>
      <c r="N330" s="276">
        <v>7595</v>
      </c>
      <c r="O330" s="283" t="s">
        <v>3911</v>
      </c>
      <c r="P330" s="16">
        <v>46052</v>
      </c>
      <c r="Q330" s="282" t="s">
        <v>581</v>
      </c>
      <c r="R330" s="2">
        <f>VLOOKUP(SALIDAS111518[[#This Row],[CÓDIGO]],PRODUCTOS31316[],2,FALSE)</f>
        <v>11571</v>
      </c>
      <c r="S330" s="1" t="str">
        <f>VLOOKUP(SALIDAS111518[[#This Row],[CÓDIGO]],PRODUCTOS31316[],3,FALSE)</f>
        <v>PINZA COGEPAJILLA</v>
      </c>
      <c r="T330" s="2">
        <v>1</v>
      </c>
      <c r="U330" s="282"/>
      <c r="V330" s="2"/>
      <c r="W330" s="2"/>
      <c r="X330" s="2"/>
      <c r="Y330" s="7"/>
      <c r="Z330" s="369">
        <v>98591</v>
      </c>
      <c r="AA330" s="1" t="s">
        <v>442</v>
      </c>
      <c r="AB330" s="16">
        <v>46192</v>
      </c>
      <c r="AC330" s="380" t="s">
        <v>63</v>
      </c>
      <c r="AD330" s="1">
        <f>VLOOKUP(ENTRADAS71417[[#This Row],[CÓDIGO]],PRODUCTOS31316[],2,FALSE)</f>
        <v>25458</v>
      </c>
      <c r="AE330" s="1" t="str">
        <f>VLOOKUP(ENTRADAS71417[[#This Row],[CÓDIGO]],PRODUCTOS31316[],3,FALSE)</f>
        <v>FILTROS PARA OPU 100 UL</v>
      </c>
      <c r="AF330" s="2">
        <v>25</v>
      </c>
      <c r="AG330" s="2"/>
      <c r="AH330" s="15"/>
    </row>
    <row r="331" spans="1:34" ht="49.95" customHeight="1" x14ac:dyDescent="0.3">
      <c r="A331" s="2" t="s">
        <v>69</v>
      </c>
      <c r="B331" s="1" t="s">
        <v>1224</v>
      </c>
      <c r="C331" s="1" t="s">
        <v>199</v>
      </c>
      <c r="D331" s="1" t="s">
        <v>156</v>
      </c>
      <c r="E331" s="1" t="s">
        <v>352</v>
      </c>
      <c r="F331" s="1" t="s">
        <v>74</v>
      </c>
      <c r="G331" s="2">
        <v>0</v>
      </c>
      <c r="H331" s="14">
        <f>SUMIF(ENTRADAS71417[CÓDIGO],PRODUCTOS31316[[#This Row],[CÓDIGO]],ENTRADAS71417[CANTIDAD])</f>
        <v>0</v>
      </c>
      <c r="I331" s="11">
        <f>SUMIF(SALIDAS111518[CÓDIGO],PRODUCTOS31316[[#This Row],[CÓDIGO]],SALIDAS111518[CANTIDAD])</f>
        <v>0</v>
      </c>
      <c r="J331" s="6">
        <f>PRODUCTOS31316[[#This Row],[EXISTENCIAS]]+PRODUCTOS31316[[#This Row],[ENTRADAS]]-PRODUCTOS31316[[#This Row],[SALIDAS]]</f>
        <v>0</v>
      </c>
      <c r="L331" s="282"/>
      <c r="M331" s="282"/>
      <c r="N331" s="276">
        <v>7595</v>
      </c>
      <c r="O331" s="283" t="s">
        <v>3911</v>
      </c>
      <c r="P331" s="16">
        <v>46052</v>
      </c>
      <c r="Q331" s="282" t="s">
        <v>210</v>
      </c>
      <c r="R331" s="2">
        <f>VLOOKUP(SALIDAS111518[[#This Row],[CÓDIGO]],PRODUCTOS31316[],2,FALSE)</f>
        <v>101257</v>
      </c>
      <c r="S331" s="1" t="str">
        <f>VLOOKUP(SALIDAS111518[[#This Row],[CÓDIGO]],PRODUCTOS31316[],3,FALSE)</f>
        <v>MANGA DESECHABLE SUPER SENSITIVA</v>
      </c>
      <c r="T331" s="2">
        <v>1</v>
      </c>
      <c r="U331" s="282"/>
      <c r="V331" s="2"/>
      <c r="W331" s="2"/>
      <c r="X331" s="2"/>
      <c r="Y331" s="7"/>
      <c r="Z331" s="369">
        <v>98591</v>
      </c>
      <c r="AA331" s="1" t="s">
        <v>442</v>
      </c>
      <c r="AB331" s="16">
        <v>46192</v>
      </c>
      <c r="AC331" s="380" t="s">
        <v>500</v>
      </c>
      <c r="AD331" s="1">
        <f>VLOOKUP(ENTRADAS71417[[#This Row],[CÓDIGO]],PRODUCTOS31316[],2,FALSE)</f>
        <v>15933</v>
      </c>
      <c r="AE331" s="1" t="str">
        <f>VLOOKUP(ENTRADAS71417[[#This Row],[CÓDIGO]],PRODUCTOS31316[],3,FALSE)</f>
        <v>DISPOSITIVO ENTROMETRIX</v>
      </c>
      <c r="AF331" s="2">
        <v>30</v>
      </c>
      <c r="AG331" s="2"/>
      <c r="AH331" s="2"/>
    </row>
    <row r="332" spans="1:34" ht="49.95" customHeight="1" x14ac:dyDescent="0.3">
      <c r="A332" s="2" t="s">
        <v>384</v>
      </c>
      <c r="B332" s="1">
        <v>5540</v>
      </c>
      <c r="C332" s="1" t="s">
        <v>1226</v>
      </c>
      <c r="D332" s="1" t="s">
        <v>156</v>
      </c>
      <c r="E332" s="1" t="s">
        <v>352</v>
      </c>
      <c r="F332" s="1" t="s">
        <v>19</v>
      </c>
      <c r="G332" s="2">
        <v>0</v>
      </c>
      <c r="H332" s="14">
        <f>SUMIF(ENTRADAS71417[CÓDIGO],PRODUCTOS31316[[#This Row],[CÓDIGO]],ENTRADAS71417[CANTIDAD])</f>
        <v>0</v>
      </c>
      <c r="I332" s="11">
        <f>SUMIF(SALIDAS111518[CÓDIGO],PRODUCTOS31316[[#This Row],[CÓDIGO]],SALIDAS111518[CANTIDAD])</f>
        <v>0</v>
      </c>
      <c r="J332" s="6">
        <f>PRODUCTOS31316[[#This Row],[EXISTENCIAS]]+PRODUCTOS31316[[#This Row],[ENTRADAS]]-PRODUCTOS31316[[#This Row],[SALIDAS]]</f>
        <v>0</v>
      </c>
      <c r="L332" s="282"/>
      <c r="M332" s="282"/>
      <c r="N332" s="276">
        <v>7595</v>
      </c>
      <c r="O332" s="283" t="s">
        <v>3911</v>
      </c>
      <c r="P332" s="16">
        <v>46052</v>
      </c>
      <c r="Q332" s="282" t="s">
        <v>1779</v>
      </c>
      <c r="R332" s="2">
        <f>VLOOKUP(SALIDAS111518[[#This Row],[CÓDIGO]],PRODUCTOS31316[],2,FALSE)</f>
        <v>5563</v>
      </c>
      <c r="S332" s="1" t="str">
        <f>VLOOKUP(SALIDAS111518[[#This Row],[CÓDIGO]],PRODUCTOS31316[],3,FALSE)</f>
        <v>CAMISA SANITARIA ROLLO X 80</v>
      </c>
      <c r="T332" s="2">
        <v>1</v>
      </c>
      <c r="U332" s="282"/>
      <c r="V332" s="2"/>
      <c r="W332" s="2"/>
      <c r="X332" s="2"/>
      <c r="Y332" s="7"/>
      <c r="Z332" s="369">
        <v>98591</v>
      </c>
      <c r="AA332" s="1" t="s">
        <v>442</v>
      </c>
      <c r="AB332" s="16">
        <v>46192</v>
      </c>
      <c r="AC332" s="380" t="s">
        <v>3142</v>
      </c>
      <c r="AD332" s="1">
        <f>VLOOKUP(ENTRADAS71417[[#This Row],[CÓDIGO]],PRODUCTOS31316[],2,FALSE)</f>
        <v>16301</v>
      </c>
      <c r="AE332" s="1" t="str">
        <f>VLOOKUP(ENTRADAS71417[[#This Row],[CÓDIGO]],PRODUCTOS31316[],3,FALSE)</f>
        <v>PISTOLA DE TRANSFERENCIA DE EMBRIONES 0,25 DE MANGO DE ALUMINIO</v>
      </c>
      <c r="AF332" s="2">
        <v>20</v>
      </c>
      <c r="AG332" s="2"/>
      <c r="AH332" s="2"/>
    </row>
    <row r="333" spans="1:34" ht="49.95" customHeight="1" x14ac:dyDescent="0.3">
      <c r="A333" s="2" t="s">
        <v>748</v>
      </c>
      <c r="B333" s="1" t="s">
        <v>1227</v>
      </c>
      <c r="C333" s="1" t="s">
        <v>1228</v>
      </c>
      <c r="E333" s="1" t="s">
        <v>352</v>
      </c>
      <c r="F333" s="1" t="s">
        <v>41</v>
      </c>
      <c r="G333" s="2">
        <v>7</v>
      </c>
      <c r="H333" s="14">
        <f>SUMIF(ENTRADAS71417[CÓDIGO],PRODUCTOS31316[[#This Row],[CÓDIGO]],ENTRADAS71417[CANTIDAD])</f>
        <v>30</v>
      </c>
      <c r="I333" s="11">
        <f>SUMIF(SALIDAS111518[CÓDIGO],PRODUCTOS31316[[#This Row],[CÓDIGO]],SALIDAS111518[CANTIDAD])</f>
        <v>27</v>
      </c>
      <c r="J333" s="6">
        <f>PRODUCTOS31316[[#This Row],[EXISTENCIAS]]+PRODUCTOS31316[[#This Row],[ENTRADAS]]-PRODUCTOS31316[[#This Row],[SALIDAS]]</f>
        <v>10</v>
      </c>
      <c r="L333" s="282"/>
      <c r="M333" s="282"/>
      <c r="N333" s="276">
        <v>7595</v>
      </c>
      <c r="O333" s="283" t="s">
        <v>3911</v>
      </c>
      <c r="P333" s="16">
        <v>46052</v>
      </c>
      <c r="Q333" s="282" t="s">
        <v>2364</v>
      </c>
      <c r="R333" s="2">
        <f>VLOOKUP(SALIDAS111518[[#This Row],[CÓDIGO]],PRODUCTOS31316[],2,FALSE)</f>
        <v>0</v>
      </c>
      <c r="S333" s="1" t="str">
        <f>VLOOKUP(SALIDAS111518[[#This Row],[CÓDIGO]],PRODUCTOS31316[],3,FALSE)</f>
        <v>CORTAPAJILLAS WTA</v>
      </c>
      <c r="T333" s="2">
        <v>1</v>
      </c>
      <c r="U333" s="282"/>
      <c r="V333" s="2"/>
      <c r="W333" s="2"/>
      <c r="X333" s="2"/>
      <c r="Y333" s="7"/>
      <c r="Z333" s="369">
        <v>98591</v>
      </c>
      <c r="AA333" s="1" t="s">
        <v>442</v>
      </c>
      <c r="AB333" s="16">
        <v>46192</v>
      </c>
      <c r="AC333" s="380" t="s">
        <v>53</v>
      </c>
      <c r="AD333" s="1" t="str">
        <f>VLOOKUP(ENTRADAS71417[[#This Row],[CÓDIGO]],PRODUCTOS31316[],2,FALSE)</f>
        <v>26237/ 25339</v>
      </c>
      <c r="AE333" s="1" t="str">
        <f>VLOOKUP(ENTRADAS71417[[#This Row],[CÓDIGO]],PRODUCTOS31316[],3,FALSE)</f>
        <v>TRANSPORTADORA DE EMBRIONES Y OOCITOS</v>
      </c>
      <c r="AF333" s="2">
        <v>2</v>
      </c>
      <c r="AG333" s="2"/>
      <c r="AH333" s="2"/>
    </row>
    <row r="334" spans="1:34" ht="49.95" customHeight="1" x14ac:dyDescent="0.3">
      <c r="A334" s="2" t="s">
        <v>819</v>
      </c>
      <c r="C334" s="1" t="s">
        <v>1229</v>
      </c>
      <c r="E334" s="1" t="s">
        <v>352</v>
      </c>
      <c r="F334" s="1" t="s">
        <v>41</v>
      </c>
      <c r="G334" s="2">
        <v>0</v>
      </c>
      <c r="H334" s="14">
        <f>SUMIF(ENTRADAS71417[CÓDIGO],PRODUCTOS31316[[#This Row],[CÓDIGO]],ENTRADAS71417[CANTIDAD])</f>
        <v>10</v>
      </c>
      <c r="I334" s="11">
        <f>SUMIF(SALIDAS111518[CÓDIGO],PRODUCTOS31316[[#This Row],[CÓDIGO]],SALIDAS111518[CANTIDAD])</f>
        <v>6</v>
      </c>
      <c r="J334" s="6">
        <f>PRODUCTOS31316[[#This Row],[EXISTENCIAS]]+PRODUCTOS31316[[#This Row],[ENTRADAS]]-PRODUCTOS31316[[#This Row],[SALIDAS]]</f>
        <v>4</v>
      </c>
      <c r="L334" s="282"/>
      <c r="M334" s="282"/>
      <c r="N334" s="276">
        <v>7595</v>
      </c>
      <c r="O334" s="283" t="s">
        <v>3911</v>
      </c>
      <c r="P334" s="16">
        <v>46052</v>
      </c>
      <c r="Q334" s="282" t="s">
        <v>2382</v>
      </c>
      <c r="R334" s="2">
        <f>VLOOKUP(SALIDAS111518[[#This Row],[CÓDIGO]],PRODUCTOS31316[],2,FALSE)</f>
        <v>1</v>
      </c>
      <c r="S334" s="1" t="str">
        <f>VLOOKUP(SALIDAS111518[[#This Row],[CÓDIGO]],PRODUCTOS31316[],3,FALSE)</f>
        <v>TERMO DE TRANSPORTE 1 LITRO</v>
      </c>
      <c r="T334" s="2">
        <v>1</v>
      </c>
      <c r="U334" s="282"/>
      <c r="V334" s="2"/>
      <c r="W334" s="2"/>
      <c r="X334" s="2"/>
      <c r="Y334" s="7"/>
      <c r="Z334" s="369">
        <v>98591</v>
      </c>
      <c r="AA334" s="1" t="s">
        <v>442</v>
      </c>
      <c r="AB334" s="16">
        <v>46192</v>
      </c>
      <c r="AC334" s="380" t="s">
        <v>1223</v>
      </c>
      <c r="AD334" s="1" t="str">
        <f>VLOOKUP(ENTRADAS71417[[#This Row],[CÓDIGO]],PRODUCTOS31316[],2,FALSE)</f>
        <v>17656 / 29455</v>
      </c>
      <c r="AE334" s="1" t="str">
        <f>VLOOKUP(ENTRADAS71417[[#This Row],[CÓDIGO]],PRODUCTOS31316[],3,FALSE)</f>
        <v>PLATINA CALENTADORA ESTÁNDAR</v>
      </c>
      <c r="AF334" s="2">
        <v>1</v>
      </c>
      <c r="AG334" s="2"/>
      <c r="AH334" s="2"/>
    </row>
    <row r="335" spans="1:34" ht="49.95" customHeight="1" x14ac:dyDescent="0.3">
      <c r="A335" s="203" t="s">
        <v>455</v>
      </c>
      <c r="C335" s="1" t="s">
        <v>1230</v>
      </c>
      <c r="E335" s="1" t="s">
        <v>352</v>
      </c>
      <c r="F335" s="1" t="s">
        <v>41</v>
      </c>
      <c r="G335" s="107">
        <v>6</v>
      </c>
      <c r="H335" s="14">
        <f>SUMIF(ENTRADAS71417[CÓDIGO],PRODUCTOS31316[[#This Row],[CÓDIGO]],ENTRADAS71417[CANTIDAD])</f>
        <v>10</v>
      </c>
      <c r="I335" s="11">
        <f>SUMIF(SALIDAS111518[CÓDIGO],PRODUCTOS31316[[#This Row],[CÓDIGO]],SALIDAS111518[CANTIDAD])</f>
        <v>16</v>
      </c>
      <c r="J335" s="6">
        <f>PRODUCTOS31316[[#This Row],[EXISTENCIAS]]+PRODUCTOS31316[[#This Row],[ENTRADAS]]-PRODUCTOS31316[[#This Row],[SALIDAS]]</f>
        <v>0</v>
      </c>
      <c r="L335" s="282"/>
      <c r="M335" s="282"/>
      <c r="N335" s="276">
        <v>7595</v>
      </c>
      <c r="O335" s="283" t="s">
        <v>3911</v>
      </c>
      <c r="P335" s="16">
        <v>46052</v>
      </c>
      <c r="Q335" s="282" t="s">
        <v>25</v>
      </c>
      <c r="R335" s="2">
        <f>VLOOKUP(SALIDAS111518[[#This Row],[CÓDIGO]],PRODUCTOS31316[],2,FALSE)</f>
        <v>0</v>
      </c>
      <c r="S335" s="1" t="str">
        <f>VLOOKUP(SALIDAS111518[[#This Row],[CÓDIGO]],PRODUCTOS31316[],3,FALSE)</f>
        <v>BOLSA TELA MAS CAMPO</v>
      </c>
      <c r="T335" s="2">
        <v>1</v>
      </c>
      <c r="U335" s="282"/>
      <c r="V335" s="2"/>
      <c r="W335" s="2"/>
      <c r="X335" s="2"/>
      <c r="Y335" s="7"/>
      <c r="Z335" s="369">
        <v>98591</v>
      </c>
      <c r="AA335" s="1" t="s">
        <v>442</v>
      </c>
      <c r="AB335" s="16">
        <v>46192</v>
      </c>
      <c r="AC335" s="380" t="s">
        <v>1425</v>
      </c>
      <c r="AD335" s="1">
        <f>VLOOKUP(ENTRADAS71417[[#This Row],[CÓDIGO]],PRODUCTOS31316[],2,FALSE)</f>
        <v>18032</v>
      </c>
      <c r="AE335" s="1" t="str">
        <f>VLOOKUP(ENTRADAS71417[[#This Row],[CÓDIGO]],PRODUCTOS31316[],3,FALSE)</f>
        <v>CALENTADOR DE TUBOS MIXTO</v>
      </c>
      <c r="AF335" s="2">
        <v>1</v>
      </c>
      <c r="AG335" s="2"/>
      <c r="AH335" s="2"/>
    </row>
    <row r="336" spans="1:34" ht="49.95" customHeight="1" x14ac:dyDescent="0.3">
      <c r="A336" s="2" t="s">
        <v>1232</v>
      </c>
      <c r="B336" s="1">
        <v>7030301004</v>
      </c>
      <c r="C336" s="1" t="s">
        <v>1233</v>
      </c>
      <c r="D336" s="1" t="s">
        <v>1234</v>
      </c>
      <c r="E336" s="1" t="s">
        <v>1094</v>
      </c>
      <c r="F336" s="1" t="s">
        <v>30</v>
      </c>
      <c r="G336" s="2">
        <v>0</v>
      </c>
      <c r="H336" s="14">
        <f>SUMIF(ENTRADAS71417[CÓDIGO],PRODUCTOS31316[[#This Row],[CÓDIGO]],ENTRADAS71417[CANTIDAD])</f>
        <v>0</v>
      </c>
      <c r="I336" s="11">
        <f>SUMIF(SALIDAS111518[CÓDIGO],PRODUCTOS31316[[#This Row],[CÓDIGO]],SALIDAS111518[CANTIDAD])</f>
        <v>0</v>
      </c>
      <c r="J336" s="6">
        <f>PRODUCTOS31316[[#This Row],[EXISTENCIAS]]+PRODUCTOS31316[[#This Row],[ENTRADAS]]-PRODUCTOS31316[[#This Row],[SALIDAS]]</f>
        <v>0</v>
      </c>
      <c r="L336" s="288" t="s">
        <v>3520</v>
      </c>
      <c r="M336" s="288" t="s">
        <v>3653</v>
      </c>
      <c r="N336" s="290" t="s">
        <v>3927</v>
      </c>
      <c r="O336" s="288" t="s">
        <v>3253</v>
      </c>
      <c r="P336" s="16">
        <v>46052</v>
      </c>
      <c r="Q336" s="288" t="s">
        <v>438</v>
      </c>
      <c r="R336" s="2">
        <f>VLOOKUP(SALIDAS111518[[#This Row],[CÓDIGO]],PRODUCTOS31316[],2,FALSE)</f>
        <v>18421</v>
      </c>
      <c r="S336" s="1" t="str">
        <f>VLOOKUP(SALIDAS111518[[#This Row],[CÓDIGO]],PRODUCTOS31316[],3,FALSE)</f>
        <v xml:space="preserve">PISTOLA DE TRANSFERENCIA DE EMBRIONES 0,25 / BLOQUEO AUTOMÁTICO </v>
      </c>
      <c r="T336" s="2">
        <v>1</v>
      </c>
      <c r="U336" s="282">
        <v>164</v>
      </c>
      <c r="V336" s="2"/>
      <c r="W336" s="2"/>
      <c r="X336" s="2"/>
      <c r="Y336" s="7"/>
      <c r="Z336" s="369">
        <v>98591</v>
      </c>
      <c r="AA336" s="1" t="s">
        <v>442</v>
      </c>
      <c r="AB336" s="16">
        <v>46192</v>
      </c>
      <c r="AC336" s="380" t="s">
        <v>5126</v>
      </c>
      <c r="AD336" s="1">
        <f>VLOOKUP(ENTRADAS71417[[#This Row],[CÓDIGO]],PRODUCTOS31316[],2,FALSE)</f>
        <v>0</v>
      </c>
      <c r="AE336" s="1" t="str">
        <f>VLOOKUP(ENTRADAS71417[[#This Row],[CÓDIGO]],PRODUCTOS31316[],3,FALSE)</f>
        <v>GRADILLA DE ALUMINIO MICROTUBOS WTA /Rack para 16 Microtubos 1,2mL
SKU: 14416
16 microtubos WTA 1,2mL</v>
      </c>
      <c r="AF336" s="2">
        <v>1</v>
      </c>
      <c r="AG336" s="2"/>
      <c r="AH336" s="2"/>
    </row>
    <row r="337" spans="1:34" ht="49.95" customHeight="1" x14ac:dyDescent="0.3">
      <c r="A337" s="2" t="s">
        <v>1236</v>
      </c>
      <c r="B337" s="1">
        <v>8031102000</v>
      </c>
      <c r="C337" s="1" t="s">
        <v>1237</v>
      </c>
      <c r="D337" s="1" t="s">
        <v>1238</v>
      </c>
      <c r="E337" s="1" t="s">
        <v>1239</v>
      </c>
      <c r="F337" s="1" t="s">
        <v>30</v>
      </c>
      <c r="G337" s="2">
        <v>0</v>
      </c>
      <c r="H337" s="14">
        <f>SUMIF(ENTRADAS71417[CÓDIGO],PRODUCTOS31316[[#This Row],[CÓDIGO]],ENTRADAS71417[CANTIDAD])</f>
        <v>0</v>
      </c>
      <c r="I337" s="11">
        <f>SUMIF(SALIDAS111518[CÓDIGO],PRODUCTOS31316[[#This Row],[CÓDIGO]],SALIDAS111518[CANTIDAD])</f>
        <v>0</v>
      </c>
      <c r="J337" s="6">
        <f>PRODUCTOS31316[[#This Row],[EXISTENCIAS]]+PRODUCTOS31316[[#This Row],[ENTRADAS]]-PRODUCTOS31316[[#This Row],[SALIDAS]]</f>
        <v>0</v>
      </c>
      <c r="L337" s="282" t="s">
        <v>3520</v>
      </c>
      <c r="M337" s="282" t="s">
        <v>3653</v>
      </c>
      <c r="N337" s="290" t="s">
        <v>3940</v>
      </c>
      <c r="O337" s="283" t="s">
        <v>3541</v>
      </c>
      <c r="P337" s="16">
        <v>46052</v>
      </c>
      <c r="Q337" s="282" t="s">
        <v>149</v>
      </c>
      <c r="R337" s="2">
        <f>VLOOKUP(SALIDAS111518[[#This Row],[CÓDIGO]],PRODUCTOS31316[],2,FALSE)</f>
        <v>18621</v>
      </c>
      <c r="S337" s="1" t="str">
        <f>VLOOKUP(SALIDAS111518[[#This Row],[CÓDIGO]],PRODUCTOS31316[],3,FALSE)</f>
        <v>TERMO DESCONGELADOR DE SEMEN DE EMBRIONES ROJO</v>
      </c>
      <c r="T337" s="2">
        <v>1</v>
      </c>
      <c r="U337" s="2">
        <v>173</v>
      </c>
      <c r="V337" s="2"/>
      <c r="W337" s="282" t="s">
        <v>3412</v>
      </c>
      <c r="X337" s="34"/>
      <c r="Y337" s="7"/>
      <c r="Z337" s="369">
        <v>98591</v>
      </c>
      <c r="AA337" s="1" t="s">
        <v>442</v>
      </c>
      <c r="AB337" s="16">
        <v>46192</v>
      </c>
      <c r="AC337" s="380" t="s">
        <v>5127</v>
      </c>
      <c r="AD337" s="1">
        <f>VLOOKUP(ENTRADAS71417[[#This Row],[CÓDIGO]],PRODUCTOS31316[],2,FALSE)</f>
        <v>0</v>
      </c>
      <c r="AE337" s="1" t="str">
        <f>VLOOKUP(ENTRADAS71417[[#This Row],[CÓDIGO]],PRODUCTOS31316[],3,FALSE)</f>
        <v>LINEAS PARA OPU WTA 1.20</v>
      </c>
      <c r="AF337" s="2">
        <v>1500</v>
      </c>
      <c r="AG337" s="2"/>
      <c r="AH337" s="2"/>
    </row>
    <row r="338" spans="1:34" ht="49.95" customHeight="1" x14ac:dyDescent="0.3">
      <c r="A338" s="2" t="s">
        <v>1240</v>
      </c>
      <c r="B338" s="1" t="s">
        <v>1241</v>
      </c>
      <c r="C338" s="1" t="s">
        <v>1242</v>
      </c>
      <c r="D338" s="1" t="s">
        <v>1243</v>
      </c>
      <c r="E338" s="1" t="s">
        <v>1244</v>
      </c>
      <c r="F338" s="1" t="s">
        <v>1245</v>
      </c>
      <c r="G338" s="2">
        <v>0</v>
      </c>
      <c r="H338" s="14">
        <f>SUMIF(ENTRADAS71417[CÓDIGO],PRODUCTOS31316[[#This Row],[CÓDIGO]],ENTRADAS71417[CANTIDAD])</f>
        <v>0</v>
      </c>
      <c r="I338" s="11">
        <f>SUMIF(SALIDAS111518[CÓDIGO],PRODUCTOS31316[[#This Row],[CÓDIGO]],SALIDAS111518[CANTIDAD])</f>
        <v>0</v>
      </c>
      <c r="J338" s="6">
        <f>PRODUCTOS31316[[#This Row],[EXISTENCIAS]]+PRODUCTOS31316[[#This Row],[ENTRADAS]]-PRODUCTOS31316[[#This Row],[SALIDAS]]</f>
        <v>0</v>
      </c>
      <c r="L338" s="276"/>
      <c r="M338" s="276"/>
      <c r="N338" s="276">
        <v>7797</v>
      </c>
      <c r="O338" s="283" t="s">
        <v>3541</v>
      </c>
      <c r="P338" s="16">
        <v>46052</v>
      </c>
      <c r="Q338" s="282" t="s">
        <v>1637</v>
      </c>
      <c r="R338" s="2" t="str">
        <f>VLOOKUP(SALIDAS111518[[#This Row],[CÓDIGO]],PRODUCTOS31316[],2,FALSE)</f>
        <v>P22X22</v>
      </c>
      <c r="S338" s="1" t="str">
        <f>VLOOKUP(SALIDAS111518[[#This Row],[CÓDIGO]],PRODUCTOS31316[],3,FALSE)</f>
        <v>LAMINA CUBRE OBJETO EN VIDRIO 22X22</v>
      </c>
      <c r="T338" s="2">
        <v>1</v>
      </c>
      <c r="U338" s="2"/>
      <c r="V338" s="2"/>
      <c r="W338" s="2"/>
      <c r="X338" s="34"/>
      <c r="Y338" s="7"/>
      <c r="Z338" s="369">
        <v>98591</v>
      </c>
      <c r="AA338" s="1" t="s">
        <v>442</v>
      </c>
      <c r="AB338" s="16">
        <v>46192</v>
      </c>
      <c r="AC338" s="380" t="s">
        <v>3033</v>
      </c>
      <c r="AD338" s="1">
        <f>VLOOKUP(ENTRADAS71417[[#This Row],[CÓDIGO]],PRODUCTOS31316[],2,FALSE)</f>
        <v>14417</v>
      </c>
      <c r="AE338" s="1" t="str">
        <f>VLOOKUP(ENTRADAS71417[[#This Row],[CÓDIGO]],PRODUCTOS31316[],3,FALSE)</f>
        <v>RACK DE ALUMINIO PARA 15 ML</v>
      </c>
      <c r="AF338" s="2">
        <v>1</v>
      </c>
      <c r="AG338" s="2"/>
      <c r="AH338" s="2"/>
    </row>
    <row r="339" spans="1:34" ht="49.95" customHeight="1" x14ac:dyDescent="0.3">
      <c r="A339" s="2" t="s">
        <v>1246</v>
      </c>
      <c r="B339" s="1" t="s">
        <v>1247</v>
      </c>
      <c r="C339" s="1" t="s">
        <v>1248</v>
      </c>
      <c r="D339" s="1" t="s">
        <v>1249</v>
      </c>
      <c r="E339" s="1" t="s">
        <v>1115</v>
      </c>
      <c r="F339" s="1" t="s">
        <v>365</v>
      </c>
      <c r="G339" s="2">
        <v>0</v>
      </c>
      <c r="H339" s="14">
        <f>SUMIF(ENTRADAS71417[CÓDIGO],PRODUCTOS31316[[#This Row],[CÓDIGO]],ENTRADAS71417[CANTIDAD])</f>
        <v>0</v>
      </c>
      <c r="I339" s="11">
        <f>SUMIF(SALIDAS111518[CÓDIGO],PRODUCTOS31316[[#This Row],[CÓDIGO]],SALIDAS111518[CANTIDAD])</f>
        <v>0</v>
      </c>
      <c r="J339" s="6">
        <f>PRODUCTOS31316[[#This Row],[EXISTENCIAS]]+PRODUCTOS31316[[#This Row],[ENTRADAS]]-PRODUCTOS31316[[#This Row],[SALIDAS]]</f>
        <v>0</v>
      </c>
      <c r="L339" s="288" t="s">
        <v>3520</v>
      </c>
      <c r="M339" s="288" t="s">
        <v>3653</v>
      </c>
      <c r="N339" s="290" t="s">
        <v>3941</v>
      </c>
      <c r="O339" s="283" t="s">
        <v>3541</v>
      </c>
      <c r="P339" s="16">
        <v>46052</v>
      </c>
      <c r="Q339" s="288" t="s">
        <v>369</v>
      </c>
      <c r="R339" s="2">
        <f>VLOOKUP(SALIDAS111518[[#This Row],[CÓDIGO]],PRODUCTOS31316[],2,FALSE)</f>
        <v>0</v>
      </c>
      <c r="S339" s="1" t="str">
        <f>VLOOKUP(SALIDAS111518[[#This Row],[CÓDIGO]],PRODUCTOS31316[],3,FALSE)</f>
        <v>FUNDA UNIVERSAL PARA I.A. RANURADA</v>
      </c>
      <c r="T339" s="2">
        <v>20</v>
      </c>
      <c r="U339" s="282">
        <v>174</v>
      </c>
      <c r="V339" s="2"/>
      <c r="W339" s="2" t="s">
        <v>3412</v>
      </c>
      <c r="X339" s="2"/>
      <c r="Y339" s="7"/>
      <c r="Z339" s="369">
        <v>98591</v>
      </c>
      <c r="AA339" s="1" t="s">
        <v>442</v>
      </c>
      <c r="AB339" s="16">
        <v>46192</v>
      </c>
      <c r="AC339" s="380" t="s">
        <v>4546</v>
      </c>
      <c r="AD339" s="1">
        <f>VLOOKUP(ENTRADAS71417[[#This Row],[CÓDIGO]],PRODUCTOS31316[],2,FALSE)</f>
        <v>14418</v>
      </c>
      <c r="AE339" s="1" t="str">
        <f>VLOOKUP(ENTRADAS71417[[#This Row],[CÓDIGO]],PRODUCTOS31316[],3,FALSE)</f>
        <v>RACK DE ALUMINIO WTA 12 X 1.5 ML PARA TUBOS CONICOS</v>
      </c>
      <c r="AF339" s="2">
        <v>1</v>
      </c>
      <c r="AG339" s="2"/>
      <c r="AH339" s="2"/>
    </row>
    <row r="340" spans="1:34" ht="49.95" customHeight="1" x14ac:dyDescent="0.3">
      <c r="A340" s="2" t="s">
        <v>556</v>
      </c>
      <c r="B340" s="1" t="s">
        <v>1250</v>
      </c>
      <c r="C340" s="1" t="s">
        <v>1251</v>
      </c>
      <c r="D340" s="1" t="s">
        <v>1249</v>
      </c>
      <c r="E340" s="1" t="s">
        <v>1115</v>
      </c>
      <c r="F340" s="1" t="s">
        <v>365</v>
      </c>
      <c r="G340" s="2">
        <v>0</v>
      </c>
      <c r="H340" s="14">
        <f>SUMIF(ENTRADAS71417[CÓDIGO],PRODUCTOS31316[[#This Row],[CÓDIGO]],ENTRADAS71417[CANTIDAD])</f>
        <v>0</v>
      </c>
      <c r="I340" s="11">
        <f>SUMIF(SALIDAS111518[CÓDIGO],PRODUCTOS31316[[#This Row],[CÓDIGO]],SALIDAS111518[CANTIDAD])</f>
        <v>0</v>
      </c>
      <c r="J340" s="6">
        <f>PRODUCTOS31316[[#This Row],[EXISTENCIAS]]+PRODUCTOS31316[[#This Row],[ENTRADAS]]-PRODUCTOS31316[[#This Row],[SALIDAS]]</f>
        <v>0</v>
      </c>
      <c r="L340" s="282"/>
      <c r="M340" s="282"/>
      <c r="N340" s="276">
        <v>7798</v>
      </c>
      <c r="O340" s="283" t="s">
        <v>3541</v>
      </c>
      <c r="P340" s="16">
        <v>46052</v>
      </c>
      <c r="Q340" s="288" t="s">
        <v>1799</v>
      </c>
      <c r="R340" s="2">
        <f>VLOOKUP(SALIDAS111518[[#This Row],[CÓDIGO]],PRODUCTOS31316[],2,FALSE)</f>
        <v>4846</v>
      </c>
      <c r="S340" s="1" t="str">
        <f>VLOOKUP(SALIDAS111518[[#This Row],[CÓDIGO]],PRODUCTOS31316[],3,FALSE)</f>
        <v>PUNTA AZULES UNIVERSALES 100- 1000 UL</v>
      </c>
      <c r="T340" s="2">
        <v>1</v>
      </c>
      <c r="U340" s="282"/>
      <c r="V340" s="2"/>
      <c r="W340" s="2"/>
      <c r="X340" s="2"/>
      <c r="Y340" s="7"/>
      <c r="Z340" s="369">
        <v>98591</v>
      </c>
      <c r="AA340" s="1" t="s">
        <v>442</v>
      </c>
      <c r="AB340" s="16">
        <v>46192</v>
      </c>
      <c r="AC340" s="380" t="s">
        <v>149</v>
      </c>
      <c r="AD340" s="1">
        <f>VLOOKUP(ENTRADAS71417[[#This Row],[CÓDIGO]],PRODUCTOS31316[],2,FALSE)</f>
        <v>18621</v>
      </c>
      <c r="AE340" s="1" t="str">
        <f>VLOOKUP(ENTRADAS71417[[#This Row],[CÓDIGO]],PRODUCTOS31316[],3,FALSE)</f>
        <v>TERMO DESCONGELADOR DE SEMEN DE EMBRIONES ROJO</v>
      </c>
      <c r="AF340" s="2">
        <v>6</v>
      </c>
      <c r="AG340" s="2"/>
      <c r="AH340" s="2"/>
    </row>
    <row r="341" spans="1:34" ht="49.95" customHeight="1" x14ac:dyDescent="0.3">
      <c r="A341" s="2" t="s">
        <v>1252</v>
      </c>
      <c r="B341" s="1" t="s">
        <v>1253</v>
      </c>
      <c r="C341" s="1" t="s">
        <v>1254</v>
      </c>
      <c r="D341" s="1" t="s">
        <v>1249</v>
      </c>
      <c r="E341" s="1" t="s">
        <v>1115</v>
      </c>
      <c r="F341" s="1" t="s">
        <v>365</v>
      </c>
      <c r="G341" s="2">
        <v>0</v>
      </c>
      <c r="H341" s="14">
        <f>SUMIF(ENTRADAS71417[CÓDIGO],PRODUCTOS31316[[#This Row],[CÓDIGO]],ENTRADAS71417[CANTIDAD])</f>
        <v>0</v>
      </c>
      <c r="I341" s="11">
        <f>SUMIF(SALIDAS111518[CÓDIGO],PRODUCTOS31316[[#This Row],[CÓDIGO]],SALIDAS111518[CANTIDAD])</f>
        <v>0</v>
      </c>
      <c r="J341" s="6">
        <f>PRODUCTOS31316[[#This Row],[EXISTENCIAS]]+PRODUCTOS31316[[#This Row],[ENTRADAS]]-PRODUCTOS31316[[#This Row],[SALIDAS]]</f>
        <v>0</v>
      </c>
      <c r="L341" s="288" t="s">
        <v>3521</v>
      </c>
      <c r="M341" s="288" t="s">
        <v>3653</v>
      </c>
      <c r="N341" s="290" t="s">
        <v>3939</v>
      </c>
      <c r="O341" s="288" t="s">
        <v>3914</v>
      </c>
      <c r="P341" s="16">
        <v>46052</v>
      </c>
      <c r="Q341" s="288" t="s">
        <v>3181</v>
      </c>
      <c r="R341" s="2">
        <f>VLOOKUP(SALIDAS111518[[#This Row],[CÓDIGO]],PRODUCTOS31316[],2,FALSE)</f>
        <v>7416</v>
      </c>
      <c r="S341" s="1" t="str">
        <f>VLOOKUP(SALIDAS111518[[#This Row],[CÓDIGO]],PRODUCTOS31316[],3,FALSE)</f>
        <v>CAJA PLÁSTICA DE 22" DE TRANSPORTE</v>
      </c>
      <c r="T341" s="2">
        <v>1</v>
      </c>
      <c r="U341" s="282">
        <v>172</v>
      </c>
      <c r="V341" s="2"/>
      <c r="W341" s="2" t="s">
        <v>3412</v>
      </c>
      <c r="X341" s="2"/>
      <c r="Y341" s="7"/>
      <c r="Z341" s="382" t="s">
        <v>5552</v>
      </c>
      <c r="AA341" s="1" t="s">
        <v>5551</v>
      </c>
      <c r="AB341" s="16">
        <v>46210</v>
      </c>
      <c r="AC341" s="2" t="s">
        <v>5109</v>
      </c>
      <c r="AD341" s="1">
        <f>VLOOKUP(ENTRADAS71417[[#This Row],[CÓDIGO]],PRODUCTOS31316[],2,FALSE)</f>
        <v>0</v>
      </c>
      <c r="AE341" s="1" t="str">
        <f>VLOOKUP(ENTRADAS71417[[#This Row],[CÓDIGO]],PRODUCTOS31316[],3,FALSE)</f>
        <v>ECOGRAFO DP10 MINDRAY BLANCO Y NEGRO SONDA LINELA RECTAL</v>
      </c>
      <c r="AF341" s="2">
        <v>1</v>
      </c>
      <c r="AG341" s="2"/>
      <c r="AH341" s="2">
        <v>152</v>
      </c>
    </row>
    <row r="342" spans="1:34" ht="49.95" customHeight="1" x14ac:dyDescent="0.3">
      <c r="A342" s="2" t="s">
        <v>1255</v>
      </c>
      <c r="B342" s="1">
        <v>531</v>
      </c>
      <c r="C342" s="1" t="s">
        <v>1256</v>
      </c>
      <c r="D342" s="1" t="s">
        <v>1037</v>
      </c>
      <c r="E342" s="1" t="s">
        <v>410</v>
      </c>
      <c r="F342" s="1" t="s">
        <v>1209</v>
      </c>
      <c r="G342" s="2">
        <v>0</v>
      </c>
      <c r="H342" s="14">
        <f>SUMIF(ENTRADAS71417[CÓDIGO],PRODUCTOS31316[[#This Row],[CÓDIGO]],ENTRADAS71417[CANTIDAD])</f>
        <v>0</v>
      </c>
      <c r="I342" s="11">
        <f>SUMIF(SALIDAS111518[CÓDIGO],PRODUCTOS31316[[#This Row],[CÓDIGO]],SALIDAS111518[CANTIDAD])</f>
        <v>0</v>
      </c>
      <c r="J342" s="6">
        <f>PRODUCTOS31316[[#This Row],[EXISTENCIAS]]+PRODUCTOS31316[[#This Row],[ENTRADAS]]-PRODUCTOS31316[[#This Row],[SALIDAS]]</f>
        <v>0</v>
      </c>
      <c r="L342" s="288"/>
      <c r="M342" s="288"/>
      <c r="N342" s="2">
        <v>7801</v>
      </c>
      <c r="O342" s="288" t="s">
        <v>3914</v>
      </c>
      <c r="P342" s="16">
        <v>46052</v>
      </c>
      <c r="Q342" s="288" t="s">
        <v>2364</v>
      </c>
      <c r="R342" s="2">
        <f>VLOOKUP(SALIDAS111518[[#This Row],[CÓDIGO]],PRODUCTOS31316[],2,FALSE)</f>
        <v>0</v>
      </c>
      <c r="S342" s="1" t="str">
        <f>VLOOKUP(SALIDAS111518[[#This Row],[CÓDIGO]],PRODUCTOS31316[],3,FALSE)</f>
        <v>CORTAPAJILLAS WTA</v>
      </c>
      <c r="T342" s="2">
        <v>1</v>
      </c>
      <c r="U342" s="282"/>
      <c r="V342" s="2"/>
      <c r="W342" s="2"/>
      <c r="X342" s="2"/>
      <c r="Y342" s="7"/>
      <c r="Z342" s="380" t="s">
        <v>5533</v>
      </c>
      <c r="AA342" s="1" t="s">
        <v>3915</v>
      </c>
      <c r="AB342" s="16">
        <v>46212</v>
      </c>
      <c r="AC342" s="2" t="s">
        <v>47</v>
      </c>
      <c r="AD342" s="1">
        <f>VLOOKUP(ENTRADAS71417[[#This Row],[CÓDIGO]],PRODUCTOS31316[],2,FALSE)</f>
        <v>1135</v>
      </c>
      <c r="AE342" s="1" t="str">
        <f>VLOOKUP(ENTRADAS71417[[#This Row],[CÓDIGO]],PRODUCTOS31316[],3,FALSE)</f>
        <v>TRILADYL</v>
      </c>
      <c r="AF342" s="2">
        <v>8</v>
      </c>
      <c r="AG342" s="2"/>
      <c r="AH342" s="2">
        <v>149</v>
      </c>
    </row>
    <row r="343" spans="1:34" ht="49.95" customHeight="1" x14ac:dyDescent="0.3">
      <c r="A343" s="2" t="s">
        <v>1257</v>
      </c>
      <c r="B343" s="1">
        <v>500</v>
      </c>
      <c r="C343" s="1" t="s">
        <v>1258</v>
      </c>
      <c r="D343" s="1" t="s">
        <v>454</v>
      </c>
      <c r="E343" s="1" t="s">
        <v>410</v>
      </c>
      <c r="F343" s="1" t="s">
        <v>124</v>
      </c>
      <c r="G343" s="2">
        <v>0</v>
      </c>
      <c r="H343" s="14">
        <f>SUMIF(ENTRADAS71417[CÓDIGO],PRODUCTOS31316[[#This Row],[CÓDIGO]],ENTRADAS71417[CANTIDAD])</f>
        <v>0</v>
      </c>
      <c r="I343" s="11">
        <f>SUMIF(SALIDAS111518[CÓDIGO],PRODUCTOS31316[[#This Row],[CÓDIGO]],SALIDAS111518[CANTIDAD])</f>
        <v>0</v>
      </c>
      <c r="J343" s="6">
        <f>PRODUCTOS31316[[#This Row],[EXISTENCIAS]]+PRODUCTOS31316[[#This Row],[ENTRADAS]]-PRODUCTOS31316[[#This Row],[SALIDAS]]</f>
        <v>0</v>
      </c>
      <c r="L343" s="288"/>
      <c r="M343" s="288"/>
      <c r="N343" s="2">
        <v>7801</v>
      </c>
      <c r="O343" s="288" t="s">
        <v>3914</v>
      </c>
      <c r="P343" s="16">
        <v>46052</v>
      </c>
      <c r="Q343" s="288" t="s">
        <v>581</v>
      </c>
      <c r="R343" s="2">
        <f>VLOOKUP(SALIDAS111518[[#This Row],[CÓDIGO]],PRODUCTOS31316[],2,FALSE)</f>
        <v>11571</v>
      </c>
      <c r="S343" s="1" t="str">
        <f>VLOOKUP(SALIDAS111518[[#This Row],[CÓDIGO]],PRODUCTOS31316[],3,FALSE)</f>
        <v>PINZA COGEPAJILLA</v>
      </c>
      <c r="T343" s="2">
        <v>1</v>
      </c>
      <c r="U343" s="282"/>
      <c r="V343" s="2"/>
      <c r="W343" s="2"/>
      <c r="X343" s="38"/>
      <c r="Y343" s="7"/>
      <c r="Z343" s="2">
        <v>16991</v>
      </c>
      <c r="AA343" s="1" t="s">
        <v>2744</v>
      </c>
      <c r="AB343" s="16">
        <v>46212</v>
      </c>
      <c r="AC343" s="2" t="s">
        <v>1006</v>
      </c>
      <c r="AD343" s="1" t="str">
        <f>VLOOKUP(ENTRADAS71417[[#This Row],[CÓDIGO]],PRODUCTOS31316[],2,FALSE)</f>
        <v>44-0200</v>
      </c>
      <c r="AE343" s="1" t="str">
        <f>VLOOKUP(ENTRADAS71417[[#This Row],[CÓDIGO]],PRODUCTOS31316[],3,FALSE)</f>
        <v>POLVO SELLADOR DE PAJILLAS COLOR BLANCO, 750GR</v>
      </c>
      <c r="AF343" s="2">
        <v>1</v>
      </c>
      <c r="AG343" s="2"/>
      <c r="AH343" s="2">
        <v>172</v>
      </c>
    </row>
    <row r="344" spans="1:34" ht="49.95" customHeight="1" x14ac:dyDescent="0.3">
      <c r="A344" s="2" t="s">
        <v>1259</v>
      </c>
      <c r="B344" s="1">
        <v>4769</v>
      </c>
      <c r="C344" s="1" t="s">
        <v>1260</v>
      </c>
      <c r="D344" s="1" t="s">
        <v>1067</v>
      </c>
      <c r="E344" s="1" t="s">
        <v>410</v>
      </c>
      <c r="F344" s="1" t="s">
        <v>124</v>
      </c>
      <c r="G344" s="2">
        <v>0</v>
      </c>
      <c r="H344" s="14">
        <f>SUMIF(ENTRADAS71417[CÓDIGO],PRODUCTOS31316[[#This Row],[CÓDIGO]],ENTRADAS71417[CANTIDAD])</f>
        <v>0</v>
      </c>
      <c r="I344" s="11">
        <f>SUMIF(SALIDAS111518[CÓDIGO],PRODUCTOS31316[[#This Row],[CÓDIGO]],SALIDAS111518[CANTIDAD])</f>
        <v>0</v>
      </c>
      <c r="J344" s="6">
        <f>PRODUCTOS31316[[#This Row],[EXISTENCIAS]]+PRODUCTOS31316[[#This Row],[ENTRADAS]]-PRODUCTOS31316[[#This Row],[SALIDAS]]</f>
        <v>0</v>
      </c>
      <c r="L344" s="288"/>
      <c r="M344" s="288"/>
      <c r="N344" s="2">
        <v>7801</v>
      </c>
      <c r="O344" s="288" t="s">
        <v>3914</v>
      </c>
      <c r="P344" s="16">
        <v>46052</v>
      </c>
      <c r="Q344" s="288" t="s">
        <v>2755</v>
      </c>
      <c r="R344" s="2" t="str">
        <f>VLOOKUP(SALIDAS111518[[#This Row],[CÓDIGO]],PRODUCTOS31316[],2,FALSE)</f>
        <v>MSLDO05</v>
      </c>
      <c r="S344" s="1" t="str">
        <f>VLOOKUP(SALIDAS111518[[#This Row],[CÓDIGO]],PRODUCTOS31316[],3,FALSE)</f>
        <v>TERMO DE RECOLECCIÓN DE SEMEN/ USO VETERINARIO</v>
      </c>
      <c r="T344" s="2">
        <v>1</v>
      </c>
      <c r="U344" s="282"/>
      <c r="V344" s="2"/>
      <c r="W344" s="2"/>
      <c r="X344" s="2"/>
      <c r="Y344" s="7"/>
      <c r="Z344" s="2">
        <v>16991</v>
      </c>
      <c r="AA344" s="1" t="s">
        <v>2744</v>
      </c>
      <c r="AB344" s="16">
        <v>46212</v>
      </c>
      <c r="AC344" s="2" t="s">
        <v>382</v>
      </c>
      <c r="AD344" s="1">
        <f>VLOOKUP(ENTRADAS71417[[#This Row],[CÓDIGO]],PRODUCTOS31316[],2,FALSE)</f>
        <v>605032</v>
      </c>
      <c r="AE344" s="1" t="str">
        <f>VLOOKUP(ENTRADAS71417[[#This Row],[CÓDIGO]],PRODUCTOS31316[],3,FALSE)</f>
        <v>LUBRICANTE OB, NO ESPERMICIDA</v>
      </c>
      <c r="AF344" s="2">
        <v>24</v>
      </c>
      <c r="AG344" s="2"/>
      <c r="AH344" s="2"/>
    </row>
    <row r="345" spans="1:34" ht="49.95" customHeight="1" x14ac:dyDescent="0.3">
      <c r="A345" s="2" t="s">
        <v>1261</v>
      </c>
      <c r="B345" s="1">
        <v>954</v>
      </c>
      <c r="C345" s="1" t="s">
        <v>1262</v>
      </c>
      <c r="D345" s="1" t="s">
        <v>855</v>
      </c>
      <c r="E345" s="1" t="s">
        <v>410</v>
      </c>
      <c r="F345" s="1" t="s">
        <v>1263</v>
      </c>
      <c r="G345" s="2">
        <v>0</v>
      </c>
      <c r="H345" s="14">
        <f>SUMIF(ENTRADAS71417[CÓDIGO],PRODUCTOS31316[[#This Row],[CÓDIGO]],ENTRADAS71417[CANTIDAD])</f>
        <v>0</v>
      </c>
      <c r="I345" s="11">
        <f>SUMIF(SALIDAS111518[CÓDIGO],PRODUCTOS31316[[#This Row],[CÓDIGO]],SALIDAS111518[CANTIDAD])</f>
        <v>0</v>
      </c>
      <c r="J345" s="6">
        <f>PRODUCTOS31316[[#This Row],[EXISTENCIAS]]+PRODUCTOS31316[[#This Row],[ENTRADAS]]-PRODUCTOS31316[[#This Row],[SALIDAS]]</f>
        <v>0</v>
      </c>
      <c r="L345" s="288"/>
      <c r="M345" s="288"/>
      <c r="N345" s="2">
        <v>7801</v>
      </c>
      <c r="O345" s="288" t="s">
        <v>3914</v>
      </c>
      <c r="P345" s="16">
        <v>46052</v>
      </c>
      <c r="Q345" s="288" t="s">
        <v>153</v>
      </c>
      <c r="R345" s="2">
        <f>VLOOKUP(SALIDAS111518[[#This Row],[CÓDIGO]],PRODUCTOS31316[],2,FALSE)</f>
        <v>1132</v>
      </c>
      <c r="S345" s="1" t="str">
        <f>VLOOKUP(SALIDAS111518[[#This Row],[CÓDIGO]],PRODUCTOS31316[],3,FALSE)</f>
        <v>PISTOLA QUICKLOCK CLASIC</v>
      </c>
      <c r="T345" s="2">
        <v>1</v>
      </c>
      <c r="U345" s="282"/>
      <c r="V345" s="2"/>
      <c r="W345" s="2"/>
      <c r="X345" s="2"/>
      <c r="Y345" s="7"/>
      <c r="Z345" s="2">
        <v>16991</v>
      </c>
      <c r="AA345" s="1" t="s">
        <v>2744</v>
      </c>
      <c r="AB345" s="16">
        <v>46212</v>
      </c>
      <c r="AC345" s="2" t="s">
        <v>387</v>
      </c>
      <c r="AD345" s="1">
        <f>VLOOKUP(ENTRADAS71417[[#This Row],[CÓDIGO]],PRODUCTOS31316[],2,FALSE)</f>
        <v>131830</v>
      </c>
      <c r="AE345" s="1" t="str">
        <f>VLOOKUP(ENTRADAS71417[[#This Row],[CÓDIGO]],PRODUCTOS31316[],3,FALSE)</f>
        <v>CATÉTER FOLLEY DE SILICONA (ABT) 18FR. X 30CC X 22</v>
      </c>
      <c r="AF345" s="2">
        <v>4</v>
      </c>
      <c r="AG345" s="2"/>
      <c r="AH345" s="2"/>
    </row>
    <row r="346" spans="1:34" ht="49.95" customHeight="1" x14ac:dyDescent="0.3">
      <c r="A346" s="2" t="s">
        <v>1264</v>
      </c>
      <c r="B346" s="1">
        <v>954</v>
      </c>
      <c r="C346" s="1" t="s">
        <v>1265</v>
      </c>
      <c r="D346" s="1" t="s">
        <v>855</v>
      </c>
      <c r="E346" s="1" t="s">
        <v>410</v>
      </c>
      <c r="F346" s="1" t="s">
        <v>1263</v>
      </c>
      <c r="G346" s="2">
        <v>0</v>
      </c>
      <c r="H346" s="14">
        <f>SUMIF(ENTRADAS71417[CÓDIGO],PRODUCTOS31316[[#This Row],[CÓDIGO]],ENTRADAS71417[CANTIDAD])</f>
        <v>0</v>
      </c>
      <c r="I346" s="11">
        <f>SUMIF(SALIDAS111518[CÓDIGO],PRODUCTOS31316[[#This Row],[CÓDIGO]],SALIDAS111518[CANTIDAD])</f>
        <v>0</v>
      </c>
      <c r="J346" s="6">
        <f>PRODUCTOS31316[[#This Row],[EXISTENCIAS]]+PRODUCTOS31316[[#This Row],[ENTRADAS]]-PRODUCTOS31316[[#This Row],[SALIDAS]]</f>
        <v>0</v>
      </c>
      <c r="L346" s="288"/>
      <c r="M346" s="288"/>
      <c r="N346" s="2">
        <v>7801</v>
      </c>
      <c r="O346" s="288" t="s">
        <v>3914</v>
      </c>
      <c r="P346" s="16">
        <v>46052</v>
      </c>
      <c r="Q346" s="288" t="s">
        <v>369</v>
      </c>
      <c r="R346" s="2">
        <f>VLOOKUP(SALIDAS111518[[#This Row],[CÓDIGO]],PRODUCTOS31316[],2,FALSE)</f>
        <v>0</v>
      </c>
      <c r="S346" s="1" t="str">
        <f>VLOOKUP(SALIDAS111518[[#This Row],[CÓDIGO]],PRODUCTOS31316[],3,FALSE)</f>
        <v>FUNDA UNIVERSAL PARA I.A. RANURADA</v>
      </c>
      <c r="T346" s="2">
        <v>1</v>
      </c>
      <c r="U346" s="282"/>
      <c r="V346" s="2"/>
      <c r="W346" s="2"/>
      <c r="X346" s="2"/>
      <c r="Y346" s="7"/>
      <c r="Z346" s="2">
        <v>101</v>
      </c>
      <c r="AA346" s="330" t="s">
        <v>4633</v>
      </c>
      <c r="AB346" s="16">
        <v>46212</v>
      </c>
      <c r="AC346" s="2" t="s">
        <v>4634</v>
      </c>
      <c r="AD346" s="1">
        <f>VLOOKUP(ENTRADAS71417[[#This Row],[CÓDIGO]],PRODUCTOS31316[],2,FALSE)</f>
        <v>0</v>
      </c>
      <c r="AE346" s="1" t="str">
        <f>VLOOKUP(ENTRADAS71417[[#This Row],[CÓDIGO]],PRODUCTOS31316[],3,FALSE)</f>
        <v xml:space="preserve">PRUEBA DE PREÑEZ TEMPRANA EN RUMIANTES </v>
      </c>
      <c r="AF346" s="2">
        <v>50</v>
      </c>
      <c r="AG346" s="2"/>
      <c r="AH346" s="2">
        <v>150</v>
      </c>
    </row>
    <row r="347" spans="1:34" ht="49.95" customHeight="1" x14ac:dyDescent="0.3">
      <c r="A347" s="2" t="s">
        <v>1266</v>
      </c>
      <c r="C347" s="1" t="s">
        <v>343</v>
      </c>
      <c r="E347" s="1" t="s">
        <v>1267</v>
      </c>
      <c r="F347" s="1" t="s">
        <v>30</v>
      </c>
      <c r="G347" s="2">
        <v>0</v>
      </c>
      <c r="H347" s="14">
        <f>SUMIF(ENTRADAS71417[CÓDIGO],PRODUCTOS31316[[#This Row],[CÓDIGO]],ENTRADAS71417[CANTIDAD])</f>
        <v>0</v>
      </c>
      <c r="I347" s="11">
        <f>SUMIF(SALIDAS111518[CÓDIGO],PRODUCTOS31316[[#This Row],[CÓDIGO]],SALIDAS111518[CANTIDAD])</f>
        <v>0</v>
      </c>
      <c r="J347" s="6">
        <f>PRODUCTOS31316[[#This Row],[EXISTENCIAS]]+PRODUCTOS31316[[#This Row],[ENTRADAS]]-PRODUCTOS31316[[#This Row],[SALIDAS]]</f>
        <v>0</v>
      </c>
      <c r="L347" s="288"/>
      <c r="M347" s="288"/>
      <c r="N347" s="2">
        <v>7801</v>
      </c>
      <c r="O347" s="288" t="s">
        <v>3914</v>
      </c>
      <c r="P347" s="16">
        <v>46052</v>
      </c>
      <c r="Q347" s="288" t="s">
        <v>1779</v>
      </c>
      <c r="R347" s="2">
        <f>VLOOKUP(SALIDAS111518[[#This Row],[CÓDIGO]],PRODUCTOS31316[],2,FALSE)</f>
        <v>5563</v>
      </c>
      <c r="S347" s="1" t="str">
        <f>VLOOKUP(SALIDAS111518[[#This Row],[CÓDIGO]],PRODUCTOS31316[],3,FALSE)</f>
        <v>CAMISA SANITARIA ROLLO X 80</v>
      </c>
      <c r="T347" s="2">
        <v>1</v>
      </c>
      <c r="U347" s="282"/>
      <c r="V347" s="2"/>
      <c r="W347" s="2"/>
      <c r="X347" s="2"/>
      <c r="Y347" s="7"/>
      <c r="Z347" s="2">
        <v>52641</v>
      </c>
      <c r="AA347" s="1" t="s">
        <v>4077</v>
      </c>
      <c r="AB347" s="16">
        <v>46213</v>
      </c>
      <c r="AC347" s="2" t="s">
        <v>909</v>
      </c>
      <c r="AD347" s="1" t="str">
        <f>VLOOKUP(ENTRADAS71417[[#This Row],[CÓDIGO]],PRODUCTOS31316[],2,FALSE)</f>
        <v>26-0</v>
      </c>
      <c r="AE347" s="1" t="str">
        <f>VLOOKUP(ENTRADAS71417[[#This Row],[CÓDIGO]],PRODUCTOS31316[],3,FALSE)</f>
        <v>ELECTRO PARA OVINO- CAPRINO/ PROBE 1 1/4" DE DIÁMETRO FUNCIONA CON 2 BATERIAS 9V</v>
      </c>
      <c r="AF347" s="2">
        <v>2</v>
      </c>
      <c r="AG347" s="2"/>
      <c r="AH347" s="2">
        <v>151</v>
      </c>
    </row>
    <row r="348" spans="1:34" ht="49.95" customHeight="1" x14ac:dyDescent="0.3">
      <c r="A348" s="2" t="s">
        <v>1269</v>
      </c>
      <c r="B348" s="1" t="s">
        <v>1270</v>
      </c>
      <c r="C348" s="1" t="s">
        <v>1271</v>
      </c>
      <c r="D348" s="1" t="s">
        <v>1272</v>
      </c>
      <c r="E348" s="1" t="s">
        <v>1115</v>
      </c>
      <c r="F348" s="1" t="s">
        <v>1273</v>
      </c>
      <c r="G348" s="2">
        <v>0</v>
      </c>
      <c r="H348" s="14">
        <f>SUMIF(ENTRADAS71417[CÓDIGO],PRODUCTOS31316[[#This Row],[CÓDIGO]],ENTRADAS71417[CANTIDAD])</f>
        <v>0</v>
      </c>
      <c r="I348" s="11">
        <f>SUMIF(SALIDAS111518[CÓDIGO],PRODUCTOS31316[[#This Row],[CÓDIGO]],SALIDAS111518[CANTIDAD])</f>
        <v>0</v>
      </c>
      <c r="J348" s="6">
        <f>PRODUCTOS31316[[#This Row],[EXISTENCIAS]]+PRODUCTOS31316[[#This Row],[ENTRADAS]]-PRODUCTOS31316[[#This Row],[SALIDAS]]</f>
        <v>0</v>
      </c>
      <c r="L348" s="288"/>
      <c r="M348" s="288"/>
      <c r="N348" s="2">
        <v>7801</v>
      </c>
      <c r="O348" s="288" t="s">
        <v>3914</v>
      </c>
      <c r="P348" s="16">
        <v>46052</v>
      </c>
      <c r="Q348" s="288" t="s">
        <v>445</v>
      </c>
      <c r="R348" s="2">
        <f>VLOOKUP(SALIDAS111518[[#This Row],[CÓDIGO]],PRODUCTOS31316[],2,FALSE)</f>
        <v>0</v>
      </c>
      <c r="S348" s="1" t="str">
        <f>VLOOKUP(SALIDAS111518[[#This Row],[CÓDIGO]],PRODUCTOS31316[],3,FALSE)</f>
        <v>MANGA DE PALPACIÓN NARANJA</v>
      </c>
      <c r="T348" s="2">
        <v>1</v>
      </c>
      <c r="U348" s="282"/>
      <c r="V348" s="2"/>
      <c r="W348" s="2"/>
      <c r="X348" s="37"/>
      <c r="Y348" s="7"/>
      <c r="Z348" s="384" t="s">
        <v>5562</v>
      </c>
      <c r="AA348" s="385" t="s">
        <v>5561</v>
      </c>
      <c r="AB348" s="16">
        <v>46218</v>
      </c>
      <c r="AC348" s="384" t="s">
        <v>2340</v>
      </c>
      <c r="AD348" s="1" t="str">
        <f>VLOOKUP(ENTRADAS71417[[#This Row],[CÓDIGO]],PRODUCTOS31316[],2,FALSE)</f>
        <v>SMZ-05</v>
      </c>
      <c r="AE348" s="1" t="str">
        <f>VLOOKUP(ENTRADAS71417[[#This Row],[CÓDIGO]],PRODUCTOS31316[],3,FALSE)</f>
        <v>ESTEREOMICROSCOPIO ZOOM</v>
      </c>
      <c r="AF348" s="2">
        <v>3</v>
      </c>
      <c r="AG348" s="2"/>
      <c r="AH348" s="2">
        <v>153</v>
      </c>
    </row>
    <row r="349" spans="1:34" ht="49.95" customHeight="1" x14ac:dyDescent="0.3">
      <c r="A349" s="2" t="s">
        <v>1275</v>
      </c>
      <c r="B349" s="1" t="s">
        <v>1276</v>
      </c>
      <c r="C349" s="1" t="s">
        <v>1277</v>
      </c>
      <c r="D349" s="1" t="s">
        <v>855</v>
      </c>
      <c r="E349" s="1" t="s">
        <v>410</v>
      </c>
      <c r="F349" s="1" t="s">
        <v>124</v>
      </c>
      <c r="G349" s="2">
        <v>0</v>
      </c>
      <c r="H349" s="14">
        <f>SUMIF(ENTRADAS71417[CÓDIGO],PRODUCTOS31316[[#This Row],[CÓDIGO]],ENTRADAS71417[CANTIDAD])</f>
        <v>0</v>
      </c>
      <c r="I349" s="11">
        <f>SUMIF(SALIDAS111518[CÓDIGO],PRODUCTOS31316[[#This Row],[CÓDIGO]],SALIDAS111518[CANTIDAD])</f>
        <v>0</v>
      </c>
      <c r="J349" s="6">
        <f>PRODUCTOS31316[[#This Row],[EXISTENCIAS]]+PRODUCTOS31316[[#This Row],[ENTRADAS]]-PRODUCTOS31316[[#This Row],[SALIDAS]]</f>
        <v>0</v>
      </c>
      <c r="L349" s="288"/>
      <c r="M349" s="288"/>
      <c r="N349" s="2">
        <v>7801</v>
      </c>
      <c r="O349" s="288" t="s">
        <v>3914</v>
      </c>
      <c r="P349" s="16">
        <v>46052</v>
      </c>
      <c r="Q349" s="288" t="s">
        <v>2382</v>
      </c>
      <c r="R349" s="2">
        <f>VLOOKUP(SALIDAS111518[[#This Row],[CÓDIGO]],PRODUCTOS31316[],2,FALSE)</f>
        <v>1</v>
      </c>
      <c r="S349" s="1" t="str">
        <f>VLOOKUP(SALIDAS111518[[#This Row],[CÓDIGO]],PRODUCTOS31316[],3,FALSE)</f>
        <v>TERMO DE TRANSPORTE 1 LITRO</v>
      </c>
      <c r="T349" s="2">
        <v>1</v>
      </c>
      <c r="U349" s="282"/>
      <c r="V349" s="2"/>
      <c r="W349" s="2"/>
      <c r="X349" s="37"/>
      <c r="Y349" s="7"/>
      <c r="Z349" s="391" t="s">
        <v>5626</v>
      </c>
      <c r="AA349" s="390" t="s">
        <v>5625</v>
      </c>
      <c r="AB349" s="16">
        <v>46224</v>
      </c>
      <c r="AC349" s="2" t="s">
        <v>3190</v>
      </c>
      <c r="AD349" s="1">
        <f>VLOOKUP(ENTRADAS71417[[#This Row],[CÓDIGO]],PRODUCTOS31316[],2,FALSE)</f>
        <v>0</v>
      </c>
      <c r="AE349" s="1" t="str">
        <f>VLOOKUP(ENTRADAS71417[[#This Row],[CÓDIGO]],PRODUCTOS31316[],3,FALSE)</f>
        <v>IPAD MINI 6/ 64 GB</v>
      </c>
      <c r="AF349" s="2">
        <v>1</v>
      </c>
      <c r="AG349" s="2"/>
      <c r="AH349" s="2">
        <v>155</v>
      </c>
    </row>
    <row r="350" spans="1:34" ht="49.95" customHeight="1" x14ac:dyDescent="0.3">
      <c r="A350" s="2" t="s">
        <v>1279</v>
      </c>
      <c r="B350" s="1" t="s">
        <v>1280</v>
      </c>
      <c r="C350" s="1" t="s">
        <v>1281</v>
      </c>
      <c r="D350" s="1" t="s">
        <v>1282</v>
      </c>
      <c r="E350" s="1" t="s">
        <v>1283</v>
      </c>
      <c r="F350" s="1" t="s">
        <v>30</v>
      </c>
      <c r="G350" s="2">
        <v>0</v>
      </c>
      <c r="H350" s="14">
        <f>SUMIF(ENTRADAS71417[CÓDIGO],PRODUCTOS31316[[#This Row],[CÓDIGO]],ENTRADAS71417[CANTIDAD])</f>
        <v>0</v>
      </c>
      <c r="I350" s="11">
        <f>SUMIF(SALIDAS111518[CÓDIGO],PRODUCTOS31316[[#This Row],[CÓDIGO]],SALIDAS111518[CANTIDAD])</f>
        <v>0</v>
      </c>
      <c r="J350" s="6">
        <f>PRODUCTOS31316[[#This Row],[EXISTENCIAS]]+PRODUCTOS31316[[#This Row],[ENTRADAS]]-PRODUCTOS31316[[#This Row],[SALIDAS]]</f>
        <v>0</v>
      </c>
      <c r="L350" s="288"/>
      <c r="M350" s="288"/>
      <c r="N350" s="2">
        <v>7801</v>
      </c>
      <c r="O350" s="288" t="s">
        <v>3914</v>
      </c>
      <c r="P350" s="16">
        <v>46052</v>
      </c>
      <c r="Q350" s="288" t="s">
        <v>25</v>
      </c>
      <c r="R350" s="2">
        <f>VLOOKUP(SALIDAS111518[[#This Row],[CÓDIGO]],PRODUCTOS31316[],2,FALSE)</f>
        <v>0</v>
      </c>
      <c r="S350" s="1" t="str">
        <f>VLOOKUP(SALIDAS111518[[#This Row],[CÓDIGO]],PRODUCTOS31316[],3,FALSE)</f>
        <v>BOLSA TELA MAS CAMPO</v>
      </c>
      <c r="T350" s="2">
        <v>1</v>
      </c>
      <c r="U350" s="282"/>
      <c r="V350" s="2"/>
      <c r="W350" s="2"/>
      <c r="X350" s="37"/>
      <c r="Y350" s="7"/>
      <c r="Z350" s="391" t="s">
        <v>5628</v>
      </c>
      <c r="AA350" s="390" t="s">
        <v>5627</v>
      </c>
      <c r="AB350" s="16">
        <v>46224</v>
      </c>
      <c r="AC350" s="2" t="s">
        <v>43</v>
      </c>
      <c r="AD350" s="1">
        <f>VLOOKUP(ENTRADAS71417[[#This Row],[CÓDIGO]],PRODUCTOS31316[],2,FALSE)</f>
        <v>1601</v>
      </c>
      <c r="AE350" s="1" t="str">
        <f>VLOOKUP(ENTRADAS71417[[#This Row],[CÓDIGO]],PRODUCTOS31316[],3,FALSE)</f>
        <v>LAPAROSCOPIO CON LENTE (5mm) 0 GRADOS</v>
      </c>
      <c r="AF350" s="2">
        <v>1</v>
      </c>
      <c r="AG350" s="2"/>
      <c r="AH350" s="2">
        <v>156</v>
      </c>
    </row>
    <row r="351" spans="1:34" ht="49.95" customHeight="1" x14ac:dyDescent="0.3">
      <c r="A351" s="2" t="s">
        <v>1285</v>
      </c>
      <c r="B351" s="1" t="s">
        <v>1286</v>
      </c>
      <c r="C351" s="1" t="s">
        <v>1287</v>
      </c>
      <c r="D351" s="1" t="s">
        <v>1288</v>
      </c>
      <c r="E351" s="1" t="s">
        <v>352</v>
      </c>
      <c r="F351" s="1" t="s">
        <v>30</v>
      </c>
      <c r="G351" s="2">
        <v>0</v>
      </c>
      <c r="H351" s="14">
        <f>SUMIF(ENTRADAS71417[CÓDIGO],PRODUCTOS31316[[#This Row],[CÓDIGO]],ENTRADAS71417[CANTIDAD])</f>
        <v>0</v>
      </c>
      <c r="I351" s="11">
        <f>SUMIF(SALIDAS111518[CÓDIGO],PRODUCTOS31316[[#This Row],[CÓDIGO]],SALIDAS111518[CANTIDAD])</f>
        <v>0</v>
      </c>
      <c r="J351" s="6">
        <f>PRODUCTOS31316[[#This Row],[EXISTENCIAS]]+PRODUCTOS31316[[#This Row],[ENTRADAS]]-PRODUCTOS31316[[#This Row],[SALIDAS]]</f>
        <v>0</v>
      </c>
      <c r="L351" s="288" t="s">
        <v>3521</v>
      </c>
      <c r="M351" s="288" t="s">
        <v>3653</v>
      </c>
      <c r="N351" s="290" t="s">
        <v>3944</v>
      </c>
      <c r="O351" s="288" t="s">
        <v>3414</v>
      </c>
      <c r="P351" s="16">
        <v>46052</v>
      </c>
      <c r="Q351" s="288" t="s">
        <v>36</v>
      </c>
      <c r="R351" s="2">
        <f>VLOOKUP(SALIDAS111518[[#This Row],[CÓDIGO]],PRODUCTOS31316[],2,FALSE)</f>
        <v>1</v>
      </c>
      <c r="S351" s="1" t="str">
        <f>VLOOKUP(SALIDAS111518[[#This Row],[CÓDIGO]],PRODUCTOS31316[],3,FALSE)</f>
        <v xml:space="preserve">PARCHE ESTROTECT </v>
      </c>
      <c r="T351" s="2">
        <v>1</v>
      </c>
      <c r="U351" s="288" t="s">
        <v>3943</v>
      </c>
      <c r="V351" s="2"/>
      <c r="W351" s="2"/>
      <c r="X351" s="37"/>
      <c r="Y351" s="7"/>
      <c r="Z351" s="391" t="s">
        <v>5628</v>
      </c>
      <c r="AA351" s="390" t="s">
        <v>5627</v>
      </c>
      <c r="AB351" s="16">
        <v>46224</v>
      </c>
      <c r="AC351" s="2" t="s">
        <v>21</v>
      </c>
      <c r="AD351" s="1" t="str">
        <f>VLOOKUP(ENTRADAS71417[[#This Row],[CÓDIGO]],PRODUCTOS31316[],2,FALSE)</f>
        <v>HF6518.010.1</v>
      </c>
      <c r="AE351" s="1" t="str">
        <f>VLOOKUP(ENTRADAS71417[[#This Row],[CÓDIGO]],PRODUCTOS31316[],3,FALSE)</f>
        <v>TROCAR Y VAINA PRINCIPAL (INOX)</v>
      </c>
      <c r="AF351" s="2">
        <v>1</v>
      </c>
      <c r="AG351" s="2"/>
      <c r="AH351" s="2"/>
    </row>
    <row r="352" spans="1:34" ht="49.95" customHeight="1" x14ac:dyDescent="0.3">
      <c r="A352" s="2" t="s">
        <v>53</v>
      </c>
      <c r="B352" s="1" t="s">
        <v>1289</v>
      </c>
      <c r="C352" s="133" t="s">
        <v>1290</v>
      </c>
      <c r="D352" s="1" t="s">
        <v>442</v>
      </c>
      <c r="E352" s="1" t="s">
        <v>442</v>
      </c>
      <c r="F352" s="1" t="s">
        <v>30</v>
      </c>
      <c r="G352" s="2">
        <v>0</v>
      </c>
      <c r="H352" s="14">
        <f>SUMIF(ENTRADAS71417[CÓDIGO],PRODUCTOS31316[[#This Row],[CÓDIGO]],ENTRADAS71417[CANTIDAD])</f>
        <v>2</v>
      </c>
      <c r="I352" s="11">
        <f>SUMIF(SALIDAS111518[CÓDIGO],PRODUCTOS31316[[#This Row],[CÓDIGO]],SALIDAS111518[CANTIDAD])</f>
        <v>3</v>
      </c>
      <c r="J352" s="6">
        <f>PRODUCTOS31316[[#This Row],[EXISTENCIAS]]+PRODUCTOS31316[[#This Row],[ENTRADAS]]-PRODUCTOS31316[[#This Row],[SALIDAS]]</f>
        <v>-1</v>
      </c>
      <c r="L352" s="288" t="s">
        <v>3521</v>
      </c>
      <c r="M352" s="288" t="s">
        <v>3653</v>
      </c>
      <c r="N352" s="290" t="s">
        <v>3945</v>
      </c>
      <c r="O352" s="290" t="s">
        <v>3928</v>
      </c>
      <c r="P352" s="16">
        <v>46052</v>
      </c>
      <c r="Q352" s="288" t="s">
        <v>3075</v>
      </c>
      <c r="R352" s="2">
        <f>VLOOKUP(SALIDAS111518[[#This Row],[CÓDIGO]],PRODUCTOS31316[],2,FALSE)</f>
        <v>0</v>
      </c>
      <c r="S352" s="1" t="str">
        <f>VLOOKUP(SALIDAS111518[[#This Row],[CÓDIGO]],PRODUCTOS31316[],3,FALSE)</f>
        <v>AUTOJAC V3 ELECTROEYACUALADOR MANUAL Y AUTOMÁTICO</v>
      </c>
      <c r="T352" s="2">
        <v>1</v>
      </c>
      <c r="U352" s="290" t="s">
        <v>3957</v>
      </c>
      <c r="V352" s="2"/>
      <c r="W352" s="2"/>
      <c r="X352" s="2"/>
      <c r="Y352" s="7"/>
      <c r="Z352" s="391" t="s">
        <v>5628</v>
      </c>
      <c r="AA352" s="390" t="s">
        <v>5627</v>
      </c>
      <c r="AB352" s="16">
        <v>46224</v>
      </c>
      <c r="AC352" s="2" t="s">
        <v>26</v>
      </c>
      <c r="AD352" s="1" t="str">
        <f>VLOOKUP(ENTRADAS71417[[#This Row],[CÓDIGO]],PRODUCTOS31316[],2,FALSE)</f>
        <v>HF6518.010.1</v>
      </c>
      <c r="AE352" s="1" t="str">
        <f>VLOOKUP(ENTRADAS71417[[#This Row],[CÓDIGO]],PRODUCTOS31316[],3,FALSE)</f>
        <v>TROCAR Y VAINA SECUNDARIA (INOX)</v>
      </c>
      <c r="AF352" s="2">
        <v>1</v>
      </c>
      <c r="AG352" s="2"/>
      <c r="AH352" s="2"/>
    </row>
    <row r="353" spans="1:34" ht="49.95" customHeight="1" x14ac:dyDescent="0.3">
      <c r="A353" s="2" t="s">
        <v>1291</v>
      </c>
      <c r="B353" s="1" t="s">
        <v>1253</v>
      </c>
      <c r="C353" s="1" t="s">
        <v>1254</v>
      </c>
      <c r="D353" s="1" t="s">
        <v>1249</v>
      </c>
      <c r="E353" s="1" t="s">
        <v>1115</v>
      </c>
      <c r="F353" s="1" t="s">
        <v>365</v>
      </c>
      <c r="G353" s="2">
        <v>0</v>
      </c>
      <c r="H353" s="14">
        <f>SUMIF(ENTRADAS71417[CÓDIGO],PRODUCTOS31316[[#This Row],[CÓDIGO]],ENTRADAS71417[CANTIDAD])</f>
        <v>0</v>
      </c>
      <c r="I353" s="11">
        <f>SUMIF(SALIDAS111518[CÓDIGO],PRODUCTOS31316[[#This Row],[CÓDIGO]],SALIDAS111518[CANTIDAD])</f>
        <v>0</v>
      </c>
      <c r="J353" s="6">
        <f>PRODUCTOS31316[[#This Row],[EXISTENCIAS]]+PRODUCTOS31316[[#This Row],[ENTRADAS]]-PRODUCTOS31316[[#This Row],[SALIDAS]]</f>
        <v>0</v>
      </c>
      <c r="L353" s="288"/>
      <c r="M353" s="288"/>
      <c r="N353" s="288">
        <v>7802</v>
      </c>
      <c r="O353" s="290" t="s">
        <v>3928</v>
      </c>
      <c r="P353" s="16">
        <v>46052</v>
      </c>
      <c r="Q353" s="288" t="s">
        <v>3498</v>
      </c>
      <c r="R353" s="2">
        <f>VLOOKUP(SALIDAS111518[[#This Row],[CÓDIGO]],PRODUCTOS31316[],2,FALSE)</f>
        <v>6985</v>
      </c>
      <c r="S353" s="1" t="str">
        <f>VLOOKUP(SALIDAS111518[[#This Row],[CÓDIGO]],PRODUCTOS31316[],3,FALSE)</f>
        <v>MANGO DE RECOLECCIÓN DE SEMEN</v>
      </c>
      <c r="T353" s="2">
        <v>1</v>
      </c>
      <c r="U353" s="288"/>
      <c r="V353" s="2"/>
      <c r="W353" s="2"/>
      <c r="X353" s="2"/>
      <c r="Y353" s="7"/>
      <c r="Z353" s="391" t="s">
        <v>5628</v>
      </c>
      <c r="AA353" s="390" t="s">
        <v>5627</v>
      </c>
      <c r="AB353" s="16">
        <v>46224</v>
      </c>
      <c r="AC353" s="2" t="s">
        <v>32</v>
      </c>
      <c r="AD353" s="1" t="str">
        <f>VLOOKUP(ENTRADAS71417[[#This Row],[CÓDIGO]],PRODUCTOS31316[],2,FALSE)</f>
        <v>HF6518.945</v>
      </c>
      <c r="AE353" s="1" t="str">
        <f>VLOOKUP(ENTRADAS71417[[#This Row],[CÓDIGO]],PRODUCTOS31316[],3,FALSE)</f>
        <v>CONECTOR LAPAROSCOPIO</v>
      </c>
      <c r="AF353" s="2">
        <v>2</v>
      </c>
      <c r="AG353" s="2"/>
      <c r="AH353" s="2"/>
    </row>
    <row r="354" spans="1:34" ht="49.95" customHeight="1" x14ac:dyDescent="0.3">
      <c r="A354" s="2" t="s">
        <v>1293</v>
      </c>
      <c r="B354" s="1" t="s">
        <v>1294</v>
      </c>
      <c r="C354" s="1" t="s">
        <v>1295</v>
      </c>
      <c r="D354" s="1" t="s">
        <v>1294</v>
      </c>
      <c r="E354" s="1" t="s">
        <v>1296</v>
      </c>
      <c r="F354" s="1" t="s">
        <v>30</v>
      </c>
      <c r="G354" s="2">
        <v>0</v>
      </c>
      <c r="H354" s="14">
        <f>SUMIF(ENTRADAS71417[CÓDIGO],PRODUCTOS31316[[#This Row],[CÓDIGO]],ENTRADAS71417[CANTIDAD])</f>
        <v>0</v>
      </c>
      <c r="I354" s="11">
        <f>SUMIF(SALIDAS111518[CÓDIGO],PRODUCTOS31316[[#This Row],[CÓDIGO]],SALIDAS111518[CANTIDAD])</f>
        <v>0</v>
      </c>
      <c r="J354" s="6">
        <f>PRODUCTOS31316[[#This Row],[EXISTENCIAS]]+PRODUCTOS31316[[#This Row],[ENTRADAS]]-PRODUCTOS31316[[#This Row],[SALIDAS]]</f>
        <v>0</v>
      </c>
      <c r="L354" s="288"/>
      <c r="M354" s="288"/>
      <c r="N354" s="288">
        <v>7802</v>
      </c>
      <c r="O354" s="290" t="s">
        <v>3928</v>
      </c>
      <c r="P354" s="16">
        <v>46052</v>
      </c>
      <c r="Q354" s="288" t="s">
        <v>3614</v>
      </c>
      <c r="R354" s="2" t="str">
        <f>VLOOKUP(SALIDAS111518[[#This Row],[CÓDIGO]],PRODUCTOS31316[],2,FALSE)</f>
        <v>BS-2020B</v>
      </c>
      <c r="S354" s="1" t="str">
        <f>VLOOKUP(SALIDAS111518[[#This Row],[CÓDIGO]],PRODUCTOS31316[],3,FALSE)</f>
        <v>MICROSCOPIO BINOCULAR BIOLOGICO ( Objetivo acromático finito 4×, 10×, 40×, 100× (aceite)</v>
      </c>
      <c r="T354" s="2">
        <v>1</v>
      </c>
      <c r="U354" s="288"/>
      <c r="V354" s="2"/>
      <c r="W354" s="2"/>
      <c r="X354" s="2"/>
      <c r="Y354" s="7"/>
      <c r="Z354" s="391" t="s">
        <v>5629</v>
      </c>
      <c r="AA354" s="390" t="s">
        <v>4258</v>
      </c>
      <c r="AB354" s="16">
        <v>46225</v>
      </c>
      <c r="AC354" s="2" t="s">
        <v>5113</v>
      </c>
      <c r="AD354" s="1">
        <f>VLOOKUP(ENTRADAS71417[[#This Row],[CÓDIGO]],PRODUCTOS31316[],2,FALSE)</f>
        <v>0</v>
      </c>
      <c r="AE354" s="1" t="str">
        <f>VLOOKUP(ENTRADAS71417[[#This Row],[CÓDIGO]],PRODUCTOS31316[],3,FALSE)</f>
        <v>MICROPIPETA AUTOMATICA VOLUMEN VARIABLE DE 20 - 200 UL MARCA: JOAN LAB</v>
      </c>
      <c r="AF354" s="2">
        <v>4</v>
      </c>
      <c r="AG354" s="2"/>
      <c r="AH354" s="2">
        <v>157</v>
      </c>
    </row>
    <row r="355" spans="1:34" ht="49.95" customHeight="1" x14ac:dyDescent="0.3">
      <c r="A355" s="2" t="s">
        <v>1081</v>
      </c>
      <c r="B355" s="1">
        <v>70002000014</v>
      </c>
      <c r="C355" s="1" t="s">
        <v>1297</v>
      </c>
      <c r="D355" s="1" t="s">
        <v>156</v>
      </c>
      <c r="E355" s="1" t="s">
        <v>157</v>
      </c>
      <c r="F355" s="1" t="s">
        <v>30</v>
      </c>
      <c r="G355" s="2">
        <v>0</v>
      </c>
      <c r="H355" s="14">
        <f>SUMIF(ENTRADAS71417[CÓDIGO],PRODUCTOS31316[[#This Row],[CÓDIGO]],ENTRADAS71417[CANTIDAD])</f>
        <v>0</v>
      </c>
      <c r="I355" s="11">
        <f>SUMIF(SALIDAS111518[CÓDIGO],PRODUCTOS31316[[#This Row],[CÓDIGO]],SALIDAS111518[CANTIDAD])</f>
        <v>0</v>
      </c>
      <c r="J355" s="6">
        <f>PRODUCTOS31316[[#This Row],[EXISTENCIAS]]+PRODUCTOS31316[[#This Row],[ENTRADAS]]-PRODUCTOS31316[[#This Row],[SALIDAS]]</f>
        <v>0</v>
      </c>
      <c r="L355" s="282"/>
      <c r="M355" s="282"/>
      <c r="N355" s="288">
        <v>7802</v>
      </c>
      <c r="O355" s="290" t="s">
        <v>3928</v>
      </c>
      <c r="P355" s="16">
        <v>46052</v>
      </c>
      <c r="Q355" s="288" t="s">
        <v>3095</v>
      </c>
      <c r="R355" s="2">
        <f>VLOOKUP(SALIDAS111518[[#This Row],[CÓDIGO]],PRODUCTOS31316[],2,FALSE)</f>
        <v>0</v>
      </c>
      <c r="S355" s="1" t="str">
        <f>VLOOKUP(SALIDAS111518[[#This Row],[CÓDIGO]],PRODUCTOS31316[],3,FALSE)</f>
        <v>GORRA MAS CAMPO</v>
      </c>
      <c r="T355" s="2">
        <v>2</v>
      </c>
      <c r="U355" s="2"/>
      <c r="V355" s="2"/>
      <c r="W355" s="2"/>
      <c r="X355" s="2"/>
      <c r="Y355" s="7"/>
      <c r="Z355" s="391" t="s">
        <v>5624</v>
      </c>
      <c r="AA355" s="390" t="s">
        <v>4211</v>
      </c>
      <c r="AB355" s="16">
        <v>46225</v>
      </c>
      <c r="AC355" s="391" t="s">
        <v>115</v>
      </c>
      <c r="AD355" s="1" t="str">
        <f>VLOOKUP(ENTRADAS71417[[#This Row],[CÓDIGO]],PRODUCTOS31316[],2,FALSE)</f>
        <v>CTS-800</v>
      </c>
      <c r="AE355" s="1" t="str">
        <f>VLOOKUP(ENTRADAS71417[[#This Row],[CÓDIGO]],PRODUCTOS31316[],3,FALSE)</f>
        <v>ECOGRAFO SIUI ULTRA SOUND SCANNER WITH L7FCV</v>
      </c>
      <c r="AF355" s="2">
        <v>2</v>
      </c>
      <c r="AG355" s="2"/>
      <c r="AH355" s="2">
        <v>160</v>
      </c>
    </row>
    <row r="356" spans="1:34" ht="49.95" customHeight="1" x14ac:dyDescent="0.3">
      <c r="A356" s="2" t="s">
        <v>1298</v>
      </c>
      <c r="B356" s="1">
        <v>669</v>
      </c>
      <c r="C356" s="1" t="s">
        <v>1299</v>
      </c>
      <c r="D356" s="1" t="s">
        <v>429</v>
      </c>
      <c r="E356" s="1" t="s">
        <v>410</v>
      </c>
      <c r="F356" s="1" t="s">
        <v>30</v>
      </c>
      <c r="G356" s="2">
        <v>0</v>
      </c>
      <c r="H356" s="14">
        <f>SUMIF(ENTRADAS71417[CÓDIGO],PRODUCTOS31316[[#This Row],[CÓDIGO]],ENTRADAS71417[CANTIDAD])</f>
        <v>0</v>
      </c>
      <c r="I356" s="11">
        <f>SUMIF(SALIDAS111518[CÓDIGO],PRODUCTOS31316[[#This Row],[CÓDIGO]],SALIDAS111518[CANTIDAD])</f>
        <v>0</v>
      </c>
      <c r="J356" s="6">
        <f>PRODUCTOS31316[[#This Row],[EXISTENCIAS]]+PRODUCTOS31316[[#This Row],[ENTRADAS]]-PRODUCTOS31316[[#This Row],[SALIDAS]]</f>
        <v>0</v>
      </c>
      <c r="L356" s="282"/>
      <c r="M356" s="282"/>
      <c r="N356" s="288">
        <v>7802</v>
      </c>
      <c r="O356" s="290" t="s">
        <v>3928</v>
      </c>
      <c r="P356" s="16">
        <v>46052</v>
      </c>
      <c r="Q356" s="288" t="s">
        <v>3645</v>
      </c>
      <c r="R356" s="2">
        <f>VLOOKUP(SALIDAS111518[[#This Row],[CÓDIGO]],PRODUCTOS31316[],2,FALSE)</f>
        <v>0</v>
      </c>
      <c r="S356" s="1" t="str">
        <f>VLOOKUP(SALIDAS111518[[#This Row],[CÓDIGO]],PRODUCTOS31316[],3,FALSE)</f>
        <v>AGENDA MAS CAMPO</v>
      </c>
      <c r="T356" s="2">
        <v>2</v>
      </c>
      <c r="U356" s="2"/>
      <c r="V356" s="2"/>
      <c r="W356" s="2"/>
      <c r="X356" s="2"/>
      <c r="Y356" s="7"/>
      <c r="Z356" s="391" t="s">
        <v>5624</v>
      </c>
      <c r="AA356" s="390" t="s">
        <v>4211</v>
      </c>
      <c r="AB356" s="16">
        <v>46225</v>
      </c>
      <c r="AC356" s="391" t="s">
        <v>5618</v>
      </c>
      <c r="AD356" s="1">
        <f>VLOOKUP(ENTRADAS71417[[#This Row],[CÓDIGO]],PRODUCTOS31316[],2,FALSE)</f>
        <v>0</v>
      </c>
      <c r="AE356" s="1" t="str">
        <f>VLOOKUP(ENTRADAS71417[[#This Row],[CÓDIGO]],PRODUCTOS31316[],3,FALSE)</f>
        <v>GAFAS ECOGRAFO CTS 800</v>
      </c>
      <c r="AF356" s="2">
        <v>1</v>
      </c>
      <c r="AG356" s="2"/>
      <c r="AH356" s="2"/>
    </row>
    <row r="357" spans="1:34" ht="49.95" customHeight="1" x14ac:dyDescent="0.3">
      <c r="A357" s="2" t="s">
        <v>1300</v>
      </c>
      <c r="B357" s="1" t="s">
        <v>1301</v>
      </c>
      <c r="C357" s="1" t="s">
        <v>1302</v>
      </c>
      <c r="D357" s="1" t="s">
        <v>103</v>
      </c>
      <c r="E357" s="1" t="s">
        <v>24</v>
      </c>
      <c r="F357" s="1" t="s">
        <v>30</v>
      </c>
      <c r="G357" s="2">
        <v>0</v>
      </c>
      <c r="H357" s="14">
        <f>SUMIF(ENTRADAS71417[CÓDIGO],PRODUCTOS31316[[#This Row],[CÓDIGO]],ENTRADAS71417[CANTIDAD])</f>
        <v>0</v>
      </c>
      <c r="I357" s="11">
        <f>SUMIF(SALIDAS111518[CÓDIGO],PRODUCTOS31316[[#This Row],[CÓDIGO]],SALIDAS111518[CANTIDAD])</f>
        <v>0</v>
      </c>
      <c r="J357" s="6">
        <f>PRODUCTOS31316[[#This Row],[EXISTENCIAS]]+PRODUCTOS31316[[#This Row],[ENTRADAS]]-PRODUCTOS31316[[#This Row],[SALIDAS]]</f>
        <v>0</v>
      </c>
      <c r="L357" s="282"/>
      <c r="M357" s="282"/>
      <c r="N357" s="288">
        <v>7802</v>
      </c>
      <c r="O357" s="290" t="s">
        <v>3928</v>
      </c>
      <c r="P357" s="16">
        <v>46052</v>
      </c>
      <c r="Q357" s="288" t="s">
        <v>3649</v>
      </c>
      <c r="R357" s="2">
        <f>VLOOKUP(SALIDAS111518[[#This Row],[CÓDIGO]],PRODUCTOS31316[],2,FALSE)</f>
        <v>0</v>
      </c>
      <c r="S357" s="1" t="str">
        <f>VLOOKUP(SALIDAS111518[[#This Row],[CÓDIGO]],PRODUCTOS31316[],3,FALSE)</f>
        <v>ESFEROS MAS CAMPO</v>
      </c>
      <c r="T357" s="2">
        <v>1</v>
      </c>
      <c r="U357" s="2"/>
      <c r="V357" s="2"/>
      <c r="W357" s="2"/>
      <c r="X357" s="2"/>
      <c r="Y357" s="7"/>
      <c r="Z357" s="407" t="s">
        <v>5729</v>
      </c>
      <c r="AA357" s="340" t="s">
        <v>2000</v>
      </c>
      <c r="AB357" s="16">
        <v>46226</v>
      </c>
      <c r="AC357" s="393" t="s">
        <v>4768</v>
      </c>
      <c r="AD357" s="1" t="str">
        <f>VLOOKUP(ENTRADAS71417[[#This Row],[CÓDIGO]],PRODUCTOS31316[],2,FALSE)</f>
        <v>BLX-V10 III</v>
      </c>
      <c r="AE357" s="1" t="str">
        <f>VLOOKUP(ENTRADAS71417[[#This Row],[CÓDIGO]],PRODUCTOS31316[],3,FALSE)</f>
        <v>ECOGRAFO BLX-V10 III MARCA: BOXERLY</v>
      </c>
      <c r="AF357" s="2">
        <v>3</v>
      </c>
      <c r="AG357" s="2"/>
      <c r="AH357" s="2">
        <v>161</v>
      </c>
    </row>
    <row r="358" spans="1:34" ht="49.95" customHeight="1" x14ac:dyDescent="0.3">
      <c r="A358" s="2" t="s">
        <v>1303</v>
      </c>
      <c r="B358" s="1" t="s">
        <v>1304</v>
      </c>
      <c r="C358" s="1" t="s">
        <v>1305</v>
      </c>
      <c r="D358" s="1" t="s">
        <v>103</v>
      </c>
      <c r="E358" s="1" t="s">
        <v>24</v>
      </c>
      <c r="F358" s="1" t="s">
        <v>30</v>
      </c>
      <c r="G358" s="2">
        <v>0</v>
      </c>
      <c r="H358" s="14">
        <f>SUMIF(ENTRADAS71417[CÓDIGO],PRODUCTOS31316[[#This Row],[CÓDIGO]],ENTRADAS71417[CANTIDAD])</f>
        <v>0</v>
      </c>
      <c r="I358" s="11">
        <f>SUMIF(SALIDAS111518[CÓDIGO],PRODUCTOS31316[[#This Row],[CÓDIGO]],SALIDAS111518[CANTIDAD])</f>
        <v>0</v>
      </c>
      <c r="J358" s="6">
        <f>PRODUCTOS31316[[#This Row],[EXISTENCIAS]]+PRODUCTOS31316[[#This Row],[ENTRADAS]]-PRODUCTOS31316[[#This Row],[SALIDAS]]</f>
        <v>0</v>
      </c>
      <c r="L358" s="282"/>
      <c r="M358" s="282"/>
      <c r="N358" s="288">
        <v>7802</v>
      </c>
      <c r="O358" s="290" t="s">
        <v>3928</v>
      </c>
      <c r="P358" s="16">
        <v>46052</v>
      </c>
      <c r="Q358" s="288" t="s">
        <v>25</v>
      </c>
      <c r="R358" s="2">
        <f>VLOOKUP(SALIDAS111518[[#This Row],[CÓDIGO]],PRODUCTOS31316[],2,FALSE)</f>
        <v>0</v>
      </c>
      <c r="S358" s="1" t="str">
        <f>VLOOKUP(SALIDAS111518[[#This Row],[CÓDIGO]],PRODUCTOS31316[],3,FALSE)</f>
        <v>BOLSA TELA MAS CAMPO</v>
      </c>
      <c r="T358" s="2">
        <v>1</v>
      </c>
      <c r="U358" s="2"/>
      <c r="V358" s="2"/>
      <c r="W358" s="2"/>
      <c r="X358" s="2"/>
      <c r="Y358" s="7"/>
      <c r="Z358" s="407" t="s">
        <v>5730</v>
      </c>
      <c r="AA358" s="1" t="s">
        <v>2411</v>
      </c>
      <c r="AB358" s="16">
        <v>46230</v>
      </c>
      <c r="AC358" s="2" t="s">
        <v>648</v>
      </c>
      <c r="AD358" s="1" t="str">
        <f>VLOOKUP(ENTRADAS71417[[#This Row],[CÓDIGO]],PRODUCTOS31316[],2,FALSE)</f>
        <v>S5</v>
      </c>
      <c r="AE358" s="1" t="str">
        <f>VLOOKUP(ENTRADAS71417[[#This Row],[CÓDIGO]],PRODUCTOS31316[],3,FALSE)</f>
        <v>SONDA S5 UNIDAD PRINCIPAL CON SONDA LINEAL RECTAL</v>
      </c>
      <c r="AF358" s="2">
        <v>10</v>
      </c>
      <c r="AG358" s="2"/>
      <c r="AH358" s="2">
        <v>162</v>
      </c>
    </row>
    <row r="359" spans="1:34" ht="49.95" customHeight="1" x14ac:dyDescent="0.3">
      <c r="A359" s="203" t="s">
        <v>149</v>
      </c>
      <c r="B359" s="1">
        <v>18621</v>
      </c>
      <c r="C359" s="216" t="s">
        <v>1306</v>
      </c>
      <c r="D359" s="1" t="s">
        <v>442</v>
      </c>
      <c r="E359" s="1" t="s">
        <v>442</v>
      </c>
      <c r="F359" s="1" t="s">
        <v>30</v>
      </c>
      <c r="G359" s="2">
        <v>1</v>
      </c>
      <c r="H359" s="14">
        <f>SUMIF(ENTRADAS71417[CÓDIGO],PRODUCTOS31316[[#This Row],[CÓDIGO]],ENTRADAS71417[CANTIDAD])</f>
        <v>11</v>
      </c>
      <c r="I359" s="11">
        <f>SUMIF(SALIDAS111518[CÓDIGO],PRODUCTOS31316[[#This Row],[CÓDIGO]],SALIDAS111518[CANTIDAD])</f>
        <v>9</v>
      </c>
      <c r="J359" s="6">
        <f>PRODUCTOS31316[[#This Row],[EXISTENCIAS]]+PRODUCTOS31316[[#This Row],[ENTRADAS]]-PRODUCTOS31316[[#This Row],[SALIDAS]]</f>
        <v>3</v>
      </c>
      <c r="L359" s="288" t="s">
        <v>3520</v>
      </c>
      <c r="M359" s="288" t="s">
        <v>3653</v>
      </c>
      <c r="N359" s="290" t="s">
        <v>3946</v>
      </c>
      <c r="O359" s="305" t="s">
        <v>3920</v>
      </c>
      <c r="P359" s="16">
        <v>46052</v>
      </c>
      <c r="Q359" s="288" t="s">
        <v>648</v>
      </c>
      <c r="R359" s="2" t="str">
        <f>VLOOKUP(SALIDAS111518[[#This Row],[CÓDIGO]],PRODUCTOS31316[],2,FALSE)</f>
        <v>S5</v>
      </c>
      <c r="S359" s="1" t="str">
        <f>VLOOKUP(SALIDAS111518[[#This Row],[CÓDIGO]],PRODUCTOS31316[],3,FALSE)</f>
        <v>SONDA S5 UNIDAD PRINCIPAL CON SONDA LINEAL RECTAL</v>
      </c>
      <c r="T359" s="2">
        <v>1</v>
      </c>
      <c r="U359" s="290" t="s">
        <v>3958</v>
      </c>
      <c r="V359" s="2"/>
      <c r="W359" s="2"/>
      <c r="X359" s="2"/>
      <c r="Y359" s="7"/>
      <c r="Z359" s="407" t="s">
        <v>5730</v>
      </c>
      <c r="AA359" s="1" t="s">
        <v>2411</v>
      </c>
      <c r="AB359" s="16">
        <v>46230</v>
      </c>
      <c r="AC359" s="2" t="s">
        <v>3211</v>
      </c>
      <c r="AD359" s="1" t="str">
        <f>VLOOKUP(ENTRADAS71417[[#This Row],[CÓDIGO]],PRODUCTOS31316[],2,FALSE)</f>
        <v>S7</v>
      </c>
      <c r="AE359" s="1" t="str">
        <f>VLOOKUP(ENTRADAS71417[[#This Row],[CÓDIGO]],PRODUCTOS31316[],3,FALSE)</f>
        <v>SONDA S7 PLUS DOPPLER COLOR</v>
      </c>
      <c r="AF359" s="2">
        <v>6</v>
      </c>
      <c r="AG359" s="2"/>
      <c r="AH359" s="2"/>
    </row>
    <row r="360" spans="1:34" ht="49.95" customHeight="1" x14ac:dyDescent="0.3">
      <c r="A360" s="2" t="s">
        <v>1190</v>
      </c>
      <c r="B360" s="1" t="s">
        <v>1307</v>
      </c>
      <c r="C360" s="1" t="s">
        <v>1308</v>
      </c>
      <c r="D360" s="1" t="s">
        <v>956</v>
      </c>
      <c r="E360" s="1" t="s">
        <v>957</v>
      </c>
      <c r="F360" s="1" t="s">
        <v>172</v>
      </c>
      <c r="G360" s="2">
        <v>50</v>
      </c>
      <c r="H360" s="14">
        <f>SUMIF(ENTRADAS71417[CÓDIGO],PRODUCTOS31316[[#This Row],[CÓDIGO]],ENTRADAS71417[CANTIDAD])</f>
        <v>0</v>
      </c>
      <c r="I360" s="11">
        <f>SUMIF(SALIDAS111518[CÓDIGO],PRODUCTOS31316[[#This Row],[CÓDIGO]],SALIDAS111518[CANTIDAD])</f>
        <v>1</v>
      </c>
      <c r="J360" s="6">
        <f>PRODUCTOS31316[[#This Row],[EXISTENCIAS]]+PRODUCTOS31316[[#This Row],[ENTRADAS]]-PRODUCTOS31316[[#This Row],[SALIDAS]]</f>
        <v>49</v>
      </c>
      <c r="L360" s="282"/>
      <c r="M360" s="282"/>
      <c r="N360" s="276">
        <v>7803</v>
      </c>
      <c r="O360" s="288" t="s">
        <v>3920</v>
      </c>
      <c r="P360" s="16">
        <v>46052</v>
      </c>
      <c r="Q360" s="288" t="s">
        <v>3791</v>
      </c>
      <c r="R360" s="2">
        <f>VLOOKUP(SALIDAS111518[[#This Row],[CÓDIGO]],PRODUCTOS31316[],2,FALSE)</f>
        <v>6936520864546</v>
      </c>
      <c r="S360" s="1" t="str">
        <f>VLOOKUP(SALIDAS111518[[#This Row],[CÓDIGO]],PRODUCTOS31316[],3,FALSE)</f>
        <v>TABLET 11" HONOR PAD X8A 128 GB</v>
      </c>
      <c r="T360" s="2">
        <v>1</v>
      </c>
      <c r="U360" s="2"/>
      <c r="V360" s="2"/>
      <c r="W360" s="2"/>
      <c r="X360" s="2"/>
      <c r="Y360" s="7"/>
      <c r="Z360" s="407" t="s">
        <v>5730</v>
      </c>
      <c r="AA360" s="1" t="s">
        <v>2411</v>
      </c>
      <c r="AB360" s="16">
        <v>46230</v>
      </c>
      <c r="AC360" s="2" t="s">
        <v>3346</v>
      </c>
      <c r="AD360" s="1" t="str">
        <f>VLOOKUP(ENTRADAS71417[[#This Row],[CÓDIGO]],PRODUCTOS31316[],2,FALSE)</f>
        <v>S7PRO</v>
      </c>
      <c r="AE360" s="1" t="str">
        <f>VLOOKUP(ENTRADAS71417[[#This Row],[CÓDIGO]],PRODUCTOS31316[],3,FALSE)</f>
        <v>ECÓGRAFO S7 PRO VET CON SONDA LINEAL RECTAL</v>
      </c>
      <c r="AF360" s="2">
        <v>6</v>
      </c>
      <c r="AG360" s="2"/>
      <c r="AH360" s="2"/>
    </row>
    <row r="361" spans="1:34" ht="49.95" customHeight="1" x14ac:dyDescent="0.3">
      <c r="A361" s="2" t="s">
        <v>1309</v>
      </c>
      <c r="B361" s="1" t="s">
        <v>1310</v>
      </c>
      <c r="C361" s="1" t="s">
        <v>1311</v>
      </c>
      <c r="E361" s="1" t="s">
        <v>1312</v>
      </c>
      <c r="F361" s="1" t="s">
        <v>30</v>
      </c>
      <c r="G361" s="2">
        <v>0</v>
      </c>
      <c r="H361" s="14">
        <f>SUMIF(ENTRADAS71417[CÓDIGO],PRODUCTOS31316[[#This Row],[CÓDIGO]],ENTRADAS71417[CANTIDAD])</f>
        <v>0</v>
      </c>
      <c r="I361" s="11">
        <f>SUMIF(SALIDAS111518[CÓDIGO],PRODUCTOS31316[[#This Row],[CÓDIGO]],SALIDAS111518[CANTIDAD])</f>
        <v>0</v>
      </c>
      <c r="J361" s="6">
        <f>PRODUCTOS31316[[#This Row],[EXISTENCIAS]]+PRODUCTOS31316[[#This Row],[ENTRADAS]]-PRODUCTOS31316[[#This Row],[SALIDAS]]</f>
        <v>0</v>
      </c>
      <c r="L361" s="282"/>
      <c r="M361" s="282"/>
      <c r="N361" s="276">
        <v>7803</v>
      </c>
      <c r="O361" s="288" t="s">
        <v>3920</v>
      </c>
      <c r="P361" s="16">
        <v>46052</v>
      </c>
      <c r="Q361" s="288" t="s">
        <v>3286</v>
      </c>
      <c r="R361" s="2">
        <f>VLOOKUP(SALIDAS111518[[#This Row],[CÓDIGO]],PRODUCTOS31316[],2,FALSE)</f>
        <v>0</v>
      </c>
      <c r="S361" s="1" t="str">
        <f>VLOOKUP(SALIDAS111518[[#This Row],[CÓDIGO]],PRODUCTOS31316[],3,FALSE)</f>
        <v>CARCASA TABLET BMV</v>
      </c>
      <c r="T361" s="2">
        <v>1</v>
      </c>
      <c r="U361" s="2"/>
      <c r="V361" s="2"/>
      <c r="W361" s="2"/>
      <c r="X361" s="2"/>
      <c r="Y361" s="7"/>
      <c r="Z361" s="407" t="s">
        <v>5730</v>
      </c>
      <c r="AA361" s="1" t="s">
        <v>2411</v>
      </c>
      <c r="AB361" s="16">
        <v>46230</v>
      </c>
      <c r="AC361" s="2" t="s">
        <v>3202</v>
      </c>
      <c r="AD361" s="1">
        <f>VLOOKUP(ENTRADAS71417[[#This Row],[CÓDIGO]],PRODUCTOS31316[],2,FALSE)</f>
        <v>0</v>
      </c>
      <c r="AE361" s="1" t="str">
        <f>VLOOKUP(ENTRADAS71417[[#This Row],[CÓDIGO]],PRODUCTOS31316[],3,FALSE)</f>
        <v>CABLE REPUESTO ECOGRAFO S5</v>
      </c>
      <c r="AF361" s="2">
        <v>22</v>
      </c>
      <c r="AG361" s="2"/>
      <c r="AH361" s="2"/>
    </row>
    <row r="362" spans="1:34" ht="49.95" customHeight="1" x14ac:dyDescent="0.3">
      <c r="A362" s="2" t="s">
        <v>1313</v>
      </c>
      <c r="B362" s="1" t="s">
        <v>1314</v>
      </c>
      <c r="C362" s="1" t="s">
        <v>1315</v>
      </c>
      <c r="D362" s="1" t="s">
        <v>639</v>
      </c>
      <c r="E362" s="1" t="s">
        <v>639</v>
      </c>
      <c r="F362" s="1" t="s">
        <v>30</v>
      </c>
      <c r="G362" s="2">
        <v>0</v>
      </c>
      <c r="H362" s="14">
        <f>SUMIF(ENTRADAS71417[CÓDIGO],PRODUCTOS31316[[#This Row],[CÓDIGO]],ENTRADAS71417[CANTIDAD])</f>
        <v>0</v>
      </c>
      <c r="I362" s="11">
        <f>SUMIF(SALIDAS111518[CÓDIGO],PRODUCTOS31316[[#This Row],[CÓDIGO]],SALIDAS111518[CANTIDAD])</f>
        <v>0</v>
      </c>
      <c r="J362" s="6">
        <f>PRODUCTOS31316[[#This Row],[EXISTENCIAS]]+PRODUCTOS31316[[#This Row],[ENTRADAS]]-PRODUCTOS31316[[#This Row],[SALIDAS]]</f>
        <v>0</v>
      </c>
      <c r="L362" s="282"/>
      <c r="M362" s="282"/>
      <c r="N362" s="276">
        <v>7803</v>
      </c>
      <c r="O362" s="288" t="s">
        <v>3920</v>
      </c>
      <c r="P362" s="16">
        <v>46052</v>
      </c>
      <c r="Q362" s="288" t="s">
        <v>3181</v>
      </c>
      <c r="R362" s="2">
        <f>VLOOKUP(SALIDAS111518[[#This Row],[CÓDIGO]],PRODUCTOS31316[],2,FALSE)</f>
        <v>7416</v>
      </c>
      <c r="S362" s="1" t="str">
        <f>VLOOKUP(SALIDAS111518[[#This Row],[CÓDIGO]],PRODUCTOS31316[],3,FALSE)</f>
        <v>CAJA PLÁSTICA DE 22" DE TRANSPORTE</v>
      </c>
      <c r="T362" s="2">
        <v>1</v>
      </c>
      <c r="U362" s="2"/>
      <c r="V362" s="2"/>
      <c r="W362" s="2"/>
      <c r="X362" s="2"/>
      <c r="Y362" s="7"/>
      <c r="Z362" s="407" t="s">
        <v>5730</v>
      </c>
      <c r="AA362" s="1" t="s">
        <v>2411</v>
      </c>
      <c r="AB362" s="16">
        <v>46230</v>
      </c>
      <c r="AC362" s="2" t="s">
        <v>3286</v>
      </c>
      <c r="AD362" s="1">
        <f>VLOOKUP(ENTRADAS71417[[#This Row],[CÓDIGO]],PRODUCTOS31316[],2,FALSE)</f>
        <v>0</v>
      </c>
      <c r="AE362" s="1" t="str">
        <f>VLOOKUP(ENTRADAS71417[[#This Row],[CÓDIGO]],PRODUCTOS31316[],3,FALSE)</f>
        <v>CARCASA TABLET BMV</v>
      </c>
      <c r="AF362" s="2">
        <v>29</v>
      </c>
      <c r="AG362" s="2"/>
      <c r="AH362" s="2"/>
    </row>
    <row r="363" spans="1:34" ht="49.95" customHeight="1" x14ac:dyDescent="0.3">
      <c r="A363" s="203" t="s">
        <v>382</v>
      </c>
      <c r="B363" s="1">
        <v>605032</v>
      </c>
      <c r="C363" s="216" t="s">
        <v>1316</v>
      </c>
      <c r="D363" s="1" t="s">
        <v>1317</v>
      </c>
      <c r="E363" s="1" t="s">
        <v>352</v>
      </c>
      <c r="F363" s="1" t="s">
        <v>1318</v>
      </c>
      <c r="G363" s="31">
        <f>23+1+1</f>
        <v>25</v>
      </c>
      <c r="H363" s="14">
        <f>SUMIF(ENTRADAS71417[CÓDIGO],PRODUCTOS31316[[#This Row],[CÓDIGO]],ENTRADAS71417[CANTIDAD])</f>
        <v>48</v>
      </c>
      <c r="I363" s="11">
        <f>SUMIF(SALIDAS111518[CÓDIGO],PRODUCTOS31316[[#This Row],[CÓDIGO]],SALIDAS111518[CANTIDAD])</f>
        <v>41</v>
      </c>
      <c r="J363" s="6">
        <f>PRODUCTOS31316[[#This Row],[EXISTENCIAS]]+PRODUCTOS31316[[#This Row],[ENTRADAS]]-PRODUCTOS31316[[#This Row],[SALIDAS]]</f>
        <v>32</v>
      </c>
      <c r="L363" s="282"/>
      <c r="M363" s="282"/>
      <c r="N363" s="276">
        <v>7803</v>
      </c>
      <c r="O363" s="288" t="s">
        <v>3920</v>
      </c>
      <c r="P363" s="16">
        <v>46052</v>
      </c>
      <c r="Q363" s="288" t="s">
        <v>153</v>
      </c>
      <c r="R363" s="2">
        <f>VLOOKUP(SALIDAS111518[[#This Row],[CÓDIGO]],PRODUCTOS31316[],2,FALSE)</f>
        <v>1132</v>
      </c>
      <c r="S363" s="1" t="str">
        <f>VLOOKUP(SALIDAS111518[[#This Row],[CÓDIGO]],PRODUCTOS31316[],3,FALSE)</f>
        <v>PISTOLA QUICKLOCK CLASIC</v>
      </c>
      <c r="T363" s="2">
        <v>1</v>
      </c>
      <c r="U363" s="2"/>
      <c r="V363" s="2"/>
      <c r="W363" s="2"/>
      <c r="X363" s="2"/>
      <c r="Y363" s="7"/>
      <c r="Z363" s="407" t="s">
        <v>5730</v>
      </c>
      <c r="AA363" s="1" t="s">
        <v>2411</v>
      </c>
      <c r="AB363" s="16">
        <v>46230</v>
      </c>
      <c r="AC363" s="2" t="s">
        <v>2420</v>
      </c>
      <c r="AD363" s="1" t="str">
        <f>VLOOKUP(ENTRADAS71417[[#This Row],[CÓDIGO]],PRODUCTOS31316[],2,FALSE)</f>
        <v>L 60</v>
      </c>
      <c r="AE363" s="1" t="str">
        <f>VLOOKUP(ENTRADAS71417[[#This Row],[CÓDIGO]],PRODUCTOS31316[],3,FALSE)</f>
        <v>SONDA LINEAL RECTAL L60 BMV</v>
      </c>
      <c r="AF363" s="2">
        <v>2</v>
      </c>
      <c r="AG363" s="2"/>
      <c r="AH363" s="2"/>
    </row>
    <row r="364" spans="1:34" ht="49.95" customHeight="1" x14ac:dyDescent="0.3">
      <c r="A364" s="203" t="s">
        <v>299</v>
      </c>
      <c r="B364" s="1" t="s">
        <v>1319</v>
      </c>
      <c r="C364" s="1" t="s">
        <v>1320</v>
      </c>
      <c r="D364" s="1" t="s">
        <v>618</v>
      </c>
      <c r="E364" s="1" t="s">
        <v>352</v>
      </c>
      <c r="F364" s="1" t="s">
        <v>30</v>
      </c>
      <c r="G364" s="2">
        <v>0</v>
      </c>
      <c r="H364" s="14">
        <f>SUMIF(ENTRADAS71417[CÓDIGO],PRODUCTOS31316[[#This Row],[CÓDIGO]],ENTRADAS71417[CANTIDAD])</f>
        <v>0</v>
      </c>
      <c r="I364" s="11">
        <f>SUMIF(SALIDAS111518[CÓDIGO],PRODUCTOS31316[[#This Row],[CÓDIGO]],SALIDAS111518[CANTIDAD])</f>
        <v>0</v>
      </c>
      <c r="J364" s="6">
        <f>PRODUCTOS31316[[#This Row],[EXISTENCIAS]]+PRODUCTOS31316[[#This Row],[ENTRADAS]]-PRODUCTOS31316[[#This Row],[SALIDAS]]</f>
        <v>0</v>
      </c>
      <c r="L364" s="282"/>
      <c r="M364" s="282"/>
      <c r="N364" s="276">
        <v>7803</v>
      </c>
      <c r="O364" s="288" t="s">
        <v>3920</v>
      </c>
      <c r="P364" s="16">
        <v>46052</v>
      </c>
      <c r="Q364" s="288" t="s">
        <v>369</v>
      </c>
      <c r="R364" s="2">
        <f>VLOOKUP(SALIDAS111518[[#This Row],[CÓDIGO]],PRODUCTOS31316[],2,FALSE)</f>
        <v>0</v>
      </c>
      <c r="S364" s="1" t="str">
        <f>VLOOKUP(SALIDAS111518[[#This Row],[CÓDIGO]],PRODUCTOS31316[],3,FALSE)</f>
        <v>FUNDA UNIVERSAL PARA I.A. RANURADA</v>
      </c>
      <c r="T364" s="2">
        <v>1</v>
      </c>
      <c r="U364" s="2"/>
      <c r="V364" s="2"/>
      <c r="W364" s="2"/>
      <c r="X364" s="2"/>
      <c r="Y364" s="7"/>
      <c r="Z364" s="407" t="s">
        <v>5730</v>
      </c>
      <c r="AA364" s="1" t="s">
        <v>2411</v>
      </c>
      <c r="AB364" s="16">
        <v>46230</v>
      </c>
      <c r="AC364" s="2" t="s">
        <v>3213</v>
      </c>
      <c r="AD364" s="1" t="str">
        <f>VLOOKUP(ENTRADAS71417[[#This Row],[CÓDIGO]],PRODUCTOS31316[],2,FALSE)</f>
        <v>SONDA S7</v>
      </c>
      <c r="AE364" s="1" t="str">
        <f>VLOOKUP(ENTRADAS71417[[#This Row],[CÓDIGO]],PRODUCTOS31316[],3,FALSE)</f>
        <v>SONDA ADICIONAL S7 PLUS</v>
      </c>
      <c r="AF364" s="2">
        <v>1</v>
      </c>
      <c r="AG364" s="2" t="s">
        <v>3277</v>
      </c>
      <c r="AH364" s="2"/>
    </row>
    <row r="365" spans="1:34" ht="49.95" customHeight="1" x14ac:dyDescent="0.3">
      <c r="A365" s="203" t="s">
        <v>1321</v>
      </c>
      <c r="B365" s="1">
        <v>438913</v>
      </c>
      <c r="C365" s="1" t="s">
        <v>1322</v>
      </c>
      <c r="D365" s="1" t="s">
        <v>1323</v>
      </c>
      <c r="E365" s="1" t="s">
        <v>352</v>
      </c>
      <c r="F365" s="1" t="s">
        <v>30</v>
      </c>
      <c r="G365" s="31">
        <v>4</v>
      </c>
      <c r="H365" s="14">
        <f>SUMIF(ENTRADAS71417[CÓDIGO],PRODUCTOS31316[[#This Row],[CÓDIGO]],ENTRADAS71417[CANTIDAD])</f>
        <v>0</v>
      </c>
      <c r="I365" s="11">
        <f>SUMIF(SALIDAS111518[CÓDIGO],PRODUCTOS31316[[#This Row],[CÓDIGO]],SALIDAS111518[CANTIDAD])</f>
        <v>4</v>
      </c>
      <c r="J365" s="6">
        <f>PRODUCTOS31316[[#This Row],[EXISTENCIAS]]+PRODUCTOS31316[[#This Row],[ENTRADAS]]-PRODUCTOS31316[[#This Row],[SALIDAS]]</f>
        <v>0</v>
      </c>
      <c r="L365" s="282"/>
      <c r="M365" s="282"/>
      <c r="N365" s="276">
        <v>7803</v>
      </c>
      <c r="O365" s="288" t="s">
        <v>3920</v>
      </c>
      <c r="P365" s="16">
        <v>46052</v>
      </c>
      <c r="Q365" s="288" t="s">
        <v>236</v>
      </c>
      <c r="R365" s="2">
        <f>VLOOKUP(SALIDAS111518[[#This Row],[CÓDIGO]],PRODUCTOS31316[],2,FALSE)</f>
        <v>0</v>
      </c>
      <c r="S365" s="1" t="str">
        <f>VLOOKUP(SALIDAS111518[[#This Row],[CÓDIGO]],PRODUCTOS31316[],3,FALSE)</f>
        <v>TERMO METÁLICO DESCONGELADOR</v>
      </c>
      <c r="T365" s="2">
        <v>1</v>
      </c>
      <c r="U365" s="2"/>
      <c r="V365" s="2"/>
      <c r="W365" s="2"/>
      <c r="X365" s="2"/>
      <c r="Y365" s="7"/>
      <c r="Z365" s="407" t="s">
        <v>5730</v>
      </c>
      <c r="AA365" s="1" t="s">
        <v>2411</v>
      </c>
      <c r="AB365" s="16">
        <v>46230</v>
      </c>
      <c r="AC365" s="2" t="s">
        <v>5663</v>
      </c>
      <c r="AD365" s="1">
        <f>VLOOKUP(ENTRADAS71417[[#This Row],[CÓDIGO]],PRODUCTOS31316[],2,FALSE)</f>
        <v>0</v>
      </c>
      <c r="AE365" s="1" t="str">
        <f>VLOOKUP(ENTRADAS71417[[#This Row],[CÓDIGO]],PRODUCTOS31316[],3,FALSE)</f>
        <v>ECOGRAFO BMV MX9 DOPPLER 1 SENSOR</v>
      </c>
      <c r="AF365" s="2">
        <v>1</v>
      </c>
      <c r="AG365" s="2"/>
      <c r="AH365" s="2"/>
    </row>
    <row r="366" spans="1:34" ht="49.95" customHeight="1" x14ac:dyDescent="0.3">
      <c r="A366" s="2" t="s">
        <v>776</v>
      </c>
      <c r="B366" s="1">
        <v>704133</v>
      </c>
      <c r="C366" s="74" t="s">
        <v>1324</v>
      </c>
      <c r="D366" s="1" t="s">
        <v>618</v>
      </c>
      <c r="E366" s="1" t="s">
        <v>352</v>
      </c>
      <c r="F366" s="1" t="s">
        <v>30</v>
      </c>
      <c r="G366" s="2">
        <v>0</v>
      </c>
      <c r="H366" s="14">
        <f>SUMIF(ENTRADAS71417[CÓDIGO],PRODUCTOS31316[[#This Row],[CÓDIGO]],ENTRADAS71417[CANTIDAD])</f>
        <v>0</v>
      </c>
      <c r="I366" s="11">
        <f>SUMIF(SALIDAS111518[CÓDIGO],PRODUCTOS31316[[#This Row],[CÓDIGO]],SALIDAS111518[CANTIDAD])</f>
        <v>0</v>
      </c>
      <c r="J366" s="6">
        <f>PRODUCTOS31316[[#This Row],[EXISTENCIAS]]+PRODUCTOS31316[[#This Row],[ENTRADAS]]-PRODUCTOS31316[[#This Row],[SALIDAS]]</f>
        <v>0</v>
      </c>
      <c r="L366" s="282"/>
      <c r="M366" s="282"/>
      <c r="N366" s="276">
        <v>7803</v>
      </c>
      <c r="O366" s="288" t="s">
        <v>3920</v>
      </c>
      <c r="P366" s="16">
        <v>46052</v>
      </c>
      <c r="Q366" s="288" t="s">
        <v>2364</v>
      </c>
      <c r="R366" s="2">
        <f>VLOOKUP(SALIDAS111518[[#This Row],[CÓDIGO]],PRODUCTOS31316[],2,FALSE)</f>
        <v>0</v>
      </c>
      <c r="S366" s="1" t="str">
        <f>VLOOKUP(SALIDAS111518[[#This Row],[CÓDIGO]],PRODUCTOS31316[],3,FALSE)</f>
        <v>CORTAPAJILLAS WTA</v>
      </c>
      <c r="T366" s="2">
        <v>1</v>
      </c>
      <c r="U366" s="2"/>
      <c r="V366" s="2"/>
      <c r="W366" s="2"/>
      <c r="X366" s="2"/>
      <c r="Y366" s="7"/>
      <c r="Z366" s="407" t="s">
        <v>5730</v>
      </c>
      <c r="AA366" s="1" t="s">
        <v>2411</v>
      </c>
      <c r="AB366" s="16">
        <v>46230</v>
      </c>
      <c r="AC366" s="2" t="s">
        <v>5664</v>
      </c>
      <c r="AD366" s="1">
        <f>VLOOKUP(ENTRADAS71417[[#This Row],[CÓDIGO]],PRODUCTOS31316[],2,FALSE)</f>
        <v>0</v>
      </c>
      <c r="AE366" s="1" t="str">
        <f>VLOOKUP(ENTRADAS71417[[#This Row],[CÓDIGO]],PRODUCTOS31316[],3,FALSE)</f>
        <v>ECOGRAFO BMV MX9 DOPPLER 2 SENSORES</v>
      </c>
      <c r="AF366" s="2">
        <v>1</v>
      </c>
      <c r="AG366" s="2"/>
      <c r="AH366" s="2"/>
    </row>
    <row r="367" spans="1:34" ht="49.95" customHeight="1" x14ac:dyDescent="0.3">
      <c r="A367" s="2" t="s">
        <v>1325</v>
      </c>
      <c r="B367" s="1" t="s">
        <v>1326</v>
      </c>
      <c r="C367" s="1" t="s">
        <v>1327</v>
      </c>
      <c r="D367" s="1" t="s">
        <v>103</v>
      </c>
      <c r="E367" s="1" t="s">
        <v>352</v>
      </c>
      <c r="F367" s="1" t="s">
        <v>30</v>
      </c>
      <c r="G367" s="2">
        <v>3</v>
      </c>
      <c r="H367" s="14">
        <f>SUMIF(ENTRADAS71417[CÓDIGO],PRODUCTOS31316[[#This Row],[CÓDIGO]],ENTRADAS71417[CANTIDAD])</f>
        <v>0</v>
      </c>
      <c r="I367" s="11">
        <f>SUMIF(SALIDAS111518[CÓDIGO],PRODUCTOS31316[[#This Row],[CÓDIGO]],SALIDAS111518[CANTIDAD])</f>
        <v>0</v>
      </c>
      <c r="J367" s="6">
        <f>PRODUCTOS31316[[#This Row],[EXISTENCIAS]]+PRODUCTOS31316[[#This Row],[ENTRADAS]]-PRODUCTOS31316[[#This Row],[SALIDAS]]</f>
        <v>3</v>
      </c>
      <c r="L367" s="282"/>
      <c r="M367" s="282"/>
      <c r="N367" s="276">
        <v>7803</v>
      </c>
      <c r="O367" s="288" t="s">
        <v>3920</v>
      </c>
      <c r="P367" s="16">
        <v>46052</v>
      </c>
      <c r="Q367" s="288" t="s">
        <v>25</v>
      </c>
      <c r="R367" s="2">
        <f>VLOOKUP(SALIDAS111518[[#This Row],[CÓDIGO]],PRODUCTOS31316[],2,FALSE)</f>
        <v>0</v>
      </c>
      <c r="S367" s="1" t="str">
        <f>VLOOKUP(SALIDAS111518[[#This Row],[CÓDIGO]],PRODUCTOS31316[],3,FALSE)</f>
        <v>BOLSA TELA MAS CAMPO</v>
      </c>
      <c r="T367" s="2">
        <v>1</v>
      </c>
      <c r="U367" s="2"/>
      <c r="V367" s="2"/>
      <c r="W367" s="2"/>
      <c r="X367" s="2"/>
      <c r="Y367" s="7"/>
      <c r="Z367" s="407" t="s">
        <v>5730</v>
      </c>
      <c r="AA367" s="1" t="s">
        <v>2411</v>
      </c>
      <c r="AB367" s="16">
        <v>46230</v>
      </c>
      <c r="AC367" s="407" t="s">
        <v>5731</v>
      </c>
      <c r="AD367" s="1">
        <f>VLOOKUP(ENTRADAS71417[[#This Row],[CÓDIGO]],PRODUCTOS31316[],2,FALSE)</f>
        <v>0</v>
      </c>
      <c r="AE367" s="1" t="str">
        <f>VLOOKUP(ENTRADAS71417[[#This Row],[CÓDIGO]],PRODUCTOS31316[],3,FALSE)</f>
        <v>SONDA GRASA DORSAL PARA ECOGRAFO BMV S7</v>
      </c>
      <c r="AF367" s="2">
        <v>1</v>
      </c>
      <c r="AG367" s="2"/>
      <c r="AH367" s="2"/>
    </row>
    <row r="368" spans="1:34" ht="49.95" customHeight="1" x14ac:dyDescent="0.3">
      <c r="A368" s="2" t="s">
        <v>606</v>
      </c>
      <c r="B368" s="1">
        <v>24857</v>
      </c>
      <c r="C368" s="1" t="s">
        <v>1328</v>
      </c>
      <c r="D368" s="1" t="s">
        <v>156</v>
      </c>
      <c r="E368" s="1" t="s">
        <v>352</v>
      </c>
      <c r="F368" s="1" t="s">
        <v>30</v>
      </c>
      <c r="G368" s="2">
        <v>0</v>
      </c>
      <c r="H368" s="14">
        <f>SUMIF(ENTRADAS71417[CÓDIGO],PRODUCTOS31316[[#This Row],[CÓDIGO]],ENTRADAS71417[CANTIDAD])</f>
        <v>0</v>
      </c>
      <c r="I368" s="11">
        <f>SUMIF(SALIDAS111518[CÓDIGO],PRODUCTOS31316[[#This Row],[CÓDIGO]],SALIDAS111518[CANTIDAD])</f>
        <v>0</v>
      </c>
      <c r="J368" s="6">
        <f>PRODUCTOS31316[[#This Row],[EXISTENCIAS]]+PRODUCTOS31316[[#This Row],[ENTRADAS]]-PRODUCTOS31316[[#This Row],[SALIDAS]]</f>
        <v>0</v>
      </c>
      <c r="L368" s="282"/>
      <c r="M368" s="282"/>
      <c r="N368" s="276">
        <v>7803</v>
      </c>
      <c r="O368" s="288" t="s">
        <v>3920</v>
      </c>
      <c r="P368" s="16">
        <v>46052</v>
      </c>
      <c r="Q368" s="288" t="s">
        <v>3095</v>
      </c>
      <c r="R368" s="2">
        <f>VLOOKUP(SALIDAS111518[[#This Row],[CÓDIGO]],PRODUCTOS31316[],2,FALSE)</f>
        <v>0</v>
      </c>
      <c r="S368" s="1" t="str">
        <f>VLOOKUP(SALIDAS111518[[#This Row],[CÓDIGO]],PRODUCTOS31316[],3,FALSE)</f>
        <v>GORRA MAS CAMPO</v>
      </c>
      <c r="T368" s="2">
        <v>2</v>
      </c>
      <c r="U368" s="2"/>
      <c r="V368" s="2"/>
      <c r="W368" s="2"/>
      <c r="X368" s="2"/>
      <c r="Y368" s="7"/>
      <c r="Z368" s="2" t="s">
        <v>5669</v>
      </c>
      <c r="AA368" s="1" t="s">
        <v>5670</v>
      </c>
      <c r="AB368" s="16">
        <v>46230</v>
      </c>
      <c r="AC368" s="2" t="s">
        <v>5667</v>
      </c>
      <c r="AD368" s="1">
        <f>VLOOKUP(ENTRADAS71417[[#This Row],[CÓDIGO]],PRODUCTOS31316[],2,FALSE)</f>
        <v>0</v>
      </c>
      <c r="AE368" s="1" t="str">
        <f>VLOOKUP(ENTRADAS71417[[#This Row],[CÓDIGO]],PRODUCTOS31316[],3,FALSE)</f>
        <v>ECOGRAFO INALAMBRICO SONO EYE/ INCLUYE TABLET</v>
      </c>
      <c r="AF368" s="2">
        <v>1</v>
      </c>
      <c r="AG368" s="2"/>
      <c r="AH368" s="2">
        <v>163</v>
      </c>
    </row>
    <row r="369" spans="1:34" ht="49.95" customHeight="1" x14ac:dyDescent="0.3">
      <c r="A369" s="2" t="s">
        <v>1329</v>
      </c>
      <c r="B369" s="1" t="s">
        <v>1330</v>
      </c>
      <c r="C369" s="1" t="s">
        <v>1331</v>
      </c>
      <c r="D369" s="1" t="s">
        <v>1332</v>
      </c>
      <c r="E369" s="1" t="s">
        <v>1115</v>
      </c>
      <c r="F369" s="1" t="s">
        <v>1333</v>
      </c>
      <c r="G369" s="2">
        <v>0</v>
      </c>
      <c r="H369" s="14">
        <f>SUMIF(ENTRADAS71417[CÓDIGO],PRODUCTOS31316[[#This Row],[CÓDIGO]],ENTRADAS71417[CANTIDAD])</f>
        <v>0</v>
      </c>
      <c r="I369" s="11">
        <f>SUMIF(SALIDAS111518[CÓDIGO],PRODUCTOS31316[[#This Row],[CÓDIGO]],SALIDAS111518[CANTIDAD])</f>
        <v>0</v>
      </c>
      <c r="J369" s="6">
        <f>PRODUCTOS31316[[#This Row],[EXISTENCIAS]]+PRODUCTOS31316[[#This Row],[ENTRADAS]]-PRODUCTOS31316[[#This Row],[SALIDAS]]</f>
        <v>0</v>
      </c>
      <c r="L369" s="282"/>
      <c r="M369" s="282"/>
      <c r="N369" s="276">
        <v>7803</v>
      </c>
      <c r="O369" s="288" t="s">
        <v>3920</v>
      </c>
      <c r="P369" s="16">
        <v>46052</v>
      </c>
      <c r="Q369" s="288" t="s">
        <v>3645</v>
      </c>
      <c r="R369" s="2">
        <f>VLOOKUP(SALIDAS111518[[#This Row],[CÓDIGO]],PRODUCTOS31316[],2,FALSE)</f>
        <v>0</v>
      </c>
      <c r="S369" s="1" t="str">
        <f>VLOOKUP(SALIDAS111518[[#This Row],[CÓDIGO]],PRODUCTOS31316[],3,FALSE)</f>
        <v>AGENDA MAS CAMPO</v>
      </c>
      <c r="T369" s="2">
        <v>1</v>
      </c>
      <c r="U369" s="2"/>
      <c r="V369" s="2"/>
      <c r="W369" s="2"/>
      <c r="X369" s="2"/>
      <c r="Y369" s="7"/>
      <c r="Z369" s="2">
        <v>54851</v>
      </c>
      <c r="AA369" s="398" t="s">
        <v>5690</v>
      </c>
      <c r="AB369" s="16">
        <v>46230</v>
      </c>
      <c r="AC369" s="2" t="s">
        <v>5083</v>
      </c>
      <c r="AD369" s="1">
        <f>VLOOKUP(ENTRADAS71417[[#This Row],[CÓDIGO]],PRODUCTOS31316[],2,FALSE)</f>
        <v>0</v>
      </c>
      <c r="AE369" s="1" t="str">
        <f>VLOOKUP(ENTRADAS71417[[#This Row],[CÓDIGO]],PRODUCTOS31316[],3,FALSE)</f>
        <v>TABLET SANSUNG GALAXY TAB A11+</v>
      </c>
      <c r="AF369" s="2">
        <v>30</v>
      </c>
      <c r="AG369" s="2" t="s">
        <v>5666</v>
      </c>
      <c r="AH369" s="2">
        <v>164</v>
      </c>
    </row>
    <row r="370" spans="1:34" ht="49.95" customHeight="1" x14ac:dyDescent="0.3">
      <c r="A370" s="2" t="s">
        <v>1334</v>
      </c>
      <c r="B370" s="1" t="s">
        <v>1335</v>
      </c>
      <c r="C370" s="74" t="s">
        <v>1336</v>
      </c>
      <c r="D370" s="1" t="s">
        <v>1323</v>
      </c>
      <c r="E370" s="1" t="s">
        <v>352</v>
      </c>
      <c r="F370" s="1" t="s">
        <v>30</v>
      </c>
      <c r="G370" s="2">
        <v>0</v>
      </c>
      <c r="H370" s="14">
        <f>SUMIF(ENTRADAS71417[CÓDIGO],PRODUCTOS31316[[#This Row],[CÓDIGO]],ENTRADAS71417[CANTIDAD])</f>
        <v>0</v>
      </c>
      <c r="I370" s="11">
        <f>SUMIF(SALIDAS111518[CÓDIGO],PRODUCTOS31316[[#This Row],[CÓDIGO]],SALIDAS111518[CANTIDAD])</f>
        <v>0</v>
      </c>
      <c r="J370" s="6">
        <f>PRODUCTOS31316[[#This Row],[EXISTENCIAS]]+PRODUCTOS31316[[#This Row],[ENTRADAS]]-PRODUCTOS31316[[#This Row],[SALIDAS]]</f>
        <v>0</v>
      </c>
      <c r="L370" s="282"/>
      <c r="M370" s="282"/>
      <c r="N370" s="276">
        <v>7803</v>
      </c>
      <c r="O370" s="288" t="s">
        <v>3920</v>
      </c>
      <c r="P370" s="16">
        <v>46052</v>
      </c>
      <c r="Q370" s="288" t="s">
        <v>3649</v>
      </c>
      <c r="R370" s="2">
        <f>VLOOKUP(SALIDAS111518[[#This Row],[CÓDIGO]],PRODUCTOS31316[],2,FALSE)</f>
        <v>0</v>
      </c>
      <c r="S370" s="1" t="str">
        <f>VLOOKUP(SALIDAS111518[[#This Row],[CÓDIGO]],PRODUCTOS31316[],3,FALSE)</f>
        <v>ESFEROS MAS CAMPO</v>
      </c>
      <c r="T370" s="2">
        <v>1</v>
      </c>
      <c r="U370" s="2"/>
      <c r="V370" s="2"/>
      <c r="W370" s="2"/>
      <c r="X370" s="2"/>
      <c r="Y370" s="7"/>
      <c r="Z370" s="407" t="s">
        <v>5736</v>
      </c>
      <c r="AA370" s="1" t="s">
        <v>4477</v>
      </c>
      <c r="AB370" s="16">
        <v>46230</v>
      </c>
      <c r="AC370" s="2" t="s">
        <v>4447</v>
      </c>
      <c r="AD370" s="1">
        <f>VLOOKUP(ENTRADAS71417[[#This Row],[CÓDIGO]],PRODUCTOS31316[],2,FALSE)</f>
        <v>0</v>
      </c>
      <c r="AE370" s="1" t="str">
        <f>VLOOKUP(ENTRADAS71417[[#This Row],[CÓDIGO]],PRODUCTOS31316[],3,FALSE)</f>
        <v>DISPOSITIVO DE SEPARACIÓN DE ESPERMA EQUINO VETMOTL 850 UL</v>
      </c>
      <c r="AF370" s="2">
        <v>150</v>
      </c>
      <c r="AG370" s="2"/>
      <c r="AH370" s="2">
        <v>173</v>
      </c>
    </row>
    <row r="371" spans="1:34" ht="49.95" customHeight="1" x14ac:dyDescent="0.3">
      <c r="A371" s="2" t="s">
        <v>1337</v>
      </c>
      <c r="B371" s="1">
        <v>34324</v>
      </c>
      <c r="C371" s="1" t="s">
        <v>1338</v>
      </c>
      <c r="D371" s="1" t="s">
        <v>822</v>
      </c>
      <c r="E371" s="1" t="s">
        <v>177</v>
      </c>
      <c r="F371" s="1" t="s">
        <v>1339</v>
      </c>
      <c r="G371" s="2">
        <v>0</v>
      </c>
      <c r="H371" s="14">
        <f>SUMIF(ENTRADAS71417[CÓDIGO],PRODUCTOS31316[[#This Row],[CÓDIGO]],ENTRADAS71417[CANTIDAD])</f>
        <v>0</v>
      </c>
      <c r="I371" s="11">
        <f>SUMIF(SALIDAS111518[CÓDIGO],PRODUCTOS31316[[#This Row],[CÓDIGO]],SALIDAS111518[CANTIDAD])</f>
        <v>0</v>
      </c>
      <c r="J371" s="6">
        <f>PRODUCTOS31316[[#This Row],[EXISTENCIAS]]+PRODUCTOS31316[[#This Row],[ENTRADAS]]-PRODUCTOS31316[[#This Row],[SALIDAS]]</f>
        <v>0</v>
      </c>
      <c r="L371" s="288" t="s">
        <v>3520</v>
      </c>
      <c r="M371" s="288" t="s">
        <v>3653</v>
      </c>
      <c r="N371" s="290" t="s">
        <v>3948</v>
      </c>
      <c r="O371" s="288" t="s">
        <v>2944</v>
      </c>
      <c r="P371" s="16">
        <v>46052</v>
      </c>
      <c r="Q371" s="288" t="s">
        <v>651</v>
      </c>
      <c r="R371" s="2">
        <f>VLOOKUP(SALIDAS111518[[#This Row],[CÓDIGO]],PRODUCTOS31316[],2,FALSE)</f>
        <v>18367</v>
      </c>
      <c r="S371" s="1" t="str">
        <f>VLOOKUP(SALIDAS111518[[#This Row],[CÓDIGO]],PRODUCTOS31316[],3,FALSE)</f>
        <v>PISTOLA DE INSEMINACIÓN UNIVERSAL (AUTOMATIC LOCK)</v>
      </c>
      <c r="T371" s="2">
        <v>1</v>
      </c>
      <c r="U371" s="1" t="s">
        <v>3947</v>
      </c>
      <c r="V371" s="2"/>
      <c r="W371" s="2"/>
      <c r="X371" s="38"/>
      <c r="Y371" s="7"/>
      <c r="Z371" s="407" t="s">
        <v>5736</v>
      </c>
      <c r="AA371" s="1" t="s">
        <v>4477</v>
      </c>
      <c r="AB371" s="16">
        <v>46230</v>
      </c>
      <c r="AC371" s="2" t="s">
        <v>4417</v>
      </c>
      <c r="AD371" s="1">
        <f>VLOOKUP(ENTRADAS71417[[#This Row],[CÓDIGO]],PRODUCTOS31316[],2,FALSE)</f>
        <v>0</v>
      </c>
      <c r="AE371" s="1" t="str">
        <f>VLOOKUP(ENTRADAS71417[[#This Row],[CÓDIGO]],PRODUCTOS31316[],3,FALSE)</f>
        <v>DISPOSITIVO DE SEPARACIÓN DE ESPERMA BOVINO VETMOTL</v>
      </c>
      <c r="AF371" s="2">
        <v>30</v>
      </c>
      <c r="AG371" s="2"/>
      <c r="AH371" s="2"/>
    </row>
    <row r="372" spans="1:34" ht="49.95" customHeight="1" x14ac:dyDescent="0.3">
      <c r="A372" s="2" t="s">
        <v>1023</v>
      </c>
      <c r="B372" s="1">
        <v>1077020</v>
      </c>
      <c r="C372" s="1" t="s">
        <v>1340</v>
      </c>
      <c r="D372" s="1" t="s">
        <v>1341</v>
      </c>
      <c r="E372" s="1" t="s">
        <v>352</v>
      </c>
      <c r="F372" s="1" t="s">
        <v>68</v>
      </c>
      <c r="G372" s="2">
        <v>3</v>
      </c>
      <c r="H372" s="14">
        <f>SUMIF(ENTRADAS71417[CÓDIGO],PRODUCTOS31316[[#This Row],[CÓDIGO]],ENTRADAS71417[CANTIDAD])</f>
        <v>0</v>
      </c>
      <c r="I372" s="11">
        <f>SUMIF(SALIDAS111518[CÓDIGO],PRODUCTOS31316[[#This Row],[CÓDIGO]],SALIDAS111518[CANTIDAD])</f>
        <v>0</v>
      </c>
      <c r="J372" s="6">
        <f>PRODUCTOS31316[[#This Row],[EXISTENCIAS]]+PRODUCTOS31316[[#This Row],[ENTRADAS]]-PRODUCTOS31316[[#This Row],[SALIDAS]]</f>
        <v>3</v>
      </c>
      <c r="L372" s="288" t="s">
        <v>3520</v>
      </c>
      <c r="M372" s="288" t="s">
        <v>3653</v>
      </c>
      <c r="N372" s="288" t="s">
        <v>4019</v>
      </c>
      <c r="O372" s="288" t="s">
        <v>94</v>
      </c>
      <c r="P372" s="16">
        <v>46053</v>
      </c>
      <c r="Q372" s="288" t="s">
        <v>15</v>
      </c>
      <c r="R372" s="2" t="str">
        <f>VLOOKUP(SALIDAS111518[[#This Row],[CÓDIGO]],PRODUCTOS31316[],2,FALSE)</f>
        <v>BTE-025PT/ 504002</v>
      </c>
      <c r="S372" s="1" t="str">
        <f>VLOOKUP(SALIDAS111518[[#This Row],[CÓDIGO]],PRODUCTOS31316[],3,FALSE)</f>
        <v>FUNDAS PARA TRANSFERENCIA DE EMBRIONES</v>
      </c>
      <c r="T372" s="2">
        <v>200</v>
      </c>
      <c r="U372" s="2"/>
      <c r="V372" s="2"/>
      <c r="W372" s="2"/>
      <c r="X372" s="38"/>
      <c r="Y372" s="7"/>
      <c r="Z372" s="399" t="s">
        <v>5701</v>
      </c>
      <c r="AA372" s="1" t="s">
        <v>2231</v>
      </c>
      <c r="AB372" s="16">
        <v>46231</v>
      </c>
      <c r="AC372" s="2" t="s">
        <v>2232</v>
      </c>
      <c r="AD372" s="1">
        <f>VLOOKUP(ENTRADAS71417[[#This Row],[CÓDIGO]],PRODUCTOS31316[],2,FALSE)</f>
        <v>0</v>
      </c>
      <c r="AE372" s="1" t="str">
        <f>VLOOKUP(ENTRADAS71417[[#This Row],[CÓDIGO]],PRODUCTOS31316[],3,FALSE)</f>
        <v>CONO RECOLECTOR</v>
      </c>
      <c r="AF372" s="2">
        <v>20</v>
      </c>
      <c r="AG372" s="2"/>
      <c r="AH372" s="2">
        <v>158</v>
      </c>
    </row>
    <row r="373" spans="1:34" ht="49.95" customHeight="1" x14ac:dyDescent="0.3">
      <c r="A373" s="2" t="s">
        <v>1342</v>
      </c>
      <c r="B373" s="1" t="s">
        <v>1343</v>
      </c>
      <c r="C373" s="94" t="s">
        <v>1344</v>
      </c>
      <c r="D373" s="1" t="s">
        <v>1345</v>
      </c>
      <c r="E373" s="1" t="s">
        <v>352</v>
      </c>
      <c r="F373" s="1" t="s">
        <v>30</v>
      </c>
      <c r="G373" s="2">
        <v>0</v>
      </c>
      <c r="H373" s="14">
        <f>SUMIF(ENTRADAS71417[CÓDIGO],PRODUCTOS31316[[#This Row],[CÓDIGO]],ENTRADAS71417[CANTIDAD])</f>
        <v>0</v>
      </c>
      <c r="I373" s="11">
        <f>SUMIF(SALIDAS111518[CÓDIGO],PRODUCTOS31316[[#This Row],[CÓDIGO]],SALIDAS111518[CANTIDAD])</f>
        <v>0</v>
      </c>
      <c r="J373" s="6">
        <f>PRODUCTOS31316[[#This Row],[EXISTENCIAS]]+PRODUCTOS31316[[#This Row],[ENTRADAS]]-PRODUCTOS31316[[#This Row],[SALIDAS]]</f>
        <v>0</v>
      </c>
      <c r="L373" s="282"/>
      <c r="M373" s="282"/>
      <c r="N373" s="288" t="s">
        <v>4019</v>
      </c>
      <c r="O373" s="288" t="s">
        <v>94</v>
      </c>
      <c r="P373" s="16">
        <v>46053</v>
      </c>
      <c r="Q373" s="288" t="s">
        <v>1779</v>
      </c>
      <c r="R373" s="2">
        <f>VLOOKUP(SALIDAS111518[[#This Row],[CÓDIGO]],PRODUCTOS31316[],2,FALSE)</f>
        <v>5563</v>
      </c>
      <c r="S373" s="1" t="str">
        <f>VLOOKUP(SALIDAS111518[[#This Row],[CÓDIGO]],PRODUCTOS31316[],3,FALSE)</f>
        <v>CAMISA SANITARIA ROLLO X 80</v>
      </c>
      <c r="T373" s="2">
        <v>13</v>
      </c>
      <c r="U373" s="2"/>
      <c r="V373" s="2"/>
      <c r="W373" s="2"/>
      <c r="X373" s="2"/>
      <c r="Y373" s="7"/>
      <c r="Z373" s="399" t="s">
        <v>5701</v>
      </c>
      <c r="AA373" s="1" t="s">
        <v>2231</v>
      </c>
      <c r="AB373" s="16">
        <v>46231</v>
      </c>
      <c r="AC373" s="2" t="s">
        <v>236</v>
      </c>
      <c r="AD373" s="1">
        <f>VLOOKUP(ENTRADAS71417[[#This Row],[CÓDIGO]],PRODUCTOS31316[],2,FALSE)</f>
        <v>0</v>
      </c>
      <c r="AE373" s="1" t="str">
        <f>VLOOKUP(ENTRADAS71417[[#This Row],[CÓDIGO]],PRODUCTOS31316[],3,FALSE)</f>
        <v>TERMO METÁLICO DESCONGELADOR</v>
      </c>
      <c r="AF373" s="2">
        <v>15</v>
      </c>
      <c r="AG373" s="2"/>
      <c r="AH373" s="2"/>
    </row>
    <row r="374" spans="1:34" ht="49.95" customHeight="1" x14ac:dyDescent="0.3">
      <c r="A374" s="2" t="s">
        <v>1346</v>
      </c>
      <c r="B374" s="1" t="s">
        <v>1347</v>
      </c>
      <c r="C374" s="1" t="s">
        <v>1348</v>
      </c>
      <c r="D374" s="1" t="s">
        <v>1345</v>
      </c>
      <c r="E374" s="1" t="s">
        <v>352</v>
      </c>
      <c r="F374" s="1" t="s">
        <v>30</v>
      </c>
      <c r="G374" s="2">
        <v>0</v>
      </c>
      <c r="H374" s="14">
        <f>SUMIF(ENTRADAS71417[CÓDIGO],PRODUCTOS31316[[#This Row],[CÓDIGO]],ENTRADAS71417[CANTIDAD])</f>
        <v>0</v>
      </c>
      <c r="I374" s="11">
        <f>SUMIF(SALIDAS111518[CÓDIGO],PRODUCTOS31316[[#This Row],[CÓDIGO]],SALIDAS111518[CANTIDAD])</f>
        <v>0</v>
      </c>
      <c r="J374" s="6">
        <f>PRODUCTOS31316[[#This Row],[EXISTENCIAS]]+PRODUCTOS31316[[#This Row],[ENTRADAS]]-PRODUCTOS31316[[#This Row],[SALIDAS]]</f>
        <v>0</v>
      </c>
      <c r="L374" s="288" t="s">
        <v>3520</v>
      </c>
      <c r="M374" s="288" t="s">
        <v>3931</v>
      </c>
      <c r="N374" s="290" t="s">
        <v>3949</v>
      </c>
      <c r="O374" s="290" t="s">
        <v>3934</v>
      </c>
      <c r="P374" s="16">
        <v>46055</v>
      </c>
      <c r="Q374" s="288" t="s">
        <v>36</v>
      </c>
      <c r="R374" s="2">
        <f>VLOOKUP(SALIDAS111518[[#This Row],[CÓDIGO]],PRODUCTOS31316[],2,FALSE)</f>
        <v>1</v>
      </c>
      <c r="S374" s="1" t="str">
        <f>VLOOKUP(SALIDAS111518[[#This Row],[CÓDIGO]],PRODUCTOS31316[],3,FALSE)</f>
        <v xml:space="preserve">PARCHE ESTROTECT </v>
      </c>
      <c r="T374" s="2">
        <v>2</v>
      </c>
      <c r="U374" s="2">
        <v>179</v>
      </c>
      <c r="V374" s="2"/>
      <c r="W374" s="2"/>
      <c r="X374" s="2"/>
      <c r="Y374" s="7"/>
      <c r="Z374" s="413" t="s">
        <v>5702</v>
      </c>
      <c r="AA374" s="401" t="s">
        <v>3740</v>
      </c>
      <c r="AB374" s="16">
        <v>46233</v>
      </c>
      <c r="AC374" s="399" t="s">
        <v>210</v>
      </c>
      <c r="AD374" s="1">
        <f>VLOOKUP(ENTRADAS71417[[#This Row],[CÓDIGO]],PRODUCTOS31316[],2,FALSE)</f>
        <v>101257</v>
      </c>
      <c r="AE374" s="1" t="str">
        <f>VLOOKUP(ENTRADAS71417[[#This Row],[CÓDIGO]],PRODUCTOS31316[],3,FALSE)</f>
        <v>MANGA DESECHABLE SUPER SENSITIVA</v>
      </c>
      <c r="AF374" s="2">
        <v>60</v>
      </c>
      <c r="AG374" s="2"/>
      <c r="AH374" s="2">
        <v>167</v>
      </c>
    </row>
    <row r="375" spans="1:34" ht="49.95" customHeight="1" x14ac:dyDescent="0.3">
      <c r="A375" s="2" t="s">
        <v>411</v>
      </c>
      <c r="C375" s="1" t="s">
        <v>1349</v>
      </c>
      <c r="D375" s="1" t="s">
        <v>118</v>
      </c>
      <c r="E375" s="1" t="s">
        <v>352</v>
      </c>
      <c r="F375" s="1" t="s">
        <v>30</v>
      </c>
      <c r="G375" s="31">
        <v>428</v>
      </c>
      <c r="H375" s="14">
        <f>SUMIF(ENTRADAS71417[CÓDIGO],PRODUCTOS31316[[#This Row],[CÓDIGO]],ENTRADAS71417[CANTIDAD])</f>
        <v>1000</v>
      </c>
      <c r="I375" s="11">
        <f>SUMIF(SALIDAS111518[CÓDIGO],PRODUCTOS31316[[#This Row],[CÓDIGO]],SALIDAS111518[CANTIDAD])</f>
        <v>468</v>
      </c>
      <c r="J375" s="6">
        <f>PRODUCTOS31316[[#This Row],[EXISTENCIAS]]+PRODUCTOS31316[[#This Row],[ENTRADAS]]-PRODUCTOS31316[[#This Row],[SALIDAS]]</f>
        <v>960</v>
      </c>
      <c r="L375" s="288" t="s">
        <v>3520</v>
      </c>
      <c r="M375" s="288" t="s">
        <v>3931</v>
      </c>
      <c r="N375" s="290" t="s">
        <v>3951</v>
      </c>
      <c r="O375" s="290" t="s">
        <v>2705</v>
      </c>
      <c r="P375" s="16">
        <v>46055</v>
      </c>
      <c r="Q375" s="288" t="s">
        <v>15</v>
      </c>
      <c r="R375" s="2" t="str">
        <f>VLOOKUP(SALIDAS111518[[#This Row],[CÓDIGO]],PRODUCTOS31316[],2,FALSE)</f>
        <v>BTE-025PT/ 504002</v>
      </c>
      <c r="S375" s="1" t="str">
        <f>VLOOKUP(SALIDAS111518[[#This Row],[CÓDIGO]],PRODUCTOS31316[],3,FALSE)</f>
        <v>FUNDAS PARA TRANSFERENCIA DE EMBRIONES</v>
      </c>
      <c r="T375" s="2">
        <v>60</v>
      </c>
      <c r="U375" s="1" t="s">
        <v>3950</v>
      </c>
      <c r="V375" s="2"/>
      <c r="W375" s="2"/>
      <c r="X375" s="2"/>
      <c r="Y375" s="7"/>
      <c r="Z375" s="2" t="s">
        <v>5718</v>
      </c>
      <c r="AA375" s="403" t="s">
        <v>2225</v>
      </c>
      <c r="AB375" s="16">
        <v>46232</v>
      </c>
      <c r="AC375" s="2" t="s">
        <v>1381</v>
      </c>
      <c r="AD375" s="1" t="str">
        <f>VLOOKUP(ENTRADAS71417[[#This Row],[CÓDIGO]],PRODUCTOS31316[],2,FALSE)</f>
        <v>6906-25</v>
      </c>
      <c r="AE375" s="1" t="str">
        <f>VLOOKUP(ENTRADAS71417[[#This Row],[CÓDIGO]],PRODUCTOS31316[],3,FALSE)</f>
        <v>ELECTROJAC COMPLETE W/2,5" PROBE</v>
      </c>
      <c r="AF375" s="2">
        <v>3</v>
      </c>
      <c r="AG375" s="2"/>
      <c r="AH375" s="2">
        <v>170</v>
      </c>
    </row>
    <row r="376" spans="1:34" ht="49.95" customHeight="1" x14ac:dyDescent="0.3">
      <c r="A376" s="2" t="s">
        <v>1350</v>
      </c>
      <c r="B376" s="1">
        <v>20101</v>
      </c>
      <c r="C376" s="1" t="s">
        <v>1351</v>
      </c>
      <c r="E376" s="1" t="s">
        <v>352</v>
      </c>
      <c r="F376" s="1" t="s">
        <v>41</v>
      </c>
      <c r="G376" s="2">
        <v>0</v>
      </c>
      <c r="H376" s="14">
        <f>SUMIF(ENTRADAS71417[CÓDIGO],PRODUCTOS31316[[#This Row],[CÓDIGO]],ENTRADAS71417[CANTIDAD])</f>
        <v>0</v>
      </c>
      <c r="I376" s="11">
        <f>SUMIF(SALIDAS111518[CÓDIGO],PRODUCTOS31316[[#This Row],[CÓDIGO]],SALIDAS111518[CANTIDAD])</f>
        <v>0</v>
      </c>
      <c r="J376" s="6">
        <f>PRODUCTOS31316[[#This Row],[EXISTENCIAS]]+PRODUCTOS31316[[#This Row],[ENTRADAS]]-PRODUCTOS31316[[#This Row],[SALIDAS]]</f>
        <v>0</v>
      </c>
      <c r="L376" s="282"/>
      <c r="M376" s="282"/>
      <c r="N376" s="276">
        <v>7808</v>
      </c>
      <c r="O376" s="290" t="s">
        <v>2705</v>
      </c>
      <c r="P376" s="16">
        <v>46055</v>
      </c>
      <c r="Q376" s="288" t="s">
        <v>1779</v>
      </c>
      <c r="R376" s="2">
        <f>VLOOKUP(SALIDAS111518[[#This Row],[CÓDIGO]],PRODUCTOS31316[],2,FALSE)</f>
        <v>5563</v>
      </c>
      <c r="S376" s="1" t="str">
        <f>VLOOKUP(SALIDAS111518[[#This Row],[CÓDIGO]],PRODUCTOS31316[],3,FALSE)</f>
        <v>CAMISA SANITARIA ROLLO X 80</v>
      </c>
      <c r="T376" s="2">
        <v>3</v>
      </c>
      <c r="U376" s="2"/>
      <c r="V376" s="2"/>
      <c r="W376" s="2"/>
      <c r="X376" s="2"/>
      <c r="Y376" s="7"/>
      <c r="Z376" s="2" t="s">
        <v>5718</v>
      </c>
      <c r="AA376" s="403" t="s">
        <v>2225</v>
      </c>
      <c r="AB376" s="16">
        <v>46232</v>
      </c>
      <c r="AC376" s="2" t="s">
        <v>2409</v>
      </c>
      <c r="AD376" s="1">
        <f>VLOOKUP(ENTRADAS71417[[#This Row],[CÓDIGO]],PRODUCTOS31316[],2,FALSE)</f>
        <v>6986</v>
      </c>
      <c r="AE376" s="1" t="str">
        <f>VLOOKUP(ENTRADAS71417[[#This Row],[CÓDIGO]],PRODUCTOS31316[],3,FALSE)</f>
        <v>CINTA ESCROTAL METÁLICA</v>
      </c>
      <c r="AF376" s="2">
        <v>15</v>
      </c>
      <c r="AG376" s="2"/>
      <c r="AH376" s="2"/>
    </row>
    <row r="377" spans="1:34" ht="49.95" customHeight="1" x14ac:dyDescent="0.3">
      <c r="A377" s="2" t="s">
        <v>2399</v>
      </c>
      <c r="B377" s="1">
        <v>34181005</v>
      </c>
      <c r="C377" s="1" t="s">
        <v>2400</v>
      </c>
      <c r="D377" s="1" t="s">
        <v>1374</v>
      </c>
      <c r="E377" s="1" t="s">
        <v>1592</v>
      </c>
      <c r="F377" s="1" t="s">
        <v>68</v>
      </c>
      <c r="G377" s="2">
        <v>0</v>
      </c>
      <c r="H377" s="14">
        <f>SUMIF(ENTRADAS71417[CÓDIGO],PRODUCTOS31316[[#This Row],[CÓDIGO]],ENTRADAS71417[CANTIDAD])</f>
        <v>0</v>
      </c>
      <c r="I377" s="11">
        <f>SUMIF(SALIDAS111518[CÓDIGO],PRODUCTOS31316[[#This Row],[CÓDIGO]],SALIDAS111518[CANTIDAD])</f>
        <v>0</v>
      </c>
      <c r="J377" s="6">
        <f>PRODUCTOS31316[[#This Row],[EXISTENCIAS]]+PRODUCTOS31316[[#This Row],[ENTRADAS]]-PRODUCTOS31316[[#This Row],[SALIDAS]]</f>
        <v>0</v>
      </c>
      <c r="L377" s="288" t="s">
        <v>3520</v>
      </c>
      <c r="M377" s="288" t="s">
        <v>3931</v>
      </c>
      <c r="N377" s="290" t="s">
        <v>3952</v>
      </c>
      <c r="O377" s="290" t="s">
        <v>2922</v>
      </c>
      <c r="P377" s="16">
        <v>46055</v>
      </c>
      <c r="Q377" s="288" t="s">
        <v>36</v>
      </c>
      <c r="R377" s="2">
        <f>VLOOKUP(SALIDAS111518[[#This Row],[CÓDIGO]],PRODUCTOS31316[],2,FALSE)</f>
        <v>1</v>
      </c>
      <c r="S377" s="1" t="str">
        <f>VLOOKUP(SALIDAS111518[[#This Row],[CÓDIGO]],PRODUCTOS31316[],3,FALSE)</f>
        <v xml:space="preserve">PARCHE ESTROTECT </v>
      </c>
      <c r="T377" s="2">
        <v>2</v>
      </c>
      <c r="U377" s="2">
        <v>181</v>
      </c>
      <c r="V377" s="2"/>
      <c r="W377" s="2"/>
      <c r="X377" s="2"/>
      <c r="Y377" s="7"/>
      <c r="Z377" s="402" t="s">
        <v>5720</v>
      </c>
      <c r="AA377" s="403" t="s">
        <v>5719</v>
      </c>
      <c r="AB377" s="16">
        <v>46232</v>
      </c>
      <c r="AC377" s="2" t="s">
        <v>3417</v>
      </c>
      <c r="AD377" s="1" t="str">
        <f>VLOOKUP(ENTRADAS71417[[#This Row],[CÓDIGO]],PRODUCTOS31316[],2,FALSE)</f>
        <v>FT2000AU/0,5</v>
      </c>
      <c r="AE377" s="1" t="str">
        <f>VLOOKUP(ENTRADAS71417[[#This Row],[CÓDIGO]],PRODUCTOS31316[],3,FALSE)</f>
        <v>EMPACADORA Y SELLADORA AUTOMATICA DE PAJILLAS 0.50</v>
      </c>
      <c r="AF377" s="2">
        <v>1</v>
      </c>
      <c r="AG377" s="2"/>
      <c r="AH377" s="2">
        <v>171</v>
      </c>
    </row>
    <row r="378" spans="1:34" ht="49.95" customHeight="1" x14ac:dyDescent="0.3">
      <c r="A378" s="2" t="s">
        <v>796</v>
      </c>
      <c r="B378" s="1">
        <v>8419899900</v>
      </c>
      <c r="C378" s="1" t="s">
        <v>1353</v>
      </c>
      <c r="D378" s="1" t="s">
        <v>1354</v>
      </c>
      <c r="E378" s="1" t="s">
        <v>1355</v>
      </c>
      <c r="F378" s="1" t="s">
        <v>30</v>
      </c>
      <c r="G378" s="2">
        <v>1</v>
      </c>
      <c r="H378" s="14">
        <f>SUMIF(ENTRADAS71417[CÓDIGO],PRODUCTOS31316[[#This Row],[CÓDIGO]],ENTRADAS71417[CANTIDAD])</f>
        <v>0</v>
      </c>
      <c r="I378" s="11">
        <f>SUMIF(SALIDAS111518[CÓDIGO],PRODUCTOS31316[[#This Row],[CÓDIGO]],SALIDAS111518[CANTIDAD])</f>
        <v>1</v>
      </c>
      <c r="J378" s="6">
        <f>PRODUCTOS31316[[#This Row],[EXISTENCIAS]]+PRODUCTOS31316[[#This Row],[ENTRADAS]]-PRODUCTOS31316[[#This Row],[SALIDAS]]</f>
        <v>0</v>
      </c>
      <c r="L378" s="288" t="s">
        <v>3520</v>
      </c>
      <c r="M378" s="288" t="s">
        <v>3931</v>
      </c>
      <c r="N378" s="290" t="s">
        <v>3953</v>
      </c>
      <c r="O378" s="290" t="s">
        <v>3935</v>
      </c>
      <c r="P378" s="16">
        <v>46055</v>
      </c>
      <c r="Q378" s="288" t="s">
        <v>36</v>
      </c>
      <c r="R378" s="2">
        <f>VLOOKUP(SALIDAS111518[[#This Row],[CÓDIGO]],PRODUCTOS31316[],2,FALSE)</f>
        <v>1</v>
      </c>
      <c r="S378" s="1" t="str">
        <f>VLOOKUP(SALIDAS111518[[#This Row],[CÓDIGO]],PRODUCTOS31316[],3,FALSE)</f>
        <v xml:space="preserve">PARCHE ESTROTECT </v>
      </c>
      <c r="T378" s="2">
        <v>2</v>
      </c>
      <c r="U378" s="2">
        <v>182</v>
      </c>
      <c r="V378" s="2"/>
      <c r="W378" s="2"/>
      <c r="X378" s="2"/>
      <c r="Y378" s="7"/>
      <c r="Z378" s="402" t="s">
        <v>5720</v>
      </c>
      <c r="AA378" s="403" t="s">
        <v>5719</v>
      </c>
      <c r="AB378" s="16">
        <v>46232</v>
      </c>
      <c r="AC378" s="2" t="s">
        <v>2905</v>
      </c>
      <c r="AD378" s="1" t="str">
        <f>VLOOKUP(ENTRADAS71417[[#This Row],[CÓDIGO]],PRODUCTOS31316[],2,FALSE)</f>
        <v>AIGS/5</v>
      </c>
      <c r="AE378" s="1" t="str">
        <f>VLOOKUP(ENTRADAS71417[[#This Row],[CÓDIGO]],PRODUCTOS31316[],3,FALSE)</f>
        <v>FUNDA UNIVERSAL PARA INSEMINACION HEYI</v>
      </c>
      <c r="AF378" s="2">
        <v>200</v>
      </c>
      <c r="AG378" s="2"/>
      <c r="AH378" s="2"/>
    </row>
    <row r="379" spans="1:34" ht="49.95" customHeight="1" x14ac:dyDescent="0.3">
      <c r="A379" s="203" t="s">
        <v>741</v>
      </c>
      <c r="B379" s="1" t="s">
        <v>101</v>
      </c>
      <c r="C379" s="94" t="s">
        <v>1357</v>
      </c>
      <c r="D379" s="1" t="s">
        <v>103</v>
      </c>
      <c r="E379" s="1" t="s">
        <v>352</v>
      </c>
      <c r="F379" s="1" t="s">
        <v>19</v>
      </c>
      <c r="G379" s="31">
        <f>14+2</f>
        <v>16</v>
      </c>
      <c r="H379" s="14">
        <f>SUMIF(ENTRADAS71417[CÓDIGO],PRODUCTOS31316[[#This Row],[CÓDIGO]],ENTRADAS71417[CANTIDAD])</f>
        <v>0</v>
      </c>
      <c r="I379" s="11">
        <f>SUMIF(SALIDAS111518[CÓDIGO],PRODUCTOS31316[[#This Row],[CÓDIGO]],SALIDAS111518[CANTIDAD])</f>
        <v>16</v>
      </c>
      <c r="J379" s="6">
        <f>PRODUCTOS31316[[#This Row],[EXISTENCIAS]]+PRODUCTOS31316[[#This Row],[ENTRADAS]]-PRODUCTOS31316[[#This Row],[SALIDAS]]</f>
        <v>0</v>
      </c>
      <c r="L379" s="288" t="s">
        <v>3520</v>
      </c>
      <c r="M379" s="288" t="s">
        <v>3931</v>
      </c>
      <c r="N379" s="290" t="s">
        <v>3954</v>
      </c>
      <c r="O379" s="288" t="s">
        <v>2204</v>
      </c>
      <c r="P379" s="16">
        <v>46055</v>
      </c>
      <c r="Q379" s="288" t="s">
        <v>75</v>
      </c>
      <c r="R379" s="2" t="str">
        <f>VLOOKUP(SALIDAS111518[[#This Row],[CÓDIGO]],PRODUCTOS31316[],2,FALSE)</f>
        <v>18130E</v>
      </c>
      <c r="S379" s="1" t="str">
        <f>VLOOKUP(SALIDAS111518[[#This Row],[CÓDIGO]],PRODUCTOS31316[],3,FALSE)</f>
        <v>CAJA PETRI DESECHABLE ESTERIL 60X15 MM</v>
      </c>
      <c r="T379" s="2">
        <v>21</v>
      </c>
      <c r="U379" s="2">
        <v>183</v>
      </c>
      <c r="V379" s="2"/>
      <c r="W379" s="2"/>
      <c r="X379" s="2"/>
      <c r="Y379" s="7"/>
      <c r="Z379" s="2">
        <v>2712</v>
      </c>
      <c r="AA379" s="403" t="s">
        <v>3970</v>
      </c>
      <c r="AB379" s="16">
        <v>46232</v>
      </c>
      <c r="AC379" s="402" t="s">
        <v>3500</v>
      </c>
      <c r="AD379" s="1">
        <f>VLOOKUP(ENTRADAS71417[[#This Row],[CÓDIGO]],PRODUCTOS31316[],2,FALSE)</f>
        <v>25</v>
      </c>
      <c r="AE379" s="1" t="str">
        <f>VLOOKUP(ENTRADAS71417[[#This Row],[CÓDIGO]],PRODUCTOS31316[],3,FALSE)</f>
        <v>TUBO RIGIDO EQUINO BOTUPHARMA</v>
      </c>
      <c r="AF379" s="2">
        <v>2</v>
      </c>
      <c r="AG379" s="2"/>
      <c r="AH379" s="2">
        <v>159</v>
      </c>
    </row>
    <row r="380" spans="1:34" ht="49.95" customHeight="1" x14ac:dyDescent="0.3">
      <c r="A380" s="2" t="s">
        <v>1010</v>
      </c>
      <c r="B380" s="1">
        <v>17532</v>
      </c>
      <c r="C380" s="1" t="s">
        <v>1359</v>
      </c>
      <c r="D380" s="1" t="s">
        <v>156</v>
      </c>
      <c r="E380" s="1" t="s">
        <v>352</v>
      </c>
      <c r="F380" s="1" t="s">
        <v>30</v>
      </c>
      <c r="G380" s="2">
        <v>0</v>
      </c>
      <c r="H380" s="14">
        <f>SUMIF(ENTRADAS71417[CÓDIGO],PRODUCTOS31316[[#This Row],[CÓDIGO]],ENTRADAS71417[CANTIDAD])</f>
        <v>0</v>
      </c>
      <c r="I380" s="11">
        <f>SUMIF(SALIDAS111518[CÓDIGO],PRODUCTOS31316[[#This Row],[CÓDIGO]],SALIDAS111518[CANTIDAD])</f>
        <v>0</v>
      </c>
      <c r="J380" s="6">
        <f>PRODUCTOS31316[[#This Row],[EXISTENCIAS]]+PRODUCTOS31316[[#This Row],[ENTRADAS]]-PRODUCTOS31316[[#This Row],[SALIDAS]]</f>
        <v>0</v>
      </c>
      <c r="L380" s="282"/>
      <c r="M380" s="282"/>
      <c r="N380" s="276">
        <v>7811</v>
      </c>
      <c r="O380" s="288" t="s">
        <v>2204</v>
      </c>
      <c r="P380" s="16">
        <v>46055</v>
      </c>
      <c r="Q380" s="288" t="s">
        <v>333</v>
      </c>
      <c r="R380" s="2" t="str">
        <f>VLOOKUP(SALIDAS111518[[#This Row],[CÓDIGO]],PRODUCTOS31316[],2,FALSE)</f>
        <v>CTB15</v>
      </c>
      <c r="S380" s="1" t="str">
        <f>VLOOKUP(SALIDAS111518[[#This Row],[CÓDIGO]],PRODUCTOS31316[],3,FALSE)</f>
        <v>TUBO CÓNICO DE 15 ML, TAPA ROSCA ESTÉRIL  RCF MAX: 10000xg, 
graduados, PCR puro. VENCE: 03/04/2028</v>
      </c>
      <c r="T380" s="2">
        <v>4</v>
      </c>
      <c r="U380" s="2"/>
      <c r="V380" s="2"/>
      <c r="W380" s="2"/>
      <c r="X380" s="2"/>
      <c r="Y380" s="7"/>
      <c r="Z380" s="2">
        <v>2712</v>
      </c>
      <c r="AA380" s="403" t="s">
        <v>3970</v>
      </c>
      <c r="AB380" s="16">
        <v>46232</v>
      </c>
      <c r="AC380" s="402" t="s">
        <v>3502</v>
      </c>
      <c r="AD380" s="1">
        <f>VLOOKUP(ENTRADAS71417[[#This Row],[CÓDIGO]],PRODUCTOS31316[],2,FALSE)</f>
        <v>24</v>
      </c>
      <c r="AE380" s="1" t="str">
        <f>VLOOKUP(ENTRADAS71417[[#This Row],[CÓDIGO]],PRODUCTOS31316[],3,FALSE)</f>
        <v>MUCOSA DE LATEX EQUINA  BOTUPHARMA</v>
      </c>
      <c r="AF380" s="2">
        <v>2</v>
      </c>
      <c r="AG380" s="2"/>
      <c r="AH380" s="2">
        <v>159</v>
      </c>
    </row>
    <row r="381" spans="1:34" ht="49.95" customHeight="1" x14ac:dyDescent="0.3">
      <c r="A381" s="2" t="s">
        <v>1360</v>
      </c>
      <c r="B381" s="1" t="s">
        <v>1361</v>
      </c>
      <c r="C381" s="1" t="s">
        <v>1362</v>
      </c>
      <c r="D381" s="1" t="s">
        <v>1332</v>
      </c>
      <c r="E381" s="1" t="s">
        <v>1115</v>
      </c>
      <c r="F381" s="1" t="s">
        <v>365</v>
      </c>
      <c r="G381" s="2">
        <v>0</v>
      </c>
      <c r="H381" s="14">
        <f>SUMIF(ENTRADAS71417[CÓDIGO],PRODUCTOS31316[[#This Row],[CÓDIGO]],ENTRADAS71417[CANTIDAD])</f>
        <v>0</v>
      </c>
      <c r="I381" s="11">
        <f>SUMIF(SALIDAS111518[CÓDIGO],PRODUCTOS31316[[#This Row],[CÓDIGO]],SALIDAS111518[CANTIDAD])</f>
        <v>0</v>
      </c>
      <c r="J381" s="6">
        <f>PRODUCTOS31316[[#This Row],[EXISTENCIAS]]+PRODUCTOS31316[[#This Row],[ENTRADAS]]-PRODUCTOS31316[[#This Row],[SALIDAS]]</f>
        <v>0</v>
      </c>
      <c r="L381" s="282"/>
      <c r="M381" s="282"/>
      <c r="N381" s="276">
        <v>7811</v>
      </c>
      <c r="O381" s="288" t="s">
        <v>2204</v>
      </c>
      <c r="P381" s="16">
        <v>46055</v>
      </c>
      <c r="Q381" s="288" t="s">
        <v>58</v>
      </c>
      <c r="R381" s="2" t="str">
        <f>VLOOKUP(SALIDAS111518[[#This Row],[CÓDIGO]],PRODUCTOS31316[],2,FALSE)</f>
        <v>TNB-0001-16</v>
      </c>
      <c r="S381" s="1" t="str">
        <f>VLOOKUP(SALIDAS111518[[#This Row],[CÓDIGO]],PRODUCTOS31316[],3,FALSE)</f>
        <v>CAMISA SANITARIA PARA OPU ASPIRACIÓN FOLICULAR</v>
      </c>
      <c r="T381" s="2">
        <v>3</v>
      </c>
      <c r="U381" s="2"/>
      <c r="V381" s="2"/>
      <c r="W381" s="2"/>
      <c r="X381" s="2"/>
      <c r="Y381" s="7"/>
      <c r="Z381" s="2">
        <v>2712</v>
      </c>
      <c r="AA381" s="403" t="s">
        <v>3970</v>
      </c>
      <c r="AB381" s="16">
        <v>46232</v>
      </c>
      <c r="AC381" s="402" t="s">
        <v>3504</v>
      </c>
      <c r="AD381" s="1">
        <f>VLOOKUP(ENTRADAS71417[[#This Row],[CÓDIGO]],PRODUCTOS31316[],2,FALSE)</f>
        <v>26</v>
      </c>
      <c r="AE381" s="1" t="str">
        <f>VLOOKUP(ENTRADAS71417[[#This Row],[CÓDIGO]],PRODUCTOS31316[],3,FALSE)</f>
        <v>MUCOSA DE PLÁSTICA EQUINA  BOTUPHARMA</v>
      </c>
      <c r="AF381" s="2">
        <v>2</v>
      </c>
      <c r="AG381" s="2"/>
      <c r="AH381" s="2">
        <v>159</v>
      </c>
    </row>
    <row r="382" spans="1:34" ht="49.95" customHeight="1" x14ac:dyDescent="0.3">
      <c r="A382" s="2" t="s">
        <v>870</v>
      </c>
      <c r="B382" s="1" t="s">
        <v>1363</v>
      </c>
      <c r="C382" s="1" t="s">
        <v>1331</v>
      </c>
      <c r="D382" s="1" t="s">
        <v>1249</v>
      </c>
      <c r="E382" s="1" t="s">
        <v>1115</v>
      </c>
      <c r="F382" s="1" t="s">
        <v>224</v>
      </c>
      <c r="G382" s="2">
        <v>0</v>
      </c>
      <c r="H382" s="14">
        <f>SUMIF(ENTRADAS71417[CÓDIGO],PRODUCTOS31316[[#This Row],[CÓDIGO]],ENTRADAS71417[CANTIDAD])</f>
        <v>0</v>
      </c>
      <c r="I382" s="11">
        <f>SUMIF(SALIDAS111518[CÓDIGO],PRODUCTOS31316[[#This Row],[CÓDIGO]],SALIDAS111518[CANTIDAD])</f>
        <v>0</v>
      </c>
      <c r="J382" s="6">
        <f>PRODUCTOS31316[[#This Row],[EXISTENCIAS]]+PRODUCTOS31316[[#This Row],[ENTRADAS]]-PRODUCTOS31316[[#This Row],[SALIDAS]]</f>
        <v>0</v>
      </c>
      <c r="L382" s="288" t="s">
        <v>3520</v>
      </c>
      <c r="M382" s="288" t="s">
        <v>3931</v>
      </c>
      <c r="N382" s="290" t="s">
        <v>3955</v>
      </c>
      <c r="O382" s="290" t="s">
        <v>2701</v>
      </c>
      <c r="P382" s="16">
        <v>46055</v>
      </c>
      <c r="Q382" s="288" t="s">
        <v>104</v>
      </c>
      <c r="R382" s="2">
        <f>VLOOKUP(SALIDAS111518[[#This Row],[CÓDIGO]],PRODUCTOS31316[],2,FALSE)</f>
        <v>0</v>
      </c>
      <c r="S382" s="1" t="str">
        <f>VLOOKUP(SALIDAS111518[[#This Row],[CÓDIGO]],PRODUCTOS31316[],3,FALSE)</f>
        <v>ISPERM CHIPS (500 TESTS PER BOX) PAQ. X 50 UND</v>
      </c>
      <c r="T382" s="2">
        <v>1</v>
      </c>
      <c r="U382" s="2">
        <v>184</v>
      </c>
      <c r="V382" s="2"/>
      <c r="W382" s="2"/>
      <c r="X382" s="34"/>
      <c r="Y382" s="7"/>
      <c r="Z382" s="2">
        <v>2712</v>
      </c>
      <c r="AA382" s="403" t="s">
        <v>3970</v>
      </c>
      <c r="AB382" s="16">
        <v>46232</v>
      </c>
      <c r="AC382" s="402" t="s">
        <v>3506</v>
      </c>
      <c r="AD382" s="1">
        <f>VLOOKUP(ENTRADAS71417[[#This Row],[CÓDIGO]],PRODUCTOS31316[],2,FALSE)</f>
        <v>27</v>
      </c>
      <c r="AE382" s="1" t="str">
        <f>VLOOKUP(ENTRADAS71417[[#This Row],[CÓDIGO]],PRODUCTOS31316[],3,FALSE)</f>
        <v>VASO COLECTOR EQUINO BOTUPHARMA</v>
      </c>
      <c r="AF382" s="2">
        <v>2</v>
      </c>
      <c r="AG382" s="2"/>
      <c r="AH382" s="2">
        <v>159</v>
      </c>
    </row>
    <row r="383" spans="1:34" ht="49.95" customHeight="1" x14ac:dyDescent="0.3">
      <c r="A383" s="2" t="s">
        <v>1365</v>
      </c>
      <c r="B383" s="1" t="s">
        <v>1366</v>
      </c>
      <c r="C383" s="1" t="s">
        <v>1367</v>
      </c>
      <c r="D383" s="1" t="s">
        <v>171</v>
      </c>
      <c r="E383" s="1" t="s">
        <v>1115</v>
      </c>
      <c r="F383" s="1" t="s">
        <v>184</v>
      </c>
      <c r="G383" s="2">
        <v>0</v>
      </c>
      <c r="H383" s="14">
        <f>SUMIF(ENTRADAS71417[CÓDIGO],PRODUCTOS31316[[#This Row],[CÓDIGO]],ENTRADAS71417[CANTIDAD])</f>
        <v>0</v>
      </c>
      <c r="I383" s="11">
        <f>SUMIF(SALIDAS111518[CÓDIGO],PRODUCTOS31316[[#This Row],[CÓDIGO]],SALIDAS111518[CANTIDAD])</f>
        <v>0</v>
      </c>
      <c r="J383" s="6">
        <f>PRODUCTOS31316[[#This Row],[EXISTENCIAS]]+PRODUCTOS31316[[#This Row],[ENTRADAS]]-PRODUCTOS31316[[#This Row],[SALIDAS]]</f>
        <v>0</v>
      </c>
      <c r="L383" s="288" t="s">
        <v>3520</v>
      </c>
      <c r="M383" s="288" t="s">
        <v>3931</v>
      </c>
      <c r="N383" s="290" t="s">
        <v>3960</v>
      </c>
      <c r="O383" s="290" t="s">
        <v>3333</v>
      </c>
      <c r="P383" s="16">
        <v>46056</v>
      </c>
      <c r="Q383" s="288" t="s">
        <v>602</v>
      </c>
      <c r="R383" s="2">
        <f>VLOOKUP(SALIDAS111518[[#This Row],[CÓDIGO]],PRODUCTOS31316[],2,FALSE)</f>
        <v>4845</v>
      </c>
      <c r="S383" s="1" t="str">
        <f>VLOOKUP(SALIDAS111518[[#This Row],[CÓDIGO]],PRODUCTOS31316[],3,FALSE)</f>
        <v>PUNTAS AMARILLAS, UNIVERSALES. PLASTICAS, NO ESTERIL. LIBRES DE RNASE, DNASE Y PYROGENOS. RANGO DE 1-200UL. BOLSA X1000UDS.</v>
      </c>
      <c r="T383" s="2">
        <v>2</v>
      </c>
      <c r="U383" s="2">
        <v>186</v>
      </c>
      <c r="V383" s="2"/>
      <c r="W383" s="2"/>
      <c r="X383" s="38"/>
      <c r="Y383" s="7"/>
      <c r="Z383" s="2">
        <v>2712</v>
      </c>
      <c r="AA383" s="403" t="s">
        <v>3970</v>
      </c>
      <c r="AB383" s="16">
        <v>46232</v>
      </c>
      <c r="AC383" s="402" t="s">
        <v>3508</v>
      </c>
      <c r="AD383" s="1">
        <f>VLOOKUP(ENTRADAS71417[[#This Row],[CÓDIGO]],PRODUCTOS31316[],2,FALSE)</f>
        <v>28</v>
      </c>
      <c r="AE383" s="1" t="str">
        <f>VLOOKUP(ENTRADAS71417[[#This Row],[CÓDIGO]],PRODUCTOS31316[],3,FALSE)</f>
        <v>CAMISA SANITARIA PARA VASO COLECTOR EQUINO BOTUPHARMA</v>
      </c>
      <c r="AF383" s="2">
        <v>2</v>
      </c>
      <c r="AG383" s="2"/>
      <c r="AH383" s="2">
        <v>159</v>
      </c>
    </row>
    <row r="384" spans="1:34" ht="49.95" customHeight="1" x14ac:dyDescent="0.3">
      <c r="A384" s="2" t="s">
        <v>923</v>
      </c>
      <c r="B384" s="1" t="s">
        <v>1369</v>
      </c>
      <c r="C384" s="1" t="s">
        <v>681</v>
      </c>
      <c r="D384" s="1" t="s">
        <v>1370</v>
      </c>
      <c r="E384" s="1" t="s">
        <v>190</v>
      </c>
      <c r="F384" s="1" t="s">
        <v>30</v>
      </c>
      <c r="G384" s="2">
        <v>0</v>
      </c>
      <c r="H384" s="14">
        <f>SUMIF(ENTRADAS71417[CÓDIGO],PRODUCTOS31316[[#This Row],[CÓDIGO]],ENTRADAS71417[CANTIDAD])</f>
        <v>0</v>
      </c>
      <c r="I384" s="11">
        <f>SUMIF(SALIDAS111518[CÓDIGO],PRODUCTOS31316[[#This Row],[CÓDIGO]],SALIDAS111518[CANTIDAD])</f>
        <v>0</v>
      </c>
      <c r="J384" s="6">
        <f>PRODUCTOS31316[[#This Row],[EXISTENCIAS]]+PRODUCTOS31316[[#This Row],[ENTRADAS]]-PRODUCTOS31316[[#This Row],[SALIDAS]]</f>
        <v>0</v>
      </c>
      <c r="L384" s="282"/>
      <c r="M384" s="282"/>
      <c r="N384" s="276">
        <v>7818</v>
      </c>
      <c r="O384" s="290" t="s">
        <v>3333</v>
      </c>
      <c r="P384" s="16">
        <v>46056</v>
      </c>
      <c r="Q384" s="288" t="s">
        <v>1799</v>
      </c>
      <c r="R384" s="2">
        <f>VLOOKUP(SALIDAS111518[[#This Row],[CÓDIGO]],PRODUCTOS31316[],2,FALSE)</f>
        <v>4846</v>
      </c>
      <c r="S384" s="1" t="str">
        <f>VLOOKUP(SALIDAS111518[[#This Row],[CÓDIGO]],PRODUCTOS31316[],3,FALSE)</f>
        <v>PUNTA AZULES UNIVERSALES 100- 1000 UL</v>
      </c>
      <c r="T384" s="2">
        <v>2</v>
      </c>
      <c r="U384" s="2"/>
      <c r="V384" s="2"/>
      <c r="W384" s="2"/>
      <c r="X384" s="38"/>
      <c r="Y384" s="7"/>
      <c r="Z384" s="407" t="s">
        <v>5735</v>
      </c>
      <c r="AA384" s="406" t="s">
        <v>2230</v>
      </c>
      <c r="AB384" s="16">
        <v>46233</v>
      </c>
      <c r="AC384" s="407" t="s">
        <v>168</v>
      </c>
      <c r="AD384" s="1">
        <f>VLOOKUP(ENTRADAS71417[[#This Row],[CÓDIGO]],PRODUCTOS31316[],2,FALSE)</f>
        <v>4840</v>
      </c>
      <c r="AE384" s="1" t="str">
        <f>VLOOKUP(ENTRADAS71417[[#This Row],[CÓDIGO]],PRODUCTOS31316[],3,FALSE)</f>
        <v>PUNTAS BLANCAS UNIVERSALES, PLÁSTICAS, LIBRES DE DNASAS, RNASA Y PIROGENOS, RANGO DE 0.1 A 10UL. (CORTAS).</v>
      </c>
      <c r="AF384" s="2">
        <v>20</v>
      </c>
      <c r="AG384" s="2"/>
      <c r="AH384" s="2">
        <v>165</v>
      </c>
    </row>
    <row r="385" spans="1:34" ht="49.95" customHeight="1" x14ac:dyDescent="0.3">
      <c r="A385" s="2" t="s">
        <v>1378</v>
      </c>
      <c r="B385" s="1">
        <v>34181005</v>
      </c>
      <c r="C385" s="1" t="s">
        <v>1373</v>
      </c>
      <c r="D385" s="1" t="s">
        <v>1374</v>
      </c>
      <c r="E385" s="1" t="s">
        <v>2404</v>
      </c>
      <c r="F385" s="1" t="s">
        <v>1376</v>
      </c>
      <c r="G385" s="2">
        <v>0</v>
      </c>
      <c r="H385" s="14">
        <f>SUMIF(ENTRADAS71417[CÓDIGO],PRODUCTOS31316[[#This Row],[CÓDIGO]],ENTRADAS71417[CANTIDAD])</f>
        <v>0</v>
      </c>
      <c r="I385" s="11">
        <f>SUMIF(SALIDAS111518[CÓDIGO],PRODUCTOS31316[[#This Row],[CÓDIGO]],SALIDAS111518[CANTIDAD])</f>
        <v>0</v>
      </c>
      <c r="J385" s="6">
        <f>PRODUCTOS31316[[#This Row],[EXISTENCIAS]]+PRODUCTOS31316[[#This Row],[ENTRADAS]]-PRODUCTOS31316[[#This Row],[SALIDAS]]</f>
        <v>0</v>
      </c>
      <c r="L385" s="282"/>
      <c r="M385" s="282"/>
      <c r="N385" s="276">
        <v>7818</v>
      </c>
      <c r="O385" s="290" t="s">
        <v>3333</v>
      </c>
      <c r="P385" s="16">
        <v>46056</v>
      </c>
      <c r="Q385" s="288" t="s">
        <v>3168</v>
      </c>
      <c r="R385" s="2" t="str">
        <f>VLOOKUP(SALIDAS111518[[#This Row],[CÓDIGO]],PRODUCTOS31316[],2,FALSE)</f>
        <v>MCTB015</v>
      </c>
      <c r="S385" s="1" t="str">
        <f>VLOOKUP(SALIDAS111518[[#This Row],[CÓDIGO]],PRODUCTOS31316[],3,FALSE)</f>
        <v>TUBO CONICO DE 1,5ml PRE ESTERILIZADO LIBRE DE Rnasa y Dnasa No pirogenico No DNA Humano Tapa a Presion</v>
      </c>
      <c r="T385" s="2">
        <v>2</v>
      </c>
      <c r="U385" s="2"/>
      <c r="V385" s="2"/>
      <c r="W385" s="2"/>
      <c r="X385" s="38"/>
      <c r="Y385" s="7"/>
      <c r="Z385" s="413" t="s">
        <v>5786</v>
      </c>
      <c r="AA385" s="412" t="s">
        <v>3915</v>
      </c>
      <c r="AB385" s="16">
        <v>46237</v>
      </c>
      <c r="AC385" s="413" t="s">
        <v>47</v>
      </c>
      <c r="AD385" s="1">
        <f>VLOOKUP(ENTRADAS71417[[#This Row],[CÓDIGO]],PRODUCTOS31316[],2,FALSE)</f>
        <v>1135</v>
      </c>
      <c r="AE385" s="1" t="str">
        <f>VLOOKUP(ENTRADAS71417[[#This Row],[CÓDIGO]],PRODUCTOS31316[],3,FALSE)</f>
        <v>TRILADYL</v>
      </c>
      <c r="AF385" s="2">
        <v>10</v>
      </c>
      <c r="AG385" s="2"/>
      <c r="AH385" s="2">
        <v>168</v>
      </c>
    </row>
    <row r="386" spans="1:34" ht="49.95" customHeight="1" x14ac:dyDescent="0.3">
      <c r="A386" s="2" t="s">
        <v>1372</v>
      </c>
      <c r="B386" s="1" t="s">
        <v>1379</v>
      </c>
      <c r="C386" s="1" t="s">
        <v>2851</v>
      </c>
      <c r="D386" s="1" t="s">
        <v>1374</v>
      </c>
      <c r="E386" s="1" t="s">
        <v>2404</v>
      </c>
      <c r="F386" s="1" t="s">
        <v>660</v>
      </c>
      <c r="G386" s="31">
        <v>0</v>
      </c>
      <c r="H386" s="14">
        <f>SUMIF(ENTRADAS71417[CÓDIGO],PRODUCTOS31316[[#This Row],[CÓDIGO]],ENTRADAS71417[CANTIDAD])</f>
        <v>0</v>
      </c>
      <c r="I386" s="11">
        <f>SUMIF(SALIDAS111518[CÓDIGO],PRODUCTOS31316[[#This Row],[CÓDIGO]],SALIDAS111518[CANTIDAD])</f>
        <v>0</v>
      </c>
      <c r="J386" s="6">
        <f>PRODUCTOS31316[[#This Row],[EXISTENCIAS]]+PRODUCTOS31316[[#This Row],[ENTRADAS]]-PRODUCTOS31316[[#This Row],[SALIDAS]]</f>
        <v>0</v>
      </c>
      <c r="L386" s="282"/>
      <c r="M386" s="282"/>
      <c r="N386" s="276">
        <v>7818</v>
      </c>
      <c r="O386" s="290" t="s">
        <v>3333</v>
      </c>
      <c r="P386" s="16">
        <v>46056</v>
      </c>
      <c r="Q386" s="288" t="s">
        <v>3024</v>
      </c>
      <c r="R386" s="2" t="str">
        <f>VLOOKUP(SALIDAS111518[[#This Row],[CÓDIGO]],PRODUCTOS31316[],2,FALSE)</f>
        <v>MCTB005</v>
      </c>
      <c r="S386" s="1" t="str">
        <f>VLOOKUP(SALIDAS111518[[#This Row],[CÓDIGO]],PRODUCTOS31316[],3,FALSE)</f>
        <v>TUBO EPPENDORF DE 0,5 ML</v>
      </c>
      <c r="T386" s="2">
        <v>2</v>
      </c>
      <c r="U386" s="2"/>
      <c r="V386" s="2"/>
      <c r="W386" s="2"/>
      <c r="X386" s="38"/>
      <c r="Y386" s="7"/>
      <c r="Z386" s="413" t="s">
        <v>5689</v>
      </c>
      <c r="AA386" s="398" t="s">
        <v>685</v>
      </c>
      <c r="AB386" s="16">
        <v>46237</v>
      </c>
      <c r="AC386" s="397" t="s">
        <v>683</v>
      </c>
      <c r="AD386" s="1">
        <f>VLOOKUP(ENTRADAS71417[[#This Row],[CÓDIGO]],PRODUCTOS31316[],2,FALSE)</f>
        <v>109304</v>
      </c>
      <c r="AE386" s="1" t="str">
        <f>VLOOKUP(ENTRADAS71417[[#This Row],[CÓDIGO]],PRODUCTOS31316[],3,FALSE)</f>
        <v>EOSINA- NIGROSINA</v>
      </c>
      <c r="AF386" s="2">
        <v>6</v>
      </c>
      <c r="AG386" s="2"/>
      <c r="AH386" s="2">
        <v>169</v>
      </c>
    </row>
    <row r="387" spans="1:34" ht="49.95" customHeight="1" x14ac:dyDescent="0.3">
      <c r="A387" s="2" t="s">
        <v>1381</v>
      </c>
      <c r="B387" s="1" t="s">
        <v>1382</v>
      </c>
      <c r="C387" s="1" t="s">
        <v>1383</v>
      </c>
      <c r="D387" s="1" t="s">
        <v>1384</v>
      </c>
      <c r="E387" s="1" t="s">
        <v>1385</v>
      </c>
      <c r="F387" s="1" t="s">
        <v>30</v>
      </c>
      <c r="G387" s="31">
        <v>1</v>
      </c>
      <c r="H387" s="14">
        <f>SUMIF(ENTRADAS71417[CÓDIGO],PRODUCTOS31316[[#This Row],[CÓDIGO]],ENTRADAS71417[CANTIDAD])</f>
        <v>3</v>
      </c>
      <c r="I387" s="11">
        <f>SUMIF(SALIDAS111518[CÓDIGO],PRODUCTOS31316[[#This Row],[CÓDIGO]],SALIDAS111518[CANTIDAD])</f>
        <v>3</v>
      </c>
      <c r="J387" s="6">
        <f>PRODUCTOS31316[[#This Row],[EXISTENCIAS]]+PRODUCTOS31316[[#This Row],[ENTRADAS]]-PRODUCTOS31316[[#This Row],[SALIDAS]]</f>
        <v>1</v>
      </c>
      <c r="L387" s="282"/>
      <c r="M387" s="282"/>
      <c r="N387" s="276">
        <v>7818</v>
      </c>
      <c r="O387" s="290" t="s">
        <v>3333</v>
      </c>
      <c r="P387" s="16">
        <v>46056</v>
      </c>
      <c r="Q387" s="288" t="s">
        <v>333</v>
      </c>
      <c r="R387" s="2" t="str">
        <f>VLOOKUP(SALIDAS111518[[#This Row],[CÓDIGO]],PRODUCTOS31316[],2,FALSE)</f>
        <v>CTB15</v>
      </c>
      <c r="S387" s="1" t="str">
        <f>VLOOKUP(SALIDAS111518[[#This Row],[CÓDIGO]],PRODUCTOS31316[],3,FALSE)</f>
        <v>TUBO CÓNICO DE 15 ML, TAPA ROSCA ESTÉRIL  RCF MAX: 10000xg, 
graduados, PCR puro. VENCE: 03/04/2028</v>
      </c>
      <c r="T387" s="2">
        <v>5</v>
      </c>
      <c r="U387" s="2"/>
      <c r="V387" s="2"/>
      <c r="W387" s="2"/>
      <c r="X387" s="2"/>
      <c r="Y387" s="7"/>
      <c r="Z387" s="15"/>
      <c r="AA387" s="1" t="s">
        <v>2744</v>
      </c>
      <c r="AB387" s="16">
        <v>46237</v>
      </c>
      <c r="AC387" s="2" t="s">
        <v>1681</v>
      </c>
      <c r="AD387" s="1">
        <f>VLOOKUP(ENTRADAS71417[[#This Row],[CÓDIGO]],PRODUCTOS31316[],2,FALSE)</f>
        <v>347430</v>
      </c>
      <c r="AE387" s="1" t="str">
        <f>VLOOKUP(ENTRADAS71417[[#This Row],[CÓDIGO]],PRODUCTOS31316[],3,FALSE)</f>
        <v>GOBLETS BLANCOS DE 10 MM</v>
      </c>
      <c r="AF387" s="2">
        <v>10</v>
      </c>
      <c r="AG387" s="2"/>
      <c r="AH387" s="15"/>
    </row>
    <row r="388" spans="1:34" ht="49.95" customHeight="1" x14ac:dyDescent="0.3">
      <c r="A388" s="2" t="s">
        <v>1386</v>
      </c>
      <c r="B388" s="1" t="s">
        <v>1387</v>
      </c>
      <c r="C388" s="1" t="s">
        <v>1388</v>
      </c>
      <c r="D388" s="1" t="s">
        <v>467</v>
      </c>
      <c r="E388" s="1" t="s">
        <v>467</v>
      </c>
      <c r="F388" s="1" t="s">
        <v>30</v>
      </c>
      <c r="G388" s="2">
        <v>0</v>
      </c>
      <c r="H388" s="14">
        <f>SUMIF(ENTRADAS71417[CÓDIGO],PRODUCTOS31316[[#This Row],[CÓDIGO]],ENTRADAS71417[CANTIDAD])</f>
        <v>0</v>
      </c>
      <c r="I388" s="11">
        <f>SUMIF(SALIDAS111518[CÓDIGO],PRODUCTOS31316[[#This Row],[CÓDIGO]],SALIDAS111518[CANTIDAD])</f>
        <v>0</v>
      </c>
      <c r="J388" s="6">
        <f>PRODUCTOS31316[[#This Row],[EXISTENCIAS]]+PRODUCTOS31316[[#This Row],[ENTRADAS]]-PRODUCTOS31316[[#This Row],[SALIDAS]]</f>
        <v>0</v>
      </c>
      <c r="L388" s="282"/>
      <c r="M388" s="282"/>
      <c r="N388" s="276">
        <v>7818</v>
      </c>
      <c r="O388" s="290" t="s">
        <v>3333</v>
      </c>
      <c r="P388" s="16">
        <v>46056</v>
      </c>
      <c r="Q388" s="288" t="s">
        <v>341</v>
      </c>
      <c r="R388" s="2" t="str">
        <f>VLOOKUP(SALIDAS111518[[#This Row],[CÓDIGO]],PRODUCTOS31316[],2,FALSE)</f>
        <v>CTB50</v>
      </c>
      <c r="S388" s="1" t="str">
        <f>VLOOKUP(SALIDAS111518[[#This Row],[CÓDIGO]],PRODUCTOS31316[],3,FALSE)</f>
        <v>TUBO CÓNICO DE 50 mL, TAPA ROSCA, PRE ESTERILIZADO. RCF MAX: 10000xg, graduados, PCR puro.</v>
      </c>
      <c r="T388" s="2">
        <v>5</v>
      </c>
      <c r="U388" s="2"/>
      <c r="V388" s="2"/>
      <c r="W388" s="2"/>
      <c r="X388" s="2"/>
      <c r="Y388" s="7"/>
      <c r="Z388" s="15"/>
      <c r="AA388" s="1" t="s">
        <v>2744</v>
      </c>
      <c r="AB388" s="16">
        <v>46237</v>
      </c>
      <c r="AC388" s="2" t="s">
        <v>2306</v>
      </c>
      <c r="AD388" s="1">
        <f>VLOOKUP(ENTRADAS71417[[#This Row],[CÓDIGO]],PRODUCTOS31316[],2,FALSE)</f>
        <v>0</v>
      </c>
      <c r="AE388" s="1" t="str">
        <f>VLOOKUP(ENTRADAS71417[[#This Row],[CÓDIGO]],PRODUCTOS31316[],3,FALSE)</f>
        <v>ESCALERILLAS METÁLICAS DE 10 MM</v>
      </c>
      <c r="AF388" s="2">
        <v>8</v>
      </c>
      <c r="AG388" s="2"/>
      <c r="AH388" s="2"/>
    </row>
    <row r="389" spans="1:34" ht="49.95" customHeight="1" x14ac:dyDescent="0.3">
      <c r="A389" s="2" t="s">
        <v>1390</v>
      </c>
      <c r="B389" s="1" t="s">
        <v>1391</v>
      </c>
      <c r="C389" s="1" t="s">
        <v>1392</v>
      </c>
      <c r="E389" s="1" t="s">
        <v>24</v>
      </c>
      <c r="F389" s="1" t="s">
        <v>172</v>
      </c>
      <c r="G389" s="2">
        <v>0</v>
      </c>
      <c r="H389" s="14">
        <f>SUMIF(ENTRADAS71417[CÓDIGO],PRODUCTOS31316[[#This Row],[CÓDIGO]],ENTRADAS71417[CANTIDAD])</f>
        <v>0</v>
      </c>
      <c r="I389" s="11">
        <f>SUMIF(SALIDAS111518[CÓDIGO],PRODUCTOS31316[[#This Row],[CÓDIGO]],SALIDAS111518[CANTIDAD])</f>
        <v>0</v>
      </c>
      <c r="J389" s="6">
        <f>PRODUCTOS31316[[#This Row],[EXISTENCIAS]]+PRODUCTOS31316[[#This Row],[ENTRADAS]]-PRODUCTOS31316[[#This Row],[SALIDAS]]</f>
        <v>0</v>
      </c>
      <c r="L389" s="282"/>
      <c r="M389" s="282"/>
      <c r="N389" s="276">
        <v>7818</v>
      </c>
      <c r="O389" s="290" t="s">
        <v>3333</v>
      </c>
      <c r="P389" s="16">
        <v>46056</v>
      </c>
      <c r="Q389" s="288" t="s">
        <v>168</v>
      </c>
      <c r="R389" s="2">
        <f>VLOOKUP(SALIDAS111518[[#This Row],[CÓDIGO]],PRODUCTOS31316[],2,FALSE)</f>
        <v>4840</v>
      </c>
      <c r="S389" s="1" t="str">
        <f>VLOOKUP(SALIDAS111518[[#This Row],[CÓDIGO]],PRODUCTOS31316[],3,FALSE)</f>
        <v>PUNTAS BLANCAS UNIVERSALES, PLÁSTICAS, LIBRES DE DNASAS, RNASA Y PIROGENOS, RANGO DE 0.1 A 10UL. (CORTAS).</v>
      </c>
      <c r="T389" s="2">
        <v>3</v>
      </c>
      <c r="U389" s="2"/>
      <c r="V389" s="2"/>
      <c r="W389" s="2"/>
      <c r="X389" s="2"/>
      <c r="Y389" s="7"/>
      <c r="Z389" s="15"/>
      <c r="AA389" s="1" t="s">
        <v>2744</v>
      </c>
      <c r="AB389" s="16">
        <v>46237</v>
      </c>
      <c r="AC389" s="2" t="s">
        <v>1006</v>
      </c>
      <c r="AD389" s="1" t="str">
        <f>VLOOKUP(ENTRADAS71417[[#This Row],[CÓDIGO]],PRODUCTOS31316[],2,FALSE)</f>
        <v>44-0200</v>
      </c>
      <c r="AE389" s="1" t="str">
        <f>VLOOKUP(ENTRADAS71417[[#This Row],[CÓDIGO]],PRODUCTOS31316[],3,FALSE)</f>
        <v>POLVO SELLADOR DE PAJILLAS COLOR BLANCO, 750GR</v>
      </c>
      <c r="AF389" s="2">
        <v>1</v>
      </c>
      <c r="AG389" s="2"/>
      <c r="AH389" s="2"/>
    </row>
    <row r="390" spans="1:34" ht="49.95" customHeight="1" x14ac:dyDescent="0.3">
      <c r="A390" s="2" t="s">
        <v>1393</v>
      </c>
      <c r="C390" s="1" t="s">
        <v>1394</v>
      </c>
      <c r="D390" s="1" t="s">
        <v>18</v>
      </c>
      <c r="E390" s="1" t="s">
        <v>1395</v>
      </c>
      <c r="F390" s="1" t="s">
        <v>30</v>
      </c>
      <c r="G390" s="2">
        <v>0</v>
      </c>
      <c r="H390" s="14">
        <f>SUMIF(ENTRADAS71417[CÓDIGO],PRODUCTOS31316[[#This Row],[CÓDIGO]],ENTRADAS71417[CANTIDAD])</f>
        <v>0</v>
      </c>
      <c r="I390" s="11">
        <f>SUMIF(SALIDAS111518[CÓDIGO],PRODUCTOS31316[[#This Row],[CÓDIGO]],SALIDAS111518[CANTIDAD])</f>
        <v>0</v>
      </c>
      <c r="J390" s="6">
        <f>PRODUCTOS31316[[#This Row],[EXISTENCIAS]]+PRODUCTOS31316[[#This Row],[ENTRADAS]]-PRODUCTOS31316[[#This Row],[SALIDAS]]</f>
        <v>0</v>
      </c>
      <c r="L390" s="282"/>
      <c r="M390" s="282"/>
      <c r="N390" s="276">
        <v>7818</v>
      </c>
      <c r="O390" s="290" t="s">
        <v>3333</v>
      </c>
      <c r="P390" s="16">
        <v>46056</v>
      </c>
      <c r="Q390" s="288" t="s">
        <v>75</v>
      </c>
      <c r="R390" s="2" t="str">
        <f>VLOOKUP(SALIDAS111518[[#This Row],[CÓDIGO]],PRODUCTOS31316[],2,FALSE)</f>
        <v>18130E</v>
      </c>
      <c r="S390" s="1" t="str">
        <f>VLOOKUP(SALIDAS111518[[#This Row],[CÓDIGO]],PRODUCTOS31316[],3,FALSE)</f>
        <v>CAJA PETRI DESECHABLE ESTERIL 60X15 MM</v>
      </c>
      <c r="T390" s="2">
        <v>10</v>
      </c>
      <c r="U390" s="2"/>
      <c r="V390" s="2"/>
      <c r="W390" s="2"/>
      <c r="X390" s="2"/>
      <c r="Y390" s="7"/>
      <c r="Z390" s="15"/>
      <c r="AA390" s="1" t="s">
        <v>2744</v>
      </c>
      <c r="AB390" s="16">
        <v>46237</v>
      </c>
      <c r="AC390" s="2" t="s">
        <v>748</v>
      </c>
      <c r="AD390" s="1" t="str">
        <f>VLOOKUP(ENTRADAS71417[[#This Row],[CÓDIGO]],PRODUCTOS31316[],2,FALSE)</f>
        <v>TY</v>
      </c>
      <c r="AE390" s="1" t="str">
        <f>VLOOKUP(ENTRADAS71417[[#This Row],[CÓDIGO]],PRODUCTOS31316[],3,FALSE)</f>
        <v>TABS AMARILLOS</v>
      </c>
      <c r="AF390" s="2">
        <v>20</v>
      </c>
      <c r="AG390" s="2"/>
      <c r="AH390" s="2"/>
    </row>
    <row r="391" spans="1:34" ht="49.95" customHeight="1" x14ac:dyDescent="0.3">
      <c r="A391" s="2" t="s">
        <v>1397</v>
      </c>
      <c r="B391" s="1" t="s">
        <v>1398</v>
      </c>
      <c r="C391" s="1" t="s">
        <v>1399</v>
      </c>
      <c r="E391" s="1" t="s">
        <v>183</v>
      </c>
      <c r="F391" s="1" t="s">
        <v>30</v>
      </c>
      <c r="G391" s="2">
        <v>0</v>
      </c>
      <c r="H391" s="14">
        <f>SUMIF(ENTRADAS71417[CÓDIGO],PRODUCTOS31316[[#This Row],[CÓDIGO]],ENTRADAS71417[CANTIDAD])</f>
        <v>0</v>
      </c>
      <c r="I391" s="11">
        <f>SUMIF(SALIDAS111518[CÓDIGO],PRODUCTOS31316[[#This Row],[CÓDIGO]],SALIDAS111518[CANTIDAD])</f>
        <v>0</v>
      </c>
      <c r="J391" s="6">
        <f>PRODUCTOS31316[[#This Row],[EXISTENCIAS]]+PRODUCTOS31316[[#This Row],[ENTRADAS]]-PRODUCTOS31316[[#This Row],[SALIDAS]]</f>
        <v>0</v>
      </c>
      <c r="L391" s="282"/>
      <c r="M391" s="282"/>
      <c r="N391" s="276">
        <v>7818</v>
      </c>
      <c r="O391" s="290" t="s">
        <v>3333</v>
      </c>
      <c r="P391" s="16">
        <v>46056</v>
      </c>
      <c r="Q391" s="288" t="s">
        <v>3165</v>
      </c>
      <c r="R391" s="2">
        <f>VLOOKUP(SALIDAS111518[[#This Row],[CÓDIGO]],PRODUCTOS31316[],2,FALSE)</f>
        <v>30943</v>
      </c>
      <c r="S391" s="1" t="str">
        <f>VLOOKUP(SALIDAS111518[[#This Row],[CÓDIGO]],PRODUCTOS31316[],3,FALSE)</f>
        <v xml:space="preserve">CAJA PETRI DESECHABLE ESTERIL 90X 15 </v>
      </c>
      <c r="T391" s="2">
        <v>10</v>
      </c>
      <c r="U391" s="2"/>
      <c r="V391" s="2"/>
      <c r="W391" s="2"/>
      <c r="X391" s="2"/>
      <c r="Y391" s="7"/>
      <c r="Z391" s="15"/>
      <c r="AA391" s="1" t="s">
        <v>2744</v>
      </c>
      <c r="AB391" s="16">
        <v>46237</v>
      </c>
      <c r="AC391" s="2" t="s">
        <v>455</v>
      </c>
      <c r="AD391" s="1">
        <f>VLOOKUP(ENTRADAS71417[[#This Row],[CÓDIGO]],PRODUCTOS31316[],2,FALSE)</f>
        <v>0</v>
      </c>
      <c r="AE391" s="1" t="str">
        <f>VLOOKUP(ENTRADAS71417[[#This Row],[CÓDIGO]],PRODUCTOS31316[],3,FALSE)</f>
        <v>ESCALERILLAS PARA GOBLETS DE 13 MM</v>
      </c>
      <c r="AG391" s="2"/>
      <c r="AH391" s="2"/>
    </row>
    <row r="392" spans="1:34" ht="49.95" customHeight="1" x14ac:dyDescent="0.3">
      <c r="A392" s="2" t="s">
        <v>1401</v>
      </c>
      <c r="B392" s="1" t="s">
        <v>1402</v>
      </c>
      <c r="C392" s="1" t="s">
        <v>1403</v>
      </c>
      <c r="E392" s="1" t="s">
        <v>183</v>
      </c>
      <c r="F392" s="1" t="s">
        <v>30</v>
      </c>
      <c r="G392" s="2">
        <v>0</v>
      </c>
      <c r="H392" s="14">
        <f>SUMIF(ENTRADAS71417[CÓDIGO],PRODUCTOS31316[[#This Row],[CÓDIGO]],ENTRADAS71417[CANTIDAD])</f>
        <v>0</v>
      </c>
      <c r="I392" s="11">
        <f>SUMIF(SALIDAS111518[CÓDIGO],PRODUCTOS31316[[#This Row],[CÓDIGO]],SALIDAS111518[CANTIDAD])</f>
        <v>0</v>
      </c>
      <c r="J392" s="6">
        <f>PRODUCTOS31316[[#This Row],[EXISTENCIAS]]+PRODUCTOS31316[[#This Row],[ENTRADAS]]-PRODUCTOS31316[[#This Row],[SALIDAS]]</f>
        <v>0</v>
      </c>
      <c r="L392" s="288" t="s">
        <v>3520</v>
      </c>
      <c r="M392" s="288" t="s">
        <v>3931</v>
      </c>
      <c r="N392" s="288" t="s">
        <v>3959</v>
      </c>
      <c r="O392" s="288" t="s">
        <v>2299</v>
      </c>
      <c r="P392" s="16">
        <v>46056</v>
      </c>
      <c r="Q392" s="288" t="s">
        <v>748</v>
      </c>
      <c r="R392" s="2" t="str">
        <f>VLOOKUP(SALIDAS111518[[#This Row],[CÓDIGO]],PRODUCTOS31316[],2,FALSE)</f>
        <v>TY</v>
      </c>
      <c r="S392" s="1" t="str">
        <f>VLOOKUP(SALIDAS111518[[#This Row],[CÓDIGO]],PRODUCTOS31316[],3,FALSE)</f>
        <v>TABS AMARILLOS</v>
      </c>
      <c r="T392" s="2">
        <v>2</v>
      </c>
      <c r="U392" s="2">
        <v>187</v>
      </c>
      <c r="V392" s="2"/>
      <c r="W392" s="2"/>
      <c r="X392" s="2"/>
      <c r="Y392" s="7"/>
      <c r="Z392" s="15"/>
      <c r="AA392" s="1" t="s">
        <v>2744</v>
      </c>
      <c r="AB392" s="16">
        <v>46237</v>
      </c>
      <c r="AC392" s="2" t="s">
        <v>3248</v>
      </c>
      <c r="AD392" s="1">
        <f>VLOOKUP(ENTRADAS71417[[#This Row],[CÓDIGO]],PRODUCTOS31316[],2,FALSE)</f>
        <v>200167</v>
      </c>
      <c r="AE392" s="1" t="str">
        <f>VLOOKUP(ENTRADAS71417[[#This Row],[CÓDIGO]],PRODUCTOS31316[],3,FALSE)</f>
        <v>BOQUILLA DE LLENADO CON SUCCIÓN 15 PIN 0.5 ML</v>
      </c>
      <c r="AF392" s="2">
        <v>1</v>
      </c>
      <c r="AG392" s="2"/>
      <c r="AH392" s="2"/>
    </row>
    <row r="393" spans="1:34" ht="49.95" customHeight="1" x14ac:dyDescent="0.3">
      <c r="A393" s="2" t="s">
        <v>1405</v>
      </c>
      <c r="B393" s="1" t="s">
        <v>1406</v>
      </c>
      <c r="C393" s="1" t="s">
        <v>1407</v>
      </c>
      <c r="D393" s="1" t="s">
        <v>1408</v>
      </c>
      <c r="F393" s="1" t="s">
        <v>30</v>
      </c>
      <c r="G393" s="2">
        <v>0</v>
      </c>
      <c r="H393" s="14">
        <f>SUMIF(ENTRADAS71417[CÓDIGO],PRODUCTOS31316[[#This Row],[CÓDIGO]],ENTRADAS71417[CANTIDAD])</f>
        <v>0</v>
      </c>
      <c r="I393" s="11">
        <f>SUMIF(SALIDAS111518[CÓDIGO],PRODUCTOS31316[[#This Row],[CÓDIGO]],SALIDAS111518[CANTIDAD])</f>
        <v>0</v>
      </c>
      <c r="J393" s="6">
        <f>PRODUCTOS31316[[#This Row],[EXISTENCIAS]]+PRODUCTOS31316[[#This Row],[ENTRADAS]]-PRODUCTOS31316[[#This Row],[SALIDAS]]</f>
        <v>0</v>
      </c>
      <c r="L393" s="282"/>
      <c r="M393" s="282"/>
      <c r="N393" s="276">
        <v>7813</v>
      </c>
      <c r="O393" s="288" t="s">
        <v>2299</v>
      </c>
      <c r="P393" s="16">
        <v>46056</v>
      </c>
      <c r="Q393" s="288" t="s">
        <v>1231</v>
      </c>
      <c r="R393" s="2">
        <f>VLOOKUP(SALIDAS111518[[#This Row],[CÓDIGO]],PRODUCTOS31316[],2,FALSE)</f>
        <v>0</v>
      </c>
      <c r="S393" s="1" t="str">
        <f>VLOOKUP(SALIDAS111518[[#This Row],[CÓDIGO]],PRODUCTOS31316[],3,FALSE)</f>
        <v>TABS AZULES</v>
      </c>
      <c r="T393" s="2">
        <v>1</v>
      </c>
      <c r="U393" s="2"/>
      <c r="V393" s="2"/>
      <c r="W393" s="2"/>
      <c r="X393" s="2"/>
      <c r="Y393" s="7"/>
      <c r="Z393" s="15">
        <v>6733</v>
      </c>
      <c r="AA393" s="420" t="s">
        <v>3384</v>
      </c>
      <c r="AB393" s="16">
        <v>46239</v>
      </c>
      <c r="AC393" s="418" t="s">
        <v>333</v>
      </c>
      <c r="AD393" s="1" t="str">
        <f>VLOOKUP(ENTRADAS71417[[#This Row],[CÓDIGO]],PRODUCTOS31316[],2,FALSE)</f>
        <v>CTB15</v>
      </c>
      <c r="AE393" s="1" t="str">
        <f>VLOOKUP(ENTRADAS71417[[#This Row],[CÓDIGO]],PRODUCTOS31316[],3,FALSE)</f>
        <v>TUBO CÓNICO DE 15 ML, TAPA ROSCA ESTÉRIL  RCF MAX: 10000xg, 
graduados, PCR puro. VENCE: 03/04/2028</v>
      </c>
      <c r="AF393" s="15"/>
      <c r="AG393" s="2">
        <v>60</v>
      </c>
      <c r="AH393" s="2"/>
    </row>
    <row r="394" spans="1:34" ht="49.95" customHeight="1" x14ac:dyDescent="0.3">
      <c r="A394" s="2" t="s">
        <v>1410</v>
      </c>
      <c r="B394" s="1">
        <v>1496</v>
      </c>
      <c r="C394" s="1" t="s">
        <v>1411</v>
      </c>
      <c r="D394" s="1" t="s">
        <v>2554</v>
      </c>
      <c r="E394" s="1" t="s">
        <v>559</v>
      </c>
      <c r="F394" s="1" t="s">
        <v>30</v>
      </c>
      <c r="G394" s="2">
        <v>0</v>
      </c>
      <c r="H394" s="14">
        <f>SUMIF(ENTRADAS71417[CÓDIGO],PRODUCTOS31316[[#This Row],[CÓDIGO]],ENTRADAS71417[CANTIDAD])</f>
        <v>0</v>
      </c>
      <c r="I394" s="11">
        <f>SUMIF(SALIDAS111518[CÓDIGO],PRODUCTOS31316[[#This Row],[CÓDIGO]],SALIDAS111518[CANTIDAD])</f>
        <v>0</v>
      </c>
      <c r="J394" s="6">
        <f>PRODUCTOS31316[[#This Row],[EXISTENCIAS]]+PRODUCTOS31316[[#This Row],[ENTRADAS]]-PRODUCTOS31316[[#This Row],[SALIDAS]]</f>
        <v>0</v>
      </c>
      <c r="L394" s="282"/>
      <c r="M394" s="282"/>
      <c r="N394" s="276">
        <v>7813</v>
      </c>
      <c r="O394" s="288" t="s">
        <v>2299</v>
      </c>
      <c r="P394" s="16">
        <v>46056</v>
      </c>
      <c r="Q394" s="288" t="s">
        <v>2246</v>
      </c>
      <c r="R394" s="2" t="str">
        <f>VLOOKUP(SALIDAS111518[[#This Row],[CÓDIGO]],PRODUCTOS31316[],2,FALSE)</f>
        <v>00051076-02</v>
      </c>
      <c r="S394" s="1" t="str">
        <f>VLOOKUP(SALIDAS111518[[#This Row],[CÓDIGO]],PRODUCTOS31316[],3,FALSE)</f>
        <v>LIDOCAÍNA  HCL 2 % X 100 ML/ 2025-12-16</v>
      </c>
      <c r="T394" s="2">
        <v>8</v>
      </c>
      <c r="U394" s="2"/>
      <c r="V394" s="2"/>
      <c r="W394" s="2"/>
      <c r="X394" s="2"/>
      <c r="Y394" s="7"/>
      <c r="Z394" s="15">
        <v>6733</v>
      </c>
      <c r="AA394" s="420" t="s">
        <v>3384</v>
      </c>
      <c r="AB394" s="16">
        <v>46239</v>
      </c>
      <c r="AC394" s="418" t="s">
        <v>341</v>
      </c>
      <c r="AD394" s="1" t="str">
        <f>VLOOKUP(ENTRADAS71417[[#This Row],[CÓDIGO]],PRODUCTOS31316[],2,FALSE)</f>
        <v>CTB50</v>
      </c>
      <c r="AE394" s="1" t="str">
        <f>VLOOKUP(ENTRADAS71417[[#This Row],[CÓDIGO]],PRODUCTOS31316[],3,FALSE)</f>
        <v>TUBO CÓNICO DE 50 mL, TAPA ROSCA, PRE ESTERILIZADO. RCF MAX: 10000xg, graduados, PCR puro.</v>
      </c>
      <c r="AF394" s="15"/>
      <c r="AG394" s="2">
        <v>40</v>
      </c>
      <c r="AH394" s="2"/>
    </row>
    <row r="395" spans="1:34" ht="49.95" customHeight="1" x14ac:dyDescent="0.3">
      <c r="A395" s="2" t="s">
        <v>1413</v>
      </c>
      <c r="B395" s="1">
        <v>352054</v>
      </c>
      <c r="C395" s="74" t="s">
        <v>248</v>
      </c>
      <c r="D395" s="1" t="s">
        <v>182</v>
      </c>
      <c r="E395" s="1" t="s">
        <v>183</v>
      </c>
      <c r="F395" s="1" t="s">
        <v>250</v>
      </c>
      <c r="G395" s="2">
        <v>0</v>
      </c>
      <c r="H395" s="14">
        <f>SUMIF(ENTRADAS71417[CÓDIGO],PRODUCTOS31316[[#This Row],[CÓDIGO]],ENTRADAS71417[CANTIDAD])</f>
        <v>0</v>
      </c>
      <c r="I395" s="11">
        <f>SUMIF(SALIDAS111518[CÓDIGO],PRODUCTOS31316[[#This Row],[CÓDIGO]],SALIDAS111518[CANTIDAD])</f>
        <v>0</v>
      </c>
      <c r="J395" s="6">
        <f>PRODUCTOS31316[[#This Row],[EXISTENCIAS]]+PRODUCTOS31316[[#This Row],[ENTRADAS]]-PRODUCTOS31316[[#This Row],[SALIDAS]]</f>
        <v>0</v>
      </c>
      <c r="L395" s="282"/>
      <c r="M395" s="282"/>
      <c r="N395" s="276">
        <v>7813</v>
      </c>
      <c r="O395" s="288" t="s">
        <v>2299</v>
      </c>
      <c r="P395" s="16">
        <v>46056</v>
      </c>
      <c r="Q395" s="288" t="s">
        <v>2306</v>
      </c>
      <c r="R395" s="2">
        <f>VLOOKUP(SALIDAS111518[[#This Row],[CÓDIGO]],PRODUCTOS31316[],2,FALSE)</f>
        <v>0</v>
      </c>
      <c r="S395" s="1" t="str">
        <f>VLOOKUP(SALIDAS111518[[#This Row],[CÓDIGO]],PRODUCTOS31316[],3,FALSE)</f>
        <v>ESCALERILLAS METÁLICAS DE 10 MM</v>
      </c>
      <c r="T395" s="2">
        <v>1</v>
      </c>
      <c r="U395" s="2"/>
      <c r="V395" s="2"/>
      <c r="W395" s="2"/>
      <c r="X395" s="2"/>
      <c r="Y395" s="7"/>
      <c r="Z395" s="15">
        <v>6733</v>
      </c>
      <c r="AA395" s="420" t="s">
        <v>3384</v>
      </c>
      <c r="AB395" s="16">
        <v>46239</v>
      </c>
      <c r="AC395" s="418" t="s">
        <v>3168</v>
      </c>
      <c r="AD395" s="1" t="str">
        <f>VLOOKUP(ENTRADAS71417[[#This Row],[CÓDIGO]],PRODUCTOS31316[],2,FALSE)</f>
        <v>MCTB015</v>
      </c>
      <c r="AE395" s="1" t="str">
        <f>VLOOKUP(ENTRADAS71417[[#This Row],[CÓDIGO]],PRODUCTOS31316[],3,FALSE)</f>
        <v>TUBO CONICO DE 1,5ml PRE ESTERILIZADO LIBRE DE Rnasa y Dnasa No pirogenico No DNA Humano Tapa a Presion</v>
      </c>
      <c r="AF395" s="15"/>
      <c r="AG395" s="2">
        <v>10</v>
      </c>
      <c r="AH395" s="2"/>
    </row>
    <row r="396" spans="1:34" ht="49.95" customHeight="1" x14ac:dyDescent="0.3">
      <c r="A396" s="2" t="s">
        <v>1089</v>
      </c>
      <c r="B396" s="1">
        <v>605005</v>
      </c>
      <c r="C396" s="1" t="s">
        <v>1415</v>
      </c>
      <c r="D396" s="1" t="s">
        <v>1416</v>
      </c>
      <c r="E396" s="1" t="s">
        <v>352</v>
      </c>
      <c r="F396" s="1" t="s">
        <v>30</v>
      </c>
      <c r="G396" s="2">
        <v>25</v>
      </c>
      <c r="H396" s="14">
        <f>SUMIF(ENTRADAS71417[CÓDIGO],PRODUCTOS31316[[#This Row],[CÓDIGO]],ENTRADAS71417[CANTIDAD])</f>
        <v>0</v>
      </c>
      <c r="I396" s="11">
        <f>SUMIF(SALIDAS111518[CÓDIGO],PRODUCTOS31316[[#This Row],[CÓDIGO]],SALIDAS111518[CANTIDAD])</f>
        <v>12</v>
      </c>
      <c r="J396" s="6">
        <f>PRODUCTOS31316[[#This Row],[EXISTENCIAS]]+PRODUCTOS31316[[#This Row],[ENTRADAS]]-PRODUCTOS31316[[#This Row],[SALIDAS]]</f>
        <v>13</v>
      </c>
      <c r="L396" s="282"/>
      <c r="M396" s="282"/>
      <c r="N396" s="276">
        <v>7813</v>
      </c>
      <c r="O396" s="288" t="s">
        <v>2299</v>
      </c>
      <c r="P396" s="16">
        <v>46056</v>
      </c>
      <c r="Q396" s="288" t="s">
        <v>752</v>
      </c>
      <c r="R396" s="2">
        <f>VLOOKUP(SALIDAS111518[[#This Row],[CÓDIGO]],PRODUCTOS31316[],2,FALSE)</f>
        <v>0</v>
      </c>
      <c r="S396" s="1" t="str">
        <f>VLOOKUP(SALIDAS111518[[#This Row],[CÓDIGO]],PRODUCTOS31316[],3,FALSE)</f>
        <v>TABS BLANCOS</v>
      </c>
      <c r="T396" s="2">
        <v>2</v>
      </c>
      <c r="U396" s="2"/>
      <c r="V396" s="2"/>
      <c r="W396" s="2"/>
      <c r="X396" s="2"/>
      <c r="Y396" s="7"/>
      <c r="Z396" s="422" t="s">
        <v>5806</v>
      </c>
      <c r="AA396" s="421" t="s">
        <v>3735</v>
      </c>
      <c r="AB396" s="16">
        <v>46239</v>
      </c>
      <c r="AC396" s="422" t="s">
        <v>5807</v>
      </c>
      <c r="AD396" s="1" t="str">
        <f>VLOOKUP(ENTRADAS71417[[#This Row],[CÓDIGO]],PRODUCTOS31316[],2,FALSE)</f>
        <v>1110-1800</v>
      </c>
      <c r="AE396" s="1" t="str">
        <f>VLOOKUP(ENTRADAS71417[[#This Row],[CÓDIGO]],PRODUCTOS31316[],3,FALSE)</f>
        <v>RACK DE PUNTAS 200 UL NO ESTERIL/   BISELAS</v>
      </c>
      <c r="AF396" s="2">
        <v>50</v>
      </c>
      <c r="AG396" s="2">
        <v>50</v>
      </c>
      <c r="AH396" s="2">
        <v>174</v>
      </c>
    </row>
    <row r="397" spans="1:34" ht="49.95" customHeight="1" x14ac:dyDescent="0.3">
      <c r="A397" s="2" t="s">
        <v>230</v>
      </c>
      <c r="B397" s="1" t="s">
        <v>1417</v>
      </c>
      <c r="C397" s="1" t="s">
        <v>1418</v>
      </c>
      <c r="D397" s="1" t="s">
        <v>103</v>
      </c>
      <c r="E397" s="1" t="s">
        <v>352</v>
      </c>
      <c r="F397" s="1" t="s">
        <v>647</v>
      </c>
      <c r="G397" s="2">
        <v>0</v>
      </c>
      <c r="H397" s="14">
        <f>SUMIF(ENTRADAS71417[CÓDIGO],PRODUCTOS31316[[#This Row],[CÓDIGO]],ENTRADAS71417[CANTIDAD])</f>
        <v>0</v>
      </c>
      <c r="I397" s="11">
        <f>SUMIF(SALIDAS111518[CÓDIGO],PRODUCTOS31316[[#This Row],[CÓDIGO]],SALIDAS111518[CANTIDAD])</f>
        <v>0</v>
      </c>
      <c r="J397" s="6">
        <f>PRODUCTOS31316[[#This Row],[EXISTENCIAS]]+PRODUCTOS31316[[#This Row],[ENTRADAS]]-PRODUCTOS31316[[#This Row],[SALIDAS]]</f>
        <v>0</v>
      </c>
      <c r="L397" s="288" t="s">
        <v>3520</v>
      </c>
      <c r="M397" s="288" t="s">
        <v>3931</v>
      </c>
      <c r="N397" s="290" t="s">
        <v>3961</v>
      </c>
      <c r="O397" s="288" t="s">
        <v>2648</v>
      </c>
      <c r="P397" s="16">
        <v>46056</v>
      </c>
      <c r="Q397" s="288" t="s">
        <v>15</v>
      </c>
      <c r="R397" s="2" t="str">
        <f>VLOOKUP(SALIDAS111518[[#This Row],[CÓDIGO]],PRODUCTOS31316[],2,FALSE)</f>
        <v>BTE-025PT/ 504002</v>
      </c>
      <c r="S397" s="1" t="str">
        <f>VLOOKUP(SALIDAS111518[[#This Row],[CÓDIGO]],PRODUCTOS31316[],3,FALSE)</f>
        <v>FUNDAS PARA TRANSFERENCIA DE EMBRIONES</v>
      </c>
      <c r="T397" s="2">
        <v>20</v>
      </c>
      <c r="U397" s="2">
        <v>118</v>
      </c>
      <c r="V397" s="2"/>
      <c r="W397" s="2"/>
      <c r="X397" s="2"/>
      <c r="Y397" s="7"/>
      <c r="Z397" s="2"/>
      <c r="AA397" s="1"/>
      <c r="AC397" s="2"/>
      <c r="AE397" s="1"/>
      <c r="AG397" s="2"/>
    </row>
    <row r="398" spans="1:34" ht="49.95" customHeight="1" x14ac:dyDescent="0.3">
      <c r="A398" s="2" t="s">
        <v>1419</v>
      </c>
      <c r="C398" s="1" t="s">
        <v>386</v>
      </c>
      <c r="F398" s="1" t="s">
        <v>30</v>
      </c>
      <c r="G398" s="2">
        <v>0</v>
      </c>
      <c r="H398" s="14">
        <f>SUMIF(ENTRADAS71417[CÓDIGO],PRODUCTOS31316[[#This Row],[CÓDIGO]],ENTRADAS71417[CANTIDAD])</f>
        <v>0</v>
      </c>
      <c r="I398" s="11">
        <f>SUMIF(SALIDAS111518[CÓDIGO],PRODUCTOS31316[[#This Row],[CÓDIGO]],SALIDAS111518[CANTIDAD])</f>
        <v>0</v>
      </c>
      <c r="J398" s="6">
        <f>PRODUCTOS31316[[#This Row],[EXISTENCIAS]]+PRODUCTOS31316[[#This Row],[ENTRADAS]]-PRODUCTOS31316[[#This Row],[SALIDAS]]</f>
        <v>0</v>
      </c>
      <c r="L398" s="288"/>
      <c r="M398" s="288"/>
      <c r="N398" s="276">
        <v>7814</v>
      </c>
      <c r="O398" s="288" t="s">
        <v>2648</v>
      </c>
      <c r="P398" s="16">
        <v>46056</v>
      </c>
      <c r="Q398" s="288" t="s">
        <v>1779</v>
      </c>
      <c r="R398" s="2">
        <f>VLOOKUP(SALIDAS111518[[#This Row],[CÓDIGO]],PRODUCTOS31316[],2,FALSE)</f>
        <v>5563</v>
      </c>
      <c r="S398" s="1" t="str">
        <f>VLOOKUP(SALIDAS111518[[#This Row],[CÓDIGO]],PRODUCTOS31316[],3,FALSE)</f>
        <v>CAMISA SANITARIA ROLLO X 80</v>
      </c>
      <c r="T398" s="2">
        <v>1</v>
      </c>
      <c r="U398" s="2"/>
      <c r="V398" s="2"/>
      <c r="W398" s="2"/>
      <c r="X398" s="2"/>
      <c r="Y398" s="7"/>
      <c r="Z398" s="2"/>
      <c r="AA398" s="1"/>
      <c r="AC398" s="2"/>
      <c r="AE398" s="1"/>
      <c r="AG398" s="2"/>
    </row>
    <row r="399" spans="1:34" ht="49.95" customHeight="1" x14ac:dyDescent="0.3">
      <c r="A399" s="2" t="s">
        <v>445</v>
      </c>
      <c r="C399" s="216" t="s">
        <v>1420</v>
      </c>
      <c r="D399" s="1" t="s">
        <v>166</v>
      </c>
      <c r="E399" s="1" t="s">
        <v>1421</v>
      </c>
      <c r="F399" s="1" t="s">
        <v>647</v>
      </c>
      <c r="G399" s="2">
        <v>13</v>
      </c>
      <c r="H399" s="14">
        <f>SUMIF(ENTRADAS71417[CÓDIGO],PRODUCTOS31316[[#This Row],[CÓDIGO]],ENTRADAS71417[CANTIDAD])</f>
        <v>0</v>
      </c>
      <c r="I399" s="11">
        <f>SUMIF(SALIDAS111518[CÓDIGO],PRODUCTOS31316[[#This Row],[CÓDIGO]],SALIDAS111518[CANTIDAD])</f>
        <v>5</v>
      </c>
      <c r="J399" s="6">
        <f>PRODUCTOS31316[[#This Row],[EXISTENCIAS]]+PRODUCTOS31316[[#This Row],[ENTRADAS]]-PRODUCTOS31316[[#This Row],[SALIDAS]]</f>
        <v>8</v>
      </c>
      <c r="L399" s="288" t="s">
        <v>3520</v>
      </c>
      <c r="M399" s="288" t="s">
        <v>3931</v>
      </c>
      <c r="N399" s="290" t="s">
        <v>3962</v>
      </c>
      <c r="O399" s="288" t="s">
        <v>2384</v>
      </c>
      <c r="P399" s="16">
        <v>46056</v>
      </c>
      <c r="Q399" s="288" t="s">
        <v>15</v>
      </c>
      <c r="R399" s="2" t="str">
        <f>VLOOKUP(SALIDAS111518[[#This Row],[CÓDIGO]],PRODUCTOS31316[],2,FALSE)</f>
        <v>BTE-025PT/ 504002</v>
      </c>
      <c r="S399" s="1" t="str">
        <f>VLOOKUP(SALIDAS111518[[#This Row],[CÓDIGO]],PRODUCTOS31316[],3,FALSE)</f>
        <v>FUNDAS PARA TRANSFERENCIA DE EMBRIONES</v>
      </c>
      <c r="T399" s="2">
        <v>10</v>
      </c>
      <c r="U399" s="2">
        <v>189</v>
      </c>
      <c r="V399" s="2"/>
      <c r="W399" s="2"/>
      <c r="X399" s="2"/>
      <c r="Y399" s="7"/>
      <c r="Z399" s="2"/>
      <c r="AA399" s="1"/>
      <c r="AC399" s="2"/>
      <c r="AE399" s="1"/>
      <c r="AG399" s="2"/>
    </row>
    <row r="400" spans="1:34" ht="49.95" customHeight="1" x14ac:dyDescent="0.3">
      <c r="A400" s="2" t="s">
        <v>1059</v>
      </c>
      <c r="B400" s="1" t="s">
        <v>1422</v>
      </c>
      <c r="C400" s="1" t="s">
        <v>1423</v>
      </c>
      <c r="D400" s="1" t="s">
        <v>1424</v>
      </c>
      <c r="E400" s="1" t="s">
        <v>957</v>
      </c>
      <c r="F400" s="1" t="s">
        <v>172</v>
      </c>
      <c r="G400" s="2">
        <v>0</v>
      </c>
      <c r="H400" s="14">
        <f>SUMIF(ENTRADAS71417[CÓDIGO],PRODUCTOS31316[[#This Row],[CÓDIGO]],ENTRADAS71417[CANTIDAD])</f>
        <v>0</v>
      </c>
      <c r="I400" s="11">
        <f>SUMIF(SALIDAS111518[CÓDIGO],PRODUCTOS31316[[#This Row],[CÓDIGO]],SALIDAS111518[CANTIDAD])</f>
        <v>0</v>
      </c>
      <c r="J400" s="6">
        <f>PRODUCTOS31316[[#This Row],[EXISTENCIAS]]+PRODUCTOS31316[[#This Row],[ENTRADAS]]-PRODUCTOS31316[[#This Row],[SALIDAS]]</f>
        <v>0</v>
      </c>
      <c r="L400" s="288" t="s">
        <v>3520</v>
      </c>
      <c r="M400" s="288" t="s">
        <v>3931</v>
      </c>
      <c r="N400" s="290" t="s">
        <v>3963</v>
      </c>
      <c r="O400" s="288" t="s">
        <v>3534</v>
      </c>
      <c r="P400" s="16">
        <v>46056</v>
      </c>
      <c r="Q400" s="288" t="s">
        <v>3202</v>
      </c>
      <c r="R400" s="2">
        <f>VLOOKUP(SALIDAS111518[[#This Row],[CÓDIGO]],PRODUCTOS31316[],2,FALSE)</f>
        <v>0</v>
      </c>
      <c r="S400" s="1" t="str">
        <f>VLOOKUP(SALIDAS111518[[#This Row],[CÓDIGO]],PRODUCTOS31316[],3,FALSE)</f>
        <v>CABLE REPUESTO ECOGRAFO S5</v>
      </c>
      <c r="T400" s="2">
        <v>1</v>
      </c>
      <c r="U400" s="2">
        <v>190</v>
      </c>
      <c r="V400" s="2"/>
      <c r="W400" s="2"/>
      <c r="X400" s="2"/>
      <c r="Y400" s="7"/>
      <c r="Z400" s="2"/>
      <c r="AA400" s="1"/>
      <c r="AC400" s="2"/>
      <c r="AE400" s="1"/>
      <c r="AG400" s="2"/>
    </row>
    <row r="401" spans="1:33" ht="49.95" customHeight="1" x14ac:dyDescent="0.3">
      <c r="A401" s="203" t="s">
        <v>70</v>
      </c>
      <c r="B401" s="1">
        <v>25458</v>
      </c>
      <c r="C401" s="216" t="s">
        <v>1154</v>
      </c>
      <c r="D401" s="1" t="s">
        <v>442</v>
      </c>
      <c r="E401" s="1" t="s">
        <v>442</v>
      </c>
      <c r="F401" s="1" t="s">
        <v>30</v>
      </c>
      <c r="G401" s="2">
        <v>75</v>
      </c>
      <c r="H401" s="14">
        <f>SUMIF(ENTRADAS71417[CÓDIGO],PRODUCTOS31316[[#This Row],[CÓDIGO]],ENTRADAS71417[CANTIDAD])</f>
        <v>40</v>
      </c>
      <c r="I401" s="11">
        <f>SUMIF(SALIDAS111518[CÓDIGO],PRODUCTOS31316[[#This Row],[CÓDIGO]],SALIDAS111518[CANTIDAD])</f>
        <v>98</v>
      </c>
      <c r="J401" s="6">
        <f>PRODUCTOS31316[[#This Row],[EXISTENCIAS]]+PRODUCTOS31316[[#This Row],[ENTRADAS]]-PRODUCTOS31316[[#This Row],[SALIDAS]]</f>
        <v>17</v>
      </c>
      <c r="L401" s="288" t="s">
        <v>3520</v>
      </c>
      <c r="M401" s="288" t="s">
        <v>3931</v>
      </c>
      <c r="N401" s="290" t="s">
        <v>4021</v>
      </c>
      <c r="O401" s="288" t="s">
        <v>94</v>
      </c>
      <c r="P401" s="16">
        <v>46057</v>
      </c>
      <c r="Q401" s="288" t="s">
        <v>15</v>
      </c>
      <c r="R401" s="2" t="str">
        <f>VLOOKUP(SALIDAS111518[[#This Row],[CÓDIGO]],PRODUCTOS31316[],2,FALSE)</f>
        <v>BTE-025PT/ 504002</v>
      </c>
      <c r="S401" s="1" t="str">
        <f>VLOOKUP(SALIDAS111518[[#This Row],[CÓDIGO]],PRODUCTOS31316[],3,FALSE)</f>
        <v>FUNDAS PARA TRANSFERENCIA DE EMBRIONES</v>
      </c>
      <c r="T401" s="2">
        <v>200</v>
      </c>
      <c r="U401" s="288" t="s">
        <v>3967</v>
      </c>
      <c r="V401" s="2"/>
      <c r="W401" s="2"/>
      <c r="X401" s="38"/>
      <c r="Y401" s="7"/>
      <c r="Z401" s="2"/>
      <c r="AA401" s="1"/>
      <c r="AC401" s="2"/>
      <c r="AE401" s="1"/>
      <c r="AG401" s="2"/>
    </row>
    <row r="402" spans="1:33" ht="49.95" customHeight="1" x14ac:dyDescent="0.3">
      <c r="A402" s="2" t="s">
        <v>1427</v>
      </c>
      <c r="B402" s="1">
        <v>1808</v>
      </c>
      <c r="C402" s="1" t="s">
        <v>1428</v>
      </c>
      <c r="D402" s="1" t="s">
        <v>103</v>
      </c>
      <c r="E402" s="1" t="s">
        <v>233</v>
      </c>
      <c r="F402" s="1" t="s">
        <v>422</v>
      </c>
      <c r="G402" s="2">
        <v>0</v>
      </c>
      <c r="H402" s="14">
        <f>SUMIF(ENTRADAS71417[CÓDIGO],PRODUCTOS31316[[#This Row],[CÓDIGO]],ENTRADAS71417[CANTIDAD])</f>
        <v>0</v>
      </c>
      <c r="I402" s="11">
        <f>SUMIF(SALIDAS111518[CÓDIGO],PRODUCTOS31316[[#This Row],[CÓDIGO]],SALIDAS111518[CANTIDAD])</f>
        <v>0</v>
      </c>
      <c r="J402" s="6">
        <f>PRODUCTOS31316[[#This Row],[EXISTENCIAS]]+PRODUCTOS31316[[#This Row],[ENTRADAS]]-PRODUCTOS31316[[#This Row],[SALIDAS]]</f>
        <v>0</v>
      </c>
      <c r="L402" s="282"/>
      <c r="M402" s="282"/>
      <c r="N402" s="276">
        <v>7852</v>
      </c>
      <c r="O402" s="288" t="s">
        <v>94</v>
      </c>
      <c r="P402" s="16">
        <v>46057</v>
      </c>
      <c r="Q402" s="288" t="s">
        <v>3703</v>
      </c>
      <c r="R402" s="2" t="str">
        <f>VLOOKUP(SALIDAS111518[[#This Row],[CÓDIGO]],PRODUCTOS31316[],2,FALSE)</f>
        <v>13407-010</v>
      </c>
      <c r="S402" s="1" t="str">
        <f>VLOOKUP(SALIDAS111518[[#This Row],[CÓDIGO]],PRODUCTOS31316[],3,FALSE)</f>
        <v>PAJUELA TRANSPARENTES 0.25/ PAQ. X 2000 MARCA MINITUBE</v>
      </c>
      <c r="T402" s="2">
        <v>1</v>
      </c>
      <c r="U402" s="288" t="s">
        <v>2727</v>
      </c>
      <c r="V402" s="2"/>
      <c r="W402" s="2"/>
      <c r="X402" s="2"/>
      <c r="Y402" s="7"/>
      <c r="Z402" s="2"/>
      <c r="AA402" s="1"/>
      <c r="AC402" s="2"/>
      <c r="AE402" s="1"/>
      <c r="AG402" s="2"/>
    </row>
    <row r="403" spans="1:33" ht="49.95" customHeight="1" x14ac:dyDescent="0.3">
      <c r="A403" s="2" t="s">
        <v>1430</v>
      </c>
      <c r="B403" s="1" t="s">
        <v>1431</v>
      </c>
      <c r="C403" s="1" t="s">
        <v>1432</v>
      </c>
      <c r="D403" s="1" t="s">
        <v>1433</v>
      </c>
      <c r="E403" s="1" t="s">
        <v>449</v>
      </c>
      <c r="F403" s="1" t="s">
        <v>953</v>
      </c>
      <c r="G403" s="2">
        <v>0</v>
      </c>
      <c r="H403" s="14">
        <f>SUMIF(ENTRADAS71417[CÓDIGO],PRODUCTOS31316[[#This Row],[CÓDIGO]],ENTRADAS71417[CANTIDAD])</f>
        <v>0</v>
      </c>
      <c r="I403" s="11">
        <f>SUMIF(SALIDAS111518[CÓDIGO],PRODUCTOS31316[[#This Row],[CÓDIGO]],SALIDAS111518[CANTIDAD])</f>
        <v>0</v>
      </c>
      <c r="J403" s="6">
        <f>PRODUCTOS31316[[#This Row],[EXISTENCIAS]]+PRODUCTOS31316[[#This Row],[ENTRADAS]]-PRODUCTOS31316[[#This Row],[SALIDAS]]</f>
        <v>0</v>
      </c>
      <c r="L403" s="282"/>
      <c r="M403" s="282"/>
      <c r="N403" s="276">
        <v>7852</v>
      </c>
      <c r="O403" s="288" t="s">
        <v>94</v>
      </c>
      <c r="P403" s="16">
        <v>46057</v>
      </c>
      <c r="Q403" s="288" t="s">
        <v>3707</v>
      </c>
      <c r="R403" s="2" t="str">
        <f>VLOOKUP(SALIDAS111518[[#This Row],[CÓDIGO]],PRODUCTOS31316[],2,FALSE)</f>
        <v>13407-094</v>
      </c>
      <c r="S403" s="1" t="str">
        <f>VLOOKUP(SALIDAS111518[[#This Row],[CÓDIGO]],PRODUCTOS31316[],3,FALSE)</f>
        <v>PAJUELA AMARILLA 0.25/ PAQ. X 2000 MARCA MINITUBE</v>
      </c>
      <c r="T403" s="2">
        <v>1</v>
      </c>
      <c r="U403" s="288" t="s">
        <v>2727</v>
      </c>
      <c r="V403" s="2"/>
      <c r="W403" s="2"/>
      <c r="X403" s="2"/>
      <c r="Y403" s="7"/>
      <c r="Z403" s="2"/>
      <c r="AA403" s="1"/>
      <c r="AC403" s="2"/>
      <c r="AE403" s="1"/>
      <c r="AG403" s="2"/>
    </row>
    <row r="404" spans="1:33" ht="49.95" customHeight="1" x14ac:dyDescent="0.3">
      <c r="A404" s="2" t="s">
        <v>1435</v>
      </c>
      <c r="B404" s="1" t="s">
        <v>1436</v>
      </c>
      <c r="C404" s="1" t="s">
        <v>1437</v>
      </c>
      <c r="D404" s="1" t="s">
        <v>1438</v>
      </c>
      <c r="E404" s="1" t="s">
        <v>449</v>
      </c>
      <c r="F404" s="1" t="s">
        <v>124</v>
      </c>
      <c r="G404" s="2">
        <v>0</v>
      </c>
      <c r="H404" s="14">
        <f>SUMIF(ENTRADAS71417[CÓDIGO],PRODUCTOS31316[[#This Row],[CÓDIGO]],ENTRADAS71417[CANTIDAD])</f>
        <v>0</v>
      </c>
      <c r="I404" s="11">
        <f>SUMIF(SALIDAS111518[CÓDIGO],PRODUCTOS31316[[#This Row],[CÓDIGO]],SALIDAS111518[CANTIDAD])</f>
        <v>0</v>
      </c>
      <c r="J404" s="6">
        <f>PRODUCTOS31316[[#This Row],[EXISTENCIAS]]+PRODUCTOS31316[[#This Row],[ENTRADAS]]-PRODUCTOS31316[[#This Row],[SALIDAS]]</f>
        <v>0</v>
      </c>
      <c r="L404" s="282"/>
      <c r="M404" s="282"/>
      <c r="N404" s="276">
        <v>7852</v>
      </c>
      <c r="O404" s="307" t="s">
        <v>94</v>
      </c>
      <c r="P404" s="16">
        <v>46057</v>
      </c>
      <c r="Q404" s="288" t="s">
        <v>1779</v>
      </c>
      <c r="R404" s="2">
        <f>VLOOKUP(SALIDAS111518[[#This Row],[CÓDIGO]],PRODUCTOS31316[],2,FALSE)</f>
        <v>5563</v>
      </c>
      <c r="S404" s="1" t="str">
        <f>VLOOKUP(SALIDAS111518[[#This Row],[CÓDIGO]],PRODUCTOS31316[],3,FALSE)</f>
        <v>CAMISA SANITARIA ROLLO X 80</v>
      </c>
      <c r="T404" s="2">
        <v>20</v>
      </c>
      <c r="U404" s="288" t="s">
        <v>2727</v>
      </c>
      <c r="V404" s="2"/>
      <c r="W404" s="2"/>
      <c r="X404" s="2"/>
      <c r="Y404" s="7"/>
      <c r="Z404" s="2"/>
      <c r="AA404" s="1"/>
      <c r="AC404" s="2"/>
      <c r="AE404" s="1"/>
      <c r="AG404" s="2"/>
    </row>
    <row r="405" spans="1:33" ht="49.95" customHeight="1" x14ac:dyDescent="0.3">
      <c r="A405" s="2" t="s">
        <v>1014</v>
      </c>
      <c r="C405" s="1" t="s">
        <v>1439</v>
      </c>
      <c r="D405" s="1" t="s">
        <v>166</v>
      </c>
      <c r="E405" s="1" t="s">
        <v>352</v>
      </c>
      <c r="F405" s="1" t="s">
        <v>172</v>
      </c>
      <c r="G405" s="2">
        <v>0</v>
      </c>
      <c r="H405" s="14">
        <f>SUMIF(ENTRADAS71417[CÓDIGO],PRODUCTOS31316[[#This Row],[CÓDIGO]],ENTRADAS71417[CANTIDAD])</f>
        <v>0</v>
      </c>
      <c r="I405" s="11">
        <f>SUMIF(SALIDAS111518[CÓDIGO],PRODUCTOS31316[[#This Row],[CÓDIGO]],SALIDAS111518[CANTIDAD])</f>
        <v>0</v>
      </c>
      <c r="J405" s="6">
        <f>PRODUCTOS31316[[#This Row],[EXISTENCIAS]]+PRODUCTOS31316[[#This Row],[ENTRADAS]]-PRODUCTOS31316[[#This Row],[SALIDAS]]</f>
        <v>0</v>
      </c>
      <c r="L405" s="282"/>
      <c r="M405" s="282"/>
      <c r="N405" s="276">
        <v>7852</v>
      </c>
      <c r="O405" s="288" t="s">
        <v>94</v>
      </c>
      <c r="P405" s="16">
        <v>46057</v>
      </c>
      <c r="Q405" s="288" t="s">
        <v>1779</v>
      </c>
      <c r="R405" s="2">
        <f>VLOOKUP(SALIDAS111518[[#This Row],[CÓDIGO]],PRODUCTOS31316[],2,FALSE)</f>
        <v>5563</v>
      </c>
      <c r="S405" s="1" t="str">
        <f>VLOOKUP(SALIDAS111518[[#This Row],[CÓDIGO]],PRODUCTOS31316[],3,FALSE)</f>
        <v>CAMISA SANITARIA ROLLO X 80</v>
      </c>
      <c r="T405" s="2">
        <v>30</v>
      </c>
      <c r="U405" s="288" t="s">
        <v>2737</v>
      </c>
      <c r="V405" s="2"/>
      <c r="W405" s="2"/>
      <c r="X405" s="2"/>
      <c r="Y405" s="7"/>
      <c r="Z405" s="2"/>
      <c r="AA405" s="1"/>
      <c r="AC405" s="2"/>
      <c r="AE405" s="1"/>
      <c r="AG405" s="2"/>
    </row>
    <row r="406" spans="1:33" ht="49.95" customHeight="1" x14ac:dyDescent="0.3">
      <c r="A406" s="2" t="s">
        <v>1440</v>
      </c>
      <c r="B406" s="1" t="s">
        <v>1441</v>
      </c>
      <c r="C406" s="1" t="s">
        <v>1442</v>
      </c>
      <c r="E406" s="226" t="s">
        <v>946</v>
      </c>
      <c r="F406" s="1" t="s">
        <v>30</v>
      </c>
      <c r="G406" s="2">
        <v>0</v>
      </c>
      <c r="H406" s="14">
        <f>SUMIF(ENTRADAS71417[CÓDIGO],PRODUCTOS31316[[#This Row],[CÓDIGO]],ENTRADAS71417[CANTIDAD])</f>
        <v>0</v>
      </c>
      <c r="I406" s="11">
        <f>SUMIF(SALIDAS111518[CÓDIGO],PRODUCTOS31316[[#This Row],[CÓDIGO]],SALIDAS111518[CANTIDAD])</f>
        <v>1</v>
      </c>
      <c r="J406" s="6">
        <f>PRODUCTOS31316[[#This Row],[EXISTENCIAS]]+PRODUCTOS31316[[#This Row],[ENTRADAS]]-PRODUCTOS31316[[#This Row],[SALIDAS]]</f>
        <v>-1</v>
      </c>
      <c r="L406" s="288" t="s">
        <v>3520</v>
      </c>
      <c r="M406" s="288" t="s">
        <v>3931</v>
      </c>
      <c r="N406" s="290" t="s">
        <v>3973</v>
      </c>
      <c r="O406" s="288" t="s">
        <v>2706</v>
      </c>
      <c r="P406" s="16">
        <v>46057</v>
      </c>
      <c r="Q406" s="288" t="s">
        <v>247</v>
      </c>
      <c r="R406" s="2">
        <f>VLOOKUP(SALIDAS111518[[#This Row],[CÓDIGO]],PRODUCTOS31316[],2,FALSE)</f>
        <v>352054</v>
      </c>
      <c r="S406" s="1" t="str">
        <f>VLOOKUP(SALIDAS111518[[#This Row],[CÓDIGO]],PRODUCTOS31316[],3,FALSE)</f>
        <v>TUBO DE FONDO REDONDO DE 5ML 12X75MM , POLIESTIRENO</v>
      </c>
      <c r="T406" s="2">
        <v>4</v>
      </c>
      <c r="U406" s="2">
        <v>195</v>
      </c>
      <c r="V406" s="2"/>
      <c r="W406" s="2"/>
      <c r="X406" s="2"/>
      <c r="Y406" s="7"/>
      <c r="Z406" s="2"/>
      <c r="AA406" s="1"/>
      <c r="AC406" s="2"/>
      <c r="AE406" s="1"/>
      <c r="AG406" s="2"/>
    </row>
    <row r="407" spans="1:33" ht="49.95" customHeight="1" x14ac:dyDescent="0.3">
      <c r="A407" s="2" t="s">
        <v>48</v>
      </c>
      <c r="B407" s="1" t="s">
        <v>1444</v>
      </c>
      <c r="C407" s="133" t="s">
        <v>1445</v>
      </c>
      <c r="D407" s="1" t="s">
        <v>442</v>
      </c>
      <c r="E407" s="1" t="s">
        <v>442</v>
      </c>
      <c r="F407" s="1" t="s">
        <v>30</v>
      </c>
      <c r="G407" s="2">
        <v>1</v>
      </c>
      <c r="H407" s="14">
        <f>SUMIF(ENTRADAS71417[CÓDIGO],PRODUCTOS31316[[#This Row],[CÓDIGO]],ENTRADAS71417[CANTIDAD])</f>
        <v>0</v>
      </c>
      <c r="I407" s="11">
        <f>SUMIF(SALIDAS111518[CÓDIGO],PRODUCTOS31316[[#This Row],[CÓDIGO]],SALIDAS111518[CANTIDAD])</f>
        <v>1</v>
      </c>
      <c r="J407" s="6">
        <f>PRODUCTOS31316[[#This Row],[EXISTENCIAS]]+PRODUCTOS31316[[#This Row],[ENTRADAS]]-PRODUCTOS31316[[#This Row],[SALIDAS]]</f>
        <v>0</v>
      </c>
      <c r="L407" s="282"/>
      <c r="M407" s="282"/>
      <c r="N407" s="276">
        <v>7830</v>
      </c>
      <c r="O407" s="288" t="s">
        <v>2706</v>
      </c>
      <c r="P407" s="16">
        <v>46057</v>
      </c>
      <c r="Q407" s="288" t="s">
        <v>3303</v>
      </c>
      <c r="R407" s="2">
        <f>VLOOKUP(SALIDAS111518[[#This Row],[CÓDIGO]],PRODUCTOS31316[],2,FALSE)</f>
        <v>10</v>
      </c>
      <c r="S407" s="1" t="str">
        <f>VLOOKUP(SALIDAS111518[[#This Row],[CÓDIGO]],PRODUCTOS31316[],3,FALSE)</f>
        <v>CAJA PETRI 4 POZOS / 3,026X3,026 CM</v>
      </c>
      <c r="T407" s="2">
        <v>3</v>
      </c>
      <c r="U407" s="2"/>
      <c r="V407" s="2"/>
      <c r="W407" s="2"/>
      <c r="X407" s="2"/>
      <c r="Y407" s="7"/>
      <c r="Z407" s="2"/>
      <c r="AA407" s="1"/>
      <c r="AC407" s="2"/>
      <c r="AE407" s="1"/>
      <c r="AG407" s="2"/>
    </row>
    <row r="408" spans="1:33" ht="49.95" customHeight="1" x14ac:dyDescent="0.3">
      <c r="A408" s="2" t="s">
        <v>1210</v>
      </c>
      <c r="B408" s="1">
        <v>10589</v>
      </c>
      <c r="C408" s="133" t="s">
        <v>1448</v>
      </c>
      <c r="D408" s="1" t="s">
        <v>442</v>
      </c>
      <c r="E408" s="1" t="s">
        <v>442</v>
      </c>
      <c r="F408" s="1" t="s">
        <v>30</v>
      </c>
      <c r="G408" s="2">
        <v>5</v>
      </c>
      <c r="H408" s="14">
        <f>SUMIF(ENTRADAS71417[CÓDIGO],PRODUCTOS31316[[#This Row],[CÓDIGO]],ENTRADAS71417[CANTIDAD])</f>
        <v>0</v>
      </c>
      <c r="I408" s="11">
        <f>SUMIF(SALIDAS111518[CÓDIGO],PRODUCTOS31316[[#This Row],[CÓDIGO]],SALIDAS111518[CANTIDAD])</f>
        <v>2</v>
      </c>
      <c r="J408" s="6">
        <f>PRODUCTOS31316[[#This Row],[EXISTENCIAS]]+PRODUCTOS31316[[#This Row],[ENTRADAS]]-PRODUCTOS31316[[#This Row],[SALIDAS]]</f>
        <v>3</v>
      </c>
      <c r="L408" s="282"/>
      <c r="M408" s="282"/>
      <c r="N408" s="276">
        <v>7830</v>
      </c>
      <c r="O408" s="288" t="s">
        <v>2706</v>
      </c>
      <c r="P408" s="16">
        <v>46057</v>
      </c>
      <c r="Q408" s="288" t="s">
        <v>1799</v>
      </c>
      <c r="R408" s="2">
        <f>VLOOKUP(SALIDAS111518[[#This Row],[CÓDIGO]],PRODUCTOS31316[],2,FALSE)</f>
        <v>4846</v>
      </c>
      <c r="S408" s="1" t="str">
        <f>VLOOKUP(SALIDAS111518[[#This Row],[CÓDIGO]],PRODUCTOS31316[],3,FALSE)</f>
        <v>PUNTA AZULES UNIVERSALES 100- 1000 UL</v>
      </c>
      <c r="T408" s="2">
        <v>1</v>
      </c>
      <c r="U408" s="2"/>
      <c r="V408" s="2"/>
      <c r="W408" s="2"/>
      <c r="X408" s="2"/>
      <c r="Y408" s="7"/>
      <c r="Z408" s="2"/>
      <c r="AA408" s="1"/>
      <c r="AC408" s="2"/>
      <c r="AE408" s="1"/>
      <c r="AG408" s="2"/>
    </row>
    <row r="409" spans="1:33" ht="49.95" customHeight="1" x14ac:dyDescent="0.3">
      <c r="A409" s="2" t="s">
        <v>587</v>
      </c>
      <c r="B409" s="1">
        <v>20435</v>
      </c>
      <c r="C409" s="320" t="s">
        <v>1449</v>
      </c>
      <c r="D409" s="1" t="s">
        <v>442</v>
      </c>
      <c r="E409" s="1" t="s">
        <v>442</v>
      </c>
      <c r="F409" s="1" t="s">
        <v>30</v>
      </c>
      <c r="G409" s="2">
        <v>0</v>
      </c>
      <c r="H409" s="14">
        <f>SUMIF(ENTRADAS71417[CÓDIGO],PRODUCTOS31316[[#This Row],[CÓDIGO]],ENTRADAS71417[CANTIDAD])</f>
        <v>3</v>
      </c>
      <c r="I409" s="11">
        <f>SUMIF(SALIDAS111518[CÓDIGO],PRODUCTOS31316[[#This Row],[CÓDIGO]],SALIDAS111518[CANTIDAD])</f>
        <v>3</v>
      </c>
      <c r="J409" s="6">
        <f>PRODUCTOS31316[[#This Row],[EXISTENCIAS]]+PRODUCTOS31316[[#This Row],[ENTRADAS]]-PRODUCTOS31316[[#This Row],[SALIDAS]]</f>
        <v>0</v>
      </c>
      <c r="L409" s="282"/>
      <c r="M409" s="282"/>
      <c r="N409" s="276">
        <v>7830</v>
      </c>
      <c r="O409" s="288" t="s">
        <v>2706</v>
      </c>
      <c r="P409" s="16">
        <v>46057</v>
      </c>
      <c r="Q409" s="288" t="s">
        <v>167</v>
      </c>
      <c r="R409" s="2" t="str">
        <f>VLOOKUP(SALIDAS111518[[#This Row],[CÓDIGO]],PRODUCTOS31316[],2,FALSE)</f>
        <v>50050-1</v>
      </c>
      <c r="S409" s="1" t="str">
        <f>VLOOKUP(SALIDAS111518[[#This Row],[CÓDIGO]],PRODUCTOS31316[],3,FALSE)</f>
        <v>TUBO CONICO PLUG, AUTOCLAVABLE ESTERIL  TAPA ROSCA DE 50 ML</v>
      </c>
      <c r="T409" s="2">
        <v>5</v>
      </c>
      <c r="U409" s="2"/>
      <c r="V409" s="2"/>
      <c r="W409" s="2"/>
      <c r="X409" s="43"/>
      <c r="Y409" s="7"/>
      <c r="Z409" s="2"/>
      <c r="AA409" s="1"/>
      <c r="AC409" s="2"/>
      <c r="AE409" s="1"/>
      <c r="AG409" s="2"/>
    </row>
    <row r="410" spans="1:33" ht="49.95" customHeight="1" x14ac:dyDescent="0.3">
      <c r="A410" s="2" t="s">
        <v>1450</v>
      </c>
      <c r="B410" s="1">
        <v>21499</v>
      </c>
      <c r="C410" s="133" t="s">
        <v>1451</v>
      </c>
      <c r="D410" s="1" t="s">
        <v>442</v>
      </c>
      <c r="E410" s="1" t="s">
        <v>442</v>
      </c>
      <c r="F410" s="1" t="s">
        <v>30</v>
      </c>
      <c r="G410" s="2">
        <v>1</v>
      </c>
      <c r="H410" s="14">
        <f>SUMIF(ENTRADAS71417[CÓDIGO],PRODUCTOS31316[[#This Row],[CÓDIGO]],ENTRADAS71417[CANTIDAD])</f>
        <v>0</v>
      </c>
      <c r="I410" s="11">
        <f>SUMIF(SALIDAS111518[CÓDIGO],PRODUCTOS31316[[#This Row],[CÓDIGO]],SALIDAS111518[CANTIDAD])</f>
        <v>2</v>
      </c>
      <c r="J410" s="6">
        <f>PRODUCTOS31316[[#This Row],[EXISTENCIAS]]+PRODUCTOS31316[[#This Row],[ENTRADAS]]-PRODUCTOS31316[[#This Row],[SALIDAS]]</f>
        <v>-1</v>
      </c>
      <c r="L410" s="288" t="s">
        <v>3520</v>
      </c>
      <c r="M410" s="288" t="s">
        <v>3931</v>
      </c>
      <c r="N410" s="290" t="s">
        <v>3964</v>
      </c>
      <c r="O410" s="288" t="s">
        <v>3374</v>
      </c>
      <c r="P410" s="16">
        <v>46056</v>
      </c>
      <c r="Q410" s="288" t="s">
        <v>236</v>
      </c>
      <c r="R410" s="2">
        <f>VLOOKUP(SALIDAS111518[[#This Row],[CÓDIGO]],PRODUCTOS31316[],2,FALSE)</f>
        <v>0</v>
      </c>
      <c r="S410" s="1" t="str">
        <f>VLOOKUP(SALIDAS111518[[#This Row],[CÓDIGO]],PRODUCTOS31316[],3,FALSE)</f>
        <v>TERMO METÁLICO DESCONGELADOR</v>
      </c>
      <c r="T410" s="2">
        <v>1</v>
      </c>
      <c r="U410" s="2">
        <v>191</v>
      </c>
      <c r="V410" s="2"/>
      <c r="W410" s="2"/>
      <c r="X410" s="2"/>
      <c r="Y410" s="7"/>
      <c r="Z410" s="2"/>
      <c r="AA410" s="1"/>
      <c r="AC410" s="2"/>
      <c r="AE410" s="1"/>
      <c r="AG410" s="2"/>
    </row>
    <row r="411" spans="1:33" ht="49.95" customHeight="1" x14ac:dyDescent="0.3">
      <c r="A411" s="2" t="s">
        <v>1452</v>
      </c>
      <c r="B411" s="1" t="s">
        <v>1453</v>
      </c>
      <c r="C411" s="1" t="s">
        <v>1454</v>
      </c>
      <c r="D411" s="1" t="s">
        <v>1455</v>
      </c>
      <c r="E411" s="1" t="s">
        <v>177</v>
      </c>
      <c r="F411" s="1" t="s">
        <v>365</v>
      </c>
      <c r="G411" s="2">
        <v>0</v>
      </c>
      <c r="H411" s="14">
        <f>SUMIF(ENTRADAS71417[CÓDIGO],PRODUCTOS31316[[#This Row],[CÓDIGO]],ENTRADAS71417[CANTIDAD])</f>
        <v>0</v>
      </c>
      <c r="I411" s="11">
        <f>SUMIF(SALIDAS111518[CÓDIGO],PRODUCTOS31316[[#This Row],[CÓDIGO]],SALIDAS111518[CANTIDAD])</f>
        <v>0</v>
      </c>
      <c r="J411" s="6">
        <f>PRODUCTOS31316[[#This Row],[EXISTENCIAS]]+PRODUCTOS31316[[#This Row],[ENTRADAS]]-PRODUCTOS31316[[#This Row],[SALIDAS]]</f>
        <v>0</v>
      </c>
      <c r="L411" s="282"/>
      <c r="M411" s="282"/>
      <c r="N411" s="276">
        <v>7817</v>
      </c>
      <c r="O411" s="288" t="s">
        <v>3374</v>
      </c>
      <c r="P411" s="16">
        <v>46056</v>
      </c>
      <c r="Q411" s="288" t="s">
        <v>2382</v>
      </c>
      <c r="R411" s="2">
        <f>VLOOKUP(SALIDAS111518[[#This Row],[CÓDIGO]],PRODUCTOS31316[],2,FALSE)</f>
        <v>1</v>
      </c>
      <c r="S411" s="1" t="str">
        <f>VLOOKUP(SALIDAS111518[[#This Row],[CÓDIGO]],PRODUCTOS31316[],3,FALSE)</f>
        <v>TERMO DE TRANSPORTE 1 LITRO</v>
      </c>
      <c r="T411" s="2">
        <v>1</v>
      </c>
      <c r="U411" s="2"/>
      <c r="V411" s="2"/>
      <c r="W411" s="2"/>
      <c r="X411" s="43"/>
      <c r="Y411" s="7"/>
      <c r="Z411" s="2"/>
      <c r="AA411" s="1"/>
      <c r="AC411" s="2"/>
      <c r="AE411" s="1"/>
      <c r="AG411" s="2"/>
    </row>
    <row r="412" spans="1:33" ht="49.95" customHeight="1" x14ac:dyDescent="0.3">
      <c r="A412" s="2" t="s">
        <v>1457</v>
      </c>
      <c r="B412" s="1" t="s">
        <v>1458</v>
      </c>
      <c r="C412" s="1" t="s">
        <v>1459</v>
      </c>
      <c r="D412" s="1" t="s">
        <v>467</v>
      </c>
      <c r="E412" s="1" t="s">
        <v>467</v>
      </c>
      <c r="F412" s="1" t="s">
        <v>30</v>
      </c>
      <c r="G412" s="2">
        <v>0</v>
      </c>
      <c r="H412" s="14">
        <f>SUMIF(ENTRADAS71417[CÓDIGO],PRODUCTOS31316[[#This Row],[CÓDIGO]],ENTRADAS71417[CANTIDAD])</f>
        <v>0</v>
      </c>
      <c r="I412" s="11">
        <f>SUMIF(SALIDAS111518[CÓDIGO],PRODUCTOS31316[[#This Row],[CÓDIGO]],SALIDAS111518[CANTIDAD])</f>
        <v>0</v>
      </c>
      <c r="J412" s="6">
        <f>PRODUCTOS31316[[#This Row],[EXISTENCIAS]]+PRODUCTOS31316[[#This Row],[ENTRADAS]]-PRODUCTOS31316[[#This Row],[SALIDAS]]</f>
        <v>0</v>
      </c>
      <c r="L412" s="282"/>
      <c r="M412" s="282"/>
      <c r="N412" s="276">
        <v>7817</v>
      </c>
      <c r="O412" s="288" t="s">
        <v>3374</v>
      </c>
      <c r="P412" s="16">
        <v>46056</v>
      </c>
      <c r="Q412" s="288" t="s">
        <v>581</v>
      </c>
      <c r="R412" s="2">
        <f>VLOOKUP(SALIDAS111518[[#This Row],[CÓDIGO]],PRODUCTOS31316[],2,FALSE)</f>
        <v>11571</v>
      </c>
      <c r="S412" s="1" t="str">
        <f>VLOOKUP(SALIDAS111518[[#This Row],[CÓDIGO]],PRODUCTOS31316[],3,FALSE)</f>
        <v>PINZA COGEPAJILLA</v>
      </c>
      <c r="T412" s="2">
        <v>1</v>
      </c>
      <c r="U412" s="2"/>
      <c r="V412" s="2"/>
      <c r="W412" s="2"/>
      <c r="X412" s="43"/>
      <c r="Y412" s="7"/>
      <c r="Z412" s="2"/>
      <c r="AA412" s="1"/>
      <c r="AC412" s="2"/>
      <c r="AE412" s="1"/>
      <c r="AG412" s="2"/>
    </row>
    <row r="413" spans="1:33" ht="49.95" customHeight="1" x14ac:dyDescent="0.3">
      <c r="A413" s="2" t="s">
        <v>1461</v>
      </c>
      <c r="B413" s="1" t="s">
        <v>1462</v>
      </c>
      <c r="C413" s="1" t="s">
        <v>1463</v>
      </c>
      <c r="D413" s="1" t="s">
        <v>1464</v>
      </c>
      <c r="E413" s="1" t="s">
        <v>1283</v>
      </c>
      <c r="F413" s="1" t="s">
        <v>30</v>
      </c>
      <c r="G413" s="124">
        <v>0</v>
      </c>
      <c r="H413" s="14">
        <f>SUMIF(ENTRADAS71417[CÓDIGO],PRODUCTOS31316[[#This Row],[CÓDIGO]],ENTRADAS71417[CANTIDAD])</f>
        <v>0</v>
      </c>
      <c r="I413" s="11">
        <f>SUMIF(SALIDAS111518[CÓDIGO],PRODUCTOS31316[[#This Row],[CÓDIGO]],SALIDAS111518[CANTIDAD])</f>
        <v>0</v>
      </c>
      <c r="J413" s="6">
        <f>PRODUCTOS31316[[#This Row],[EXISTENCIAS]]+PRODUCTOS31316[[#This Row],[ENTRADAS]]-PRODUCTOS31316[[#This Row],[SALIDAS]]</f>
        <v>0</v>
      </c>
      <c r="L413" s="282"/>
      <c r="M413" s="282"/>
      <c r="N413" s="276">
        <v>7817</v>
      </c>
      <c r="O413" s="288" t="s">
        <v>3374</v>
      </c>
      <c r="P413" s="16">
        <v>46056</v>
      </c>
      <c r="Q413" s="288" t="s">
        <v>445</v>
      </c>
      <c r="R413" s="2">
        <f>VLOOKUP(SALIDAS111518[[#This Row],[CÓDIGO]],PRODUCTOS31316[],2,FALSE)</f>
        <v>0</v>
      </c>
      <c r="S413" s="1" t="str">
        <f>VLOOKUP(SALIDAS111518[[#This Row],[CÓDIGO]],PRODUCTOS31316[],3,FALSE)</f>
        <v>MANGA DE PALPACIÓN NARANJA</v>
      </c>
      <c r="T413" s="2">
        <v>1</v>
      </c>
      <c r="U413" s="2"/>
      <c r="V413" s="2"/>
      <c r="W413" s="2"/>
      <c r="X413" s="2"/>
      <c r="Y413" s="7"/>
      <c r="Z413" s="2"/>
      <c r="AA413" s="1"/>
      <c r="AC413" s="2"/>
      <c r="AE413" s="1"/>
      <c r="AG413" s="2"/>
    </row>
    <row r="414" spans="1:33" ht="49.95" customHeight="1" x14ac:dyDescent="0.3">
      <c r="A414" s="2" t="s">
        <v>1466</v>
      </c>
      <c r="C414" s="1" t="s">
        <v>2415</v>
      </c>
      <c r="E414" s="1" t="s">
        <v>1283</v>
      </c>
      <c r="F414" s="1" t="s">
        <v>30</v>
      </c>
      <c r="G414" s="2">
        <v>2</v>
      </c>
      <c r="H414" s="14">
        <f>SUMIF(ENTRADAS71417[CÓDIGO],PRODUCTOS31316[[#This Row],[CÓDIGO]],ENTRADAS71417[CANTIDAD])</f>
        <v>0</v>
      </c>
      <c r="I414" s="11">
        <f>SUMIF(SALIDAS111518[CÓDIGO],PRODUCTOS31316[[#This Row],[CÓDIGO]],SALIDAS111518[CANTIDAD])</f>
        <v>1</v>
      </c>
      <c r="J414" s="6">
        <f>PRODUCTOS31316[[#This Row],[EXISTENCIAS]]+PRODUCTOS31316[[#This Row],[ENTRADAS]]-PRODUCTOS31316[[#This Row],[SALIDAS]]</f>
        <v>1</v>
      </c>
      <c r="L414" s="282"/>
      <c r="M414" s="282"/>
      <c r="N414" s="276">
        <v>7817</v>
      </c>
      <c r="O414" s="288" t="s">
        <v>3374</v>
      </c>
      <c r="P414" s="16">
        <v>46056</v>
      </c>
      <c r="Q414" s="288" t="s">
        <v>2364</v>
      </c>
      <c r="R414" s="2">
        <f>VLOOKUP(SALIDAS111518[[#This Row],[CÓDIGO]],PRODUCTOS31316[],2,FALSE)</f>
        <v>0</v>
      </c>
      <c r="S414" s="1" t="str">
        <f>VLOOKUP(SALIDAS111518[[#This Row],[CÓDIGO]],PRODUCTOS31316[],3,FALSE)</f>
        <v>CORTAPAJILLAS WTA</v>
      </c>
      <c r="T414" s="2">
        <v>1</v>
      </c>
      <c r="U414" s="2"/>
      <c r="V414" s="2"/>
      <c r="W414" s="2"/>
      <c r="X414" s="2"/>
      <c r="Y414" s="7"/>
      <c r="Z414" s="2"/>
      <c r="AA414" s="1"/>
      <c r="AC414" s="2"/>
      <c r="AE414" s="1"/>
      <c r="AG414" s="2"/>
    </row>
    <row r="415" spans="1:33" ht="49.95" customHeight="1" x14ac:dyDescent="0.3">
      <c r="A415" s="2" t="s">
        <v>1468</v>
      </c>
      <c r="B415" s="1" t="s">
        <v>1469</v>
      </c>
      <c r="C415" s="1" t="s">
        <v>2417</v>
      </c>
      <c r="D415" s="1" t="s">
        <v>1470</v>
      </c>
      <c r="E415" s="1" t="s">
        <v>640</v>
      </c>
      <c r="F415" s="1" t="s">
        <v>678</v>
      </c>
      <c r="G415" s="2">
        <v>0</v>
      </c>
      <c r="H415" s="14">
        <f>SUMIF(ENTRADAS71417[CÓDIGO],PRODUCTOS31316[[#This Row],[CÓDIGO]],ENTRADAS71417[CANTIDAD])</f>
        <v>0</v>
      </c>
      <c r="I415" s="11">
        <f>SUMIF(SALIDAS111518[CÓDIGO],PRODUCTOS31316[[#This Row],[CÓDIGO]],SALIDAS111518[CANTIDAD])</f>
        <v>0</v>
      </c>
      <c r="J415" s="6">
        <f>PRODUCTOS31316[[#This Row],[EXISTENCIAS]]+PRODUCTOS31316[[#This Row],[ENTRADAS]]-PRODUCTOS31316[[#This Row],[SALIDAS]]</f>
        <v>0</v>
      </c>
      <c r="L415" s="282"/>
      <c r="M415" s="282"/>
      <c r="N415" s="276">
        <v>7817</v>
      </c>
      <c r="O415" s="288" t="s">
        <v>3374</v>
      </c>
      <c r="P415" s="16">
        <v>46056</v>
      </c>
      <c r="Q415" s="288" t="s">
        <v>153</v>
      </c>
      <c r="R415" s="2">
        <f>VLOOKUP(SALIDAS111518[[#This Row],[CÓDIGO]],PRODUCTOS31316[],2,FALSE)</f>
        <v>1132</v>
      </c>
      <c r="S415" s="1" t="str">
        <f>VLOOKUP(SALIDAS111518[[#This Row],[CÓDIGO]],PRODUCTOS31316[],3,FALSE)</f>
        <v>PISTOLA QUICKLOCK CLASIC</v>
      </c>
      <c r="T415" s="2">
        <v>1</v>
      </c>
      <c r="U415" s="2"/>
      <c r="V415" s="2"/>
      <c r="W415" s="2"/>
      <c r="X415" s="2"/>
      <c r="Y415" s="7"/>
      <c r="Z415" s="2"/>
      <c r="AA415" s="1"/>
      <c r="AC415" s="2"/>
      <c r="AE415" s="1"/>
      <c r="AG415" s="2"/>
    </row>
    <row r="416" spans="1:33" ht="49.95" customHeight="1" x14ac:dyDescent="0.3">
      <c r="A416" s="2" t="s">
        <v>1472</v>
      </c>
      <c r="B416" s="1" t="s">
        <v>1473</v>
      </c>
      <c r="C416" s="1" t="s">
        <v>1474</v>
      </c>
      <c r="D416" s="1" t="s">
        <v>639</v>
      </c>
      <c r="E416" s="1" t="s">
        <v>640</v>
      </c>
      <c r="F416" s="1" t="s">
        <v>1475</v>
      </c>
      <c r="G416" s="2">
        <v>0</v>
      </c>
      <c r="H416" s="14">
        <f>SUMIF(ENTRADAS71417[CÓDIGO],PRODUCTOS31316[[#This Row],[CÓDIGO]],ENTRADAS71417[CANTIDAD])</f>
        <v>0</v>
      </c>
      <c r="I416" s="11">
        <f>SUMIF(SALIDAS111518[CÓDIGO],PRODUCTOS31316[[#This Row],[CÓDIGO]],SALIDAS111518[CANTIDAD])</f>
        <v>0</v>
      </c>
      <c r="J416" s="6">
        <f>PRODUCTOS31316[[#This Row],[EXISTENCIAS]]+PRODUCTOS31316[[#This Row],[ENTRADAS]]-PRODUCTOS31316[[#This Row],[SALIDAS]]</f>
        <v>0</v>
      </c>
      <c r="L416" s="282"/>
      <c r="M416" s="282"/>
      <c r="N416" s="276">
        <v>7817</v>
      </c>
      <c r="O416" s="288" t="s">
        <v>3374</v>
      </c>
      <c r="P416" s="16">
        <v>46056</v>
      </c>
      <c r="Q416" s="288" t="s">
        <v>369</v>
      </c>
      <c r="R416" s="2">
        <f>VLOOKUP(SALIDAS111518[[#This Row],[CÓDIGO]],PRODUCTOS31316[],2,FALSE)</f>
        <v>0</v>
      </c>
      <c r="S416" s="1" t="str">
        <f>VLOOKUP(SALIDAS111518[[#This Row],[CÓDIGO]],PRODUCTOS31316[],3,FALSE)</f>
        <v>FUNDA UNIVERSAL PARA I.A. RANURADA</v>
      </c>
      <c r="T416" s="2">
        <v>1</v>
      </c>
      <c r="U416" s="2"/>
      <c r="V416" s="2"/>
      <c r="W416" s="2"/>
      <c r="X416" s="2"/>
      <c r="Y416" s="7"/>
      <c r="Z416" s="2"/>
      <c r="AA416" s="1"/>
      <c r="AC416" s="2"/>
      <c r="AE416" s="1"/>
      <c r="AG416" s="2"/>
    </row>
    <row r="417" spans="1:33" ht="49.95" customHeight="1" x14ac:dyDescent="0.3">
      <c r="A417" s="2" t="s">
        <v>1476</v>
      </c>
      <c r="B417" s="1" t="s">
        <v>1477</v>
      </c>
      <c r="C417" s="1" t="s">
        <v>1478</v>
      </c>
      <c r="D417" s="1" t="s">
        <v>639</v>
      </c>
      <c r="E417" s="1" t="s">
        <v>640</v>
      </c>
      <c r="F417" s="1" t="s">
        <v>1479</v>
      </c>
      <c r="G417" s="2">
        <v>0</v>
      </c>
      <c r="H417" s="14">
        <f>SUMIF(ENTRADAS71417[CÓDIGO],PRODUCTOS31316[[#This Row],[CÓDIGO]],ENTRADAS71417[CANTIDAD])</f>
        <v>0</v>
      </c>
      <c r="I417" s="11">
        <f>SUMIF(SALIDAS111518[CÓDIGO],PRODUCTOS31316[[#This Row],[CÓDIGO]],SALIDAS111518[CANTIDAD])</f>
        <v>0</v>
      </c>
      <c r="J417" s="6">
        <f>PRODUCTOS31316[[#This Row],[EXISTENCIAS]]+PRODUCTOS31316[[#This Row],[ENTRADAS]]-PRODUCTOS31316[[#This Row],[SALIDAS]]</f>
        <v>0</v>
      </c>
      <c r="L417" s="288" t="s">
        <v>3520</v>
      </c>
      <c r="M417" s="288" t="s">
        <v>3931</v>
      </c>
      <c r="N417" s="290" t="s">
        <v>3965</v>
      </c>
      <c r="O417" s="288" t="s">
        <v>3177</v>
      </c>
      <c r="P417" s="16">
        <v>46056</v>
      </c>
      <c r="Q417" s="288" t="s">
        <v>651</v>
      </c>
      <c r="R417" s="2">
        <f>VLOOKUP(SALIDAS111518[[#This Row],[CÓDIGO]],PRODUCTOS31316[],2,FALSE)</f>
        <v>18367</v>
      </c>
      <c r="S417" s="1" t="str">
        <f>VLOOKUP(SALIDAS111518[[#This Row],[CÓDIGO]],PRODUCTOS31316[],3,FALSE)</f>
        <v>PISTOLA DE INSEMINACIÓN UNIVERSAL (AUTOMATIC LOCK)</v>
      </c>
      <c r="T417" s="2">
        <v>1</v>
      </c>
      <c r="U417" s="2">
        <v>192</v>
      </c>
      <c r="V417" s="2"/>
      <c r="W417" s="2"/>
      <c r="X417" s="2"/>
      <c r="Y417" s="7"/>
      <c r="Z417" s="2"/>
      <c r="AA417" s="1"/>
      <c r="AC417" s="2"/>
      <c r="AE417" s="1"/>
      <c r="AG417" s="2"/>
    </row>
    <row r="418" spans="1:33" ht="49.95" customHeight="1" x14ac:dyDescent="0.3">
      <c r="A418" s="2" t="s">
        <v>1481</v>
      </c>
      <c r="B418" s="1" t="s">
        <v>1482</v>
      </c>
      <c r="C418" s="1" t="s">
        <v>1483</v>
      </c>
      <c r="D418" s="1" t="s">
        <v>639</v>
      </c>
      <c r="E418" s="1" t="s">
        <v>640</v>
      </c>
      <c r="F418" s="1" t="s">
        <v>973</v>
      </c>
      <c r="G418" s="2">
        <v>0</v>
      </c>
      <c r="H418" s="14">
        <f>SUMIF(ENTRADAS71417[CÓDIGO],PRODUCTOS31316[[#This Row],[CÓDIGO]],ENTRADAS71417[CANTIDAD])</f>
        <v>0</v>
      </c>
      <c r="I418" s="11">
        <f>SUMIF(SALIDAS111518[CÓDIGO],PRODUCTOS31316[[#This Row],[CÓDIGO]],SALIDAS111518[CANTIDAD])</f>
        <v>0</v>
      </c>
      <c r="J418" s="6">
        <f>PRODUCTOS31316[[#This Row],[EXISTENCIAS]]+PRODUCTOS31316[[#This Row],[ENTRADAS]]-PRODUCTOS31316[[#This Row],[SALIDAS]]</f>
        <v>0</v>
      </c>
      <c r="L418" s="282"/>
      <c r="M418" s="282"/>
      <c r="N418" s="276">
        <v>7819</v>
      </c>
      <c r="O418" s="288" t="s">
        <v>3177</v>
      </c>
      <c r="P418" s="16">
        <v>46056</v>
      </c>
      <c r="Q418" s="288" t="s">
        <v>3395</v>
      </c>
      <c r="R418" s="2">
        <f>VLOOKUP(SALIDAS111518[[#This Row],[CÓDIGO]],PRODUCTOS31316[],2,FALSE)</f>
        <v>17062</v>
      </c>
      <c r="S418" s="1" t="str">
        <f>VLOOKUP(SALIDAS111518[[#This Row],[CÓDIGO]],PRODUCTOS31316[],3,FALSE)</f>
        <v>CORTAPAJILLAS MARCA MINITUBE</v>
      </c>
      <c r="T418" s="2">
        <v>1</v>
      </c>
      <c r="U418" s="2"/>
      <c r="V418" s="2"/>
      <c r="W418" s="2"/>
      <c r="X418" s="2"/>
      <c r="Y418" s="7"/>
      <c r="Z418" s="2"/>
      <c r="AA418" s="1"/>
      <c r="AC418" s="2"/>
      <c r="AE418" s="1"/>
      <c r="AG418" s="2"/>
    </row>
    <row r="419" spans="1:33" ht="49.95" customHeight="1" x14ac:dyDescent="0.3">
      <c r="A419" s="2" t="s">
        <v>1485</v>
      </c>
      <c r="B419" s="1" t="s">
        <v>1486</v>
      </c>
      <c r="C419" s="1" t="s">
        <v>1487</v>
      </c>
      <c r="D419" s="1" t="s">
        <v>639</v>
      </c>
      <c r="E419" s="1" t="s">
        <v>640</v>
      </c>
      <c r="F419" s="1" t="s">
        <v>953</v>
      </c>
      <c r="G419" s="2">
        <v>0</v>
      </c>
      <c r="H419" s="14">
        <f>SUMIF(ENTRADAS71417[CÓDIGO],PRODUCTOS31316[[#This Row],[CÓDIGO]],ENTRADAS71417[CANTIDAD])</f>
        <v>0</v>
      </c>
      <c r="I419" s="11">
        <f>SUMIF(SALIDAS111518[CÓDIGO],PRODUCTOS31316[[#This Row],[CÓDIGO]],SALIDAS111518[CANTIDAD])</f>
        <v>0</v>
      </c>
      <c r="J419" s="6">
        <f>PRODUCTOS31316[[#This Row],[EXISTENCIAS]]+PRODUCTOS31316[[#This Row],[ENTRADAS]]-PRODUCTOS31316[[#This Row],[SALIDAS]]</f>
        <v>0</v>
      </c>
      <c r="L419" s="288" t="s">
        <v>3520</v>
      </c>
      <c r="M419" s="288" t="s">
        <v>3931</v>
      </c>
      <c r="N419" s="290" t="s">
        <v>3966</v>
      </c>
      <c r="O419" s="288" t="s">
        <v>2714</v>
      </c>
      <c r="P419" s="16">
        <v>46056</v>
      </c>
      <c r="Q419" s="288" t="s">
        <v>3026</v>
      </c>
      <c r="R419" s="2" t="str">
        <f>VLOOKUP(SALIDAS111518[[#This Row],[CÓDIGO]],PRODUCTOS31316[],2,FALSE)</f>
        <v>MCTB020</v>
      </c>
      <c r="S419" s="1" t="str">
        <f>VLOOKUP(SALIDAS111518[[#This Row],[CÓDIGO]],PRODUCTOS31316[],3,FALSE)</f>
        <v>TUBO EPPENDORF DE 2,0 ML</v>
      </c>
      <c r="T419" s="2">
        <v>1</v>
      </c>
      <c r="U419" s="2">
        <v>193</v>
      </c>
      <c r="V419" s="2"/>
      <c r="W419" s="2"/>
      <c r="X419" s="2"/>
      <c r="Y419" s="7"/>
      <c r="Z419" s="2"/>
      <c r="AA419" s="1"/>
      <c r="AC419" s="2"/>
      <c r="AE419" s="1"/>
      <c r="AG419" s="2"/>
    </row>
    <row r="420" spans="1:33" ht="49.95" customHeight="1" x14ac:dyDescent="0.3">
      <c r="A420" s="2" t="s">
        <v>1488</v>
      </c>
      <c r="B420" s="1" t="s">
        <v>1489</v>
      </c>
      <c r="C420" s="1" t="s">
        <v>1490</v>
      </c>
      <c r="D420" s="1" t="s">
        <v>639</v>
      </c>
      <c r="E420" s="1" t="s">
        <v>640</v>
      </c>
      <c r="F420" s="1" t="s">
        <v>1194</v>
      </c>
      <c r="G420" s="2">
        <v>0</v>
      </c>
      <c r="H420" s="14">
        <f>SUMIF(ENTRADAS71417[CÓDIGO],PRODUCTOS31316[[#This Row],[CÓDIGO]],ENTRADAS71417[CANTIDAD])</f>
        <v>0</v>
      </c>
      <c r="I420" s="11">
        <f>SUMIF(SALIDAS111518[CÓDIGO],PRODUCTOS31316[[#This Row],[CÓDIGO]],SALIDAS111518[CANTIDAD])</f>
        <v>0</v>
      </c>
      <c r="J420" s="6">
        <f>PRODUCTOS31316[[#This Row],[EXISTENCIAS]]+PRODUCTOS31316[[#This Row],[ENTRADAS]]-PRODUCTOS31316[[#This Row],[SALIDAS]]</f>
        <v>0</v>
      </c>
      <c r="L420" s="288" t="s">
        <v>3520</v>
      </c>
      <c r="M420" s="288" t="s">
        <v>3931</v>
      </c>
      <c r="N420" s="290" t="s">
        <v>3971</v>
      </c>
      <c r="O420" s="290" t="s">
        <v>2667</v>
      </c>
      <c r="P420" s="16">
        <v>46057</v>
      </c>
      <c r="Q420" s="288" t="s">
        <v>168</v>
      </c>
      <c r="R420" s="2">
        <f>VLOOKUP(SALIDAS111518[[#This Row],[CÓDIGO]],PRODUCTOS31316[],2,FALSE)</f>
        <v>4840</v>
      </c>
      <c r="S420" s="1" t="str">
        <f>VLOOKUP(SALIDAS111518[[#This Row],[CÓDIGO]],PRODUCTOS31316[],3,FALSE)</f>
        <v>PUNTAS BLANCAS UNIVERSALES, PLÁSTICAS, LIBRES DE DNASAS, RNASA Y PIROGENOS, RANGO DE 0.1 A 10UL. (CORTAS).</v>
      </c>
      <c r="T420" s="2">
        <v>1</v>
      </c>
      <c r="U420" s="2">
        <v>194</v>
      </c>
      <c r="V420" s="2"/>
      <c r="W420" s="2"/>
      <c r="X420" s="2"/>
      <c r="Y420" s="7"/>
      <c r="Z420" s="2"/>
      <c r="AA420" s="1"/>
      <c r="AC420" s="2"/>
      <c r="AE420" s="1"/>
      <c r="AG420" s="2"/>
    </row>
    <row r="421" spans="1:33" ht="49.95" customHeight="1" x14ac:dyDescent="0.3">
      <c r="A421" s="2" t="s">
        <v>1491</v>
      </c>
      <c r="B421" s="1" t="s">
        <v>1492</v>
      </c>
      <c r="C421" s="1" t="s">
        <v>1493</v>
      </c>
      <c r="D421" s="1" t="s">
        <v>639</v>
      </c>
      <c r="E421" s="1" t="s">
        <v>640</v>
      </c>
      <c r="F421" s="1" t="s">
        <v>981</v>
      </c>
      <c r="G421" s="2">
        <v>0</v>
      </c>
      <c r="H421" s="14">
        <f>SUMIF(ENTRADAS71417[CÓDIGO],PRODUCTOS31316[[#This Row],[CÓDIGO]],ENTRADAS71417[CANTIDAD])</f>
        <v>0</v>
      </c>
      <c r="I421" s="11">
        <f>SUMIF(SALIDAS111518[CÓDIGO],PRODUCTOS31316[[#This Row],[CÓDIGO]],SALIDAS111518[CANTIDAD])</f>
        <v>0</v>
      </c>
      <c r="J421" s="6">
        <f>PRODUCTOS31316[[#This Row],[EXISTENCIAS]]+PRODUCTOS31316[[#This Row],[ENTRADAS]]-PRODUCTOS31316[[#This Row],[SALIDAS]]</f>
        <v>0</v>
      </c>
      <c r="L421" s="288"/>
      <c r="M421" s="288"/>
      <c r="N421" s="288">
        <v>7821</v>
      </c>
      <c r="O421" s="290" t="s">
        <v>2667</v>
      </c>
      <c r="P421" s="16">
        <v>46057</v>
      </c>
      <c r="Q421" s="288" t="s">
        <v>602</v>
      </c>
      <c r="R421" s="2">
        <f>VLOOKUP(SALIDAS111518[[#This Row],[CÓDIGO]],PRODUCTOS31316[],2,FALSE)</f>
        <v>4845</v>
      </c>
      <c r="S421" s="1" t="str">
        <f>VLOOKUP(SALIDAS111518[[#This Row],[CÓDIGO]],PRODUCTOS31316[],3,FALSE)</f>
        <v>PUNTAS AMARILLAS, UNIVERSALES. PLASTICAS, NO ESTERIL. LIBRES DE RNASE, DNASE Y PYROGENOS. RANGO DE 1-200UL. BOLSA X1000UDS.</v>
      </c>
      <c r="T421" s="2">
        <v>1</v>
      </c>
      <c r="U421" s="2"/>
      <c r="V421" s="2"/>
      <c r="W421" s="2"/>
      <c r="X421" s="2"/>
      <c r="Y421" s="7"/>
      <c r="Z421" s="2"/>
      <c r="AA421" s="1"/>
      <c r="AC421" s="2"/>
      <c r="AE421" s="1"/>
      <c r="AG421" s="2"/>
    </row>
    <row r="422" spans="1:33" ht="49.95" customHeight="1" x14ac:dyDescent="0.3">
      <c r="A422" s="2" t="s">
        <v>1494</v>
      </c>
      <c r="B422" s="1">
        <v>21315</v>
      </c>
      <c r="C422" s="216" t="s">
        <v>1495</v>
      </c>
      <c r="D422" s="1" t="s">
        <v>442</v>
      </c>
      <c r="E422" s="1" t="s">
        <v>442</v>
      </c>
      <c r="F422" s="1" t="s">
        <v>647</v>
      </c>
      <c r="G422" s="2">
        <v>5</v>
      </c>
      <c r="H422" s="14">
        <f>SUMIF(ENTRADAS71417[CÓDIGO],PRODUCTOS31316[[#This Row],[CÓDIGO]],ENTRADAS71417[CANTIDAD])</f>
        <v>0</v>
      </c>
      <c r="I422" s="11">
        <f>SUMIF(SALIDAS111518[CÓDIGO],PRODUCTOS31316[[#This Row],[CÓDIGO]],SALIDAS111518[CANTIDAD])</f>
        <v>2</v>
      </c>
      <c r="J422" s="6">
        <f>PRODUCTOS31316[[#This Row],[EXISTENCIAS]]+PRODUCTOS31316[[#This Row],[ENTRADAS]]-PRODUCTOS31316[[#This Row],[SALIDAS]]</f>
        <v>3</v>
      </c>
      <c r="L422" s="288"/>
      <c r="M422" s="288"/>
      <c r="N422" s="288">
        <v>7821</v>
      </c>
      <c r="O422" s="290" t="s">
        <v>2667</v>
      </c>
      <c r="P422" s="16">
        <v>46057</v>
      </c>
      <c r="Q422" s="288" t="s">
        <v>167</v>
      </c>
      <c r="R422" s="2" t="str">
        <f>VLOOKUP(SALIDAS111518[[#This Row],[CÓDIGO]],PRODUCTOS31316[],2,FALSE)</f>
        <v>50050-1</v>
      </c>
      <c r="S422" s="1" t="str">
        <f>VLOOKUP(SALIDAS111518[[#This Row],[CÓDIGO]],PRODUCTOS31316[],3,FALSE)</f>
        <v>TUBO CONICO PLUG, AUTOCLAVABLE ESTERIL  TAPA ROSCA DE 50 ML</v>
      </c>
      <c r="T422" s="2">
        <v>4</v>
      </c>
      <c r="U422" s="2"/>
      <c r="V422" s="2"/>
      <c r="W422" s="2"/>
      <c r="X422" s="2"/>
      <c r="Y422" s="7"/>
      <c r="Z422" s="2"/>
      <c r="AA422" s="1"/>
      <c r="AC422" s="2"/>
      <c r="AE422" s="1"/>
      <c r="AG422" s="2"/>
    </row>
    <row r="423" spans="1:33" ht="49.95" customHeight="1" x14ac:dyDescent="0.3">
      <c r="A423" s="2" t="s">
        <v>1496</v>
      </c>
      <c r="B423" s="1">
        <v>8001</v>
      </c>
      <c r="C423" s="1" t="s">
        <v>1497</v>
      </c>
      <c r="E423" s="1" t="s">
        <v>1283</v>
      </c>
      <c r="F423" s="1" t="s">
        <v>30</v>
      </c>
      <c r="G423" s="2">
        <v>0</v>
      </c>
      <c r="H423" s="14">
        <f>SUMIF(ENTRADAS71417[CÓDIGO],PRODUCTOS31316[[#This Row],[CÓDIGO]],ENTRADAS71417[CANTIDAD])</f>
        <v>0</v>
      </c>
      <c r="I423" s="11">
        <f>SUMIF(SALIDAS111518[CÓDIGO],PRODUCTOS31316[[#This Row],[CÓDIGO]],SALIDAS111518[CANTIDAD])</f>
        <v>0</v>
      </c>
      <c r="J423" s="6">
        <f>PRODUCTOS31316[[#This Row],[EXISTENCIAS]]+PRODUCTOS31316[[#This Row],[ENTRADAS]]-PRODUCTOS31316[[#This Row],[SALIDAS]]</f>
        <v>0</v>
      </c>
      <c r="L423" s="288"/>
      <c r="M423" s="288"/>
      <c r="N423" s="288">
        <v>7821</v>
      </c>
      <c r="O423" s="290" t="s">
        <v>2667</v>
      </c>
      <c r="P423" s="16">
        <v>46057</v>
      </c>
      <c r="Q423" s="288" t="s">
        <v>75</v>
      </c>
      <c r="R423" s="2" t="str">
        <f>VLOOKUP(SALIDAS111518[[#This Row],[CÓDIGO]],PRODUCTOS31316[],2,FALSE)</f>
        <v>18130E</v>
      </c>
      <c r="S423" s="1" t="str">
        <f>VLOOKUP(SALIDAS111518[[#This Row],[CÓDIGO]],PRODUCTOS31316[],3,FALSE)</f>
        <v>CAJA PETRI DESECHABLE ESTERIL 60X15 MM</v>
      </c>
      <c r="T423" s="2">
        <v>20</v>
      </c>
      <c r="U423" s="2"/>
      <c r="V423" s="2"/>
      <c r="W423" s="2"/>
      <c r="X423" s="2"/>
      <c r="Y423" s="7"/>
      <c r="Z423" s="2"/>
      <c r="AA423" s="1"/>
      <c r="AC423" s="2"/>
      <c r="AE423" s="1"/>
      <c r="AG423" s="2"/>
    </row>
    <row r="424" spans="1:33" ht="49.95" customHeight="1" x14ac:dyDescent="0.3">
      <c r="A424" s="203" t="s">
        <v>402</v>
      </c>
      <c r="C424" s="1" t="s">
        <v>1498</v>
      </c>
      <c r="D424" s="1" t="s">
        <v>618</v>
      </c>
      <c r="E424" s="1" t="s">
        <v>352</v>
      </c>
      <c r="F424" s="1" t="s">
        <v>30</v>
      </c>
      <c r="G424" s="2">
        <v>0</v>
      </c>
      <c r="H424" s="14">
        <f>SUMIF(ENTRADAS71417[CÓDIGO],PRODUCTOS31316[[#This Row],[CÓDIGO]],ENTRADAS71417[CANTIDAD])</f>
        <v>0</v>
      </c>
      <c r="I424" s="11">
        <f>SUMIF(SALIDAS111518[CÓDIGO],PRODUCTOS31316[[#This Row],[CÓDIGO]],SALIDAS111518[CANTIDAD])</f>
        <v>0</v>
      </c>
      <c r="J424" s="6">
        <f>PRODUCTOS31316[[#This Row],[EXISTENCIAS]]+PRODUCTOS31316[[#This Row],[ENTRADAS]]-PRODUCTOS31316[[#This Row],[SALIDAS]]</f>
        <v>0</v>
      </c>
      <c r="L424" s="288" t="s">
        <v>3521</v>
      </c>
      <c r="M424" s="288" t="s">
        <v>3931</v>
      </c>
      <c r="N424" s="288" t="s">
        <v>3631</v>
      </c>
      <c r="O424" s="288" t="s">
        <v>3969</v>
      </c>
      <c r="P424" s="16">
        <v>46057</v>
      </c>
      <c r="Q424" s="290" t="s">
        <v>2697</v>
      </c>
      <c r="R424" s="2" t="e">
        <f>VLOOKUP(SALIDAS111518[[#This Row],[CÓDIGO]],PRODUCTOS31316[],2,FALSE)</f>
        <v>#N/A</v>
      </c>
      <c r="S424" s="1" t="e">
        <f>VLOOKUP(SALIDAS111518[[#This Row],[CÓDIGO]],PRODUCTOS31316[],3,FALSE)</f>
        <v>#N/A</v>
      </c>
      <c r="T424" s="2">
        <v>1</v>
      </c>
      <c r="U424" s="2"/>
      <c r="V424" s="2"/>
      <c r="W424" s="2"/>
      <c r="X424" s="2"/>
      <c r="Y424" s="7"/>
      <c r="Z424" s="2"/>
      <c r="AA424" s="1"/>
      <c r="AC424" s="2"/>
      <c r="AE424" s="1"/>
      <c r="AG424" s="2"/>
    </row>
    <row r="425" spans="1:33" ht="49.95" customHeight="1" x14ac:dyDescent="0.3">
      <c r="A425" s="2" t="s">
        <v>529</v>
      </c>
      <c r="B425" s="1" t="s">
        <v>1499</v>
      </c>
      <c r="C425" s="1" t="s">
        <v>1500</v>
      </c>
      <c r="D425" s="1" t="s">
        <v>1501</v>
      </c>
      <c r="E425" s="1" t="s">
        <v>352</v>
      </c>
      <c r="F425" s="1" t="s">
        <v>1502</v>
      </c>
      <c r="G425" s="2">
        <v>0</v>
      </c>
      <c r="H425" s="14">
        <f>SUMIF(ENTRADAS71417[CÓDIGO],PRODUCTOS31316[[#This Row],[CÓDIGO]],ENTRADAS71417[CANTIDAD])</f>
        <v>0</v>
      </c>
      <c r="I425" s="11">
        <f>SUMIF(SALIDAS111518[CÓDIGO],PRODUCTOS31316[[#This Row],[CÓDIGO]],SALIDAS111518[CANTIDAD])</f>
        <v>0</v>
      </c>
      <c r="J425" s="6">
        <f>PRODUCTOS31316[[#This Row],[EXISTENCIAS]]+PRODUCTOS31316[[#This Row],[ENTRADAS]]-PRODUCTOS31316[[#This Row],[SALIDAS]]</f>
        <v>0</v>
      </c>
      <c r="L425" s="288" t="s">
        <v>3520</v>
      </c>
      <c r="M425" s="288" t="s">
        <v>3931</v>
      </c>
      <c r="N425" s="290" t="s">
        <v>3977</v>
      </c>
      <c r="O425" s="288" t="s">
        <v>2710</v>
      </c>
      <c r="P425" s="16">
        <v>46057</v>
      </c>
      <c r="Q425" s="288" t="s">
        <v>36</v>
      </c>
      <c r="R425" s="2">
        <f>VLOOKUP(SALIDAS111518[[#This Row],[CÓDIGO]],PRODUCTOS31316[],2,FALSE)</f>
        <v>1</v>
      </c>
      <c r="S425" s="1" t="str">
        <f>VLOOKUP(SALIDAS111518[[#This Row],[CÓDIGO]],PRODUCTOS31316[],3,FALSE)</f>
        <v xml:space="preserve">PARCHE ESTROTECT </v>
      </c>
      <c r="T425" s="2">
        <v>2</v>
      </c>
      <c r="U425" s="290" t="s">
        <v>3976</v>
      </c>
      <c r="V425" s="2"/>
      <c r="W425" s="2"/>
      <c r="X425" s="2"/>
      <c r="Y425" s="7"/>
      <c r="Z425" s="2"/>
      <c r="AA425" s="1"/>
      <c r="AC425" s="2"/>
      <c r="AE425" s="1"/>
      <c r="AG425" s="2"/>
    </row>
    <row r="426" spans="1:33" ht="49.95" customHeight="1" x14ac:dyDescent="0.3">
      <c r="A426" s="2" t="s">
        <v>1503</v>
      </c>
      <c r="B426" s="1">
        <v>26218</v>
      </c>
      <c r="C426" s="1" t="s">
        <v>1504</v>
      </c>
      <c r="D426" s="1" t="s">
        <v>1504</v>
      </c>
      <c r="E426" s="1" t="s">
        <v>352</v>
      </c>
      <c r="F426" s="1" t="s">
        <v>731</v>
      </c>
      <c r="G426" s="2">
        <v>0</v>
      </c>
      <c r="H426" s="14">
        <f>SUMIF(ENTRADAS71417[CÓDIGO],PRODUCTOS31316[[#This Row],[CÓDIGO]],ENTRADAS71417[CANTIDAD])</f>
        <v>0</v>
      </c>
      <c r="I426" s="11">
        <f>SUMIF(SALIDAS111518[CÓDIGO],PRODUCTOS31316[[#This Row],[CÓDIGO]],SALIDAS111518[CANTIDAD])</f>
        <v>0</v>
      </c>
      <c r="J426" s="6">
        <f>PRODUCTOS31316[[#This Row],[EXISTENCIAS]]+PRODUCTOS31316[[#This Row],[ENTRADAS]]-PRODUCTOS31316[[#This Row],[SALIDAS]]</f>
        <v>0</v>
      </c>
      <c r="L426" s="288" t="s">
        <v>3520</v>
      </c>
      <c r="M426" s="288" t="s">
        <v>3931</v>
      </c>
      <c r="N426" s="290" t="s">
        <v>3978</v>
      </c>
      <c r="O426" s="288" t="s">
        <v>2889</v>
      </c>
      <c r="P426" s="16">
        <v>46057</v>
      </c>
      <c r="Q426" s="288" t="s">
        <v>2406</v>
      </c>
      <c r="R426" s="2">
        <f>VLOOKUP(SALIDAS111518[[#This Row],[CÓDIGO]],PRODUCTOS31316[],2,FALSE)</f>
        <v>28801</v>
      </c>
      <c r="S426" s="1" t="str">
        <f>VLOOKUP(SALIDAS111518[[#This Row],[CÓDIGO]],PRODUCTOS31316[],3,FALSE)</f>
        <v>FUNDA DE INSEMINACIÓN 3W 0,25</v>
      </c>
      <c r="T426" s="2">
        <v>2</v>
      </c>
      <c r="U426" s="2">
        <v>201</v>
      </c>
      <c r="V426" s="2"/>
      <c r="W426" s="2"/>
      <c r="X426" s="2"/>
      <c r="Y426" s="7"/>
      <c r="Z426" s="2"/>
      <c r="AA426" s="1"/>
      <c r="AC426" s="2"/>
      <c r="AE426" s="1"/>
      <c r="AG426" s="2"/>
    </row>
    <row r="427" spans="1:33" ht="49.95" customHeight="1" x14ac:dyDescent="0.3">
      <c r="A427" s="2" t="s">
        <v>1505</v>
      </c>
      <c r="B427" s="1" t="s">
        <v>242</v>
      </c>
      <c r="C427" s="1" t="s">
        <v>243</v>
      </c>
      <c r="D427" s="1" t="s">
        <v>244</v>
      </c>
      <c r="E427" s="1" t="s">
        <v>352</v>
      </c>
      <c r="F427" s="1" t="s">
        <v>1057</v>
      </c>
      <c r="G427" s="2">
        <v>0</v>
      </c>
      <c r="H427" s="14">
        <f>SUMIF(ENTRADAS71417[CÓDIGO],PRODUCTOS31316[[#This Row],[CÓDIGO]],ENTRADAS71417[CANTIDAD])</f>
        <v>0</v>
      </c>
      <c r="I427" s="11">
        <f>SUMIF(SALIDAS111518[CÓDIGO],PRODUCTOS31316[[#This Row],[CÓDIGO]],SALIDAS111518[CANTIDAD])</f>
        <v>0</v>
      </c>
      <c r="J427" s="6">
        <f>PRODUCTOS31316[[#This Row],[EXISTENCIAS]]+PRODUCTOS31316[[#This Row],[ENTRADAS]]-PRODUCTOS31316[[#This Row],[SALIDAS]]</f>
        <v>0</v>
      </c>
      <c r="L427" s="288" t="s">
        <v>3520</v>
      </c>
      <c r="M427" s="288" t="s">
        <v>3931</v>
      </c>
      <c r="N427" s="290" t="s">
        <v>3979</v>
      </c>
      <c r="O427" s="288" t="s">
        <v>3177</v>
      </c>
      <c r="P427" s="16">
        <v>46057</v>
      </c>
      <c r="Q427" s="288" t="s">
        <v>153</v>
      </c>
      <c r="R427" s="2">
        <f>VLOOKUP(SALIDAS111518[[#This Row],[CÓDIGO]],PRODUCTOS31316[],2,FALSE)</f>
        <v>1132</v>
      </c>
      <c r="S427" s="1" t="str">
        <f>VLOOKUP(SALIDAS111518[[#This Row],[CÓDIGO]],PRODUCTOS31316[],3,FALSE)</f>
        <v>PISTOLA QUICKLOCK CLASIC</v>
      </c>
      <c r="T427" s="2">
        <v>2</v>
      </c>
      <c r="U427" s="2">
        <v>202</v>
      </c>
      <c r="V427" s="2"/>
      <c r="W427" s="2"/>
      <c r="X427" s="2"/>
      <c r="Y427" s="7"/>
      <c r="Z427" s="2"/>
      <c r="AA427" s="1"/>
      <c r="AC427" s="2"/>
      <c r="AE427" s="1"/>
      <c r="AG427" s="2"/>
    </row>
    <row r="428" spans="1:33" ht="49.95" customHeight="1" x14ac:dyDescent="0.3">
      <c r="A428" s="2" t="s">
        <v>1086</v>
      </c>
      <c r="B428" s="1" t="s">
        <v>1509</v>
      </c>
      <c r="C428" s="1" t="s">
        <v>1510</v>
      </c>
      <c r="D428" s="1" t="s">
        <v>484</v>
      </c>
      <c r="E428" s="1" t="s">
        <v>485</v>
      </c>
      <c r="F428" s="1" t="s">
        <v>30</v>
      </c>
      <c r="G428" s="2">
        <v>0</v>
      </c>
      <c r="H428" s="14">
        <f>SUMIF(ENTRADAS71417[CÓDIGO],PRODUCTOS31316[[#This Row],[CÓDIGO]],ENTRADAS71417[CANTIDAD])</f>
        <v>0</v>
      </c>
      <c r="I428" s="11">
        <f>SUMIF(SALIDAS111518[CÓDIGO],PRODUCTOS31316[[#This Row],[CÓDIGO]],SALIDAS111518[CANTIDAD])</f>
        <v>0</v>
      </c>
      <c r="J428" s="6">
        <f>PRODUCTOS31316[[#This Row],[EXISTENCIAS]]+PRODUCTOS31316[[#This Row],[ENTRADAS]]-PRODUCTOS31316[[#This Row],[SALIDAS]]</f>
        <v>0</v>
      </c>
      <c r="L428" s="288"/>
      <c r="M428" s="288"/>
      <c r="N428" s="288">
        <v>7824</v>
      </c>
      <c r="O428" s="288" t="s">
        <v>3177</v>
      </c>
      <c r="P428" s="16">
        <v>46057</v>
      </c>
      <c r="Q428" s="288" t="s">
        <v>3095</v>
      </c>
      <c r="R428" s="2">
        <f>VLOOKUP(SALIDAS111518[[#This Row],[CÓDIGO]],PRODUCTOS31316[],2,FALSE)</f>
        <v>0</v>
      </c>
      <c r="S428" s="1" t="str">
        <f>VLOOKUP(SALIDAS111518[[#This Row],[CÓDIGO]],PRODUCTOS31316[],3,FALSE)</f>
        <v>GORRA MAS CAMPO</v>
      </c>
      <c r="T428" s="2">
        <v>1</v>
      </c>
      <c r="U428" s="2"/>
      <c r="V428" s="2"/>
      <c r="W428" s="2"/>
      <c r="X428" s="2"/>
      <c r="Y428" s="7"/>
      <c r="Z428" s="2"/>
      <c r="AA428" s="1"/>
      <c r="AC428" s="2"/>
      <c r="AE428" s="1"/>
      <c r="AG428" s="2"/>
    </row>
    <row r="429" spans="1:33" ht="49.95" customHeight="1" x14ac:dyDescent="0.3">
      <c r="A429" s="2" t="s">
        <v>1511</v>
      </c>
      <c r="C429" s="1" t="s">
        <v>1512</v>
      </c>
      <c r="D429" s="1" t="s">
        <v>839</v>
      </c>
      <c r="E429" s="1" t="s">
        <v>1513</v>
      </c>
      <c r="F429" s="1" t="s">
        <v>1514</v>
      </c>
      <c r="G429" s="2">
        <v>0</v>
      </c>
      <c r="H429" s="14">
        <f>SUMIF(ENTRADAS71417[CÓDIGO],PRODUCTOS31316[[#This Row],[CÓDIGO]],ENTRADAS71417[CANTIDAD])</f>
        <v>0</v>
      </c>
      <c r="I429" s="11">
        <f>SUMIF(SALIDAS111518[CÓDIGO],PRODUCTOS31316[[#This Row],[CÓDIGO]],SALIDAS111518[CANTIDAD])</f>
        <v>0</v>
      </c>
      <c r="J429" s="6">
        <f>PRODUCTOS31316[[#This Row],[EXISTENCIAS]]+PRODUCTOS31316[[#This Row],[ENTRADAS]]-PRODUCTOS31316[[#This Row],[SALIDAS]]</f>
        <v>0</v>
      </c>
      <c r="L429" s="288" t="s">
        <v>3521</v>
      </c>
      <c r="M429" s="288" t="s">
        <v>3931</v>
      </c>
      <c r="N429" s="289">
        <v>14075</v>
      </c>
      <c r="O429" s="291" t="s">
        <v>3102</v>
      </c>
      <c r="P429" s="46">
        <v>46057</v>
      </c>
      <c r="Q429" s="290" t="s">
        <v>2697</v>
      </c>
      <c r="R429" s="2" t="e">
        <f>VLOOKUP(SALIDAS111518[[#This Row],[CÓDIGO]],PRODUCTOS31316[],2,FALSE)</f>
        <v>#N/A</v>
      </c>
      <c r="S429" s="1" t="e">
        <f>VLOOKUP(SALIDAS111518[[#This Row],[CÓDIGO]],PRODUCTOS31316[],3,FALSE)</f>
        <v>#N/A</v>
      </c>
      <c r="T429" s="2">
        <v>1</v>
      </c>
      <c r="U429" s="2"/>
      <c r="V429" s="2"/>
      <c r="W429" s="288" t="s">
        <v>3412</v>
      </c>
      <c r="X429" s="2"/>
      <c r="Y429" s="7"/>
      <c r="Z429" s="2"/>
      <c r="AA429" s="1"/>
      <c r="AC429" s="2"/>
      <c r="AE429" s="1"/>
      <c r="AG429" s="2"/>
    </row>
    <row r="430" spans="1:33" ht="49.95" customHeight="1" x14ac:dyDescent="0.3">
      <c r="A430" s="2" t="s">
        <v>1516</v>
      </c>
      <c r="C430" s="1" t="s">
        <v>1517</v>
      </c>
      <c r="D430" s="1" t="s">
        <v>839</v>
      </c>
      <c r="E430" s="1" t="s">
        <v>1513</v>
      </c>
      <c r="F430" s="1" t="s">
        <v>686</v>
      </c>
      <c r="G430" s="2">
        <v>0</v>
      </c>
      <c r="H430" s="14">
        <f>SUMIF(ENTRADAS71417[CÓDIGO],PRODUCTOS31316[[#This Row],[CÓDIGO]],ENTRADAS71417[CANTIDAD])</f>
        <v>0</v>
      </c>
      <c r="I430" s="11">
        <f>SUMIF(SALIDAS111518[CÓDIGO],PRODUCTOS31316[[#This Row],[CÓDIGO]],SALIDAS111518[CANTIDAD])</f>
        <v>0</v>
      </c>
      <c r="J430" s="6">
        <f>PRODUCTOS31316[[#This Row],[EXISTENCIAS]]+PRODUCTOS31316[[#This Row],[ENTRADAS]]-PRODUCTOS31316[[#This Row],[SALIDAS]]</f>
        <v>0</v>
      </c>
      <c r="L430" s="288" t="s">
        <v>3520</v>
      </c>
      <c r="M430" s="288" t="s">
        <v>3931</v>
      </c>
      <c r="N430" s="290" t="s">
        <v>3981</v>
      </c>
      <c r="O430" s="288" t="s">
        <v>2984</v>
      </c>
      <c r="P430" s="16">
        <v>46057</v>
      </c>
      <c r="Q430" s="288" t="s">
        <v>3154</v>
      </c>
      <c r="R430" s="2">
        <f>VLOOKUP(SALIDAS111518[[#This Row],[CÓDIGO]],PRODUCTOS31316[],2,FALSE)</f>
        <v>0</v>
      </c>
      <c r="S430" s="1" t="str">
        <f>VLOOKUP(SALIDAS111518[[#This Row],[CÓDIGO]],PRODUCTOS31316[],3,FALSE)</f>
        <v>ISPERM COLECTOR DE MUESTRAS</v>
      </c>
      <c r="T430" s="2">
        <v>1</v>
      </c>
      <c r="U430" s="288" t="s">
        <v>3980</v>
      </c>
      <c r="V430" s="2"/>
      <c r="W430" s="2"/>
      <c r="X430" s="2"/>
      <c r="Y430" s="7"/>
      <c r="Z430" s="2"/>
      <c r="AA430" s="1"/>
      <c r="AC430" s="2"/>
      <c r="AE430" s="1"/>
      <c r="AG430" s="2"/>
    </row>
    <row r="431" spans="1:33" ht="49.95" customHeight="1" x14ac:dyDescent="0.3">
      <c r="A431" s="203" t="s">
        <v>236</v>
      </c>
      <c r="C431" s="216" t="s">
        <v>1518</v>
      </c>
      <c r="D431" s="1" t="s">
        <v>822</v>
      </c>
      <c r="E431" s="1" t="s">
        <v>1421</v>
      </c>
      <c r="F431" s="1" t="s">
        <v>30</v>
      </c>
      <c r="G431" s="31">
        <f>15+1+1</f>
        <v>17</v>
      </c>
      <c r="H431" s="14">
        <f>SUMIF(ENTRADAS71417[CÓDIGO],PRODUCTOS31316[[#This Row],[CÓDIGO]],ENTRADAS71417[CANTIDAD])</f>
        <v>32</v>
      </c>
      <c r="I431" s="11">
        <f>SUMIF(SALIDAS111518[CÓDIGO],PRODUCTOS31316[[#This Row],[CÓDIGO]],SALIDAS111518[CANTIDAD])</f>
        <v>34</v>
      </c>
      <c r="J431" s="6">
        <f>PRODUCTOS31316[[#This Row],[EXISTENCIAS]]+PRODUCTOS31316[[#This Row],[ENTRADAS]]-PRODUCTOS31316[[#This Row],[SALIDAS]]</f>
        <v>15</v>
      </c>
      <c r="L431" s="288" t="s">
        <v>3520</v>
      </c>
      <c r="M431" s="288" t="s">
        <v>3931</v>
      </c>
      <c r="N431" s="290" t="s">
        <v>3983</v>
      </c>
      <c r="O431" s="319" t="s">
        <v>3050</v>
      </c>
      <c r="P431" s="16">
        <v>46057</v>
      </c>
      <c r="Q431" s="288" t="s">
        <v>36</v>
      </c>
      <c r="R431" s="2">
        <f>VLOOKUP(SALIDAS111518[[#This Row],[CÓDIGO]],PRODUCTOS31316[],2,FALSE)</f>
        <v>1</v>
      </c>
      <c r="S431" s="1" t="str">
        <f>VLOOKUP(SALIDAS111518[[#This Row],[CÓDIGO]],PRODUCTOS31316[],3,FALSE)</f>
        <v xml:space="preserve">PARCHE ESTROTECT </v>
      </c>
      <c r="T431" s="2">
        <v>12</v>
      </c>
      <c r="U431" s="290" t="s">
        <v>3982</v>
      </c>
      <c r="V431" s="2"/>
      <c r="W431" s="2"/>
      <c r="X431" s="2"/>
      <c r="Y431" s="7"/>
      <c r="Z431" s="2"/>
      <c r="AA431" s="1"/>
      <c r="AC431" s="2"/>
      <c r="AE431" s="1"/>
      <c r="AG431" s="2"/>
    </row>
    <row r="432" spans="1:33" ht="49.95" customHeight="1" x14ac:dyDescent="0.3">
      <c r="A432" s="2" t="s">
        <v>1425</v>
      </c>
      <c r="B432" s="1">
        <v>18032</v>
      </c>
      <c r="C432" s="1" t="s">
        <v>1519</v>
      </c>
      <c r="D432" s="1" t="s">
        <v>442</v>
      </c>
      <c r="E432" s="1" t="s">
        <v>442</v>
      </c>
      <c r="F432" s="1" t="s">
        <v>30</v>
      </c>
      <c r="G432" s="2">
        <v>0</v>
      </c>
      <c r="H432" s="14">
        <f>SUMIF(ENTRADAS71417[CÓDIGO],PRODUCTOS31316[[#This Row],[CÓDIGO]],ENTRADAS71417[CANTIDAD])</f>
        <v>1</v>
      </c>
      <c r="I432" s="11">
        <f>SUMIF(SALIDAS111518[CÓDIGO],PRODUCTOS31316[[#This Row],[CÓDIGO]],SALIDAS111518[CANTIDAD])</f>
        <v>1</v>
      </c>
      <c r="J432" s="6">
        <f>PRODUCTOS31316[[#This Row],[EXISTENCIAS]]+PRODUCTOS31316[[#This Row],[ENTRADAS]]-PRODUCTOS31316[[#This Row],[SALIDAS]]</f>
        <v>0</v>
      </c>
      <c r="L432" s="288" t="s">
        <v>3520</v>
      </c>
      <c r="M432" s="288" t="s">
        <v>3931</v>
      </c>
      <c r="N432" s="290" t="s">
        <v>3985</v>
      </c>
      <c r="O432" s="290" t="s">
        <v>3195</v>
      </c>
      <c r="P432" s="16">
        <v>46057</v>
      </c>
      <c r="Q432" s="288" t="s">
        <v>15</v>
      </c>
      <c r="R432" s="2" t="str">
        <f>VLOOKUP(SALIDAS111518[[#This Row],[CÓDIGO]],PRODUCTOS31316[],2,FALSE)</f>
        <v>BTE-025PT/ 504002</v>
      </c>
      <c r="S432" s="1" t="str">
        <f>VLOOKUP(SALIDAS111518[[#This Row],[CÓDIGO]],PRODUCTOS31316[],3,FALSE)</f>
        <v>FUNDAS PARA TRANSFERENCIA DE EMBRIONES</v>
      </c>
      <c r="T432" s="2">
        <v>40</v>
      </c>
      <c r="U432" s="288" t="s">
        <v>3984</v>
      </c>
      <c r="V432" s="2"/>
      <c r="W432" s="2"/>
      <c r="X432" s="2"/>
      <c r="Y432" s="7"/>
      <c r="Z432" s="2"/>
      <c r="AA432" s="1"/>
      <c r="AC432" s="2"/>
      <c r="AE432" s="1"/>
      <c r="AG432" s="2"/>
    </row>
    <row r="433" spans="1:33" ht="49.95" customHeight="1" x14ac:dyDescent="0.3">
      <c r="A433" s="2" t="s">
        <v>419</v>
      </c>
      <c r="B433" s="1" t="s">
        <v>1520</v>
      </c>
      <c r="C433" s="1" t="s">
        <v>1521</v>
      </c>
      <c r="D433" s="1" t="s">
        <v>484</v>
      </c>
      <c r="E433" s="1" t="s">
        <v>485</v>
      </c>
      <c r="F433" s="1" t="s">
        <v>30</v>
      </c>
      <c r="G433" s="2">
        <v>0</v>
      </c>
      <c r="H433" s="14">
        <f>SUMIF(ENTRADAS71417[CÓDIGO],PRODUCTOS31316[[#This Row],[CÓDIGO]],ENTRADAS71417[CANTIDAD])</f>
        <v>0</v>
      </c>
      <c r="I433" s="11">
        <f>SUMIF(SALIDAS111518[CÓDIGO],PRODUCTOS31316[[#This Row],[CÓDIGO]],SALIDAS111518[CANTIDAD])</f>
        <v>0</v>
      </c>
      <c r="J433" s="6">
        <f>PRODUCTOS31316[[#This Row],[EXISTENCIAS]]+PRODUCTOS31316[[#This Row],[ENTRADAS]]-PRODUCTOS31316[[#This Row],[SALIDAS]]</f>
        <v>0</v>
      </c>
      <c r="L433" s="282"/>
      <c r="M433" s="282"/>
      <c r="N433" s="276">
        <v>7827</v>
      </c>
      <c r="O433" s="290" t="s">
        <v>3195</v>
      </c>
      <c r="P433" s="16">
        <v>46057</v>
      </c>
      <c r="Q433" s="288" t="s">
        <v>1779</v>
      </c>
      <c r="R433" s="2">
        <f>VLOOKUP(SALIDAS111518[[#This Row],[CÓDIGO]],PRODUCTOS31316[],2,FALSE)</f>
        <v>5563</v>
      </c>
      <c r="S433" s="1" t="str">
        <f>VLOOKUP(SALIDAS111518[[#This Row],[CÓDIGO]],PRODUCTOS31316[],3,FALSE)</f>
        <v>CAMISA SANITARIA ROLLO X 80</v>
      </c>
      <c r="T433" s="2">
        <v>3</v>
      </c>
      <c r="U433" s="2"/>
      <c r="V433" s="2"/>
      <c r="W433" s="2"/>
      <c r="X433" s="2"/>
      <c r="Y433" s="7"/>
      <c r="Z433" s="2"/>
      <c r="AA433" s="1"/>
      <c r="AC433" s="2"/>
      <c r="AE433" s="1"/>
      <c r="AG433" s="2"/>
    </row>
    <row r="434" spans="1:33" ht="49.95" customHeight="1" x14ac:dyDescent="0.3">
      <c r="A434" s="2" t="s">
        <v>1223</v>
      </c>
      <c r="B434" s="1" t="s">
        <v>2425</v>
      </c>
      <c r="C434" s="133" t="s">
        <v>1522</v>
      </c>
      <c r="D434" s="1" t="s">
        <v>442</v>
      </c>
      <c r="E434" s="1" t="s">
        <v>442</v>
      </c>
      <c r="F434" s="1" t="s">
        <v>30</v>
      </c>
      <c r="G434" s="2">
        <v>0</v>
      </c>
      <c r="H434" s="14">
        <f>SUMIF(ENTRADAS71417[CÓDIGO],PRODUCTOS31316[[#This Row],[CÓDIGO]],ENTRADAS71417[CANTIDAD])</f>
        <v>1</v>
      </c>
      <c r="I434" s="11">
        <f>SUMIF(SALIDAS111518[CÓDIGO],PRODUCTOS31316[[#This Row],[CÓDIGO]],SALIDAS111518[CANTIDAD])</f>
        <v>1</v>
      </c>
      <c r="J434" s="6">
        <f>PRODUCTOS31316[[#This Row],[EXISTENCIAS]]+PRODUCTOS31316[[#This Row],[ENTRADAS]]-PRODUCTOS31316[[#This Row],[SALIDAS]]</f>
        <v>0</v>
      </c>
      <c r="L434" s="288" t="s">
        <v>3520</v>
      </c>
      <c r="M434" s="288" t="s">
        <v>3931</v>
      </c>
      <c r="N434" s="290" t="s">
        <v>3986</v>
      </c>
      <c r="O434" s="288" t="s">
        <v>3071</v>
      </c>
      <c r="P434" s="16">
        <v>46057</v>
      </c>
      <c r="Q434" s="288" t="s">
        <v>36</v>
      </c>
      <c r="R434" s="2">
        <f>VLOOKUP(SALIDAS111518[[#This Row],[CÓDIGO]],PRODUCTOS31316[],2,FALSE)</f>
        <v>1</v>
      </c>
      <c r="S434" s="1" t="str">
        <f>VLOOKUP(SALIDAS111518[[#This Row],[CÓDIGO]],PRODUCTOS31316[],3,FALSE)</f>
        <v xml:space="preserve">PARCHE ESTROTECT </v>
      </c>
      <c r="T434" s="2">
        <v>1</v>
      </c>
      <c r="U434" s="2">
        <v>206</v>
      </c>
      <c r="V434" s="2"/>
      <c r="W434" s="2"/>
      <c r="X434" s="2"/>
      <c r="Y434" s="7"/>
      <c r="Z434" s="2"/>
      <c r="AA434" s="1"/>
      <c r="AC434" s="2"/>
      <c r="AE434" s="1"/>
      <c r="AG434" s="2"/>
    </row>
    <row r="435" spans="1:33" ht="49.95" customHeight="1" x14ac:dyDescent="0.3">
      <c r="A435" s="132" t="s">
        <v>1523</v>
      </c>
      <c r="B435" s="1">
        <v>502016</v>
      </c>
      <c r="C435" s="1" t="s">
        <v>1519</v>
      </c>
      <c r="D435" s="1" t="s">
        <v>18</v>
      </c>
      <c r="E435" s="1" t="s">
        <v>18</v>
      </c>
      <c r="F435" s="1" t="s">
        <v>30</v>
      </c>
      <c r="G435" s="2">
        <v>0</v>
      </c>
      <c r="H435" s="14">
        <f>SUMIF(ENTRADAS71417[CÓDIGO],PRODUCTOS31316[[#This Row],[CÓDIGO]],ENTRADAS71417[CANTIDAD])</f>
        <v>0</v>
      </c>
      <c r="I435" s="11">
        <f>SUMIF(SALIDAS111518[CÓDIGO],PRODUCTOS31316[[#This Row],[CÓDIGO]],SALIDAS111518[CANTIDAD])</f>
        <v>0</v>
      </c>
      <c r="J435" s="6">
        <f>PRODUCTOS31316[[#This Row],[EXISTENCIAS]]+PRODUCTOS31316[[#This Row],[ENTRADAS]]-PRODUCTOS31316[[#This Row],[SALIDAS]]</f>
        <v>0</v>
      </c>
      <c r="L435" s="288" t="s">
        <v>3521</v>
      </c>
      <c r="M435" s="288" t="s">
        <v>3931</v>
      </c>
      <c r="N435" s="304" t="s">
        <v>3987</v>
      </c>
      <c r="O435" s="305" t="s">
        <v>3972</v>
      </c>
      <c r="P435" s="16">
        <v>46057</v>
      </c>
      <c r="Q435" s="288" t="s">
        <v>3181</v>
      </c>
      <c r="R435" s="2">
        <f>VLOOKUP(SALIDAS111518[[#This Row],[CÓDIGO]],PRODUCTOS31316[],2,FALSE)</f>
        <v>7416</v>
      </c>
      <c r="S435" s="1" t="str">
        <f>VLOOKUP(SALIDAS111518[[#This Row],[CÓDIGO]],PRODUCTOS31316[],3,FALSE)</f>
        <v>CAJA PLÁSTICA DE 22" DE TRANSPORTE</v>
      </c>
      <c r="T435" s="2">
        <v>1</v>
      </c>
      <c r="U435" s="2">
        <v>207</v>
      </c>
      <c r="V435" s="2"/>
      <c r="W435" s="288" t="s">
        <v>3412</v>
      </c>
      <c r="X435" s="2"/>
      <c r="Y435" s="7"/>
      <c r="Z435" s="2"/>
      <c r="AA435" s="1"/>
      <c r="AC435" s="2"/>
      <c r="AE435" s="1"/>
      <c r="AG435" s="2"/>
    </row>
    <row r="436" spans="1:33" ht="49.95" customHeight="1" x14ac:dyDescent="0.3">
      <c r="A436" s="2" t="s">
        <v>1524</v>
      </c>
      <c r="B436" s="1">
        <v>55526006</v>
      </c>
      <c r="C436" s="1" t="s">
        <v>1525</v>
      </c>
      <c r="E436" s="1" t="s">
        <v>1526</v>
      </c>
      <c r="F436" s="1" t="s">
        <v>660</v>
      </c>
      <c r="G436" s="2">
        <v>0</v>
      </c>
      <c r="H436" s="14">
        <f>SUMIF(ENTRADAS71417[CÓDIGO],PRODUCTOS31316[[#This Row],[CÓDIGO]],ENTRADAS71417[CANTIDAD])</f>
        <v>0</v>
      </c>
      <c r="I436" s="11">
        <f>SUMIF(SALIDAS111518[CÓDIGO],PRODUCTOS31316[[#This Row],[CÓDIGO]],SALIDAS111518[CANTIDAD])</f>
        <v>0</v>
      </c>
      <c r="J436" s="6">
        <f>PRODUCTOS31316[[#This Row],[EXISTENCIAS]]+PRODUCTOS31316[[#This Row],[ENTRADAS]]-PRODUCTOS31316[[#This Row],[SALIDAS]]</f>
        <v>0</v>
      </c>
      <c r="L436" s="282"/>
      <c r="M436" s="282"/>
      <c r="N436" s="276">
        <v>7829</v>
      </c>
      <c r="O436" s="288" t="s">
        <v>3972</v>
      </c>
      <c r="P436" s="16">
        <v>46057</v>
      </c>
      <c r="Q436" s="288" t="s">
        <v>658</v>
      </c>
      <c r="R436" s="2">
        <f>VLOOKUP(SALIDAS111518[[#This Row],[CÓDIGO]],PRODUCTOS31316[],2,FALSE)</f>
        <v>0</v>
      </c>
      <c r="S436" s="1" t="str">
        <f>VLOOKUP(SALIDAS111518[[#This Row],[CÓDIGO]],PRODUCTOS31316[],3,FALSE)</f>
        <v>CATETER TALADRO TRANSPARENTE 18"</v>
      </c>
      <c r="T436" s="2">
        <v>1</v>
      </c>
      <c r="U436" s="2"/>
      <c r="V436" s="2"/>
      <c r="W436" s="2"/>
      <c r="X436" s="2"/>
      <c r="Y436" s="7"/>
      <c r="Z436" s="2"/>
      <c r="AA436" s="1"/>
      <c r="AC436" s="2"/>
      <c r="AE436" s="1"/>
      <c r="AG436" s="2"/>
    </row>
    <row r="437" spans="1:33" ht="49.95" customHeight="1" x14ac:dyDescent="0.3">
      <c r="A437" s="203" t="s">
        <v>210</v>
      </c>
      <c r="B437" s="1">
        <v>101257</v>
      </c>
      <c r="C437" s="216" t="s">
        <v>1527</v>
      </c>
      <c r="D437" s="1" t="s">
        <v>166</v>
      </c>
      <c r="E437" s="1" t="s">
        <v>1528</v>
      </c>
      <c r="F437" s="1" t="s">
        <v>41</v>
      </c>
      <c r="G437" s="2">
        <v>0</v>
      </c>
      <c r="H437" s="14">
        <f>SUMIF(ENTRADAS71417[CÓDIGO],PRODUCTOS31316[[#This Row],[CÓDIGO]],ENTRADAS71417[CANTIDAD])</f>
        <v>200</v>
      </c>
      <c r="I437" s="11">
        <f>SUMIF(SALIDAS111518[CÓDIGO],PRODUCTOS31316[[#This Row],[CÓDIGO]],SALIDAS111518[CANTIDAD])</f>
        <v>129</v>
      </c>
      <c r="J437" s="6">
        <f>PRODUCTOS31316[[#This Row],[EXISTENCIAS]]+PRODUCTOS31316[[#This Row],[ENTRADAS]]-PRODUCTOS31316[[#This Row],[SALIDAS]]</f>
        <v>71</v>
      </c>
      <c r="L437" s="282"/>
      <c r="M437" s="282"/>
      <c r="N437" s="276">
        <v>7829</v>
      </c>
      <c r="O437" s="288" t="s">
        <v>3972</v>
      </c>
      <c r="P437" s="16">
        <v>46057</v>
      </c>
      <c r="Q437" s="288" t="s">
        <v>2364</v>
      </c>
      <c r="R437" s="2">
        <f>VLOOKUP(SALIDAS111518[[#This Row],[CÓDIGO]],PRODUCTOS31316[],2,FALSE)</f>
        <v>0</v>
      </c>
      <c r="S437" s="1" t="str">
        <f>VLOOKUP(SALIDAS111518[[#This Row],[CÓDIGO]],PRODUCTOS31316[],3,FALSE)</f>
        <v>CORTAPAJILLAS WTA</v>
      </c>
      <c r="T437" s="2">
        <v>1</v>
      </c>
      <c r="U437" s="2"/>
      <c r="V437" s="2"/>
      <c r="W437" s="2"/>
      <c r="X437" s="2"/>
      <c r="Y437" s="7"/>
      <c r="Z437" s="2"/>
      <c r="AA437" s="1"/>
      <c r="AC437" s="2"/>
      <c r="AE437" s="1"/>
      <c r="AG437" s="2"/>
    </row>
    <row r="438" spans="1:33" ht="49.95" customHeight="1" x14ac:dyDescent="0.3">
      <c r="A438" s="2" t="s">
        <v>1530</v>
      </c>
      <c r="B438" s="1" t="s">
        <v>1531</v>
      </c>
      <c r="C438" s="191" t="s">
        <v>1532</v>
      </c>
      <c r="D438" s="1" t="s">
        <v>1533</v>
      </c>
      <c r="E438" s="1" t="s">
        <v>1283</v>
      </c>
      <c r="F438" s="1" t="s">
        <v>30</v>
      </c>
      <c r="G438" s="2">
        <v>0</v>
      </c>
      <c r="H438" s="14">
        <f>SUMIF(ENTRADAS71417[CÓDIGO],PRODUCTOS31316[[#This Row],[CÓDIGO]],ENTRADAS71417[CANTIDAD])</f>
        <v>0</v>
      </c>
      <c r="I438" s="11">
        <f>SUMIF(SALIDAS111518[CÓDIGO],PRODUCTOS31316[[#This Row],[CÓDIGO]],SALIDAS111518[CANTIDAD])</f>
        <v>0</v>
      </c>
      <c r="J438" s="6">
        <f>PRODUCTOS31316[[#This Row],[EXISTENCIAS]]+PRODUCTOS31316[[#This Row],[ENTRADAS]]-PRODUCTOS31316[[#This Row],[SALIDAS]]</f>
        <v>0</v>
      </c>
      <c r="L438" s="282"/>
      <c r="M438" s="282"/>
      <c r="N438" s="276">
        <v>7829</v>
      </c>
      <c r="O438" s="288" t="s">
        <v>3972</v>
      </c>
      <c r="P438" s="16">
        <v>46057</v>
      </c>
      <c r="Q438" s="288" t="s">
        <v>236</v>
      </c>
      <c r="R438" s="2">
        <f>VLOOKUP(SALIDAS111518[[#This Row],[CÓDIGO]],PRODUCTOS31316[],2,FALSE)</f>
        <v>0</v>
      </c>
      <c r="S438" s="1" t="str">
        <f>VLOOKUP(SALIDAS111518[[#This Row],[CÓDIGO]],PRODUCTOS31316[],3,FALSE)</f>
        <v>TERMO METÁLICO DESCONGELADOR</v>
      </c>
      <c r="T438" s="2">
        <v>1</v>
      </c>
      <c r="U438" s="2"/>
      <c r="V438" s="2"/>
      <c r="W438" s="2"/>
      <c r="X438" s="2"/>
      <c r="Y438" s="7"/>
      <c r="Z438" s="2"/>
      <c r="AA438" s="1"/>
      <c r="AC438" s="2"/>
      <c r="AE438" s="1"/>
      <c r="AG438" s="2"/>
    </row>
    <row r="439" spans="1:33" ht="49.95" customHeight="1" x14ac:dyDescent="0.3">
      <c r="A439" s="2" t="s">
        <v>1534</v>
      </c>
      <c r="B439" s="1" t="s">
        <v>1535</v>
      </c>
      <c r="C439" s="1" t="s">
        <v>1536</v>
      </c>
      <c r="D439" s="1" t="s">
        <v>1537</v>
      </c>
      <c r="E439" s="1" t="s">
        <v>1538</v>
      </c>
      <c r="F439" s="1" t="s">
        <v>30</v>
      </c>
      <c r="G439" s="2">
        <v>0</v>
      </c>
      <c r="H439" s="14">
        <f>SUMIF(ENTRADAS71417[CÓDIGO],PRODUCTOS31316[[#This Row],[CÓDIGO]],ENTRADAS71417[CANTIDAD])</f>
        <v>0</v>
      </c>
      <c r="I439" s="11">
        <f>SUMIF(SALIDAS111518[CÓDIGO],PRODUCTOS31316[[#This Row],[CÓDIGO]],SALIDAS111518[CANTIDAD])</f>
        <v>0</v>
      </c>
      <c r="J439" s="6">
        <f>PRODUCTOS31316[[#This Row],[EXISTENCIAS]]+PRODUCTOS31316[[#This Row],[ENTRADAS]]-PRODUCTOS31316[[#This Row],[SALIDAS]]</f>
        <v>0</v>
      </c>
      <c r="L439" s="282"/>
      <c r="M439" s="282"/>
      <c r="N439" s="276">
        <v>7829</v>
      </c>
      <c r="O439" s="288" t="s">
        <v>3972</v>
      </c>
      <c r="P439" s="16">
        <v>46057</v>
      </c>
      <c r="Q439" s="288" t="s">
        <v>382</v>
      </c>
      <c r="R439" s="2">
        <f>VLOOKUP(SALIDAS111518[[#This Row],[CÓDIGO]],PRODUCTOS31316[],2,FALSE)</f>
        <v>605032</v>
      </c>
      <c r="S439" s="1" t="str">
        <f>VLOOKUP(SALIDAS111518[[#This Row],[CÓDIGO]],PRODUCTOS31316[],3,FALSE)</f>
        <v>LUBRICANTE OB, NO ESPERMICIDA</v>
      </c>
      <c r="T439" s="2">
        <v>1</v>
      </c>
      <c r="U439" s="2"/>
      <c r="V439" s="2"/>
      <c r="W439" s="2"/>
      <c r="X439" s="2"/>
      <c r="Y439" s="7"/>
      <c r="Z439" s="2"/>
      <c r="AA439" s="1"/>
      <c r="AC439" s="2"/>
      <c r="AE439" s="1"/>
      <c r="AG439" s="2"/>
    </row>
    <row r="440" spans="1:33" ht="49.95" customHeight="1" x14ac:dyDescent="0.3">
      <c r="A440" s="2" t="s">
        <v>1540</v>
      </c>
      <c r="B440" s="1" t="s">
        <v>1541</v>
      </c>
      <c r="C440" s="1" t="s">
        <v>1542</v>
      </c>
      <c r="D440" s="1" t="s">
        <v>1543</v>
      </c>
      <c r="E440" s="1" t="s">
        <v>1544</v>
      </c>
      <c r="F440" s="1" t="s">
        <v>30</v>
      </c>
      <c r="G440" s="2">
        <v>0</v>
      </c>
      <c r="H440" s="14">
        <f>SUMIF(ENTRADAS71417[CÓDIGO],PRODUCTOS31316[[#This Row],[CÓDIGO]],ENTRADAS71417[CANTIDAD])</f>
        <v>0</v>
      </c>
      <c r="I440" s="11">
        <f>SUMIF(SALIDAS111518[CÓDIGO],PRODUCTOS31316[[#This Row],[CÓDIGO]],SALIDAS111518[CANTIDAD])</f>
        <v>0</v>
      </c>
      <c r="J440" s="6">
        <f>PRODUCTOS31316[[#This Row],[EXISTENCIAS]]+PRODUCTOS31316[[#This Row],[ENTRADAS]]-PRODUCTOS31316[[#This Row],[SALIDAS]]</f>
        <v>0</v>
      </c>
      <c r="L440" s="282"/>
      <c r="M440" s="282"/>
      <c r="N440" s="276">
        <v>7829</v>
      </c>
      <c r="O440" s="288" t="s">
        <v>3972</v>
      </c>
      <c r="P440" s="16">
        <v>46057</v>
      </c>
      <c r="Q440" s="288" t="s">
        <v>3393</v>
      </c>
      <c r="R440" s="2">
        <f>VLOOKUP(SALIDAS111518[[#This Row],[CÓDIGO]],PRODUCTOS31316[],2,FALSE)</f>
        <v>17026</v>
      </c>
      <c r="S440" s="1" t="str">
        <f>VLOOKUP(SALIDAS111518[[#This Row],[CÓDIGO]],PRODUCTOS31316[],3,FALSE)</f>
        <v>PISTOLA DE INSEMINACION QUICKLOCK 2000 MINITUBE</v>
      </c>
      <c r="T440" s="2">
        <v>1</v>
      </c>
      <c r="U440" s="2"/>
      <c r="V440" s="2"/>
      <c r="W440" s="2"/>
      <c r="X440" s="2"/>
      <c r="Y440" s="7"/>
      <c r="Z440" s="2"/>
      <c r="AA440" s="1"/>
      <c r="AC440" s="2"/>
      <c r="AE440" s="1"/>
      <c r="AG440" s="2"/>
    </row>
    <row r="441" spans="1:33" ht="49.95" customHeight="1" x14ac:dyDescent="0.3">
      <c r="A441" s="2" t="s">
        <v>1546</v>
      </c>
      <c r="B441" s="1" t="s">
        <v>1547</v>
      </c>
      <c r="C441" s="1" t="s">
        <v>1548</v>
      </c>
      <c r="D441" s="1" t="s">
        <v>1125</v>
      </c>
      <c r="E441" s="1" t="s">
        <v>957</v>
      </c>
      <c r="F441" s="1" t="s">
        <v>30</v>
      </c>
      <c r="G441" s="2">
        <v>0</v>
      </c>
      <c r="H441" s="14">
        <f>SUMIF(ENTRADAS71417[CÓDIGO],PRODUCTOS31316[[#This Row],[CÓDIGO]],ENTRADAS71417[CANTIDAD])</f>
        <v>0</v>
      </c>
      <c r="I441" s="11">
        <f>SUMIF(SALIDAS111518[CÓDIGO],PRODUCTOS31316[[#This Row],[CÓDIGO]],SALIDAS111518[CANTIDAD])</f>
        <v>0</v>
      </c>
      <c r="J441" s="6">
        <f>PRODUCTOS31316[[#This Row],[EXISTENCIAS]]+PRODUCTOS31316[[#This Row],[ENTRADAS]]-PRODUCTOS31316[[#This Row],[SALIDAS]]</f>
        <v>0</v>
      </c>
      <c r="L441" s="282"/>
      <c r="M441" s="282"/>
      <c r="N441" s="276">
        <v>7829</v>
      </c>
      <c r="O441" s="288" t="s">
        <v>3972</v>
      </c>
      <c r="P441" s="16">
        <v>46057</v>
      </c>
      <c r="Q441" s="288" t="s">
        <v>369</v>
      </c>
      <c r="R441" s="2">
        <f>VLOOKUP(SALIDAS111518[[#This Row],[CÓDIGO]],PRODUCTOS31316[],2,FALSE)</f>
        <v>0</v>
      </c>
      <c r="S441" s="1" t="str">
        <f>VLOOKUP(SALIDAS111518[[#This Row],[CÓDIGO]],PRODUCTOS31316[],3,FALSE)</f>
        <v>FUNDA UNIVERSAL PARA I.A. RANURADA</v>
      </c>
      <c r="T441" s="2">
        <v>1</v>
      </c>
      <c r="U441" s="2"/>
      <c r="V441" s="2"/>
      <c r="W441" s="2"/>
      <c r="X441" s="2"/>
      <c r="Y441" s="7"/>
      <c r="Z441" s="2"/>
      <c r="AA441" s="1"/>
      <c r="AC441" s="2"/>
      <c r="AE441" s="1"/>
      <c r="AG441" s="2"/>
    </row>
    <row r="442" spans="1:33" ht="49.95" customHeight="1" x14ac:dyDescent="0.3">
      <c r="A442" s="2" t="s">
        <v>1549</v>
      </c>
      <c r="B442" s="1" t="s">
        <v>1550</v>
      </c>
      <c r="C442" s="1" t="s">
        <v>1551</v>
      </c>
      <c r="D442" s="1" t="s">
        <v>1552</v>
      </c>
      <c r="E442" s="1" t="s">
        <v>957</v>
      </c>
      <c r="F442" s="1" t="s">
        <v>660</v>
      </c>
      <c r="G442" s="2">
        <v>0</v>
      </c>
      <c r="H442" s="14">
        <f>SUMIF(ENTRADAS71417[CÓDIGO],PRODUCTOS31316[[#This Row],[CÓDIGO]],ENTRADAS71417[CANTIDAD])</f>
        <v>0</v>
      </c>
      <c r="I442" s="11">
        <f>SUMIF(SALIDAS111518[CÓDIGO],PRODUCTOS31316[[#This Row],[CÓDIGO]],SALIDAS111518[CANTIDAD])</f>
        <v>0</v>
      </c>
      <c r="J442" s="6">
        <f>PRODUCTOS31316[[#This Row],[EXISTENCIAS]]+PRODUCTOS31316[[#This Row],[ENTRADAS]]-PRODUCTOS31316[[#This Row],[SALIDAS]]</f>
        <v>0</v>
      </c>
      <c r="L442" s="282"/>
      <c r="M442" s="282"/>
      <c r="N442" s="276">
        <v>7829</v>
      </c>
      <c r="O442" s="288" t="s">
        <v>3972</v>
      </c>
      <c r="P442" s="16">
        <v>46057</v>
      </c>
      <c r="Q442" s="288" t="s">
        <v>1779</v>
      </c>
      <c r="R442" s="2">
        <f>VLOOKUP(SALIDAS111518[[#This Row],[CÓDIGO]],PRODUCTOS31316[],2,FALSE)</f>
        <v>5563</v>
      </c>
      <c r="S442" s="1" t="str">
        <f>VLOOKUP(SALIDAS111518[[#This Row],[CÓDIGO]],PRODUCTOS31316[],3,FALSE)</f>
        <v>CAMISA SANITARIA ROLLO X 80</v>
      </c>
      <c r="T442" s="2">
        <v>1</v>
      </c>
      <c r="U442" s="2"/>
      <c r="V442" s="2"/>
      <c r="W442" s="2"/>
      <c r="X442" s="2"/>
      <c r="Y442" s="7"/>
      <c r="Z442" s="2"/>
      <c r="AA442" s="1"/>
      <c r="AC442" s="2"/>
      <c r="AE442" s="1"/>
      <c r="AG442" s="2"/>
    </row>
    <row r="443" spans="1:33" ht="49.95" customHeight="1" x14ac:dyDescent="0.3">
      <c r="A443" s="2" t="s">
        <v>1555</v>
      </c>
      <c r="B443" s="1" t="s">
        <v>1556</v>
      </c>
      <c r="C443" s="74" t="s">
        <v>1557</v>
      </c>
      <c r="D443" s="1" t="s">
        <v>1552</v>
      </c>
      <c r="E443" s="1" t="s">
        <v>957</v>
      </c>
      <c r="F443" s="1" t="s">
        <v>377</v>
      </c>
      <c r="G443" s="2">
        <v>0</v>
      </c>
      <c r="H443" s="14">
        <f>SUMIF(ENTRADAS71417[CÓDIGO],PRODUCTOS31316[[#This Row],[CÓDIGO]],ENTRADAS71417[CANTIDAD])</f>
        <v>0</v>
      </c>
      <c r="I443" s="11">
        <f>SUMIF(SALIDAS111518[CÓDIGO],PRODUCTOS31316[[#This Row],[CÓDIGO]],SALIDAS111518[CANTIDAD])</f>
        <v>0</v>
      </c>
      <c r="J443" s="6">
        <f>PRODUCTOS31316[[#This Row],[EXISTENCIAS]]+PRODUCTOS31316[[#This Row],[ENTRADAS]]-PRODUCTOS31316[[#This Row],[SALIDAS]]</f>
        <v>0</v>
      </c>
      <c r="L443" s="282"/>
      <c r="M443" s="282"/>
      <c r="N443" s="276">
        <v>7829</v>
      </c>
      <c r="O443" s="288" t="s">
        <v>3972</v>
      </c>
      <c r="P443" s="16">
        <v>46057</v>
      </c>
      <c r="Q443" s="288" t="s">
        <v>210</v>
      </c>
      <c r="R443" s="2">
        <f>VLOOKUP(SALIDAS111518[[#This Row],[CÓDIGO]],PRODUCTOS31316[],2,FALSE)</f>
        <v>101257</v>
      </c>
      <c r="S443" s="1" t="str">
        <f>VLOOKUP(SALIDAS111518[[#This Row],[CÓDIGO]],PRODUCTOS31316[],3,FALSE)</f>
        <v>MANGA DESECHABLE SUPER SENSITIVA</v>
      </c>
      <c r="T443" s="2">
        <v>1</v>
      </c>
      <c r="U443" s="2"/>
      <c r="V443" s="2"/>
      <c r="W443" s="2"/>
      <c r="X443" s="2"/>
      <c r="Y443" s="7"/>
      <c r="Z443" s="2"/>
      <c r="AA443" s="1"/>
      <c r="AC443" s="2"/>
      <c r="AE443" s="1"/>
      <c r="AG443" s="2"/>
    </row>
    <row r="444" spans="1:33" ht="49.95" customHeight="1" x14ac:dyDescent="0.3">
      <c r="A444" s="203" t="s">
        <v>679</v>
      </c>
      <c r="B444" s="1" t="s">
        <v>1556</v>
      </c>
      <c r="C444" s="216" t="s">
        <v>1557</v>
      </c>
      <c r="D444" s="1" t="s">
        <v>1552</v>
      </c>
      <c r="E444" s="1" t="s">
        <v>957</v>
      </c>
      <c r="F444" s="1" t="s">
        <v>647</v>
      </c>
      <c r="G444" s="31">
        <v>56</v>
      </c>
      <c r="H444" s="14">
        <f>SUMIF(ENTRADAS71417[CÓDIGO],PRODUCTOS31316[[#This Row],[CÓDIGO]],ENTRADAS71417[CANTIDAD])</f>
        <v>0</v>
      </c>
      <c r="I444" s="11">
        <f>SUMIF(SALIDAS111518[CÓDIGO],PRODUCTOS31316[[#This Row],[CÓDIGO]],SALIDAS111518[CANTIDAD])</f>
        <v>33</v>
      </c>
      <c r="J444" s="6">
        <f>PRODUCTOS31316[[#This Row],[EXISTENCIAS]]+PRODUCTOS31316[[#This Row],[ENTRADAS]]-PRODUCTOS31316[[#This Row],[SALIDAS]]</f>
        <v>23</v>
      </c>
      <c r="L444" s="282"/>
      <c r="M444" s="282"/>
      <c r="N444" s="276">
        <v>7829</v>
      </c>
      <c r="O444" s="288" t="s">
        <v>3972</v>
      </c>
      <c r="P444" s="16">
        <v>46057</v>
      </c>
      <c r="Q444" s="288" t="s">
        <v>581</v>
      </c>
      <c r="R444" s="2">
        <f>VLOOKUP(SALIDAS111518[[#This Row],[CÓDIGO]],PRODUCTOS31316[],2,FALSE)</f>
        <v>11571</v>
      </c>
      <c r="S444" s="1" t="str">
        <f>VLOOKUP(SALIDAS111518[[#This Row],[CÓDIGO]],PRODUCTOS31316[],3,FALSE)</f>
        <v>PINZA COGEPAJILLA</v>
      </c>
      <c r="T444" s="2">
        <v>1</v>
      </c>
      <c r="U444" s="2"/>
      <c r="V444" s="2"/>
      <c r="W444" s="2"/>
      <c r="X444" s="2"/>
      <c r="Y444" s="7"/>
      <c r="Z444" s="2"/>
      <c r="AA444" s="1"/>
      <c r="AC444" s="2"/>
      <c r="AE444" s="1"/>
      <c r="AG444" s="2"/>
    </row>
    <row r="445" spans="1:33" ht="49.95" customHeight="1" x14ac:dyDescent="0.3">
      <c r="A445" s="2" t="s">
        <v>1558</v>
      </c>
      <c r="B445" s="1">
        <v>12101002</v>
      </c>
      <c r="C445" s="1" t="s">
        <v>1559</v>
      </c>
      <c r="D445" s="1" t="s">
        <v>1102</v>
      </c>
      <c r="E445" s="1" t="s">
        <v>177</v>
      </c>
      <c r="F445" s="1" t="s">
        <v>1560</v>
      </c>
      <c r="G445" s="2">
        <v>0</v>
      </c>
      <c r="H445" s="14">
        <f>SUMIF(ENTRADAS71417[CÓDIGO],PRODUCTOS31316[[#This Row],[CÓDIGO]],ENTRADAS71417[CANTIDAD])</f>
        <v>0</v>
      </c>
      <c r="I445" s="11">
        <f>SUMIF(SALIDAS111518[CÓDIGO],PRODUCTOS31316[[#This Row],[CÓDIGO]],SALIDAS111518[CANTIDAD])</f>
        <v>0</v>
      </c>
      <c r="J445" s="6">
        <f>PRODUCTOS31316[[#This Row],[EXISTENCIAS]]+PRODUCTOS31316[[#This Row],[ENTRADAS]]-PRODUCTOS31316[[#This Row],[SALIDAS]]</f>
        <v>0</v>
      </c>
      <c r="L445" s="282"/>
      <c r="M445" s="282"/>
      <c r="N445" s="276">
        <v>7829</v>
      </c>
      <c r="O445" s="288" t="s">
        <v>3972</v>
      </c>
      <c r="P445" s="16">
        <v>46057</v>
      </c>
      <c r="Q445" s="288" t="s">
        <v>25</v>
      </c>
      <c r="R445" s="2">
        <f>VLOOKUP(SALIDAS111518[[#This Row],[CÓDIGO]],PRODUCTOS31316[],2,FALSE)</f>
        <v>0</v>
      </c>
      <c r="S445" s="1" t="str">
        <f>VLOOKUP(SALIDAS111518[[#This Row],[CÓDIGO]],PRODUCTOS31316[],3,FALSE)</f>
        <v>BOLSA TELA MAS CAMPO</v>
      </c>
      <c r="T445" s="2">
        <v>1</v>
      </c>
      <c r="U445" s="2"/>
      <c r="V445" s="2"/>
      <c r="W445" s="2"/>
      <c r="X445" s="2"/>
      <c r="Y445" s="7"/>
      <c r="Z445" s="2"/>
      <c r="AA445" s="1"/>
      <c r="AC445" s="2"/>
      <c r="AE445" s="1"/>
      <c r="AG445" s="2"/>
    </row>
    <row r="446" spans="1:33" ht="49.95" customHeight="1" x14ac:dyDescent="0.3">
      <c r="A446" s="2" t="s">
        <v>1562</v>
      </c>
      <c r="B446" s="1">
        <v>12125001</v>
      </c>
      <c r="C446" s="1" t="s">
        <v>1563</v>
      </c>
      <c r="D446" s="1" t="s">
        <v>1102</v>
      </c>
      <c r="E446" s="1" t="s">
        <v>177</v>
      </c>
      <c r="F446" s="1" t="s">
        <v>678</v>
      </c>
      <c r="G446" s="2">
        <v>0</v>
      </c>
      <c r="H446" s="14">
        <f>SUMIF(ENTRADAS71417[CÓDIGO],PRODUCTOS31316[[#This Row],[CÓDIGO]],ENTRADAS71417[CANTIDAD])</f>
        <v>0</v>
      </c>
      <c r="I446" s="11">
        <f>SUMIF(SALIDAS111518[CÓDIGO],PRODUCTOS31316[[#This Row],[CÓDIGO]],SALIDAS111518[CANTIDAD])</f>
        <v>0</v>
      </c>
      <c r="J446" s="6">
        <f>PRODUCTOS31316[[#This Row],[EXISTENCIAS]]+PRODUCTOS31316[[#This Row],[ENTRADAS]]-PRODUCTOS31316[[#This Row],[SALIDAS]]</f>
        <v>0</v>
      </c>
      <c r="L446" s="288" t="s">
        <v>3520</v>
      </c>
      <c r="M446" s="288" t="s">
        <v>3931</v>
      </c>
      <c r="N446" s="290" t="s">
        <v>3992</v>
      </c>
      <c r="O446" s="288" t="s">
        <v>2344</v>
      </c>
      <c r="P446" s="16">
        <v>46058</v>
      </c>
      <c r="Q446" s="288" t="s">
        <v>15</v>
      </c>
      <c r="R446" s="2" t="str">
        <f>VLOOKUP(SALIDAS111518[[#This Row],[CÓDIGO]],PRODUCTOS31316[],2,FALSE)</f>
        <v>BTE-025PT/ 504002</v>
      </c>
      <c r="S446" s="1" t="str">
        <f>VLOOKUP(SALIDAS111518[[#This Row],[CÓDIGO]],PRODUCTOS31316[],3,FALSE)</f>
        <v>FUNDAS PARA TRANSFERENCIA DE EMBRIONES</v>
      </c>
      <c r="T446" s="2">
        <v>40</v>
      </c>
      <c r="U446" s="2">
        <v>208</v>
      </c>
      <c r="V446" s="2"/>
      <c r="W446" s="2"/>
      <c r="X446" s="2"/>
      <c r="Y446" s="7"/>
      <c r="Z446" s="2"/>
      <c r="AA446" s="1"/>
      <c r="AC446" s="2"/>
      <c r="AE446" s="1"/>
      <c r="AG446" s="2"/>
    </row>
    <row r="447" spans="1:33" ht="49.95" customHeight="1" x14ac:dyDescent="0.3">
      <c r="A447" s="2" t="s">
        <v>1566</v>
      </c>
      <c r="B447" s="1" t="s">
        <v>1567</v>
      </c>
      <c r="C447" s="1" t="s">
        <v>1568</v>
      </c>
      <c r="D447" s="1" t="s">
        <v>1019</v>
      </c>
      <c r="E447" s="1" t="s">
        <v>177</v>
      </c>
      <c r="F447" s="1" t="s">
        <v>647</v>
      </c>
      <c r="G447" s="2">
        <v>0</v>
      </c>
      <c r="H447" s="14">
        <f>SUMIF(ENTRADAS71417[CÓDIGO],PRODUCTOS31316[[#This Row],[CÓDIGO]],ENTRADAS71417[CANTIDAD])</f>
        <v>0</v>
      </c>
      <c r="I447" s="11">
        <f>SUMIF(SALIDAS111518[CÓDIGO],PRODUCTOS31316[[#This Row],[CÓDIGO]],SALIDAS111518[CANTIDAD])</f>
        <v>0</v>
      </c>
      <c r="J447" s="6">
        <f>PRODUCTOS31316[[#This Row],[EXISTENCIAS]]+PRODUCTOS31316[[#This Row],[ENTRADAS]]-PRODUCTOS31316[[#This Row],[SALIDAS]]</f>
        <v>0</v>
      </c>
      <c r="L447" s="282"/>
      <c r="M447" s="282"/>
      <c r="N447" s="276">
        <v>7835</v>
      </c>
      <c r="O447" s="288" t="s">
        <v>2344</v>
      </c>
      <c r="P447" s="16">
        <v>46058</v>
      </c>
      <c r="Q447" s="288" t="s">
        <v>3504</v>
      </c>
      <c r="R447" s="2">
        <f>VLOOKUP(SALIDAS111518[[#This Row],[CÓDIGO]],PRODUCTOS31316[],2,FALSE)</f>
        <v>26</v>
      </c>
      <c r="S447" s="1" t="str">
        <f>VLOOKUP(SALIDAS111518[[#This Row],[CÓDIGO]],PRODUCTOS31316[],3,FALSE)</f>
        <v>MUCOSA DE PLÁSTICA EQUINA  BOTUPHARMA</v>
      </c>
      <c r="T447" s="2">
        <v>3</v>
      </c>
      <c r="U447" s="2"/>
      <c r="V447" s="2"/>
      <c r="W447" s="2"/>
      <c r="X447" s="2"/>
      <c r="Y447" s="7"/>
      <c r="Z447" s="2"/>
      <c r="AA447" s="1"/>
      <c r="AC447" s="2"/>
      <c r="AE447" s="1"/>
      <c r="AG447" s="2"/>
    </row>
    <row r="448" spans="1:33" ht="49.95" customHeight="1" x14ac:dyDescent="0.3">
      <c r="A448" s="2" t="s">
        <v>1571</v>
      </c>
      <c r="B448" s="1" t="s">
        <v>1572</v>
      </c>
      <c r="C448" s="1" t="s">
        <v>1573</v>
      </c>
      <c r="E448" s="1" t="s">
        <v>1574</v>
      </c>
      <c r="F448" s="1" t="s">
        <v>30</v>
      </c>
      <c r="G448" s="2">
        <v>0</v>
      </c>
      <c r="H448" s="14">
        <f>SUMIF(ENTRADAS71417[CÓDIGO],PRODUCTOS31316[[#This Row],[CÓDIGO]],ENTRADAS71417[CANTIDAD])</f>
        <v>0</v>
      </c>
      <c r="I448" s="11">
        <f>SUMIF(SALIDAS111518[CÓDIGO],PRODUCTOS31316[[#This Row],[CÓDIGO]],SALIDAS111518[CANTIDAD])</f>
        <v>0</v>
      </c>
      <c r="J448" s="6">
        <f>PRODUCTOS31316[[#This Row],[EXISTENCIAS]]+PRODUCTOS31316[[#This Row],[ENTRADAS]]-PRODUCTOS31316[[#This Row],[SALIDAS]]</f>
        <v>0</v>
      </c>
      <c r="L448" s="288" t="s">
        <v>3520</v>
      </c>
      <c r="M448" s="288" t="s">
        <v>3931</v>
      </c>
      <c r="N448" s="289" t="s">
        <v>3988</v>
      </c>
      <c r="O448" s="291" t="s">
        <v>3338</v>
      </c>
      <c r="P448" s="46"/>
      <c r="Q448" s="290" t="s">
        <v>2697</v>
      </c>
      <c r="R448" s="2" t="e">
        <f>VLOOKUP(SALIDAS111518[[#This Row],[CÓDIGO]],PRODUCTOS31316[],2,FALSE)</f>
        <v>#N/A</v>
      </c>
      <c r="S448" s="1" t="e">
        <f>VLOOKUP(SALIDAS111518[[#This Row],[CÓDIGO]],PRODUCTOS31316[],3,FALSE)</f>
        <v>#N/A</v>
      </c>
      <c r="T448" s="2">
        <v>1</v>
      </c>
      <c r="U448" s="2"/>
      <c r="V448" s="2"/>
      <c r="W448" s="2"/>
      <c r="X448" s="2"/>
      <c r="Y448" s="7"/>
      <c r="Z448" s="2"/>
      <c r="AA448" s="1"/>
      <c r="AC448" s="2"/>
      <c r="AE448" s="1"/>
      <c r="AG448" s="2"/>
    </row>
    <row r="449" spans="1:33" ht="49.95" customHeight="1" x14ac:dyDescent="0.3">
      <c r="A449" s="2" t="s">
        <v>1576</v>
      </c>
      <c r="C449" s="1" t="s">
        <v>1577</v>
      </c>
      <c r="D449" s="1" t="s">
        <v>1578</v>
      </c>
      <c r="E449" s="1" t="s">
        <v>352</v>
      </c>
      <c r="F449" s="1" t="s">
        <v>30</v>
      </c>
      <c r="G449" s="2">
        <v>0</v>
      </c>
      <c r="H449" s="14">
        <f>SUMIF(ENTRADAS71417[CÓDIGO],PRODUCTOS31316[[#This Row],[CÓDIGO]],ENTRADAS71417[CANTIDAD])</f>
        <v>0</v>
      </c>
      <c r="I449" s="11">
        <f>SUMIF(SALIDAS111518[CÓDIGO],PRODUCTOS31316[[#This Row],[CÓDIGO]],SALIDAS111518[CANTIDAD])</f>
        <v>0</v>
      </c>
      <c r="J449" s="6">
        <f>PRODUCTOS31316[[#This Row],[EXISTENCIAS]]+PRODUCTOS31316[[#This Row],[ENTRADAS]]-PRODUCTOS31316[[#This Row],[SALIDAS]]</f>
        <v>0</v>
      </c>
      <c r="L449" s="288" t="s">
        <v>3520</v>
      </c>
      <c r="M449" s="288" t="s">
        <v>3931</v>
      </c>
      <c r="N449" s="290" t="s">
        <v>4028</v>
      </c>
      <c r="O449" s="288" t="s">
        <v>3989</v>
      </c>
      <c r="P449" s="16">
        <v>46059</v>
      </c>
      <c r="Q449" s="288" t="s">
        <v>36</v>
      </c>
      <c r="R449" s="2">
        <f>VLOOKUP(SALIDAS111518[[#This Row],[CÓDIGO]],PRODUCTOS31316[],2,FALSE)</f>
        <v>1</v>
      </c>
      <c r="S449" s="1" t="str">
        <f>VLOOKUP(SALIDAS111518[[#This Row],[CÓDIGO]],PRODUCTOS31316[],3,FALSE)</f>
        <v xml:space="preserve">PARCHE ESTROTECT </v>
      </c>
      <c r="T449" s="2">
        <v>2</v>
      </c>
      <c r="U449" s="288" t="s">
        <v>3999</v>
      </c>
      <c r="V449" s="2"/>
      <c r="W449" s="2"/>
      <c r="X449" s="2"/>
      <c r="Y449" s="7"/>
      <c r="Z449" s="2"/>
      <c r="AA449" s="1"/>
      <c r="AC449" s="2"/>
      <c r="AE449" s="1"/>
      <c r="AG449" s="2"/>
    </row>
    <row r="450" spans="1:33" ht="49.95" customHeight="1" x14ac:dyDescent="0.3">
      <c r="A450" s="2" t="s">
        <v>1580</v>
      </c>
      <c r="C450" s="1" t="s">
        <v>1581</v>
      </c>
      <c r="D450" s="1" t="s">
        <v>1582</v>
      </c>
      <c r="E450" s="1" t="s">
        <v>352</v>
      </c>
      <c r="F450" s="1" t="s">
        <v>30</v>
      </c>
      <c r="G450" s="2">
        <v>0</v>
      </c>
      <c r="H450" s="14">
        <f>SUMIF(ENTRADAS71417[CÓDIGO],PRODUCTOS31316[[#This Row],[CÓDIGO]],ENTRADAS71417[CANTIDAD])</f>
        <v>0</v>
      </c>
      <c r="I450" s="11">
        <f>SUMIF(SALIDAS111518[CÓDIGO],PRODUCTOS31316[[#This Row],[CÓDIGO]],SALIDAS111518[CANTIDAD])</f>
        <v>0</v>
      </c>
      <c r="J450" s="6">
        <f>PRODUCTOS31316[[#This Row],[EXISTENCIAS]]+PRODUCTOS31316[[#This Row],[ENTRADAS]]-PRODUCTOS31316[[#This Row],[SALIDAS]]</f>
        <v>0</v>
      </c>
      <c r="L450" s="288" t="s">
        <v>3520</v>
      </c>
      <c r="M450" s="288" t="s">
        <v>3931</v>
      </c>
      <c r="N450" s="290" t="s">
        <v>3993</v>
      </c>
      <c r="O450" s="288" t="s">
        <v>3991</v>
      </c>
      <c r="P450" s="16">
        <v>46058</v>
      </c>
      <c r="Q450" s="288" t="s">
        <v>27</v>
      </c>
      <c r="R450" s="2" t="str">
        <f>VLOOKUP(SALIDAS111518[[#This Row],[CÓDIGO]],PRODUCTOS31316[],2,FALSE)</f>
        <v>INO-025/ 508001</v>
      </c>
      <c r="S450" s="1" t="str">
        <f>VLOOKUP(SALIDAS111518[[#This Row],[CÓDIGO]],PRODUCTOS31316[],3,FALSE)</f>
        <v>PISTOLA DE TRANSFERENCIA DE EMBRIONES</v>
      </c>
      <c r="T450" s="2">
        <v>1</v>
      </c>
      <c r="U450" s="2">
        <v>209</v>
      </c>
      <c r="V450" s="2"/>
      <c r="W450" s="2"/>
      <c r="X450" s="2"/>
      <c r="Y450" s="7"/>
      <c r="Z450" s="2"/>
      <c r="AA450" s="1"/>
      <c r="AC450" s="2"/>
      <c r="AE450" s="1"/>
      <c r="AG450" s="2"/>
    </row>
    <row r="451" spans="1:33" ht="49.95" customHeight="1" x14ac:dyDescent="0.3">
      <c r="A451" s="2" t="s">
        <v>1583</v>
      </c>
      <c r="C451" s="1" t="s">
        <v>1584</v>
      </c>
      <c r="E451" s="1" t="s">
        <v>352</v>
      </c>
      <c r="F451" s="1" t="s">
        <v>30</v>
      </c>
      <c r="G451" s="2">
        <v>0</v>
      </c>
      <c r="H451" s="14">
        <f>SUMIF(ENTRADAS71417[CÓDIGO],PRODUCTOS31316[[#This Row],[CÓDIGO]],ENTRADAS71417[CANTIDAD])</f>
        <v>0</v>
      </c>
      <c r="I451" s="11">
        <f>SUMIF(SALIDAS111518[CÓDIGO],PRODUCTOS31316[[#This Row],[CÓDIGO]],SALIDAS111518[CANTIDAD])</f>
        <v>0</v>
      </c>
      <c r="J451" s="6">
        <f>PRODUCTOS31316[[#This Row],[EXISTENCIAS]]+PRODUCTOS31316[[#This Row],[ENTRADAS]]-PRODUCTOS31316[[#This Row],[SALIDAS]]</f>
        <v>0</v>
      </c>
      <c r="L451" s="282"/>
      <c r="M451" s="282"/>
      <c r="N451" s="276">
        <v>7836</v>
      </c>
      <c r="O451" s="288" t="s">
        <v>3991</v>
      </c>
      <c r="P451" s="16">
        <v>46058</v>
      </c>
      <c r="Q451" s="288" t="s">
        <v>15</v>
      </c>
      <c r="R451" s="2" t="str">
        <f>VLOOKUP(SALIDAS111518[[#This Row],[CÓDIGO]],PRODUCTOS31316[],2,FALSE)</f>
        <v>BTE-025PT/ 504002</v>
      </c>
      <c r="S451" s="1" t="str">
        <f>VLOOKUP(SALIDAS111518[[#This Row],[CÓDIGO]],PRODUCTOS31316[],3,FALSE)</f>
        <v>FUNDAS PARA TRANSFERENCIA DE EMBRIONES</v>
      </c>
      <c r="T451" s="2">
        <v>1</v>
      </c>
      <c r="U451" s="2"/>
      <c r="V451" s="2"/>
      <c r="W451" s="2"/>
      <c r="X451" s="2"/>
      <c r="Y451" s="7"/>
      <c r="Z451" s="2"/>
      <c r="AA451" s="1"/>
      <c r="AC451" s="2"/>
      <c r="AE451" s="1"/>
      <c r="AG451" s="2"/>
    </row>
    <row r="452" spans="1:33" ht="49.95" customHeight="1" x14ac:dyDescent="0.3">
      <c r="A452" s="2" t="s">
        <v>1585</v>
      </c>
      <c r="B452" s="1">
        <v>131630</v>
      </c>
      <c r="C452" s="94" t="s">
        <v>1586</v>
      </c>
      <c r="D452" s="1" t="s">
        <v>244</v>
      </c>
      <c r="E452" s="1" t="s">
        <v>352</v>
      </c>
      <c r="F452" s="1" t="s">
        <v>30</v>
      </c>
      <c r="G452" s="2">
        <v>2</v>
      </c>
      <c r="H452" s="14">
        <f>SUMIF(ENTRADAS71417[CÓDIGO],PRODUCTOS31316[[#This Row],[CÓDIGO]],ENTRADAS71417[CANTIDAD])</f>
        <v>0</v>
      </c>
      <c r="I452" s="11">
        <f>SUMIF(SALIDAS111518[CÓDIGO],PRODUCTOS31316[[#This Row],[CÓDIGO]],SALIDAS111518[CANTIDAD])</f>
        <v>1</v>
      </c>
      <c r="J452" s="6">
        <f>PRODUCTOS31316[[#This Row],[EXISTENCIAS]]+PRODUCTOS31316[[#This Row],[ENTRADAS]]-PRODUCTOS31316[[#This Row],[SALIDAS]]</f>
        <v>1</v>
      </c>
      <c r="L452" s="288" t="s">
        <v>3520</v>
      </c>
      <c r="M452" s="288" t="s">
        <v>3931</v>
      </c>
      <c r="N452" s="290" t="s">
        <v>3994</v>
      </c>
      <c r="O452" s="290" t="s">
        <v>2703</v>
      </c>
      <c r="P452" s="16">
        <v>46058</v>
      </c>
      <c r="Q452" s="288" t="s">
        <v>104</v>
      </c>
      <c r="R452" s="2">
        <f>VLOOKUP(SALIDAS111518[[#This Row],[CÓDIGO]],PRODUCTOS31316[],2,FALSE)</f>
        <v>0</v>
      </c>
      <c r="S452" s="1" t="str">
        <f>VLOOKUP(SALIDAS111518[[#This Row],[CÓDIGO]],PRODUCTOS31316[],3,FALSE)</f>
        <v>ISPERM CHIPS (500 TESTS PER BOX) PAQ. X 50 UND</v>
      </c>
      <c r="T452" s="2">
        <v>1</v>
      </c>
      <c r="U452" s="2">
        <v>210</v>
      </c>
      <c r="V452" s="2"/>
      <c r="W452" s="2"/>
      <c r="X452" s="2"/>
      <c r="Y452" s="7"/>
      <c r="Z452" s="2"/>
      <c r="AA452" s="1"/>
      <c r="AC452" s="2"/>
      <c r="AE452" s="1"/>
      <c r="AG452" s="2"/>
    </row>
    <row r="453" spans="1:33" ht="49.95" customHeight="1" x14ac:dyDescent="0.3">
      <c r="A453" s="203" t="s">
        <v>387</v>
      </c>
      <c r="B453" s="1">
        <v>131830</v>
      </c>
      <c r="C453" s="94" t="s">
        <v>1588</v>
      </c>
      <c r="D453" s="1" t="s">
        <v>244</v>
      </c>
      <c r="E453" s="1" t="s">
        <v>352</v>
      </c>
      <c r="F453" s="1" t="s">
        <v>30</v>
      </c>
      <c r="G453" s="31">
        <v>2</v>
      </c>
      <c r="H453" s="14">
        <f>SUMIF(ENTRADAS71417[CÓDIGO],PRODUCTOS31316[[#This Row],[CÓDIGO]],ENTRADAS71417[CANTIDAD])</f>
        <v>4</v>
      </c>
      <c r="I453" s="11">
        <f>SUMIF(SALIDAS111518[CÓDIGO],PRODUCTOS31316[[#This Row],[CÓDIGO]],SALIDAS111518[CANTIDAD])</f>
        <v>6</v>
      </c>
      <c r="J453" s="6">
        <f>PRODUCTOS31316[[#This Row],[EXISTENCIAS]]+PRODUCTOS31316[[#This Row],[ENTRADAS]]-PRODUCTOS31316[[#This Row],[SALIDAS]]</f>
        <v>0</v>
      </c>
      <c r="L453" s="288" t="s">
        <v>3521</v>
      </c>
      <c r="M453" s="288" t="s">
        <v>3931</v>
      </c>
      <c r="N453" s="290" t="s">
        <v>4000</v>
      </c>
      <c r="O453" s="288" t="s">
        <v>3995</v>
      </c>
      <c r="P453" s="16">
        <v>46059</v>
      </c>
      <c r="Q453" s="288" t="s">
        <v>369</v>
      </c>
      <c r="R453" s="2">
        <f>VLOOKUP(SALIDAS111518[[#This Row],[CÓDIGO]],PRODUCTOS31316[],2,FALSE)</f>
        <v>0</v>
      </c>
      <c r="S453" s="1" t="str">
        <f>VLOOKUP(SALIDAS111518[[#This Row],[CÓDIGO]],PRODUCTOS31316[],3,FALSE)</f>
        <v>FUNDA UNIVERSAL PARA I.A. RANURADA</v>
      </c>
      <c r="T453" s="2">
        <v>20</v>
      </c>
      <c r="U453" s="2">
        <v>212</v>
      </c>
      <c r="V453" s="2"/>
      <c r="W453" s="2"/>
      <c r="X453" s="2"/>
      <c r="Y453" s="7"/>
      <c r="Z453" s="2"/>
      <c r="AA453" s="1"/>
      <c r="AC453" s="2"/>
      <c r="AE453" s="1"/>
      <c r="AG453" s="2"/>
    </row>
    <row r="454" spans="1:33" ht="49.95" customHeight="1" x14ac:dyDescent="0.3">
      <c r="A454" s="2" t="s">
        <v>1589</v>
      </c>
      <c r="B454" s="1">
        <v>5010629</v>
      </c>
      <c r="C454" s="1" t="s">
        <v>1590</v>
      </c>
      <c r="D454" s="1" t="s">
        <v>1591</v>
      </c>
      <c r="E454" s="1" t="s">
        <v>1592</v>
      </c>
      <c r="F454" s="1" t="s">
        <v>30</v>
      </c>
      <c r="G454" s="2">
        <v>0</v>
      </c>
      <c r="H454" s="14">
        <f>SUMIF(ENTRADAS71417[CÓDIGO],PRODUCTOS31316[[#This Row],[CÓDIGO]],ENTRADAS71417[CANTIDAD])</f>
        <v>0</v>
      </c>
      <c r="I454" s="11">
        <f>SUMIF(SALIDAS111518[CÓDIGO],PRODUCTOS31316[[#This Row],[CÓDIGO]],SALIDAS111518[CANTIDAD])</f>
        <v>0</v>
      </c>
      <c r="J454" s="6">
        <f>PRODUCTOS31316[[#This Row],[EXISTENCIAS]]+PRODUCTOS31316[[#This Row],[ENTRADAS]]-PRODUCTOS31316[[#This Row],[SALIDAS]]</f>
        <v>0</v>
      </c>
      <c r="L454" s="288" t="s">
        <v>3520</v>
      </c>
      <c r="M454" s="288" t="s">
        <v>3931</v>
      </c>
      <c r="N454" s="290" t="s">
        <v>4001</v>
      </c>
      <c r="O454" s="290" t="s">
        <v>3997</v>
      </c>
      <c r="P454" s="16">
        <v>46059</v>
      </c>
      <c r="Q454" s="288" t="s">
        <v>3375</v>
      </c>
      <c r="R454" s="2" t="str">
        <f>VLOOKUP(SALIDAS111518[[#This Row],[CÓDIGO]],PRODUCTOS31316[],2,FALSE)</f>
        <v>13500/0250</v>
      </c>
      <c r="S454" s="1" t="str">
        <f>VLOOKUP(SALIDAS111518[[#This Row],[CÓDIGO]],PRODUCTOS31316[],3,FALSE)</f>
        <v>TRILADYL 250 ML</v>
      </c>
      <c r="T454" s="2">
        <v>1</v>
      </c>
      <c r="U454" s="2">
        <v>213</v>
      </c>
      <c r="V454" s="2"/>
      <c r="W454" s="2"/>
      <c r="X454" s="2"/>
      <c r="Y454" s="7"/>
      <c r="Z454" s="2"/>
      <c r="AA454" s="1"/>
      <c r="AC454" s="2"/>
      <c r="AE454" s="1"/>
      <c r="AG454" s="2"/>
    </row>
    <row r="455" spans="1:33" ht="49.95" customHeight="1" x14ac:dyDescent="0.3">
      <c r="A455" s="2" t="s">
        <v>1593</v>
      </c>
      <c r="B455" s="1">
        <v>5010636</v>
      </c>
      <c r="C455" s="1" t="s">
        <v>1594</v>
      </c>
      <c r="D455" s="1" t="s">
        <v>1591</v>
      </c>
      <c r="E455" s="1" t="s">
        <v>1592</v>
      </c>
      <c r="F455" s="1" t="s">
        <v>30</v>
      </c>
      <c r="G455" s="2">
        <v>0</v>
      </c>
      <c r="H455" s="14">
        <f>SUMIF(ENTRADAS71417[CÓDIGO],PRODUCTOS31316[[#This Row],[CÓDIGO]],ENTRADAS71417[CANTIDAD])</f>
        <v>0</v>
      </c>
      <c r="I455" s="11">
        <f>SUMIF(SALIDAS111518[CÓDIGO],PRODUCTOS31316[[#This Row],[CÓDIGO]],SALIDAS111518[CANTIDAD])</f>
        <v>0</v>
      </c>
      <c r="J455" s="6">
        <f>PRODUCTOS31316[[#This Row],[EXISTENCIAS]]+PRODUCTOS31316[[#This Row],[ENTRADAS]]-PRODUCTOS31316[[#This Row],[SALIDAS]]</f>
        <v>0</v>
      </c>
      <c r="L455" s="282"/>
      <c r="M455" s="282"/>
      <c r="N455" s="276">
        <v>7840</v>
      </c>
      <c r="O455" s="290" t="s">
        <v>3997</v>
      </c>
      <c r="P455" s="16">
        <v>46059</v>
      </c>
      <c r="Q455" s="288" t="s">
        <v>683</v>
      </c>
      <c r="R455" s="2">
        <f>VLOOKUP(SALIDAS111518[[#This Row],[CÓDIGO]],PRODUCTOS31316[],2,FALSE)</f>
        <v>109304</v>
      </c>
      <c r="S455" s="1" t="str">
        <f>VLOOKUP(SALIDAS111518[[#This Row],[CÓDIGO]],PRODUCTOS31316[],3,FALSE)</f>
        <v>EOSINA- NIGROSINA</v>
      </c>
      <c r="T455" s="2">
        <v>1</v>
      </c>
      <c r="U455" s="2"/>
      <c r="V455" s="2"/>
      <c r="W455" s="2"/>
      <c r="X455" s="2"/>
      <c r="Y455" s="7"/>
      <c r="Z455" s="2"/>
      <c r="AA455" s="1"/>
      <c r="AC455" s="2"/>
      <c r="AE455" s="1"/>
      <c r="AG455" s="2"/>
    </row>
    <row r="456" spans="1:33" ht="49.95" customHeight="1" x14ac:dyDescent="0.3">
      <c r="A456" s="2" t="s">
        <v>1595</v>
      </c>
      <c r="C456" s="1" t="s">
        <v>1596</v>
      </c>
      <c r="D456" s="1" t="s">
        <v>1354</v>
      </c>
      <c r="E456" s="1" t="s">
        <v>1355</v>
      </c>
      <c r="F456" s="1" t="s">
        <v>30</v>
      </c>
      <c r="G456" s="2">
        <v>1</v>
      </c>
      <c r="H456" s="14">
        <f>SUMIF(ENTRADAS71417[CÓDIGO],PRODUCTOS31316[[#This Row],[CÓDIGO]],ENTRADAS71417[CANTIDAD])</f>
        <v>0</v>
      </c>
      <c r="I456" s="11">
        <f>SUMIF(SALIDAS111518[CÓDIGO],PRODUCTOS31316[[#This Row],[CÓDIGO]],SALIDAS111518[CANTIDAD])</f>
        <v>0</v>
      </c>
      <c r="J456" s="6">
        <f>PRODUCTOS31316[[#This Row],[EXISTENCIAS]]+PRODUCTOS31316[[#This Row],[ENTRADAS]]-PRODUCTOS31316[[#This Row],[SALIDAS]]</f>
        <v>1</v>
      </c>
      <c r="L456" s="288" t="s">
        <v>3520</v>
      </c>
      <c r="M456" s="288" t="s">
        <v>3931</v>
      </c>
      <c r="N456" s="312" t="s">
        <v>4007</v>
      </c>
      <c r="O456" s="311" t="s">
        <v>2281</v>
      </c>
      <c r="P456" s="16">
        <v>46059</v>
      </c>
      <c r="Q456" s="288" t="s">
        <v>2401</v>
      </c>
      <c r="R456" s="2">
        <f>VLOOKUP(SALIDAS111518[[#This Row],[CÓDIGO]],PRODUCTOS31316[],2,FALSE)</f>
        <v>5540</v>
      </c>
      <c r="S456" s="1" t="str">
        <f>VLOOKUP(SALIDAS111518[[#This Row],[CÓDIGO]],PRODUCTOS31316[],3,FALSE)</f>
        <v xml:space="preserve">FUNDAS DE TRANSFERENCIA AZUL PUNTA METÁLICA 21"                 </v>
      </c>
      <c r="T456" s="2">
        <v>2</v>
      </c>
      <c r="U456" s="2">
        <v>222</v>
      </c>
      <c r="V456" s="2"/>
      <c r="W456" s="2"/>
      <c r="X456" s="2"/>
      <c r="Y456" s="7"/>
      <c r="Z456" s="2"/>
      <c r="AA456" s="1"/>
      <c r="AC456" s="2"/>
      <c r="AE456" s="1"/>
      <c r="AG456" s="2"/>
    </row>
    <row r="457" spans="1:33" ht="49.95" customHeight="1" x14ac:dyDescent="0.3">
      <c r="A457" s="2" t="s">
        <v>1597</v>
      </c>
      <c r="B457" s="1">
        <v>10820101</v>
      </c>
      <c r="C457" s="1" t="s">
        <v>1598</v>
      </c>
      <c r="D457" s="1" t="s">
        <v>685</v>
      </c>
      <c r="E457" s="1" t="s">
        <v>685</v>
      </c>
      <c r="F457" s="1" t="s">
        <v>686</v>
      </c>
      <c r="G457" s="2">
        <v>0</v>
      </c>
      <c r="H457" s="14">
        <f>SUMIF(ENTRADAS71417[CÓDIGO],PRODUCTOS31316[[#This Row],[CÓDIGO]],ENTRADAS71417[CANTIDAD])</f>
        <v>0</v>
      </c>
      <c r="I457" s="11">
        <f>SUMIF(SALIDAS111518[CÓDIGO],PRODUCTOS31316[[#This Row],[CÓDIGO]],SALIDAS111518[CANTIDAD])</f>
        <v>0</v>
      </c>
      <c r="J457" s="6">
        <f>PRODUCTOS31316[[#This Row],[EXISTENCIAS]]+PRODUCTOS31316[[#This Row],[ENTRADAS]]-PRODUCTOS31316[[#This Row],[SALIDAS]]</f>
        <v>0</v>
      </c>
      <c r="L457" s="282"/>
      <c r="M457" s="282"/>
      <c r="N457" s="276">
        <v>7842</v>
      </c>
      <c r="O457" s="288" t="s">
        <v>2281</v>
      </c>
      <c r="P457" s="16">
        <v>46059</v>
      </c>
      <c r="Q457" s="288" t="s">
        <v>1779</v>
      </c>
      <c r="R457" s="2">
        <f>VLOOKUP(SALIDAS111518[[#This Row],[CÓDIGO]],PRODUCTOS31316[],2,FALSE)</f>
        <v>5563</v>
      </c>
      <c r="S457" s="1" t="str">
        <f>VLOOKUP(SALIDAS111518[[#This Row],[CÓDIGO]],PRODUCTOS31316[],3,FALSE)</f>
        <v>CAMISA SANITARIA ROLLO X 80</v>
      </c>
      <c r="T457" s="2">
        <v>1</v>
      </c>
      <c r="U457" s="2"/>
      <c r="V457" s="2"/>
      <c r="W457" s="2"/>
      <c r="X457" s="2"/>
      <c r="Y457" s="7"/>
      <c r="Z457" s="2"/>
      <c r="AA457" s="1"/>
      <c r="AC457" s="2"/>
      <c r="AE457" s="1"/>
      <c r="AG457" s="2"/>
    </row>
    <row r="458" spans="1:33" ht="49.95" customHeight="1" x14ac:dyDescent="0.3">
      <c r="A458" s="2" t="s">
        <v>1599</v>
      </c>
      <c r="B458" s="1" t="s">
        <v>1600</v>
      </c>
      <c r="C458" s="1" t="s">
        <v>1601</v>
      </c>
      <c r="D458" s="1" t="s">
        <v>364</v>
      </c>
      <c r="E458" s="1" t="s">
        <v>183</v>
      </c>
      <c r="F458" s="1" t="s">
        <v>1602</v>
      </c>
      <c r="G458" s="2">
        <v>0</v>
      </c>
      <c r="H458" s="14">
        <f>SUMIF(ENTRADAS71417[CÓDIGO],PRODUCTOS31316[[#This Row],[CÓDIGO]],ENTRADAS71417[CANTIDAD])</f>
        <v>0</v>
      </c>
      <c r="I458" s="11">
        <f>SUMIF(SALIDAS111518[CÓDIGO],PRODUCTOS31316[[#This Row],[CÓDIGO]],SALIDAS111518[CANTIDAD])</f>
        <v>0</v>
      </c>
      <c r="J458" s="6">
        <f>PRODUCTOS31316[[#This Row],[EXISTENCIAS]]+PRODUCTOS31316[[#This Row],[ENTRADAS]]-PRODUCTOS31316[[#This Row],[SALIDAS]]</f>
        <v>0</v>
      </c>
      <c r="L458" s="282"/>
      <c r="M458" s="282"/>
      <c r="N458" s="276">
        <v>7842</v>
      </c>
      <c r="O458" s="288" t="s">
        <v>2281</v>
      </c>
      <c r="P458" s="16">
        <v>46059</v>
      </c>
      <c r="Q458" s="288" t="s">
        <v>36</v>
      </c>
      <c r="R458" s="2">
        <f>VLOOKUP(SALIDAS111518[[#This Row],[CÓDIGO]],PRODUCTOS31316[],2,FALSE)</f>
        <v>1</v>
      </c>
      <c r="S458" s="1" t="str">
        <f>VLOOKUP(SALIDAS111518[[#This Row],[CÓDIGO]],PRODUCTOS31316[],3,FALSE)</f>
        <v xml:space="preserve">PARCHE ESTROTECT </v>
      </c>
      <c r="T458" s="2">
        <v>1</v>
      </c>
      <c r="U458" s="2"/>
      <c r="V458" s="2"/>
      <c r="W458" s="2"/>
      <c r="X458" s="2"/>
      <c r="Y458" s="7"/>
      <c r="Z458" s="2"/>
      <c r="AA458" s="1"/>
      <c r="AC458" s="2"/>
      <c r="AE458" s="1"/>
      <c r="AG458" s="2"/>
    </row>
    <row r="459" spans="1:33" ht="49.95" customHeight="1" x14ac:dyDescent="0.3">
      <c r="A459" s="2" t="s">
        <v>2438</v>
      </c>
      <c r="B459" s="1">
        <v>431219</v>
      </c>
      <c r="C459" s="1" t="s">
        <v>2439</v>
      </c>
      <c r="D459" s="1" t="s">
        <v>769</v>
      </c>
      <c r="E459" s="1" t="s">
        <v>183</v>
      </c>
      <c r="F459" s="1" t="s">
        <v>1069</v>
      </c>
      <c r="G459" s="2">
        <v>0</v>
      </c>
      <c r="H459" s="14">
        <f>SUMIF(ENTRADAS71417[CÓDIGO],PRODUCTOS31316[[#This Row],[CÓDIGO]],ENTRADAS71417[CANTIDAD])</f>
        <v>0</v>
      </c>
      <c r="I459" s="11">
        <f>SUMIF(SALIDAS111518[CÓDIGO],PRODUCTOS31316[[#This Row],[CÓDIGO]],SALIDAS111518[CANTIDAD])</f>
        <v>0</v>
      </c>
      <c r="J459" s="6">
        <f>PRODUCTOS31316[[#This Row],[EXISTENCIAS]]+PRODUCTOS31316[[#This Row],[ENTRADAS]]-PRODUCTOS31316[[#This Row],[SALIDAS]]</f>
        <v>0</v>
      </c>
      <c r="L459" s="288" t="s">
        <v>3521</v>
      </c>
      <c r="M459" s="288" t="s">
        <v>3931</v>
      </c>
      <c r="N459" s="290" t="s">
        <v>4003</v>
      </c>
      <c r="O459" s="288" t="s">
        <v>3996</v>
      </c>
      <c r="P459" s="16">
        <v>46059</v>
      </c>
      <c r="Q459" s="288" t="s">
        <v>438</v>
      </c>
      <c r="R459" s="2">
        <f>VLOOKUP(SALIDAS111518[[#This Row],[CÓDIGO]],PRODUCTOS31316[],2,FALSE)</f>
        <v>18421</v>
      </c>
      <c r="S459" s="1" t="str">
        <f>VLOOKUP(SALIDAS111518[[#This Row],[CÓDIGO]],PRODUCTOS31316[],3,FALSE)</f>
        <v xml:space="preserve">PISTOLA DE TRANSFERENCIA DE EMBRIONES 0,25 / BLOQUEO AUTOMÁTICO </v>
      </c>
      <c r="T459" s="2">
        <v>1</v>
      </c>
      <c r="U459" s="2">
        <v>214</v>
      </c>
      <c r="V459" s="2"/>
      <c r="W459" s="2"/>
      <c r="X459" s="2"/>
      <c r="Y459" s="7"/>
      <c r="Z459" s="2"/>
      <c r="AA459" s="1"/>
      <c r="AC459" s="2"/>
      <c r="AE459" s="1"/>
      <c r="AG459" s="2"/>
    </row>
    <row r="460" spans="1:33" ht="49.95" customHeight="1" x14ac:dyDescent="0.3">
      <c r="A460" s="2" t="s">
        <v>1603</v>
      </c>
      <c r="B460" s="1">
        <v>5010617</v>
      </c>
      <c r="C460" s="1" t="s">
        <v>1604</v>
      </c>
      <c r="D460" s="1" t="s">
        <v>1591</v>
      </c>
      <c r="E460" s="1" t="s">
        <v>1592</v>
      </c>
      <c r="F460" s="1" t="s">
        <v>30</v>
      </c>
      <c r="G460" s="2">
        <v>1</v>
      </c>
      <c r="H460" s="14">
        <f>SUMIF(ENTRADAS71417[CÓDIGO],PRODUCTOS31316[[#This Row],[CÓDIGO]],ENTRADAS71417[CANTIDAD])</f>
        <v>0</v>
      </c>
      <c r="I460" s="11">
        <f>SUMIF(SALIDAS111518[CÓDIGO],PRODUCTOS31316[[#This Row],[CÓDIGO]],SALIDAS111518[CANTIDAD])</f>
        <v>0</v>
      </c>
      <c r="J460" s="6">
        <f>PRODUCTOS31316[[#This Row],[EXISTENCIAS]]+PRODUCTOS31316[[#This Row],[ENTRADAS]]-PRODUCTOS31316[[#This Row],[SALIDAS]]</f>
        <v>1</v>
      </c>
      <c r="L460" s="282"/>
      <c r="M460" s="282"/>
      <c r="N460" s="276">
        <v>7841</v>
      </c>
      <c r="O460" s="288" t="s">
        <v>3996</v>
      </c>
      <c r="P460" s="16">
        <v>46059</v>
      </c>
      <c r="Q460" s="288" t="s">
        <v>15</v>
      </c>
      <c r="R460" s="2" t="str">
        <f>VLOOKUP(SALIDAS111518[[#This Row],[CÓDIGO]],PRODUCTOS31316[],2,FALSE)</f>
        <v>BTE-025PT/ 504002</v>
      </c>
      <c r="S460" s="1" t="str">
        <f>VLOOKUP(SALIDAS111518[[#This Row],[CÓDIGO]],PRODUCTOS31316[],3,FALSE)</f>
        <v>FUNDAS PARA TRANSFERENCIA DE EMBRIONES</v>
      </c>
      <c r="T460" s="2">
        <v>1</v>
      </c>
      <c r="U460" s="2"/>
      <c r="V460" s="2"/>
      <c r="W460" s="2"/>
      <c r="X460" s="2"/>
      <c r="Y460" s="7"/>
      <c r="Z460" s="2"/>
      <c r="AA460" s="1"/>
      <c r="AC460" s="2"/>
      <c r="AE460" s="1"/>
      <c r="AG460" s="2"/>
    </row>
    <row r="461" spans="1:33" ht="49.95" customHeight="1" x14ac:dyDescent="0.3">
      <c r="A461" s="2" t="s">
        <v>682</v>
      </c>
      <c r="B461" s="1">
        <v>9605</v>
      </c>
      <c r="C461" s="1" t="s">
        <v>1605</v>
      </c>
      <c r="D461" s="1" t="s">
        <v>1606</v>
      </c>
      <c r="E461" s="1" t="s">
        <v>1592</v>
      </c>
      <c r="F461" s="1" t="s">
        <v>139</v>
      </c>
      <c r="G461" s="2">
        <v>0</v>
      </c>
      <c r="H461" s="14">
        <f>SUMIF(ENTRADAS71417[CÓDIGO],PRODUCTOS31316[[#This Row],[CÓDIGO]],ENTRADAS71417[CANTIDAD])</f>
        <v>0</v>
      </c>
      <c r="I461" s="11">
        <f>SUMIF(SALIDAS111518[CÓDIGO],PRODUCTOS31316[[#This Row],[CÓDIGO]],SALIDAS111518[CANTIDAD])</f>
        <v>0</v>
      </c>
      <c r="J461" s="6">
        <f>PRODUCTOS31316[[#This Row],[EXISTENCIAS]]+PRODUCTOS31316[[#This Row],[ENTRADAS]]-PRODUCTOS31316[[#This Row],[SALIDAS]]</f>
        <v>0</v>
      </c>
      <c r="L461" s="288" t="s">
        <v>3521</v>
      </c>
      <c r="M461" s="288" t="s">
        <v>3931</v>
      </c>
      <c r="N461" s="304" t="s">
        <v>4216</v>
      </c>
      <c r="O461" s="290" t="s">
        <v>3998</v>
      </c>
      <c r="P461" s="16">
        <v>46098</v>
      </c>
      <c r="Q461" s="288" t="s">
        <v>115</v>
      </c>
      <c r="R461" s="2" t="str">
        <f>VLOOKUP(SALIDAS111518[[#This Row],[CÓDIGO]],PRODUCTOS31316[],2,FALSE)</f>
        <v>CTS-800</v>
      </c>
      <c r="S461" s="1" t="str">
        <f>VLOOKUP(SALIDAS111518[[#This Row],[CÓDIGO]],PRODUCTOS31316[],3,FALSE)</f>
        <v>ECOGRAFO SIUI ULTRA SOUND SCANNER WITH L7FCV</v>
      </c>
      <c r="T461" s="2">
        <v>3</v>
      </c>
      <c r="U461" s="2">
        <v>346</v>
      </c>
      <c r="V461" s="2"/>
      <c r="W461" s="2"/>
      <c r="X461" s="2"/>
      <c r="Y461" s="7"/>
      <c r="Z461" s="2"/>
      <c r="AA461" s="1"/>
      <c r="AC461" s="2"/>
      <c r="AE461" s="1"/>
      <c r="AG461" s="2"/>
    </row>
    <row r="462" spans="1:33" ht="49.95" customHeight="1" x14ac:dyDescent="0.3">
      <c r="A462" s="2" t="s">
        <v>399</v>
      </c>
      <c r="B462" s="1">
        <v>4164</v>
      </c>
      <c r="C462" s="1" t="s">
        <v>2790</v>
      </c>
      <c r="D462" s="1" t="s">
        <v>271</v>
      </c>
      <c r="E462" s="1" t="s">
        <v>352</v>
      </c>
      <c r="F462" s="1" t="s">
        <v>1607</v>
      </c>
      <c r="G462" s="2">
        <v>0</v>
      </c>
      <c r="H462" s="14">
        <f>SUMIF(ENTRADAS71417[CÓDIGO],PRODUCTOS31316[[#This Row],[CÓDIGO]],ENTRADAS71417[CANTIDAD])</f>
        <v>0</v>
      </c>
      <c r="I462" s="11">
        <f>SUMIF(SALIDAS111518[CÓDIGO],PRODUCTOS31316[[#This Row],[CÓDIGO]],SALIDAS111518[CANTIDAD])</f>
        <v>0</v>
      </c>
      <c r="J462" s="6">
        <f>PRODUCTOS31316[[#This Row],[EXISTENCIAS]]+PRODUCTOS31316[[#This Row],[ENTRADAS]]-PRODUCTOS31316[[#This Row],[SALIDAS]]</f>
        <v>0</v>
      </c>
      <c r="L462" s="282"/>
      <c r="M462" s="282"/>
      <c r="N462" s="276">
        <v>7955</v>
      </c>
      <c r="O462" s="327" t="s">
        <v>3998</v>
      </c>
      <c r="P462" s="16">
        <v>46098</v>
      </c>
      <c r="Q462" s="288" t="s">
        <v>913</v>
      </c>
      <c r="R462" s="2" t="str">
        <f>VLOOKUP(SALIDAS111518[[#This Row],[CÓDIGO]],PRODUCTOS31316[],2,FALSE)</f>
        <v>HC-R069</v>
      </c>
      <c r="S462" s="1" t="str">
        <f>VLOOKUP(SALIDAS111518[[#This Row],[CÓDIGO]],PRODUCTOS31316[],3,FALSE)</f>
        <v>MICROSCOPIO CON PLATINA Y PANTALLA 7"</v>
      </c>
      <c r="T462" s="2">
        <v>4</v>
      </c>
      <c r="U462" s="2"/>
      <c r="V462" s="2"/>
      <c r="W462" s="2"/>
      <c r="X462" s="2"/>
      <c r="Y462" s="7"/>
      <c r="Z462" s="2"/>
      <c r="AA462" s="1"/>
      <c r="AC462" s="2"/>
      <c r="AE462" s="1"/>
      <c r="AG462" s="2"/>
    </row>
    <row r="463" spans="1:33" ht="49.95" customHeight="1" x14ac:dyDescent="0.3">
      <c r="A463" s="2" t="s">
        <v>1608</v>
      </c>
      <c r="B463" s="1" t="s">
        <v>469</v>
      </c>
      <c r="C463" s="1" t="s">
        <v>1609</v>
      </c>
      <c r="D463" s="1" t="s">
        <v>471</v>
      </c>
      <c r="E463" s="1" t="s">
        <v>471</v>
      </c>
      <c r="F463" s="1" t="s">
        <v>30</v>
      </c>
      <c r="G463" s="2">
        <v>0</v>
      </c>
      <c r="H463" s="14">
        <f>SUMIF(ENTRADAS71417[CÓDIGO],PRODUCTOS31316[[#This Row],[CÓDIGO]],ENTRADAS71417[CANTIDAD])</f>
        <v>0</v>
      </c>
      <c r="I463" s="11">
        <f>SUMIF(SALIDAS111518[CÓDIGO],PRODUCTOS31316[[#This Row],[CÓDIGO]],SALIDAS111518[CANTIDAD])</f>
        <v>0</v>
      </c>
      <c r="J463" s="6">
        <f>PRODUCTOS31316[[#This Row],[EXISTENCIAS]]+PRODUCTOS31316[[#This Row],[ENTRADAS]]-PRODUCTOS31316[[#This Row],[SALIDAS]]</f>
        <v>0</v>
      </c>
      <c r="L463" s="288" t="s">
        <v>3520</v>
      </c>
      <c r="M463" s="288" t="s">
        <v>3931</v>
      </c>
      <c r="N463" s="290" t="s">
        <v>4008</v>
      </c>
      <c r="O463" s="288" t="s">
        <v>2205</v>
      </c>
      <c r="P463" s="16">
        <v>46062</v>
      </c>
      <c r="Q463" s="288" t="s">
        <v>36</v>
      </c>
      <c r="R463" s="2">
        <f>VLOOKUP(SALIDAS111518[[#This Row],[CÓDIGO]],PRODUCTOS31316[],2,FALSE)</f>
        <v>1</v>
      </c>
      <c r="S463" s="1" t="str">
        <f>VLOOKUP(SALIDAS111518[[#This Row],[CÓDIGO]],PRODUCTOS31316[],3,FALSE)</f>
        <v xml:space="preserve">PARCHE ESTROTECT </v>
      </c>
      <c r="T463" s="2">
        <v>1</v>
      </c>
      <c r="U463" s="2">
        <v>215</v>
      </c>
      <c r="V463" s="2"/>
      <c r="W463" s="2"/>
      <c r="X463" s="2"/>
      <c r="Y463" s="7"/>
      <c r="Z463" s="2"/>
      <c r="AA463" s="1"/>
      <c r="AC463" s="2"/>
      <c r="AE463" s="1"/>
      <c r="AG463" s="2"/>
    </row>
    <row r="464" spans="1:33" ht="49.95" customHeight="1" x14ac:dyDescent="0.3">
      <c r="A464" s="2" t="s">
        <v>1611</v>
      </c>
      <c r="B464" s="1" t="s">
        <v>469</v>
      </c>
      <c r="C464" s="1" t="s">
        <v>1612</v>
      </c>
      <c r="D464" s="1" t="s">
        <v>471</v>
      </c>
      <c r="E464" s="1" t="s">
        <v>471</v>
      </c>
      <c r="F464" s="1" t="s">
        <v>30</v>
      </c>
      <c r="G464" s="2">
        <v>4</v>
      </c>
      <c r="H464" s="14">
        <f>SUMIF(ENTRADAS71417[CÓDIGO],PRODUCTOS31316[[#This Row],[CÓDIGO]],ENTRADAS71417[CANTIDAD])</f>
        <v>3</v>
      </c>
      <c r="I464" s="11">
        <f>SUMIF(SALIDAS111518[CÓDIGO],PRODUCTOS31316[[#This Row],[CÓDIGO]],SALIDAS111518[CANTIDAD])</f>
        <v>0</v>
      </c>
      <c r="J464" s="6">
        <f>PRODUCTOS31316[[#This Row],[EXISTENCIAS]]+PRODUCTOS31316[[#This Row],[ENTRADAS]]-PRODUCTOS31316[[#This Row],[SALIDAS]]</f>
        <v>7</v>
      </c>
      <c r="L464" s="288" t="s">
        <v>3520</v>
      </c>
      <c r="M464" s="288" t="s">
        <v>3931</v>
      </c>
      <c r="N464" s="290" t="s">
        <v>4009</v>
      </c>
      <c r="O464" s="288" t="s">
        <v>1965</v>
      </c>
      <c r="P464" s="16">
        <v>46062</v>
      </c>
      <c r="Q464" s="288" t="s">
        <v>2755</v>
      </c>
      <c r="R464" s="2" t="str">
        <f>VLOOKUP(SALIDAS111518[[#This Row],[CÓDIGO]],PRODUCTOS31316[],2,FALSE)</f>
        <v>MSLDO05</v>
      </c>
      <c r="S464" s="1" t="str">
        <f>VLOOKUP(SALIDAS111518[[#This Row],[CÓDIGO]],PRODUCTOS31316[],3,FALSE)</f>
        <v>TERMO DE RECOLECCIÓN DE SEMEN/ USO VETERINARIO</v>
      </c>
      <c r="T464" s="2">
        <v>1</v>
      </c>
      <c r="U464" s="2">
        <v>216</v>
      </c>
      <c r="V464" s="2"/>
      <c r="W464" s="2"/>
      <c r="X464" s="2"/>
      <c r="Y464" s="7"/>
      <c r="Z464" s="2"/>
      <c r="AA464" s="1"/>
      <c r="AC464" s="2"/>
      <c r="AE464" s="1"/>
      <c r="AG464" s="2"/>
    </row>
    <row r="465" spans="1:33" ht="49.95" customHeight="1" x14ac:dyDescent="0.3">
      <c r="A465" s="203" t="s">
        <v>407</v>
      </c>
      <c r="B465" s="1">
        <v>180121</v>
      </c>
      <c r="C465" s="1" t="s">
        <v>1613</v>
      </c>
      <c r="D465" s="1" t="s">
        <v>262</v>
      </c>
      <c r="E465" s="1" t="s">
        <v>352</v>
      </c>
      <c r="F465" s="1" t="s">
        <v>30</v>
      </c>
      <c r="G465" s="2">
        <v>4</v>
      </c>
      <c r="H465" s="14">
        <f>SUMIF(ENTRADAS71417[CÓDIGO],PRODUCTOS31316[[#This Row],[CÓDIGO]],ENTRADAS71417[CANTIDAD])</f>
        <v>0</v>
      </c>
      <c r="I465" s="11">
        <f>SUMIF(SALIDAS111518[CÓDIGO],PRODUCTOS31316[[#This Row],[CÓDIGO]],SALIDAS111518[CANTIDAD])</f>
        <v>2</v>
      </c>
      <c r="J465" s="6">
        <f>PRODUCTOS31316[[#This Row],[EXISTENCIAS]]+PRODUCTOS31316[[#This Row],[ENTRADAS]]-PRODUCTOS31316[[#This Row],[SALIDAS]]</f>
        <v>2</v>
      </c>
      <c r="L465" s="288"/>
      <c r="M465" s="288"/>
      <c r="N465" s="276">
        <v>7844</v>
      </c>
      <c r="O465" s="288" t="s">
        <v>1965</v>
      </c>
      <c r="P465" s="16">
        <v>46062</v>
      </c>
      <c r="Q465" s="288" t="s">
        <v>36</v>
      </c>
      <c r="R465" s="2">
        <f>VLOOKUP(SALIDAS111518[[#This Row],[CÓDIGO]],PRODUCTOS31316[],2,FALSE)</f>
        <v>1</v>
      </c>
      <c r="S465" s="1" t="str">
        <f>VLOOKUP(SALIDAS111518[[#This Row],[CÓDIGO]],PRODUCTOS31316[],3,FALSE)</f>
        <v xml:space="preserve">PARCHE ESTROTECT </v>
      </c>
      <c r="T465" s="2">
        <v>1</v>
      </c>
      <c r="U465" s="2"/>
      <c r="V465" s="2"/>
      <c r="W465" s="2"/>
      <c r="X465" s="2"/>
      <c r="Y465" s="7"/>
      <c r="Z465" s="2"/>
      <c r="AA465" s="1"/>
      <c r="AC465" s="2"/>
      <c r="AE465" s="1"/>
      <c r="AG465" s="2"/>
    </row>
    <row r="466" spans="1:33" ht="49.95" customHeight="1" x14ac:dyDescent="0.3">
      <c r="A466" s="2" t="s">
        <v>1614</v>
      </c>
      <c r="B466" s="1" t="s">
        <v>1615</v>
      </c>
      <c r="C466" s="1" t="s">
        <v>1616</v>
      </c>
      <c r="E466" s="1" t="s">
        <v>352</v>
      </c>
      <c r="F466" s="1" t="s">
        <v>1607</v>
      </c>
      <c r="G466" s="2">
        <v>0</v>
      </c>
      <c r="H466" s="14">
        <f>SUMIF(ENTRADAS71417[CÓDIGO],PRODUCTOS31316[[#This Row],[CÓDIGO]],ENTRADAS71417[CANTIDAD])</f>
        <v>0</v>
      </c>
      <c r="I466" s="11">
        <f>SUMIF(SALIDAS111518[CÓDIGO],PRODUCTOS31316[[#This Row],[CÓDIGO]],SALIDAS111518[CANTIDAD])</f>
        <v>0</v>
      </c>
      <c r="J466" s="6">
        <f>PRODUCTOS31316[[#This Row],[EXISTENCIAS]]+PRODUCTOS31316[[#This Row],[ENTRADAS]]-PRODUCTOS31316[[#This Row],[SALIDAS]]</f>
        <v>0</v>
      </c>
      <c r="L466" s="288" t="s">
        <v>3520</v>
      </c>
      <c r="M466" s="288" t="s">
        <v>3931</v>
      </c>
      <c r="N466" s="290" t="s">
        <v>4010</v>
      </c>
      <c r="O466" s="290" t="s">
        <v>2699</v>
      </c>
      <c r="P466" s="16">
        <v>46060</v>
      </c>
      <c r="Q466" s="288" t="s">
        <v>2258</v>
      </c>
      <c r="R466" s="2">
        <f>VLOOKUP(SALIDAS111518[[#This Row],[CÓDIGO]],PRODUCTOS31316[],2,FALSE)</f>
        <v>9014001</v>
      </c>
      <c r="S466" s="1" t="str">
        <f>VLOOKUP(SALIDAS111518[[#This Row],[CÓDIGO]],PRODUCTOS31316[],3,FALSE)</f>
        <v>FILTROS OPU 100 UM/ MARCA TED</v>
      </c>
      <c r="T466" s="2">
        <v>40</v>
      </c>
      <c r="U466" s="2">
        <v>217</v>
      </c>
      <c r="V466" s="2" t="s">
        <v>4335</v>
      </c>
      <c r="W466" s="2"/>
      <c r="X466" s="2"/>
      <c r="Y466" s="7"/>
      <c r="Z466" s="2"/>
      <c r="AA466" s="1"/>
      <c r="AC466" s="2"/>
      <c r="AE466" s="1"/>
      <c r="AG466" s="2"/>
    </row>
    <row r="467" spans="1:33" ht="49.95" customHeight="1" x14ac:dyDescent="0.3">
      <c r="A467" s="2" t="s">
        <v>1617</v>
      </c>
      <c r="B467" s="1" t="s">
        <v>1618</v>
      </c>
      <c r="C467" s="1" t="s">
        <v>1619</v>
      </c>
      <c r="E467" s="1" t="s">
        <v>1115</v>
      </c>
      <c r="F467" s="1" t="s">
        <v>1620</v>
      </c>
      <c r="G467" s="2">
        <v>0</v>
      </c>
      <c r="H467" s="14">
        <f>SUMIF(ENTRADAS71417[CÓDIGO],PRODUCTOS31316[[#This Row],[CÓDIGO]],ENTRADAS71417[CANTIDAD])</f>
        <v>0</v>
      </c>
      <c r="I467" s="11">
        <f>SUMIF(SALIDAS111518[CÓDIGO],PRODUCTOS31316[[#This Row],[CÓDIGO]],SALIDAS111518[CANTIDAD])</f>
        <v>0</v>
      </c>
      <c r="J467" s="6">
        <f>PRODUCTOS31316[[#This Row],[EXISTENCIAS]]+PRODUCTOS31316[[#This Row],[ENTRADAS]]-PRODUCTOS31316[[#This Row],[SALIDAS]]</f>
        <v>0</v>
      </c>
      <c r="L467" s="282"/>
      <c r="M467" s="282"/>
      <c r="N467" s="276">
        <v>7845</v>
      </c>
      <c r="O467" s="290" t="s">
        <v>2699</v>
      </c>
      <c r="P467" s="16">
        <v>46060</v>
      </c>
      <c r="Q467" s="288" t="s">
        <v>2246</v>
      </c>
      <c r="R467" s="2" t="str">
        <f>VLOOKUP(SALIDAS111518[[#This Row],[CÓDIGO]],PRODUCTOS31316[],2,FALSE)</f>
        <v>00051076-02</v>
      </c>
      <c r="S467" s="1" t="str">
        <f>VLOOKUP(SALIDAS111518[[#This Row],[CÓDIGO]],PRODUCTOS31316[],3,FALSE)</f>
        <v>LIDOCAÍNA  HCL 2 % X 100 ML/ 2025-12-16</v>
      </c>
      <c r="T467" s="2">
        <v>20</v>
      </c>
      <c r="U467" s="2"/>
      <c r="V467" s="2"/>
      <c r="W467" s="2"/>
      <c r="X467" s="2"/>
      <c r="Y467" s="7"/>
      <c r="Z467" s="2"/>
      <c r="AA467" s="1"/>
      <c r="AC467" s="2"/>
      <c r="AE467" s="1"/>
      <c r="AG467" s="2"/>
    </row>
    <row r="468" spans="1:33" ht="49.95" customHeight="1" x14ac:dyDescent="0.3">
      <c r="A468" s="2" t="s">
        <v>1622</v>
      </c>
      <c r="B468" s="1" t="s">
        <v>1623</v>
      </c>
      <c r="C468" s="1" t="s">
        <v>1624</v>
      </c>
      <c r="D468" s="1" t="s">
        <v>1625</v>
      </c>
      <c r="E468" s="1" t="s">
        <v>1050</v>
      </c>
      <c r="F468" s="1" t="s">
        <v>124</v>
      </c>
      <c r="G468" s="2">
        <v>0</v>
      </c>
      <c r="H468" s="14">
        <f>SUMIF(ENTRADAS71417[CÓDIGO],PRODUCTOS31316[[#This Row],[CÓDIGO]],ENTRADAS71417[CANTIDAD])</f>
        <v>0</v>
      </c>
      <c r="I468" s="11">
        <f>SUMIF(SALIDAS111518[CÓDIGO],PRODUCTOS31316[[#This Row],[CÓDIGO]],SALIDAS111518[CANTIDAD])</f>
        <v>0</v>
      </c>
      <c r="J468" s="6">
        <f>PRODUCTOS31316[[#This Row],[EXISTENCIAS]]+PRODUCTOS31316[[#This Row],[ENTRADAS]]-PRODUCTOS31316[[#This Row],[SALIDAS]]</f>
        <v>0</v>
      </c>
      <c r="L468" s="288" t="s">
        <v>3521</v>
      </c>
      <c r="M468" s="288" t="s">
        <v>3931</v>
      </c>
      <c r="N468" s="303" t="s">
        <v>4159</v>
      </c>
      <c r="O468" s="288" t="s">
        <v>4002</v>
      </c>
      <c r="P468" s="16">
        <v>46073</v>
      </c>
      <c r="Q468" s="288" t="s">
        <v>378</v>
      </c>
      <c r="R468" s="2">
        <f>VLOOKUP(SALIDAS111518[[#This Row],[CÓDIGO]],PRODUCTOS31316[],2,FALSE)</f>
        <v>0</v>
      </c>
      <c r="S468" s="1" t="str">
        <f>VLOOKUP(SALIDAS111518[[#This Row],[CÓDIGO]],PRODUCTOS31316[],3,FALSE)</f>
        <v>ISPERM KIT (WITH 50 INCLUIDED CHIPS, EXS M5)</v>
      </c>
      <c r="T468" s="2">
        <v>1</v>
      </c>
      <c r="U468" s="301" t="s">
        <v>4158</v>
      </c>
      <c r="V468" s="2"/>
      <c r="W468" s="2"/>
      <c r="X468" s="2"/>
      <c r="Y468" s="7"/>
      <c r="Z468" s="2"/>
      <c r="AA468" s="1"/>
      <c r="AC468" s="2"/>
      <c r="AE468" s="1"/>
      <c r="AG468" s="2"/>
    </row>
    <row r="469" spans="1:33" ht="49.95" customHeight="1" x14ac:dyDescent="0.3">
      <c r="A469" s="2" t="s">
        <v>1626</v>
      </c>
      <c r="B469" s="1">
        <v>10614</v>
      </c>
      <c r="C469" s="1" t="s">
        <v>1627</v>
      </c>
      <c r="D469" s="1" t="s">
        <v>1628</v>
      </c>
      <c r="E469" s="1" t="s">
        <v>1050</v>
      </c>
      <c r="F469" s="1" t="s">
        <v>124</v>
      </c>
      <c r="G469" s="2">
        <v>0</v>
      </c>
      <c r="H469" s="14">
        <f>SUMIF(ENTRADAS71417[CÓDIGO],PRODUCTOS31316[[#This Row],[CÓDIGO]],ENTRADAS71417[CANTIDAD])</f>
        <v>0</v>
      </c>
      <c r="I469" s="11">
        <f>SUMIF(SALIDAS111518[CÓDIGO],PRODUCTOS31316[[#This Row],[CÓDIGO]],SALIDAS111518[CANTIDAD])</f>
        <v>0</v>
      </c>
      <c r="J469" s="6">
        <f>PRODUCTOS31316[[#This Row],[EXISTENCIAS]]+PRODUCTOS31316[[#This Row],[ENTRADAS]]-PRODUCTOS31316[[#This Row],[SALIDAS]]</f>
        <v>0</v>
      </c>
      <c r="L469" s="282"/>
      <c r="M469" s="282"/>
      <c r="N469" s="276">
        <v>7920</v>
      </c>
      <c r="O469" s="288" t="s">
        <v>4002</v>
      </c>
      <c r="P469" s="16">
        <v>46073</v>
      </c>
      <c r="Q469" s="288" t="s">
        <v>985</v>
      </c>
      <c r="R469" s="2">
        <f>VLOOKUP(SALIDAS111518[[#This Row],[CÓDIGO]],PRODUCTOS31316[],2,FALSE)</f>
        <v>0</v>
      </c>
      <c r="S469" s="1" t="str">
        <f>VLOOKUP(SALIDAS111518[[#This Row],[CÓDIGO]],PRODUCTOS31316[],3,FALSE)</f>
        <v>ISPERM SOFTWARE INICIAL ( UNA APLICACIÓN)</v>
      </c>
      <c r="T469" s="2">
        <v>1</v>
      </c>
      <c r="U469" s="2"/>
      <c r="V469" s="2"/>
      <c r="W469" s="2"/>
      <c r="X469" s="2"/>
      <c r="Y469" s="7"/>
      <c r="Z469" s="2"/>
      <c r="AA469" s="1"/>
      <c r="AC469" s="2"/>
      <c r="AE469" s="1"/>
      <c r="AG469" s="2"/>
    </row>
    <row r="470" spans="1:33" ht="49.95" customHeight="1" x14ac:dyDescent="0.3">
      <c r="A470" s="2" t="s">
        <v>698</v>
      </c>
      <c r="B470" s="1">
        <v>623201</v>
      </c>
      <c r="C470" s="1" t="s">
        <v>1629</v>
      </c>
      <c r="D470" s="1" t="s">
        <v>1630</v>
      </c>
      <c r="E470" s="1" t="s">
        <v>1115</v>
      </c>
      <c r="F470" s="1" t="s">
        <v>224</v>
      </c>
      <c r="G470" s="2">
        <v>0</v>
      </c>
      <c r="H470" s="14">
        <f>SUMIF(ENTRADAS71417[CÓDIGO],PRODUCTOS31316[[#This Row],[CÓDIGO]],ENTRADAS71417[CANTIDAD])</f>
        <v>0</v>
      </c>
      <c r="I470" s="11">
        <f>SUMIF(SALIDAS111518[CÓDIGO],PRODUCTOS31316[[#This Row],[CÓDIGO]],SALIDAS111518[CANTIDAD])</f>
        <v>0</v>
      </c>
      <c r="J470" s="6">
        <f>PRODUCTOS31316[[#This Row],[EXISTENCIAS]]+PRODUCTOS31316[[#This Row],[ENTRADAS]]-PRODUCTOS31316[[#This Row],[SALIDAS]]</f>
        <v>0</v>
      </c>
      <c r="L470" s="282"/>
      <c r="M470" s="282"/>
      <c r="N470" s="276">
        <v>7920</v>
      </c>
      <c r="O470" s="288" t="s">
        <v>4002</v>
      </c>
      <c r="P470" s="16">
        <v>46073</v>
      </c>
      <c r="Q470" s="301" t="s">
        <v>104</v>
      </c>
      <c r="R470" s="2">
        <f>VLOOKUP(SALIDAS111518[[#This Row],[CÓDIGO]],PRODUCTOS31316[],2,FALSE)</f>
        <v>0</v>
      </c>
      <c r="S470" s="1" t="str">
        <f>VLOOKUP(SALIDAS111518[[#This Row],[CÓDIGO]],PRODUCTOS31316[],3,FALSE)</f>
        <v>ISPERM CHIPS (500 TESTS PER BOX) PAQ. X 50 UND</v>
      </c>
      <c r="T470" s="2">
        <v>3</v>
      </c>
      <c r="U470" s="2"/>
      <c r="V470" s="2"/>
      <c r="W470" s="2"/>
      <c r="X470" s="2"/>
      <c r="Y470" s="7"/>
      <c r="Z470" s="2"/>
      <c r="AA470" s="1"/>
      <c r="AC470" s="2"/>
      <c r="AE470" s="1"/>
      <c r="AG470" s="2"/>
    </row>
    <row r="471" spans="1:33" ht="49.95" customHeight="1" x14ac:dyDescent="0.3">
      <c r="A471" s="2" t="s">
        <v>931</v>
      </c>
      <c r="B471" s="1" t="s">
        <v>1634</v>
      </c>
      <c r="C471" s="74" t="s">
        <v>1635</v>
      </c>
      <c r="D471" s="1" t="s">
        <v>1636</v>
      </c>
      <c r="E471" s="1" t="s">
        <v>1115</v>
      </c>
      <c r="F471" s="1" t="s">
        <v>224</v>
      </c>
      <c r="G471" s="2">
        <v>0</v>
      </c>
      <c r="H471" s="14">
        <f>SUMIF(ENTRADAS71417[CÓDIGO],PRODUCTOS31316[[#This Row],[CÓDIGO]],ENTRADAS71417[CANTIDAD])</f>
        <v>0</v>
      </c>
      <c r="I471" s="11">
        <f>SUMIF(SALIDAS111518[CÓDIGO],PRODUCTOS31316[[#This Row],[CÓDIGO]],SALIDAS111518[CANTIDAD])</f>
        <v>0</v>
      </c>
      <c r="J471" s="6">
        <f>PRODUCTOS31316[[#This Row],[EXISTENCIAS]]+PRODUCTOS31316[[#This Row],[ENTRADAS]]-PRODUCTOS31316[[#This Row],[SALIDAS]]</f>
        <v>0</v>
      </c>
      <c r="L471" s="282"/>
      <c r="M471" s="282"/>
      <c r="N471" s="276">
        <v>7920</v>
      </c>
      <c r="O471" s="288" t="s">
        <v>4002</v>
      </c>
      <c r="P471" s="16">
        <v>46073</v>
      </c>
      <c r="Q471" s="301" t="s">
        <v>3095</v>
      </c>
      <c r="R471" s="2">
        <f>VLOOKUP(SALIDAS111518[[#This Row],[CÓDIGO]],PRODUCTOS31316[],2,FALSE)</f>
        <v>0</v>
      </c>
      <c r="S471" s="1" t="str">
        <f>VLOOKUP(SALIDAS111518[[#This Row],[CÓDIGO]],PRODUCTOS31316[],3,FALSE)</f>
        <v>GORRA MAS CAMPO</v>
      </c>
      <c r="T471" s="2">
        <v>2</v>
      </c>
      <c r="U471" s="2"/>
      <c r="V471" s="2"/>
      <c r="W471" s="2"/>
      <c r="X471" s="2"/>
      <c r="Y471" s="7"/>
      <c r="Z471" s="2"/>
      <c r="AA471" s="1"/>
      <c r="AC471" s="2"/>
      <c r="AE471" s="1"/>
      <c r="AG471" s="2"/>
    </row>
    <row r="472" spans="1:33" ht="49.95" customHeight="1" x14ac:dyDescent="0.3">
      <c r="A472" s="2" t="s">
        <v>1640</v>
      </c>
      <c r="B472" s="1" t="s">
        <v>1641</v>
      </c>
      <c r="C472" s="1" t="s">
        <v>1642</v>
      </c>
      <c r="E472" s="1" t="s">
        <v>449</v>
      </c>
      <c r="F472" s="1" t="s">
        <v>172</v>
      </c>
      <c r="G472" s="2">
        <v>0</v>
      </c>
      <c r="H472" s="14">
        <f>SUMIF(ENTRADAS71417[CÓDIGO],PRODUCTOS31316[[#This Row],[CÓDIGO]],ENTRADAS71417[CANTIDAD])</f>
        <v>0</v>
      </c>
      <c r="I472" s="11">
        <f>SUMIF(SALIDAS111518[CÓDIGO],PRODUCTOS31316[[#This Row],[CÓDIGO]],SALIDAS111518[CANTIDAD])</f>
        <v>0</v>
      </c>
      <c r="J472" s="6">
        <f>PRODUCTOS31316[[#This Row],[EXISTENCIAS]]+PRODUCTOS31316[[#This Row],[ENTRADAS]]-PRODUCTOS31316[[#This Row],[SALIDAS]]</f>
        <v>0</v>
      </c>
      <c r="L472" s="288" t="s">
        <v>3520</v>
      </c>
      <c r="M472" s="288" t="s">
        <v>3931</v>
      </c>
      <c r="N472" s="290" t="s">
        <v>4011</v>
      </c>
      <c r="O472" s="288" t="s">
        <v>2429</v>
      </c>
      <c r="P472" s="16">
        <v>46062</v>
      </c>
      <c r="Q472" s="288" t="s">
        <v>36</v>
      </c>
      <c r="R472" s="2">
        <f>VLOOKUP(SALIDAS111518[[#This Row],[CÓDIGO]],PRODUCTOS31316[],2,FALSE)</f>
        <v>1</v>
      </c>
      <c r="S472" s="1" t="str">
        <f>VLOOKUP(SALIDAS111518[[#This Row],[CÓDIGO]],PRODUCTOS31316[],3,FALSE)</f>
        <v xml:space="preserve">PARCHE ESTROTECT </v>
      </c>
      <c r="T472" s="2">
        <v>1</v>
      </c>
      <c r="U472" s="2">
        <v>218</v>
      </c>
      <c r="V472" s="2"/>
      <c r="W472" s="2"/>
      <c r="X472" s="2"/>
      <c r="Y472" s="7"/>
      <c r="Z472" s="2"/>
      <c r="AA472" s="1"/>
      <c r="AC472" s="2"/>
      <c r="AE472" s="1"/>
      <c r="AG472" s="2"/>
    </row>
    <row r="473" spans="1:33" ht="49.95" customHeight="1" x14ac:dyDescent="0.3">
      <c r="A473" s="2" t="s">
        <v>1646</v>
      </c>
      <c r="B473" s="1" t="s">
        <v>1647</v>
      </c>
      <c r="C473" s="1" t="s">
        <v>1648</v>
      </c>
      <c r="E473" s="1" t="s">
        <v>1649</v>
      </c>
      <c r="F473" s="1" t="s">
        <v>686</v>
      </c>
      <c r="G473" s="2">
        <v>0</v>
      </c>
      <c r="H473" s="14">
        <f>SUMIF(ENTRADAS71417[CÓDIGO],PRODUCTOS31316[[#This Row],[CÓDIGO]],ENTRADAS71417[CANTIDAD])</f>
        <v>0</v>
      </c>
      <c r="I473" s="11">
        <f>SUMIF(SALIDAS111518[CÓDIGO],PRODUCTOS31316[[#This Row],[CÓDIGO]],SALIDAS111518[CANTIDAD])</f>
        <v>0</v>
      </c>
      <c r="J473" s="6">
        <f>PRODUCTOS31316[[#This Row],[EXISTENCIAS]]+PRODUCTOS31316[[#This Row],[ENTRADAS]]-PRODUCTOS31316[[#This Row],[SALIDAS]]</f>
        <v>0</v>
      </c>
      <c r="L473" s="288" t="s">
        <v>3520</v>
      </c>
      <c r="M473" s="288" t="s">
        <v>3931</v>
      </c>
      <c r="N473" s="290" t="s">
        <v>4013</v>
      </c>
      <c r="O473" s="290" t="s">
        <v>2725</v>
      </c>
      <c r="P473" s="16">
        <v>46062</v>
      </c>
      <c r="Q473" s="288" t="s">
        <v>63</v>
      </c>
      <c r="R473" s="2">
        <f>VLOOKUP(SALIDAS111518[[#This Row],[CÓDIGO]],PRODUCTOS31316[],2,FALSE)</f>
        <v>25458</v>
      </c>
      <c r="S473" s="1" t="str">
        <f>VLOOKUP(SALIDAS111518[[#This Row],[CÓDIGO]],PRODUCTOS31316[],3,FALSE)</f>
        <v>FILTROS PARA OPU 100 UL</v>
      </c>
      <c r="T473" s="2">
        <v>2</v>
      </c>
      <c r="U473" s="288" t="s">
        <v>4012</v>
      </c>
      <c r="V473" s="2"/>
      <c r="W473" s="2"/>
      <c r="X473" s="2"/>
      <c r="Y473" s="7"/>
      <c r="Z473" s="2"/>
      <c r="AA473" s="1"/>
      <c r="AC473" s="2"/>
      <c r="AE473" s="1"/>
      <c r="AG473" s="2"/>
    </row>
    <row r="474" spans="1:33" ht="49.95" customHeight="1" x14ac:dyDescent="0.3">
      <c r="A474" s="2" t="s">
        <v>1650</v>
      </c>
      <c r="B474" s="1" t="s">
        <v>1651</v>
      </c>
      <c r="C474" s="1" t="s">
        <v>1652</v>
      </c>
      <c r="E474" s="1" t="s">
        <v>1649</v>
      </c>
      <c r="F474" s="1" t="s">
        <v>1653</v>
      </c>
      <c r="G474" s="2">
        <v>0</v>
      </c>
      <c r="H474" s="14">
        <f>SUMIF(ENTRADAS71417[CÓDIGO],PRODUCTOS31316[[#This Row],[CÓDIGO]],ENTRADAS71417[CANTIDAD])</f>
        <v>0</v>
      </c>
      <c r="I474" s="11">
        <f>SUMIF(SALIDAS111518[CÓDIGO],PRODUCTOS31316[[#This Row],[CÓDIGO]],SALIDAS111518[CANTIDAD])</f>
        <v>0</v>
      </c>
      <c r="J474" s="6">
        <f>PRODUCTOS31316[[#This Row],[EXISTENCIAS]]+PRODUCTOS31316[[#This Row],[ENTRADAS]]-PRODUCTOS31316[[#This Row],[SALIDAS]]</f>
        <v>0</v>
      </c>
      <c r="L474" s="288"/>
      <c r="M474" s="288"/>
      <c r="N474" s="276">
        <v>7849</v>
      </c>
      <c r="O474" s="290" t="s">
        <v>2725</v>
      </c>
      <c r="P474" s="16">
        <v>46062</v>
      </c>
      <c r="Q474" s="288" t="s">
        <v>33</v>
      </c>
      <c r="R474" s="2" t="str">
        <f>VLOOKUP(SALIDAS111518[[#This Row],[CÓDIGO]],PRODUCTOS31316[],2,FALSE)</f>
        <v>LA-120 /506003</v>
      </c>
      <c r="S474" s="1" t="str">
        <f>VLOOKUP(SALIDAS111518[[#This Row],[CÓDIGO]],PRODUCTOS31316[],3,FALSE)</f>
        <v>LíNEA PARA OPU 1,2 METROS</v>
      </c>
      <c r="T474" s="2">
        <v>30</v>
      </c>
      <c r="U474" s="2"/>
      <c r="V474" s="2"/>
      <c r="W474" s="2"/>
      <c r="X474" s="2"/>
      <c r="Y474" s="7"/>
      <c r="Z474" s="2"/>
      <c r="AA474" s="1"/>
      <c r="AC474" s="2"/>
      <c r="AE474" s="1"/>
      <c r="AG474" s="2"/>
    </row>
    <row r="475" spans="1:33" ht="49.95" customHeight="1" x14ac:dyDescent="0.3">
      <c r="A475" s="2" t="s">
        <v>1654</v>
      </c>
      <c r="B475" s="1" t="s">
        <v>1655</v>
      </c>
      <c r="C475" s="1" t="s">
        <v>1656</v>
      </c>
      <c r="E475" s="1" t="s">
        <v>1649</v>
      </c>
      <c r="F475" s="1" t="s">
        <v>686</v>
      </c>
      <c r="G475" s="2">
        <v>0</v>
      </c>
      <c r="H475" s="14">
        <f>SUMIF(ENTRADAS71417[CÓDIGO],PRODUCTOS31316[[#This Row],[CÓDIGO]],ENTRADAS71417[CANTIDAD])</f>
        <v>0</v>
      </c>
      <c r="I475" s="11">
        <f>SUMIF(SALIDAS111518[CÓDIGO],PRODUCTOS31316[[#This Row],[CÓDIGO]],SALIDAS111518[CANTIDAD])</f>
        <v>0</v>
      </c>
      <c r="J475" s="6">
        <f>PRODUCTOS31316[[#This Row],[EXISTENCIAS]]+PRODUCTOS31316[[#This Row],[ENTRADAS]]-PRODUCTOS31316[[#This Row],[SALIDAS]]</f>
        <v>0</v>
      </c>
      <c r="L475" s="288" t="s">
        <v>3521</v>
      </c>
      <c r="M475" s="288" t="s">
        <v>3931</v>
      </c>
      <c r="N475" s="304" t="s">
        <v>4014</v>
      </c>
      <c r="O475" s="305" t="s">
        <v>4004</v>
      </c>
      <c r="P475" s="16">
        <v>46062</v>
      </c>
      <c r="Q475" s="288" t="s">
        <v>2435</v>
      </c>
      <c r="R475" s="2">
        <f>VLOOKUP(SALIDAS111518[[#This Row],[CÓDIGO]],PRODUCTOS31316[],2,FALSE)</f>
        <v>9018121000</v>
      </c>
      <c r="S475" s="1" t="str">
        <f>VLOOKUP(SALIDAS111518[[#This Row],[CÓDIGO]],PRODUCTOS31316[],3,FALSE)</f>
        <v>ECÓGRAFO S0- VET</v>
      </c>
      <c r="T475" s="2">
        <v>1</v>
      </c>
      <c r="U475" s="2">
        <v>219</v>
      </c>
      <c r="V475" s="2"/>
      <c r="W475" s="288" t="s">
        <v>2823</v>
      </c>
      <c r="X475" s="2"/>
      <c r="Y475" s="7"/>
      <c r="Z475" s="2"/>
      <c r="AA475" s="1"/>
      <c r="AC475" s="2"/>
      <c r="AE475" s="1"/>
      <c r="AG475" s="2"/>
    </row>
    <row r="476" spans="1:33" ht="49.95" customHeight="1" x14ac:dyDescent="0.3">
      <c r="A476" s="2" t="s">
        <v>1658</v>
      </c>
      <c r="B476" s="1">
        <v>9624</v>
      </c>
      <c r="C476" s="1" t="s">
        <v>1659</v>
      </c>
      <c r="D476" s="1" t="s">
        <v>1606</v>
      </c>
      <c r="E476" s="1" t="s">
        <v>1592</v>
      </c>
      <c r="F476" s="1" t="s">
        <v>139</v>
      </c>
      <c r="G476" s="2">
        <v>0</v>
      </c>
      <c r="H476" s="14">
        <f>SUMIF(ENTRADAS71417[CÓDIGO],PRODUCTOS31316[[#This Row],[CÓDIGO]],ENTRADAS71417[CANTIDAD])</f>
        <v>0</v>
      </c>
      <c r="I476" s="11">
        <f>SUMIF(SALIDAS111518[CÓDIGO],PRODUCTOS31316[[#This Row],[CÓDIGO]],SALIDAS111518[CANTIDAD])</f>
        <v>0</v>
      </c>
      <c r="J476" s="6">
        <f>PRODUCTOS31316[[#This Row],[EXISTENCIAS]]+PRODUCTOS31316[[#This Row],[ENTRADAS]]-PRODUCTOS31316[[#This Row],[SALIDAS]]</f>
        <v>0</v>
      </c>
      <c r="L476" s="288" t="s">
        <v>3520</v>
      </c>
      <c r="M476" s="288" t="s">
        <v>3931</v>
      </c>
      <c r="N476" s="290" t="s">
        <v>4015</v>
      </c>
      <c r="O476" s="288" t="s">
        <v>2729</v>
      </c>
      <c r="P476" s="16">
        <v>46062</v>
      </c>
      <c r="Q476" s="288" t="s">
        <v>2251</v>
      </c>
      <c r="R476" s="2">
        <f>VLOOKUP(SALIDAS111518[[#This Row],[CÓDIGO]],PRODUCTOS31316[],2,FALSE)</f>
        <v>7240</v>
      </c>
      <c r="S476" s="1" t="str">
        <f>VLOOKUP(SALIDAS111518[[#This Row],[CÓDIGO]],PRODUCTOS31316[],3,FALSE)</f>
        <v>PISTOLA DE TE 0,25 MARCA IMV</v>
      </c>
      <c r="T476" s="2">
        <v>1</v>
      </c>
      <c r="U476" s="2">
        <v>224</v>
      </c>
      <c r="V476" s="2"/>
      <c r="W476" s="288"/>
      <c r="X476" s="2"/>
      <c r="Y476" s="7"/>
      <c r="Z476" s="2"/>
      <c r="AA476" s="1"/>
      <c r="AC476" s="2"/>
      <c r="AE476" s="1"/>
      <c r="AG476" s="2"/>
    </row>
    <row r="477" spans="1:33" ht="49.95" customHeight="1" x14ac:dyDescent="0.3">
      <c r="A477" s="2" t="s">
        <v>1660</v>
      </c>
      <c r="B477" s="1" t="s">
        <v>1661</v>
      </c>
      <c r="C477" s="1" t="s">
        <v>3032</v>
      </c>
      <c r="D477" s="1" t="s">
        <v>639</v>
      </c>
      <c r="E477" s="1" t="s">
        <v>640</v>
      </c>
      <c r="F477" s="1" t="s">
        <v>1662</v>
      </c>
      <c r="G477" s="2">
        <v>0</v>
      </c>
      <c r="H477" s="14">
        <f>SUMIF(ENTRADAS71417[CÓDIGO],PRODUCTOS31316[[#This Row],[CÓDIGO]],ENTRADAS71417[CANTIDAD])</f>
        <v>0</v>
      </c>
      <c r="I477" s="11">
        <f>SUMIF(SALIDAS111518[CÓDIGO],PRODUCTOS31316[[#This Row],[CÓDIGO]],SALIDAS111518[CANTIDAD])</f>
        <v>0</v>
      </c>
      <c r="J477" s="6">
        <f>PRODUCTOS31316[[#This Row],[EXISTENCIAS]]+PRODUCTOS31316[[#This Row],[ENTRADAS]]-PRODUCTOS31316[[#This Row],[SALIDAS]]</f>
        <v>0</v>
      </c>
      <c r="L477" s="288"/>
      <c r="M477" s="288"/>
      <c r="N477" s="276">
        <v>7847</v>
      </c>
      <c r="O477" s="288" t="s">
        <v>2729</v>
      </c>
      <c r="P477" s="16">
        <v>46062</v>
      </c>
      <c r="Q477" s="288" t="s">
        <v>15</v>
      </c>
      <c r="R477" s="2" t="str">
        <f>VLOOKUP(SALIDAS111518[[#This Row],[CÓDIGO]],PRODUCTOS31316[],2,FALSE)</f>
        <v>BTE-025PT/ 504002</v>
      </c>
      <c r="S477" s="1" t="str">
        <f>VLOOKUP(SALIDAS111518[[#This Row],[CÓDIGO]],PRODUCTOS31316[],3,FALSE)</f>
        <v>FUNDAS PARA TRANSFERENCIA DE EMBRIONES</v>
      </c>
      <c r="T477" s="2">
        <v>12</v>
      </c>
      <c r="U477" s="2"/>
      <c r="V477" s="2"/>
      <c r="W477" s="288"/>
      <c r="X477" s="2"/>
      <c r="Y477" s="7"/>
      <c r="Z477" s="2"/>
      <c r="AA477" s="1"/>
      <c r="AC477" s="2"/>
      <c r="AE477" s="1"/>
      <c r="AG477" s="2"/>
    </row>
    <row r="478" spans="1:33" ht="49.95" customHeight="1" x14ac:dyDescent="0.3">
      <c r="A478" s="2" t="s">
        <v>263</v>
      </c>
      <c r="B478" s="1" t="s">
        <v>1663</v>
      </c>
      <c r="C478" s="1" t="s">
        <v>1664</v>
      </c>
      <c r="D478" s="1" t="s">
        <v>1665</v>
      </c>
      <c r="E478" s="1" t="s">
        <v>1666</v>
      </c>
      <c r="F478" s="1" t="s">
        <v>30</v>
      </c>
      <c r="G478" s="2">
        <v>0</v>
      </c>
      <c r="H478" s="14">
        <f>SUMIF(ENTRADAS71417[CÓDIGO],PRODUCTOS31316[[#This Row],[CÓDIGO]],ENTRADAS71417[CANTIDAD])</f>
        <v>0</v>
      </c>
      <c r="I478" s="11">
        <f>SUMIF(SALIDAS111518[CÓDIGO],PRODUCTOS31316[[#This Row],[CÓDIGO]],SALIDAS111518[CANTIDAD])</f>
        <v>0</v>
      </c>
      <c r="J478" s="6">
        <f>PRODUCTOS31316[[#This Row],[EXISTENCIAS]]+PRODUCTOS31316[[#This Row],[ENTRADAS]]-PRODUCTOS31316[[#This Row],[SALIDAS]]</f>
        <v>0</v>
      </c>
      <c r="L478" s="288"/>
      <c r="M478" s="288"/>
      <c r="N478" s="276">
        <v>7847</v>
      </c>
      <c r="O478" s="288" t="s">
        <v>2729</v>
      </c>
      <c r="P478" s="16">
        <v>46062</v>
      </c>
      <c r="Q478" s="288" t="s">
        <v>1779</v>
      </c>
      <c r="R478" s="2">
        <f>VLOOKUP(SALIDAS111518[[#This Row],[CÓDIGO]],PRODUCTOS31316[],2,FALSE)</f>
        <v>5563</v>
      </c>
      <c r="S478" s="1" t="str">
        <f>VLOOKUP(SALIDAS111518[[#This Row],[CÓDIGO]],PRODUCTOS31316[],3,FALSE)</f>
        <v>CAMISA SANITARIA ROLLO X 80</v>
      </c>
      <c r="T478" s="2">
        <v>1</v>
      </c>
      <c r="U478" s="2"/>
      <c r="V478" s="2"/>
      <c r="W478" s="288"/>
      <c r="X478" s="2"/>
      <c r="Y478" s="7"/>
      <c r="Z478" s="2"/>
      <c r="AA478" s="1"/>
      <c r="AC478" s="2"/>
      <c r="AE478" s="1"/>
      <c r="AG478" s="2"/>
    </row>
    <row r="479" spans="1:33" ht="49.95" customHeight="1" x14ac:dyDescent="0.3">
      <c r="A479" s="2" t="s">
        <v>1669</v>
      </c>
      <c r="B479" s="1" t="s">
        <v>2441</v>
      </c>
      <c r="C479" s="133" t="s">
        <v>2442</v>
      </c>
      <c r="D479" s="1" t="s">
        <v>442</v>
      </c>
      <c r="E479" s="1" t="s">
        <v>442</v>
      </c>
      <c r="F479" s="1" t="s">
        <v>30</v>
      </c>
      <c r="G479" s="2">
        <v>0</v>
      </c>
      <c r="H479" s="14">
        <f>SUMIF(ENTRADAS71417[CÓDIGO],PRODUCTOS31316[[#This Row],[CÓDIGO]],ENTRADAS71417[CANTIDAD])</f>
        <v>0</v>
      </c>
      <c r="I479" s="11">
        <f>SUMIF(SALIDAS111518[CÓDIGO],PRODUCTOS31316[[#This Row],[CÓDIGO]],SALIDAS111518[CANTIDAD])</f>
        <v>0</v>
      </c>
      <c r="J479" s="6">
        <f>PRODUCTOS31316[[#This Row],[EXISTENCIAS]]+PRODUCTOS31316[[#This Row],[ENTRADAS]]-PRODUCTOS31316[[#This Row],[SALIDAS]]</f>
        <v>0</v>
      </c>
      <c r="L479" s="288" t="s">
        <v>3521</v>
      </c>
      <c r="M479" s="288" t="s">
        <v>3931</v>
      </c>
      <c r="N479" s="290" t="s">
        <v>4016</v>
      </c>
      <c r="O479" s="290" t="s">
        <v>4005</v>
      </c>
      <c r="P479" s="16">
        <v>46062</v>
      </c>
      <c r="Q479" s="288" t="s">
        <v>369</v>
      </c>
      <c r="R479" s="2">
        <f>VLOOKUP(SALIDAS111518[[#This Row],[CÓDIGO]],PRODUCTOS31316[],2,FALSE)</f>
        <v>0</v>
      </c>
      <c r="S479" s="1" t="str">
        <f>VLOOKUP(SALIDAS111518[[#This Row],[CÓDIGO]],PRODUCTOS31316[],3,FALSE)</f>
        <v>FUNDA UNIVERSAL PARA I.A. RANURADA</v>
      </c>
      <c r="T479" s="2">
        <v>20</v>
      </c>
      <c r="U479" s="2">
        <v>225</v>
      </c>
      <c r="V479" s="2"/>
      <c r="W479" s="288"/>
      <c r="X479" s="2"/>
      <c r="Y479" s="7"/>
      <c r="Z479" s="2"/>
      <c r="AA479" s="1"/>
      <c r="AC479" s="2"/>
      <c r="AE479" s="1"/>
      <c r="AG479" s="2"/>
    </row>
    <row r="480" spans="1:33" ht="49.95" customHeight="1" x14ac:dyDescent="0.3">
      <c r="A480" s="203" t="s">
        <v>438</v>
      </c>
      <c r="B480" s="1">
        <v>18421</v>
      </c>
      <c r="C480" s="216" t="s">
        <v>1671</v>
      </c>
      <c r="D480" s="1" t="s">
        <v>442</v>
      </c>
      <c r="E480" s="1" t="s">
        <v>442</v>
      </c>
      <c r="F480" s="1" t="s">
        <v>30</v>
      </c>
      <c r="G480" s="31">
        <f>36+1</f>
        <v>37</v>
      </c>
      <c r="H480" s="14">
        <f>SUMIF(ENTRADAS71417[CÓDIGO],PRODUCTOS31316[[#This Row],[CÓDIGO]],ENTRADAS71417[CANTIDAD])</f>
        <v>0</v>
      </c>
      <c r="I480" s="11">
        <f>SUMIF(SALIDAS111518[CÓDIGO],PRODUCTOS31316[[#This Row],[CÓDIGO]],SALIDAS111518[CANTIDAD])</f>
        <v>36</v>
      </c>
      <c r="J480" s="6">
        <f>PRODUCTOS31316[[#This Row],[EXISTENCIAS]]+PRODUCTOS31316[[#This Row],[ENTRADAS]]-PRODUCTOS31316[[#This Row],[SALIDAS]]</f>
        <v>1</v>
      </c>
      <c r="L480" s="288"/>
      <c r="M480" s="288"/>
      <c r="N480" s="276">
        <v>7848</v>
      </c>
      <c r="O480" s="290" t="s">
        <v>4005</v>
      </c>
      <c r="P480" s="16">
        <v>46062</v>
      </c>
      <c r="Q480" s="288" t="s">
        <v>273</v>
      </c>
      <c r="R480" s="2">
        <f>VLOOKUP(SALIDAS111518[[#This Row],[CÓDIGO]],PRODUCTOS31316[],2,FALSE)</f>
        <v>1003514</v>
      </c>
      <c r="S480" s="1" t="str">
        <f>VLOOKUP(SALIDAS111518[[#This Row],[CÓDIGO]],PRODUCTOS31316[],3,FALSE)</f>
        <v>JALEA CONDUCTIVA (GEL ULTRASONICO) GALON X 3785 ML AZUL</v>
      </c>
      <c r="T480" s="2">
        <v>1</v>
      </c>
      <c r="U480" s="2"/>
      <c r="V480" s="2"/>
      <c r="W480" s="288"/>
      <c r="X480" s="2"/>
      <c r="Y480" s="7"/>
      <c r="Z480" s="2"/>
      <c r="AA480" s="1"/>
      <c r="AC480" s="2"/>
      <c r="AE480" s="1"/>
      <c r="AG480" s="2"/>
    </row>
    <row r="481" spans="1:33" ht="49.95" customHeight="1" x14ac:dyDescent="0.3">
      <c r="A481" s="2" t="s">
        <v>1674</v>
      </c>
      <c r="C481" s="1" t="s">
        <v>1675</v>
      </c>
      <c r="D481" s="1" t="s">
        <v>839</v>
      </c>
      <c r="E481" s="1" t="s">
        <v>952</v>
      </c>
      <c r="F481" s="1" t="s">
        <v>30</v>
      </c>
      <c r="G481" s="2">
        <v>0</v>
      </c>
      <c r="H481" s="14">
        <f>SUMIF(ENTRADAS71417[CÓDIGO],PRODUCTOS31316[[#This Row],[CÓDIGO]],ENTRADAS71417[CANTIDAD])</f>
        <v>0</v>
      </c>
      <c r="I481" s="11">
        <f>SUMIF(SALIDAS111518[CÓDIGO],PRODUCTOS31316[[#This Row],[CÓDIGO]],SALIDAS111518[CANTIDAD])</f>
        <v>0</v>
      </c>
      <c r="J481" s="6">
        <f>PRODUCTOS31316[[#This Row],[EXISTENCIAS]]+PRODUCTOS31316[[#This Row],[ENTRADAS]]-PRODUCTOS31316[[#This Row],[SALIDAS]]</f>
        <v>0</v>
      </c>
      <c r="L481" s="288" t="s">
        <v>3520</v>
      </c>
      <c r="M481" s="288" t="s">
        <v>3931</v>
      </c>
      <c r="N481" s="304" t="s">
        <v>4046</v>
      </c>
      <c r="O481" s="304" t="s">
        <v>3164</v>
      </c>
      <c r="P481" s="16">
        <v>46062</v>
      </c>
      <c r="Q481" s="288" t="s">
        <v>2755</v>
      </c>
      <c r="R481" s="2" t="str">
        <f>VLOOKUP(SALIDAS111518[[#This Row],[CÓDIGO]],PRODUCTOS31316[],2,FALSE)</f>
        <v>MSLDO05</v>
      </c>
      <c r="S481" s="1" t="str">
        <f>VLOOKUP(SALIDAS111518[[#This Row],[CÓDIGO]],PRODUCTOS31316[],3,FALSE)</f>
        <v>TERMO DE RECOLECCIÓN DE SEMEN/ USO VETERINARIO</v>
      </c>
      <c r="T481" s="2">
        <v>1</v>
      </c>
      <c r="U481" s="2">
        <v>229</v>
      </c>
      <c r="V481" s="2"/>
      <c r="W481" s="288" t="s">
        <v>2823</v>
      </c>
      <c r="X481" s="2"/>
      <c r="Y481" s="7"/>
      <c r="Z481" s="2"/>
      <c r="AA481" s="1"/>
      <c r="AC481" s="2"/>
      <c r="AE481" s="1"/>
      <c r="AG481" s="2"/>
    </row>
    <row r="482" spans="1:33" ht="49.95" customHeight="1" x14ac:dyDescent="0.3">
      <c r="A482" s="2" t="s">
        <v>1676</v>
      </c>
      <c r="C482" s="1" t="s">
        <v>1677</v>
      </c>
      <c r="E482" s="1" t="s">
        <v>352</v>
      </c>
      <c r="F482" s="1" t="s">
        <v>30</v>
      </c>
      <c r="G482" s="2">
        <v>0</v>
      </c>
      <c r="H482" s="14">
        <f>SUMIF(ENTRADAS71417[CÓDIGO],PRODUCTOS31316[[#This Row],[CÓDIGO]],ENTRADAS71417[CANTIDAD])</f>
        <v>0</v>
      </c>
      <c r="I482" s="11">
        <f>SUMIF(SALIDAS111518[CÓDIGO],PRODUCTOS31316[[#This Row],[CÓDIGO]],SALIDAS111518[CANTIDAD])</f>
        <v>0</v>
      </c>
      <c r="J482" s="6">
        <f>PRODUCTOS31316[[#This Row],[EXISTENCIAS]]+PRODUCTOS31316[[#This Row],[ENTRADAS]]-PRODUCTOS31316[[#This Row],[SALIDAS]]</f>
        <v>0</v>
      </c>
      <c r="L482" s="288" t="s">
        <v>3521</v>
      </c>
      <c r="M482" s="288" t="s">
        <v>3931</v>
      </c>
      <c r="N482" s="290" t="s">
        <v>4039</v>
      </c>
      <c r="O482" s="288" t="s">
        <v>4022</v>
      </c>
      <c r="P482" s="16">
        <v>46063</v>
      </c>
      <c r="Q482" s="288" t="s">
        <v>2253</v>
      </c>
      <c r="R482" s="2">
        <f>VLOOKUP(SALIDAS111518[[#This Row],[CÓDIGO]],PRODUCTOS31316[],2,FALSE)</f>
        <v>26218</v>
      </c>
      <c r="S482" s="1" t="str">
        <f>VLOOKUP(SALIDAS111518[[#This Row],[CÓDIGO]],PRODUCTOS31316[],3,FALSE)</f>
        <v>OPTIXCELL 250 ML</v>
      </c>
      <c r="T482" s="2">
        <v>1</v>
      </c>
      <c r="U482" s="2">
        <v>228</v>
      </c>
      <c r="V482" s="2"/>
      <c r="W482" s="288"/>
      <c r="X482" s="44"/>
      <c r="Y482" s="7"/>
      <c r="Z482" s="2"/>
      <c r="AA482" s="1"/>
      <c r="AC482" s="2"/>
      <c r="AE482" s="1"/>
      <c r="AG482" s="2"/>
    </row>
    <row r="483" spans="1:33" ht="49.95" customHeight="1" x14ac:dyDescent="0.3">
      <c r="A483" s="2" t="s">
        <v>1587</v>
      </c>
      <c r="B483" s="1">
        <v>614640</v>
      </c>
      <c r="C483" s="1" t="s">
        <v>1678</v>
      </c>
      <c r="E483" s="1" t="s">
        <v>352</v>
      </c>
      <c r="F483" s="1" t="s">
        <v>30</v>
      </c>
      <c r="G483" s="2">
        <v>0</v>
      </c>
      <c r="H483" s="14">
        <f>SUMIF(ENTRADAS71417[CÓDIGO],PRODUCTOS31316[[#This Row],[CÓDIGO]],ENTRADAS71417[CANTIDAD])</f>
        <v>0</v>
      </c>
      <c r="I483" s="11">
        <f>SUMIF(SALIDAS111518[CÓDIGO],PRODUCTOS31316[[#This Row],[CÓDIGO]],SALIDAS111518[CANTIDAD])</f>
        <v>0</v>
      </c>
      <c r="J483" s="6">
        <f>PRODUCTOS31316[[#This Row],[EXISTENCIAS]]+PRODUCTOS31316[[#This Row],[ENTRADAS]]-PRODUCTOS31316[[#This Row],[SALIDAS]]</f>
        <v>0</v>
      </c>
      <c r="L483" s="288" t="s">
        <v>3520</v>
      </c>
      <c r="M483" s="288" t="s">
        <v>3931</v>
      </c>
      <c r="N483" s="294" t="s">
        <v>4047</v>
      </c>
      <c r="O483" s="288" t="s">
        <v>1816</v>
      </c>
      <c r="P483" s="16">
        <v>46063</v>
      </c>
      <c r="Q483" s="288" t="s">
        <v>341</v>
      </c>
      <c r="R483" s="2" t="str">
        <f>VLOOKUP(SALIDAS111518[[#This Row],[CÓDIGO]],PRODUCTOS31316[],2,FALSE)</f>
        <v>CTB50</v>
      </c>
      <c r="S483" s="1" t="str">
        <f>VLOOKUP(SALIDAS111518[[#This Row],[CÓDIGO]],PRODUCTOS31316[],3,FALSE)</f>
        <v>TUBO CÓNICO DE 50 mL, TAPA ROSCA, PRE ESTERILIZADO. RCF MAX: 10000xg, graduados, PCR puro.</v>
      </c>
      <c r="T483" s="2">
        <v>1</v>
      </c>
      <c r="U483" s="2">
        <v>235</v>
      </c>
      <c r="V483" s="2"/>
      <c r="W483" s="288"/>
      <c r="X483" s="44"/>
      <c r="Y483" s="7"/>
      <c r="Z483" s="2"/>
      <c r="AA483" s="1"/>
      <c r="AC483" s="2"/>
      <c r="AE483" s="1"/>
      <c r="AG483" s="2"/>
    </row>
    <row r="484" spans="1:33" ht="49.95" customHeight="1" x14ac:dyDescent="0.3">
      <c r="A484" s="2" t="s">
        <v>726</v>
      </c>
      <c r="C484" s="1" t="s">
        <v>1680</v>
      </c>
      <c r="E484" s="1" t="s">
        <v>352</v>
      </c>
      <c r="F484" s="1" t="s">
        <v>30</v>
      </c>
      <c r="G484" s="2">
        <v>1</v>
      </c>
      <c r="H484" s="14">
        <f>SUMIF(ENTRADAS71417[CÓDIGO],PRODUCTOS31316[[#This Row],[CÓDIGO]],ENTRADAS71417[CANTIDAD])</f>
        <v>0</v>
      </c>
      <c r="I484" s="11">
        <f>SUMIF(SALIDAS111518[CÓDIGO],PRODUCTOS31316[[#This Row],[CÓDIGO]],SALIDAS111518[CANTIDAD])</f>
        <v>0</v>
      </c>
      <c r="J484" s="6">
        <f>PRODUCTOS31316[[#This Row],[EXISTENCIAS]]+PRODUCTOS31316[[#This Row],[ENTRADAS]]-PRODUCTOS31316[[#This Row],[SALIDAS]]</f>
        <v>1</v>
      </c>
      <c r="L484" s="288"/>
      <c r="M484" s="288"/>
      <c r="N484" s="288">
        <v>7859</v>
      </c>
      <c r="O484" s="288" t="s">
        <v>1816</v>
      </c>
      <c r="P484" s="16">
        <v>46063</v>
      </c>
      <c r="Q484" s="288" t="s">
        <v>333</v>
      </c>
      <c r="R484" s="2" t="str">
        <f>VLOOKUP(SALIDAS111518[[#This Row],[CÓDIGO]],PRODUCTOS31316[],2,FALSE)</f>
        <v>CTB15</v>
      </c>
      <c r="S484" s="1" t="str">
        <f>VLOOKUP(SALIDAS111518[[#This Row],[CÓDIGO]],PRODUCTOS31316[],3,FALSE)</f>
        <v>TUBO CÓNICO DE 15 ML, TAPA ROSCA ESTÉRIL  RCF MAX: 10000xg, 
graduados, PCR puro. VENCE: 03/04/2028</v>
      </c>
      <c r="T484" s="2">
        <v>1</v>
      </c>
      <c r="U484" s="2"/>
      <c r="V484" s="2"/>
      <c r="W484" s="288"/>
      <c r="X484" s="44"/>
      <c r="Y484" s="7"/>
      <c r="Z484" s="2"/>
      <c r="AA484" s="1"/>
      <c r="AC484" s="2"/>
      <c r="AE484" s="1"/>
      <c r="AG484" s="2"/>
    </row>
    <row r="485" spans="1:33" ht="49.95" customHeight="1" x14ac:dyDescent="0.3">
      <c r="A485" s="2" t="s">
        <v>1426</v>
      </c>
      <c r="B485" s="1">
        <v>4166</v>
      </c>
      <c r="C485" s="1" t="s">
        <v>2788</v>
      </c>
      <c r="D485" s="1" t="s">
        <v>271</v>
      </c>
      <c r="E485" s="1" t="s">
        <v>352</v>
      </c>
      <c r="F485" s="1" t="s">
        <v>1607</v>
      </c>
      <c r="G485" s="31">
        <f>11+5</f>
        <v>16</v>
      </c>
      <c r="H485" s="14">
        <f>SUMIF(ENTRADAS71417[CÓDIGO],PRODUCTOS31316[[#This Row],[CÓDIGO]],ENTRADAS71417[CANTIDAD])</f>
        <v>0</v>
      </c>
      <c r="I485" s="11">
        <f>SUMIF(SALIDAS111518[CÓDIGO],PRODUCTOS31316[[#This Row],[CÓDIGO]],SALIDAS111518[CANTIDAD])</f>
        <v>16</v>
      </c>
      <c r="J485" s="6">
        <f>PRODUCTOS31316[[#This Row],[EXISTENCIAS]]+PRODUCTOS31316[[#This Row],[ENTRADAS]]-PRODUCTOS31316[[#This Row],[SALIDAS]]</f>
        <v>0</v>
      </c>
      <c r="L485" s="288"/>
      <c r="M485" s="288"/>
      <c r="N485" s="288">
        <v>7859</v>
      </c>
      <c r="O485" s="288" t="s">
        <v>1816</v>
      </c>
      <c r="P485" s="16">
        <v>46063</v>
      </c>
      <c r="Q485" s="288" t="s">
        <v>2232</v>
      </c>
      <c r="R485" s="2">
        <f>VLOOKUP(SALIDAS111518[[#This Row],[CÓDIGO]],PRODUCTOS31316[],2,FALSE)</f>
        <v>0</v>
      </c>
      <c r="S485" s="1" t="str">
        <f>VLOOKUP(SALIDAS111518[[#This Row],[CÓDIGO]],PRODUCTOS31316[],3,FALSE)</f>
        <v>CONO RECOLECTOR</v>
      </c>
      <c r="T485" s="2">
        <v>1</v>
      </c>
      <c r="U485" s="2"/>
      <c r="V485" s="2"/>
      <c r="W485" s="288"/>
      <c r="X485" s="44"/>
      <c r="Y485" s="7"/>
      <c r="Z485" s="2"/>
      <c r="AA485" s="1"/>
      <c r="AC485" s="2"/>
      <c r="AE485" s="1"/>
      <c r="AG485" s="2"/>
    </row>
    <row r="486" spans="1:33" ht="49.95" customHeight="1" x14ac:dyDescent="0.3">
      <c r="A486" s="2" t="s">
        <v>396</v>
      </c>
      <c r="B486" s="1">
        <v>4168</v>
      </c>
      <c r="C486" s="108" t="s">
        <v>2789</v>
      </c>
      <c r="D486" s="1" t="s">
        <v>271</v>
      </c>
      <c r="E486" s="1" t="s">
        <v>352</v>
      </c>
      <c r="F486" s="1" t="s">
        <v>1607</v>
      </c>
      <c r="G486" s="31">
        <f>12+5</f>
        <v>17</v>
      </c>
      <c r="H486" s="14">
        <f>SUMIF(ENTRADAS71417[CÓDIGO],PRODUCTOS31316[[#This Row],[CÓDIGO]],ENTRADAS71417[CANTIDAD])</f>
        <v>0</v>
      </c>
      <c r="I486" s="11">
        <f>SUMIF(SALIDAS111518[CÓDIGO],PRODUCTOS31316[[#This Row],[CÓDIGO]],SALIDAS111518[CANTIDAD])</f>
        <v>9</v>
      </c>
      <c r="J486" s="6">
        <f>PRODUCTOS31316[[#This Row],[EXISTENCIAS]]+PRODUCTOS31316[[#This Row],[ENTRADAS]]-PRODUCTOS31316[[#This Row],[SALIDAS]]</f>
        <v>8</v>
      </c>
      <c r="L486" s="288"/>
      <c r="M486" s="288"/>
      <c r="N486" s="288">
        <v>7859</v>
      </c>
      <c r="O486" s="288" t="s">
        <v>1816</v>
      </c>
      <c r="P486" s="16">
        <v>46063</v>
      </c>
      <c r="Q486" s="288" t="s">
        <v>455</v>
      </c>
      <c r="R486" s="2">
        <f>VLOOKUP(SALIDAS111518[[#This Row],[CÓDIGO]],PRODUCTOS31316[],2,FALSE)</f>
        <v>0</v>
      </c>
      <c r="S486" s="1" t="str">
        <f>VLOOKUP(SALIDAS111518[[#This Row],[CÓDIGO]],PRODUCTOS31316[],3,FALSE)</f>
        <v>ESCALERILLAS PARA GOBLETS DE 13 MM</v>
      </c>
      <c r="T486" s="2">
        <v>1</v>
      </c>
      <c r="U486" s="2"/>
      <c r="V486" s="2"/>
      <c r="W486" s="288"/>
      <c r="X486" s="44"/>
      <c r="Y486" s="7"/>
      <c r="Z486" s="2"/>
      <c r="AA486" s="1"/>
      <c r="AC486" s="2"/>
      <c r="AE486" s="1"/>
      <c r="AG486" s="2"/>
    </row>
    <row r="487" spans="1:33" ht="49.95" customHeight="1" x14ac:dyDescent="0.3">
      <c r="A487" s="2" t="s">
        <v>1095</v>
      </c>
      <c r="B487" s="1">
        <v>220099</v>
      </c>
      <c r="C487" s="1" t="s">
        <v>1682</v>
      </c>
      <c r="D487" s="1" t="s">
        <v>855</v>
      </c>
      <c r="E487" s="1" t="s">
        <v>352</v>
      </c>
      <c r="F487" s="1" t="s">
        <v>30</v>
      </c>
      <c r="G487" s="2">
        <v>0</v>
      </c>
      <c r="H487" s="14">
        <f>SUMIF(ENTRADAS71417[CÓDIGO],PRODUCTOS31316[[#This Row],[CÓDIGO]],ENTRADAS71417[CANTIDAD])</f>
        <v>0</v>
      </c>
      <c r="I487" s="11">
        <f>SUMIF(SALIDAS111518[CÓDIGO],PRODUCTOS31316[[#This Row],[CÓDIGO]],SALIDAS111518[CANTIDAD])</f>
        <v>0</v>
      </c>
      <c r="J487" s="6">
        <f>PRODUCTOS31316[[#This Row],[EXISTENCIAS]]+PRODUCTOS31316[[#This Row],[ENTRADAS]]-PRODUCTOS31316[[#This Row],[SALIDAS]]</f>
        <v>0</v>
      </c>
      <c r="L487" s="288"/>
      <c r="M487" s="288"/>
      <c r="N487" s="288">
        <v>7859</v>
      </c>
      <c r="O487" s="288" t="s">
        <v>1816</v>
      </c>
      <c r="P487" s="16">
        <v>46063</v>
      </c>
      <c r="Q487" s="288" t="s">
        <v>1631</v>
      </c>
      <c r="R487" s="2" t="str">
        <f>VLOOKUP(SALIDAS111518[[#This Row],[CÓDIGO]],PRODUCTOS31316[],2,FALSE)</f>
        <v>7101-CRAL</v>
      </c>
      <c r="S487" s="1" t="str">
        <f>VLOOKUP(SALIDAS111518[[#This Row],[CÓDIGO]],PRODUCTOS31316[],3,FALSE)</f>
        <v>LAMINA PORTA OBJETOS LISA EN VIDRIO 26X76MM, BORDE ESMERILADO</v>
      </c>
      <c r="T487" s="2">
        <v>2</v>
      </c>
      <c r="U487" s="2"/>
      <c r="V487" s="2"/>
      <c r="W487" s="288"/>
      <c r="X487" s="2"/>
      <c r="Y487" s="7"/>
      <c r="Z487" s="2"/>
      <c r="AA487" s="1"/>
      <c r="AC487" s="2"/>
      <c r="AE487" s="1"/>
      <c r="AG487" s="2"/>
    </row>
    <row r="488" spans="1:33" ht="49.95" customHeight="1" x14ac:dyDescent="0.3">
      <c r="A488" s="2" t="s">
        <v>1683</v>
      </c>
      <c r="B488" s="1">
        <v>360215</v>
      </c>
      <c r="C488" s="1" t="s">
        <v>1684</v>
      </c>
      <c r="D488" s="1" t="s">
        <v>855</v>
      </c>
      <c r="E488" s="1" t="s">
        <v>410</v>
      </c>
      <c r="F488" s="1" t="s">
        <v>124</v>
      </c>
      <c r="G488" s="2">
        <v>0</v>
      </c>
      <c r="H488" s="14">
        <f>SUMIF(ENTRADAS71417[CÓDIGO],PRODUCTOS31316[[#This Row],[CÓDIGO]],ENTRADAS71417[CANTIDAD])</f>
        <v>0</v>
      </c>
      <c r="I488" s="11">
        <f>SUMIF(SALIDAS111518[CÓDIGO],PRODUCTOS31316[[#This Row],[CÓDIGO]],SALIDAS111518[CANTIDAD])</f>
        <v>0</v>
      </c>
      <c r="J488" s="6">
        <f>PRODUCTOS31316[[#This Row],[EXISTENCIAS]]+PRODUCTOS31316[[#This Row],[ENTRADAS]]-PRODUCTOS31316[[#This Row],[SALIDAS]]</f>
        <v>0</v>
      </c>
      <c r="L488" s="288"/>
      <c r="M488" s="288"/>
      <c r="N488" s="288">
        <v>7859</v>
      </c>
      <c r="O488" s="288" t="s">
        <v>1816</v>
      </c>
      <c r="P488" s="16">
        <v>46063</v>
      </c>
      <c r="Q488" s="288" t="s">
        <v>1637</v>
      </c>
      <c r="R488" s="2" t="str">
        <f>VLOOKUP(SALIDAS111518[[#This Row],[CÓDIGO]],PRODUCTOS31316[],2,FALSE)</f>
        <v>P22X22</v>
      </c>
      <c r="S488" s="1" t="str">
        <f>VLOOKUP(SALIDAS111518[[#This Row],[CÓDIGO]],PRODUCTOS31316[],3,FALSE)</f>
        <v>LAMINA CUBRE OBJETO EN VIDRIO 22X22</v>
      </c>
      <c r="T488" s="2">
        <v>2</v>
      </c>
      <c r="U488" s="2"/>
      <c r="V488" s="2"/>
      <c r="W488" s="288"/>
      <c r="X488" s="2"/>
      <c r="Y488" s="7"/>
      <c r="Z488" s="2"/>
      <c r="AA488" s="1"/>
      <c r="AC488" s="2"/>
      <c r="AE488" s="1"/>
      <c r="AG488" s="2"/>
    </row>
    <row r="489" spans="1:33" ht="49.95" customHeight="1" x14ac:dyDescent="0.3">
      <c r="A489" s="2" t="s">
        <v>1685</v>
      </c>
      <c r="B489" s="1">
        <v>364896</v>
      </c>
      <c r="C489" s="1" t="s">
        <v>1686</v>
      </c>
      <c r="D489" s="1" t="s">
        <v>855</v>
      </c>
      <c r="E489" s="1" t="s">
        <v>410</v>
      </c>
      <c r="F489" s="1" t="s">
        <v>172</v>
      </c>
      <c r="G489" s="2">
        <v>0</v>
      </c>
      <c r="H489" s="14">
        <f>SUMIF(ENTRADAS71417[CÓDIGO],PRODUCTOS31316[[#This Row],[CÓDIGO]],ENTRADAS71417[CANTIDAD])</f>
        <v>0</v>
      </c>
      <c r="I489" s="11">
        <f>SUMIF(SALIDAS111518[CÓDIGO],PRODUCTOS31316[[#This Row],[CÓDIGO]],SALIDAS111518[CANTIDAD])</f>
        <v>0</v>
      </c>
      <c r="J489" s="6">
        <f>PRODUCTOS31316[[#This Row],[EXISTENCIAS]]+PRODUCTOS31316[[#This Row],[ENTRADAS]]-PRODUCTOS31316[[#This Row],[SALIDAS]]</f>
        <v>0</v>
      </c>
      <c r="L489" s="288"/>
      <c r="M489" s="288"/>
      <c r="N489" s="288">
        <v>7859</v>
      </c>
      <c r="O489" s="288" t="s">
        <v>1816</v>
      </c>
      <c r="P489" s="16">
        <v>46063</v>
      </c>
      <c r="Q489" s="288" t="s">
        <v>15</v>
      </c>
      <c r="R489" s="2" t="str">
        <f>VLOOKUP(SALIDAS111518[[#This Row],[CÓDIGO]],PRODUCTOS31316[],2,FALSE)</f>
        <v>BTE-025PT/ 504002</v>
      </c>
      <c r="S489" s="1" t="str">
        <f>VLOOKUP(SALIDAS111518[[#This Row],[CÓDIGO]],PRODUCTOS31316[],3,FALSE)</f>
        <v>FUNDAS PARA TRANSFERENCIA DE EMBRIONES</v>
      </c>
      <c r="T489" s="2">
        <v>15</v>
      </c>
      <c r="U489" s="2"/>
      <c r="V489" s="2"/>
      <c r="W489" s="288"/>
      <c r="X489" s="44"/>
      <c r="Y489" s="7"/>
      <c r="Z489" s="2"/>
      <c r="AA489" s="1"/>
      <c r="AC489" s="2"/>
      <c r="AE489" s="1"/>
      <c r="AG489" s="2"/>
    </row>
    <row r="490" spans="1:33" ht="49.95" customHeight="1" x14ac:dyDescent="0.3">
      <c r="A490" s="2" t="s">
        <v>1687</v>
      </c>
      <c r="B490" s="1" t="s">
        <v>1688</v>
      </c>
      <c r="C490" s="1" t="s">
        <v>1689</v>
      </c>
      <c r="D490" s="1" t="s">
        <v>1690</v>
      </c>
      <c r="E490" s="1" t="s">
        <v>1115</v>
      </c>
      <c r="F490" s="1" t="s">
        <v>30</v>
      </c>
      <c r="G490" s="2">
        <v>0</v>
      </c>
      <c r="H490" s="14">
        <f>SUMIF(ENTRADAS71417[CÓDIGO],PRODUCTOS31316[[#This Row],[CÓDIGO]],ENTRADAS71417[CANTIDAD])</f>
        <v>0</v>
      </c>
      <c r="I490" s="11">
        <f>SUMIF(SALIDAS111518[CÓDIGO],PRODUCTOS31316[[#This Row],[CÓDIGO]],SALIDAS111518[CANTIDAD])</f>
        <v>0</v>
      </c>
      <c r="J490" s="6">
        <f>PRODUCTOS31316[[#This Row],[EXISTENCIAS]]+PRODUCTOS31316[[#This Row],[ENTRADAS]]-PRODUCTOS31316[[#This Row],[SALIDAS]]</f>
        <v>0</v>
      </c>
      <c r="L490" s="288"/>
      <c r="M490" s="288"/>
      <c r="N490" s="288">
        <v>7859</v>
      </c>
      <c r="O490" s="288" t="s">
        <v>1816</v>
      </c>
      <c r="P490" s="16">
        <v>46063</v>
      </c>
      <c r="Q490" s="288" t="s">
        <v>1779</v>
      </c>
      <c r="R490" s="2">
        <f>VLOOKUP(SALIDAS111518[[#This Row],[CÓDIGO]],PRODUCTOS31316[],2,FALSE)</f>
        <v>5563</v>
      </c>
      <c r="S490" s="1" t="str">
        <f>VLOOKUP(SALIDAS111518[[#This Row],[CÓDIGO]],PRODUCTOS31316[],3,FALSE)</f>
        <v>CAMISA SANITARIA ROLLO X 80</v>
      </c>
      <c r="T490" s="2">
        <v>1</v>
      </c>
      <c r="U490" s="2"/>
      <c r="V490" s="2"/>
      <c r="W490" s="288"/>
      <c r="X490" s="44"/>
      <c r="Y490" s="7"/>
      <c r="Z490" s="2"/>
      <c r="AA490" s="1"/>
      <c r="AC490" s="2"/>
      <c r="AE490" s="1"/>
      <c r="AG490" s="2"/>
    </row>
    <row r="491" spans="1:33" ht="49.95" customHeight="1" x14ac:dyDescent="0.3">
      <c r="A491" s="2" t="s">
        <v>360</v>
      </c>
      <c r="B491" s="1">
        <v>505006</v>
      </c>
      <c r="C491" s="133" t="s">
        <v>1691</v>
      </c>
      <c r="D491" s="1" t="s">
        <v>18</v>
      </c>
      <c r="E491" s="1" t="s">
        <v>18</v>
      </c>
      <c r="F491" s="1" t="s">
        <v>41</v>
      </c>
      <c r="G491" s="2">
        <v>2</v>
      </c>
      <c r="H491" s="14">
        <f>SUMIF(ENTRADAS71417[CÓDIGO],PRODUCTOS31316[[#This Row],[CÓDIGO]],ENTRADAS71417[CANTIDAD])</f>
        <v>149</v>
      </c>
      <c r="I491" s="11">
        <f>SUMIF(SALIDAS111518[CÓDIGO],PRODUCTOS31316[[#This Row],[CÓDIGO]],SALIDAS111518[CANTIDAD])</f>
        <v>81</v>
      </c>
      <c r="J491" s="6">
        <f>PRODUCTOS31316[[#This Row],[EXISTENCIAS]]+PRODUCTOS31316[[#This Row],[ENTRADAS]]-PRODUCTOS31316[[#This Row],[SALIDAS]]</f>
        <v>70</v>
      </c>
      <c r="L491" s="288"/>
      <c r="M491" s="288"/>
      <c r="N491" s="288">
        <v>7859</v>
      </c>
      <c r="O491" s="288" t="s">
        <v>1816</v>
      </c>
      <c r="P491" s="16">
        <v>46063</v>
      </c>
      <c r="Q491" s="288" t="s">
        <v>752</v>
      </c>
      <c r="R491" s="2">
        <f>VLOOKUP(SALIDAS111518[[#This Row],[CÓDIGO]],PRODUCTOS31316[],2,FALSE)</f>
        <v>0</v>
      </c>
      <c r="S491" s="1" t="str">
        <f>VLOOKUP(SALIDAS111518[[#This Row],[CÓDIGO]],PRODUCTOS31316[],3,FALSE)</f>
        <v>TABS BLANCOS</v>
      </c>
      <c r="T491" s="2">
        <v>1</v>
      </c>
      <c r="U491" s="2"/>
      <c r="V491" s="2"/>
      <c r="W491" s="288"/>
      <c r="X491" s="2"/>
      <c r="Y491" s="7"/>
      <c r="Z491" s="2"/>
      <c r="AA491" s="1"/>
      <c r="AC491" s="2"/>
      <c r="AE491" s="1"/>
      <c r="AG491" s="2"/>
    </row>
    <row r="492" spans="1:33" ht="49.95" customHeight="1" x14ac:dyDescent="0.3">
      <c r="A492" s="2" t="s">
        <v>366</v>
      </c>
      <c r="B492" s="1">
        <v>505003</v>
      </c>
      <c r="C492" s="1" t="s">
        <v>1692</v>
      </c>
      <c r="D492" s="1" t="s">
        <v>18</v>
      </c>
      <c r="E492" s="1" t="s">
        <v>18</v>
      </c>
      <c r="F492" s="1" t="s">
        <v>41</v>
      </c>
      <c r="G492" s="2">
        <v>9</v>
      </c>
      <c r="H492" s="14">
        <f>SUMIF(ENTRADAS71417[CÓDIGO],PRODUCTOS31316[[#This Row],[CÓDIGO]],ENTRADAS71417[CANTIDAD])</f>
        <v>50</v>
      </c>
      <c r="I492" s="11">
        <f>SUMIF(SALIDAS111518[CÓDIGO],PRODUCTOS31316[[#This Row],[CÓDIGO]],SALIDAS111518[CANTIDAD])</f>
        <v>47</v>
      </c>
      <c r="J492" s="6">
        <f>PRODUCTOS31316[[#This Row],[EXISTENCIAS]]+PRODUCTOS31316[[#This Row],[ENTRADAS]]-PRODUCTOS31316[[#This Row],[SALIDAS]]</f>
        <v>12</v>
      </c>
      <c r="L492" s="288"/>
      <c r="M492" s="288"/>
      <c r="N492" s="288">
        <v>7859</v>
      </c>
      <c r="O492" s="288" t="s">
        <v>1816</v>
      </c>
      <c r="P492" s="16">
        <v>46063</v>
      </c>
      <c r="Q492" s="288" t="s">
        <v>458</v>
      </c>
      <c r="R492" s="2">
        <f>VLOOKUP(SALIDAS111518[[#This Row],[CÓDIGO]],PRODUCTOS31316[],2,FALSE)</f>
        <v>0</v>
      </c>
      <c r="S492" s="1" t="str">
        <f>VLOOKUP(SALIDAS111518[[#This Row],[CÓDIGO]],PRODUCTOS31316[],3,FALSE)</f>
        <v>GOBLET DE 13 MM BLANCOS</v>
      </c>
      <c r="T492" s="2">
        <v>1</v>
      </c>
      <c r="U492" s="2"/>
      <c r="V492" s="2"/>
      <c r="W492" s="288"/>
      <c r="X492" s="2"/>
      <c r="Y492" s="7"/>
      <c r="Z492" s="2"/>
      <c r="AA492" s="1"/>
      <c r="AC492" s="2"/>
      <c r="AE492" s="1"/>
      <c r="AG492" s="2"/>
    </row>
    <row r="493" spans="1:33" ht="49.95" customHeight="1" x14ac:dyDescent="0.3">
      <c r="A493" s="2" t="s">
        <v>1693</v>
      </c>
      <c r="B493" s="1">
        <v>514003</v>
      </c>
      <c r="C493" s="1" t="s">
        <v>1694</v>
      </c>
      <c r="D493" s="1" t="s">
        <v>18</v>
      </c>
      <c r="E493" s="1" t="s">
        <v>18</v>
      </c>
      <c r="F493" s="1" t="s">
        <v>172</v>
      </c>
      <c r="G493" s="2">
        <v>0</v>
      </c>
      <c r="H493" s="14">
        <f>SUMIF(ENTRADAS71417[CÓDIGO],PRODUCTOS31316[[#This Row],[CÓDIGO]],ENTRADAS71417[CANTIDAD])</f>
        <v>0</v>
      </c>
      <c r="I493" s="11">
        <f>SUMIF(SALIDAS111518[CÓDIGO],PRODUCTOS31316[[#This Row],[CÓDIGO]],SALIDAS111518[CANTIDAD])</f>
        <v>0</v>
      </c>
      <c r="J493" s="6">
        <f>PRODUCTOS31316[[#This Row],[EXISTENCIAS]]+PRODUCTOS31316[[#This Row],[ENTRADAS]]-PRODUCTOS31316[[#This Row],[SALIDAS]]</f>
        <v>0</v>
      </c>
      <c r="L493" s="288" t="s">
        <v>3520</v>
      </c>
      <c r="M493" s="288" t="s">
        <v>3931</v>
      </c>
      <c r="N493" s="290" t="s">
        <v>4040</v>
      </c>
      <c r="O493" s="288" t="s">
        <v>2925</v>
      </c>
      <c r="P493" s="16">
        <v>46063</v>
      </c>
      <c r="Q493" s="288" t="s">
        <v>36</v>
      </c>
      <c r="R493" s="2">
        <f>VLOOKUP(SALIDAS111518[[#This Row],[CÓDIGO]],PRODUCTOS31316[],2,FALSE)</f>
        <v>1</v>
      </c>
      <c r="S493" s="1" t="str">
        <f>VLOOKUP(SALIDAS111518[[#This Row],[CÓDIGO]],PRODUCTOS31316[],3,FALSE)</f>
        <v xml:space="preserve">PARCHE ESTROTECT </v>
      </c>
      <c r="T493" s="2">
        <v>12</v>
      </c>
      <c r="U493" s="2">
        <v>232</v>
      </c>
      <c r="V493" s="2"/>
      <c r="W493" s="288"/>
      <c r="X493" s="2"/>
      <c r="Y493" s="7"/>
      <c r="Z493" s="2"/>
      <c r="AA493" s="1"/>
      <c r="AC493" s="2"/>
      <c r="AE493" s="1"/>
      <c r="AG493" s="2"/>
    </row>
    <row r="494" spans="1:33" ht="49.95" customHeight="1" x14ac:dyDescent="0.3">
      <c r="A494" s="2" t="s">
        <v>576</v>
      </c>
      <c r="B494" s="1" t="s">
        <v>1695</v>
      </c>
      <c r="C494" s="1" t="s">
        <v>1696</v>
      </c>
      <c r="D494" s="1" t="s">
        <v>956</v>
      </c>
      <c r="F494" s="1" t="s">
        <v>30</v>
      </c>
      <c r="G494" s="2">
        <v>0</v>
      </c>
      <c r="H494" s="14">
        <f>SUMIF(ENTRADAS71417[CÓDIGO],PRODUCTOS31316[[#This Row],[CÓDIGO]],ENTRADAS71417[CANTIDAD])</f>
        <v>0</v>
      </c>
      <c r="I494" s="11">
        <f>SUMIF(SALIDAS111518[CÓDIGO],PRODUCTOS31316[[#This Row],[CÓDIGO]],SALIDAS111518[CANTIDAD])</f>
        <v>0</v>
      </c>
      <c r="J494" s="6">
        <f>PRODUCTOS31316[[#This Row],[EXISTENCIAS]]+PRODUCTOS31316[[#This Row],[ENTRADAS]]-PRODUCTOS31316[[#This Row],[SALIDAS]]</f>
        <v>0</v>
      </c>
      <c r="L494" s="288" t="s">
        <v>3521</v>
      </c>
      <c r="M494" s="288" t="s">
        <v>3931</v>
      </c>
      <c r="N494" s="304" t="s">
        <v>4041</v>
      </c>
      <c r="O494" s="305" t="s">
        <v>4029</v>
      </c>
      <c r="P494" s="16">
        <v>46063</v>
      </c>
      <c r="Q494" s="288" t="s">
        <v>36</v>
      </c>
      <c r="R494" s="2">
        <f>VLOOKUP(SALIDAS111518[[#This Row],[CÓDIGO]],PRODUCTOS31316[],2,FALSE)</f>
        <v>1</v>
      </c>
      <c r="S494" s="1" t="str">
        <f>VLOOKUP(SALIDAS111518[[#This Row],[CÓDIGO]],PRODUCTOS31316[],3,FALSE)</f>
        <v xml:space="preserve">PARCHE ESTROTECT </v>
      </c>
      <c r="T494" s="2">
        <v>1</v>
      </c>
      <c r="U494" s="2">
        <v>231</v>
      </c>
      <c r="V494" s="2"/>
      <c r="W494" s="288" t="s">
        <v>3412</v>
      </c>
      <c r="X494" s="2"/>
      <c r="Y494" s="7"/>
      <c r="Z494" s="2"/>
      <c r="AA494" s="1"/>
      <c r="AC494" s="2"/>
      <c r="AE494" s="1"/>
      <c r="AG494" s="2"/>
    </row>
    <row r="495" spans="1:33" ht="49.95" customHeight="1" x14ac:dyDescent="0.3">
      <c r="A495" s="2" t="s">
        <v>1697</v>
      </c>
      <c r="B495" s="1">
        <v>27512</v>
      </c>
      <c r="C495" s="1" t="s">
        <v>1698</v>
      </c>
      <c r="D495" s="1" t="s">
        <v>156</v>
      </c>
      <c r="E495" s="1" t="s">
        <v>157</v>
      </c>
      <c r="F495" s="1" t="s">
        <v>30</v>
      </c>
      <c r="G495" s="2">
        <v>0</v>
      </c>
      <c r="H495" s="14">
        <f>SUMIF(ENTRADAS71417[CÓDIGO],PRODUCTOS31316[[#This Row],[CÓDIGO]],ENTRADAS71417[CANTIDAD])</f>
        <v>0</v>
      </c>
      <c r="I495" s="11">
        <f>SUMIF(SALIDAS111518[CÓDIGO],PRODUCTOS31316[[#This Row],[CÓDIGO]],SALIDAS111518[CANTIDAD])</f>
        <v>0</v>
      </c>
      <c r="J495" s="6">
        <f>PRODUCTOS31316[[#This Row],[EXISTENCIAS]]+PRODUCTOS31316[[#This Row],[ENTRADAS]]-PRODUCTOS31316[[#This Row],[SALIDAS]]</f>
        <v>0</v>
      </c>
      <c r="L495" s="288" t="s">
        <v>3520</v>
      </c>
      <c r="M495" s="288" t="s">
        <v>3931</v>
      </c>
      <c r="N495" s="303" t="s">
        <v>4167</v>
      </c>
      <c r="O495" s="303" t="s">
        <v>4030</v>
      </c>
      <c r="P495" s="16">
        <v>46063</v>
      </c>
      <c r="Q495" s="288" t="s">
        <v>4031</v>
      </c>
      <c r="R495" s="2" t="str">
        <f>VLOOKUP(SALIDAS111518[[#This Row],[CÓDIGO]],PRODUCTOS31316[],2,FALSE)</f>
        <v>SPERMLIDE420</v>
      </c>
      <c r="S495" s="1" t="str">
        <f>VLOOKUP(SALIDAS111518[[#This Row],[CÓDIGO]],PRODUCTOS31316[],3,FALSE)</f>
        <v>CÁMARA DE RECUENTO CELULAR SPERMLIDE420/ 4 cámaras de recuento por porta, 20 micras de profundidad.</v>
      </c>
      <c r="T495" s="2">
        <v>5</v>
      </c>
      <c r="U495" s="107">
        <v>317</v>
      </c>
      <c r="V495" s="2"/>
      <c r="W495" s="288"/>
      <c r="X495" s="2"/>
      <c r="Y495" s="7"/>
      <c r="Z495" s="2"/>
      <c r="AA495" s="1"/>
      <c r="AC495" s="2"/>
      <c r="AE495" s="1"/>
      <c r="AG495" s="2"/>
    </row>
    <row r="496" spans="1:33" ht="49.95" customHeight="1" x14ac:dyDescent="0.3">
      <c r="A496" s="2" t="s">
        <v>773</v>
      </c>
      <c r="B496" s="1">
        <v>5111</v>
      </c>
      <c r="C496" s="1" t="s">
        <v>1699</v>
      </c>
      <c r="D496" s="1" t="s">
        <v>156</v>
      </c>
      <c r="E496" s="1" t="s">
        <v>157</v>
      </c>
      <c r="F496" s="1" t="s">
        <v>30</v>
      </c>
      <c r="G496" s="2">
        <v>0</v>
      </c>
      <c r="H496" s="14">
        <f>SUMIF(ENTRADAS71417[CÓDIGO],PRODUCTOS31316[[#This Row],[CÓDIGO]],ENTRADAS71417[CANTIDAD])</f>
        <v>0</v>
      </c>
      <c r="I496" s="11">
        <f>SUMIF(SALIDAS111518[CÓDIGO],PRODUCTOS31316[[#This Row],[CÓDIGO]],SALIDAS111518[CANTIDAD])</f>
        <v>0</v>
      </c>
      <c r="J496" s="6">
        <f>PRODUCTOS31316[[#This Row],[EXISTENCIAS]]+PRODUCTOS31316[[#This Row],[ENTRADAS]]-PRODUCTOS31316[[#This Row],[SALIDAS]]</f>
        <v>0</v>
      </c>
      <c r="L496" s="288" t="s">
        <v>3520</v>
      </c>
      <c r="M496" s="288" t="s">
        <v>3931</v>
      </c>
      <c r="N496" s="290" t="s">
        <v>4042</v>
      </c>
      <c r="O496" s="288" t="s">
        <v>2299</v>
      </c>
      <c r="P496" s="16">
        <v>46063</v>
      </c>
      <c r="Q496" s="288" t="s">
        <v>1779</v>
      </c>
      <c r="R496" s="2">
        <f>VLOOKUP(SALIDAS111518[[#This Row],[CÓDIGO]],PRODUCTOS31316[],2,FALSE)</f>
        <v>5563</v>
      </c>
      <c r="S496" s="1" t="str">
        <f>VLOOKUP(SALIDAS111518[[#This Row],[CÓDIGO]],PRODUCTOS31316[],3,FALSE)</f>
        <v>CAMISA SANITARIA ROLLO X 80</v>
      </c>
      <c r="T496" s="2">
        <v>2</v>
      </c>
      <c r="U496" s="2">
        <v>233</v>
      </c>
      <c r="V496" s="2"/>
      <c r="W496" s="288"/>
      <c r="X496" s="2"/>
      <c r="Y496" s="7"/>
      <c r="Z496" s="2"/>
      <c r="AA496" s="1"/>
      <c r="AC496" s="2"/>
      <c r="AE496" s="1"/>
      <c r="AG496" s="2"/>
    </row>
    <row r="497" spans="1:33" ht="49.95" customHeight="1" x14ac:dyDescent="0.3">
      <c r="A497" s="2" t="s">
        <v>1700</v>
      </c>
      <c r="B497" s="1">
        <v>90453</v>
      </c>
      <c r="C497" s="1" t="s">
        <v>1701</v>
      </c>
      <c r="D497" s="1" t="s">
        <v>1702</v>
      </c>
      <c r="E497" s="1" t="s">
        <v>1703</v>
      </c>
      <c r="F497" s="1" t="s">
        <v>30</v>
      </c>
      <c r="G497" s="2">
        <v>0</v>
      </c>
      <c r="H497" s="14">
        <f>SUMIF(ENTRADAS71417[CÓDIGO],PRODUCTOS31316[[#This Row],[CÓDIGO]],ENTRADAS71417[CANTIDAD])</f>
        <v>0</v>
      </c>
      <c r="I497" s="11">
        <f>SUMIF(SALIDAS111518[CÓDIGO],PRODUCTOS31316[[#This Row],[CÓDIGO]],SALIDAS111518[CANTIDAD])</f>
        <v>0</v>
      </c>
      <c r="J497" s="6">
        <f>PRODUCTOS31316[[#This Row],[EXISTENCIAS]]+PRODUCTOS31316[[#This Row],[ENTRADAS]]-PRODUCTOS31316[[#This Row],[SALIDAS]]</f>
        <v>0</v>
      </c>
      <c r="L497" s="288" t="s">
        <v>3521</v>
      </c>
      <c r="M497" s="288" t="s">
        <v>3931</v>
      </c>
      <c r="N497" s="290" t="s">
        <v>4043</v>
      </c>
      <c r="O497" s="290" t="s">
        <v>4038</v>
      </c>
      <c r="P497" s="16">
        <v>46063</v>
      </c>
      <c r="Q497" s="288" t="s">
        <v>3142</v>
      </c>
      <c r="R497" s="2">
        <f>VLOOKUP(SALIDAS111518[[#This Row],[CÓDIGO]],PRODUCTOS31316[],2,FALSE)</f>
        <v>16301</v>
      </c>
      <c r="S497" s="1" t="str">
        <f>VLOOKUP(SALIDAS111518[[#This Row],[CÓDIGO]],PRODUCTOS31316[],3,FALSE)</f>
        <v>PISTOLA DE TRANSFERENCIA DE EMBRIONES 0,25 DE MANGO DE ALUMINIO</v>
      </c>
      <c r="T497" s="2">
        <v>1</v>
      </c>
      <c r="U497" s="2">
        <v>234</v>
      </c>
      <c r="V497" s="2"/>
      <c r="W497" s="288"/>
      <c r="X497" s="2"/>
      <c r="Y497" s="7"/>
      <c r="Z497" s="2"/>
      <c r="AA497" s="1"/>
      <c r="AC497" s="2"/>
      <c r="AE497" s="1"/>
      <c r="AG497" s="2"/>
    </row>
    <row r="498" spans="1:33" ht="49.95" customHeight="1" x14ac:dyDescent="0.3">
      <c r="A498" s="2" t="s">
        <v>1705</v>
      </c>
      <c r="B498" s="1">
        <v>84198999</v>
      </c>
      <c r="C498" s="1" t="s">
        <v>1706</v>
      </c>
      <c r="D498" s="1" t="s">
        <v>1707</v>
      </c>
      <c r="E498" s="1" t="s">
        <v>1707</v>
      </c>
      <c r="F498" s="1" t="s">
        <v>30</v>
      </c>
      <c r="G498" s="2">
        <v>0</v>
      </c>
      <c r="H498" s="14">
        <f>SUMIF(ENTRADAS71417[CÓDIGO],PRODUCTOS31316[[#This Row],[CÓDIGO]],ENTRADAS71417[CANTIDAD])</f>
        <v>0</v>
      </c>
      <c r="I498" s="11">
        <f>SUMIF(SALIDAS111518[CÓDIGO],PRODUCTOS31316[[#This Row],[CÓDIGO]],SALIDAS111518[CANTIDAD])</f>
        <v>0</v>
      </c>
      <c r="J498" s="6">
        <f>PRODUCTOS31316[[#This Row],[EXISTENCIAS]]+PRODUCTOS31316[[#This Row],[ENTRADAS]]-PRODUCTOS31316[[#This Row],[SALIDAS]]</f>
        <v>0</v>
      </c>
      <c r="L498" s="288"/>
      <c r="M498" s="288"/>
      <c r="N498" s="276">
        <v>7858</v>
      </c>
      <c r="O498" s="288" t="s">
        <v>4038</v>
      </c>
      <c r="P498" s="16">
        <v>46063</v>
      </c>
      <c r="Q498" s="288" t="s">
        <v>15</v>
      </c>
      <c r="R498" s="2" t="str">
        <f>VLOOKUP(SALIDAS111518[[#This Row],[CÓDIGO]],PRODUCTOS31316[],2,FALSE)</f>
        <v>BTE-025PT/ 504002</v>
      </c>
      <c r="S498" s="1" t="str">
        <f>VLOOKUP(SALIDAS111518[[#This Row],[CÓDIGO]],PRODUCTOS31316[],3,FALSE)</f>
        <v>FUNDAS PARA TRANSFERENCIA DE EMBRIONES</v>
      </c>
      <c r="T498" s="2">
        <v>3</v>
      </c>
      <c r="U498" s="2"/>
      <c r="V498" s="2"/>
      <c r="W498" s="288"/>
      <c r="X498" s="2"/>
      <c r="Y498" s="7"/>
      <c r="Z498" s="2"/>
      <c r="AA498" s="1"/>
      <c r="AC498" s="2"/>
      <c r="AE498" s="1"/>
      <c r="AG498" s="2"/>
    </row>
    <row r="499" spans="1:33" ht="49.95" customHeight="1" x14ac:dyDescent="0.3">
      <c r="A499" s="2" t="s">
        <v>1708</v>
      </c>
      <c r="B499" s="1">
        <v>6989</v>
      </c>
      <c r="C499" s="1" t="s">
        <v>1709</v>
      </c>
      <c r="D499" s="1" t="s">
        <v>1384</v>
      </c>
      <c r="E499" s="1" t="s">
        <v>1385</v>
      </c>
      <c r="F499" s="1" t="s">
        <v>30</v>
      </c>
      <c r="G499" s="2">
        <v>0</v>
      </c>
      <c r="H499" s="14">
        <f>SUMIF(ENTRADAS71417[CÓDIGO],PRODUCTOS31316[[#This Row],[CÓDIGO]],ENTRADAS71417[CANTIDAD])</f>
        <v>0</v>
      </c>
      <c r="I499" s="11">
        <f>SUMIF(SALIDAS111518[CÓDIGO],PRODUCTOS31316[[#This Row],[CÓDIGO]],SALIDAS111518[CANTIDAD])</f>
        <v>0</v>
      </c>
      <c r="J499" s="6">
        <f>PRODUCTOS31316[[#This Row],[EXISTENCIAS]]+PRODUCTOS31316[[#This Row],[ENTRADAS]]-PRODUCTOS31316[[#This Row],[SALIDAS]]</f>
        <v>0</v>
      </c>
      <c r="L499" s="288"/>
      <c r="M499" s="288"/>
      <c r="N499" s="276">
        <v>7858</v>
      </c>
      <c r="O499" s="288" t="s">
        <v>4038</v>
      </c>
      <c r="P499" s="16">
        <v>46063</v>
      </c>
      <c r="Q499" s="288" t="s">
        <v>2246</v>
      </c>
      <c r="R499" s="2" t="str">
        <f>VLOOKUP(SALIDAS111518[[#This Row],[CÓDIGO]],PRODUCTOS31316[],2,FALSE)</f>
        <v>00051076-02</v>
      </c>
      <c r="S499" s="1" t="str">
        <f>VLOOKUP(SALIDAS111518[[#This Row],[CÓDIGO]],PRODUCTOS31316[],3,FALSE)</f>
        <v>LIDOCAÍNA  HCL 2 % X 100 ML/ 2025-12-16</v>
      </c>
      <c r="T499" s="2">
        <v>1</v>
      </c>
      <c r="U499" s="2"/>
      <c r="V499" s="2"/>
      <c r="W499" s="288"/>
      <c r="X499" s="2"/>
      <c r="Y499" s="7"/>
      <c r="Z499" s="2"/>
      <c r="AA499" s="1"/>
      <c r="AC499" s="2"/>
      <c r="AE499" s="1"/>
      <c r="AG499" s="2"/>
    </row>
    <row r="500" spans="1:33" ht="49.95" customHeight="1" x14ac:dyDescent="0.3">
      <c r="A500" s="2" t="s">
        <v>1710</v>
      </c>
      <c r="B500" s="1" t="s">
        <v>1458</v>
      </c>
      <c r="C500" s="1" t="s">
        <v>1711</v>
      </c>
      <c r="D500" s="1" t="s">
        <v>467</v>
      </c>
      <c r="E500" s="1" t="s">
        <v>467</v>
      </c>
      <c r="F500" s="1" t="s">
        <v>30</v>
      </c>
      <c r="G500" s="2">
        <v>0</v>
      </c>
      <c r="H500" s="14">
        <f>SUMIF(ENTRADAS71417[CÓDIGO],PRODUCTOS31316[[#This Row],[CÓDIGO]],ENTRADAS71417[CANTIDAD])</f>
        <v>0</v>
      </c>
      <c r="I500" s="11">
        <f>SUMIF(SALIDAS111518[CÓDIGO],PRODUCTOS31316[[#This Row],[CÓDIGO]],SALIDAS111518[CANTIDAD])</f>
        <v>0</v>
      </c>
      <c r="J500" s="6">
        <f>PRODUCTOS31316[[#This Row],[EXISTENCIAS]]+PRODUCTOS31316[[#This Row],[ENTRADAS]]-PRODUCTOS31316[[#This Row],[SALIDAS]]</f>
        <v>0</v>
      </c>
      <c r="L500" s="288"/>
      <c r="M500" s="288"/>
      <c r="N500" s="294" t="s">
        <v>4049</v>
      </c>
      <c r="O500" s="293" t="s">
        <v>4044</v>
      </c>
      <c r="P500" s="16">
        <v>46063</v>
      </c>
      <c r="Q500" s="293" t="s">
        <v>25</v>
      </c>
      <c r="R500" s="2">
        <f>VLOOKUP(SALIDAS111518[[#This Row],[CÓDIGO]],PRODUCTOS31316[],2,FALSE)</f>
        <v>0</v>
      </c>
      <c r="S500" s="1" t="str">
        <f>VLOOKUP(SALIDAS111518[[#This Row],[CÓDIGO]],PRODUCTOS31316[],3,FALSE)</f>
        <v>BOLSA TELA MAS CAMPO</v>
      </c>
      <c r="T500" s="2">
        <v>1</v>
      </c>
      <c r="U500" s="2">
        <v>237</v>
      </c>
      <c r="V500" s="2"/>
      <c r="W500" s="288"/>
      <c r="X500" s="2"/>
      <c r="Y500" s="7"/>
      <c r="Z500" s="2"/>
      <c r="AA500" s="1"/>
      <c r="AC500" s="2"/>
      <c r="AE500" s="1"/>
      <c r="AG500" s="2"/>
    </row>
    <row r="501" spans="1:33" ht="49.95" customHeight="1" x14ac:dyDescent="0.3">
      <c r="A501" s="203" t="s">
        <v>581</v>
      </c>
      <c r="B501" s="1">
        <v>11571</v>
      </c>
      <c r="C501" s="216" t="s">
        <v>695</v>
      </c>
      <c r="E501" s="1" t="s">
        <v>340</v>
      </c>
      <c r="F501" s="1" t="s">
        <v>30</v>
      </c>
      <c r="G501" s="31">
        <f>7+1</f>
        <v>8</v>
      </c>
      <c r="H501" s="14">
        <f>SUMIF(ENTRADAS71417[CÓDIGO],PRODUCTOS31316[[#This Row],[CÓDIGO]],ENTRADAS71417[CANTIDAD])</f>
        <v>50</v>
      </c>
      <c r="I501" s="11">
        <f>SUMIF(SALIDAS111518[CÓDIGO],PRODUCTOS31316[[#This Row],[CÓDIGO]],SALIDAS111518[CANTIDAD])</f>
        <v>31</v>
      </c>
      <c r="J501" s="6">
        <f>PRODUCTOS31316[[#This Row],[EXISTENCIAS]]+PRODUCTOS31316[[#This Row],[ENTRADAS]]-PRODUCTOS31316[[#This Row],[SALIDAS]]</f>
        <v>27</v>
      </c>
      <c r="L501" s="288"/>
      <c r="M501" s="288"/>
      <c r="N501" s="276">
        <v>466</v>
      </c>
      <c r="O501" s="301" t="s">
        <v>4044</v>
      </c>
      <c r="P501" s="16">
        <v>46063</v>
      </c>
      <c r="Q501" s="293" t="s">
        <v>3095</v>
      </c>
      <c r="R501" s="2">
        <f>VLOOKUP(SALIDAS111518[[#This Row],[CÓDIGO]],PRODUCTOS31316[],2,FALSE)</f>
        <v>0</v>
      </c>
      <c r="S501" s="1" t="str">
        <f>VLOOKUP(SALIDAS111518[[#This Row],[CÓDIGO]],PRODUCTOS31316[],3,FALSE)</f>
        <v>GORRA MAS CAMPO</v>
      </c>
      <c r="T501" s="2">
        <v>1</v>
      </c>
      <c r="U501" s="2"/>
      <c r="V501" s="2"/>
      <c r="W501" s="288"/>
      <c r="X501" s="2"/>
      <c r="Y501" s="7"/>
      <c r="Z501" s="2"/>
      <c r="AA501" s="1"/>
      <c r="AC501" s="2"/>
      <c r="AE501" s="1"/>
      <c r="AG501" s="2"/>
    </row>
    <row r="502" spans="1:33" ht="49.95" customHeight="1" x14ac:dyDescent="0.3">
      <c r="A502" s="2" t="s">
        <v>1713</v>
      </c>
      <c r="B502" s="1" t="s">
        <v>1714</v>
      </c>
      <c r="C502" s="1" t="s">
        <v>1715</v>
      </c>
      <c r="D502" s="1" t="s">
        <v>639</v>
      </c>
      <c r="E502" s="1" t="s">
        <v>640</v>
      </c>
      <c r="F502" s="1" t="s">
        <v>1479</v>
      </c>
      <c r="G502" s="2">
        <v>0</v>
      </c>
      <c r="H502" s="14">
        <f>SUMIF(ENTRADAS71417[CÓDIGO],PRODUCTOS31316[[#This Row],[CÓDIGO]],ENTRADAS71417[CANTIDAD])</f>
        <v>0</v>
      </c>
      <c r="I502" s="11">
        <f>SUMIF(SALIDAS111518[CÓDIGO],PRODUCTOS31316[[#This Row],[CÓDIGO]],SALIDAS111518[CANTIDAD])</f>
        <v>0</v>
      </c>
      <c r="J502" s="6">
        <f>PRODUCTOS31316[[#This Row],[EXISTENCIAS]]+PRODUCTOS31316[[#This Row],[ENTRADAS]]-PRODUCTOS31316[[#This Row],[SALIDAS]]</f>
        <v>0</v>
      </c>
      <c r="L502" s="288"/>
      <c r="M502" s="288"/>
      <c r="N502" s="294" t="s">
        <v>4069</v>
      </c>
      <c r="O502" s="293" t="s">
        <v>2207</v>
      </c>
      <c r="P502" s="16">
        <v>46064</v>
      </c>
      <c r="Q502" s="293" t="s">
        <v>25</v>
      </c>
      <c r="R502" s="2">
        <f>VLOOKUP(SALIDAS111518[[#This Row],[CÓDIGO]],PRODUCTOS31316[],2,FALSE)</f>
        <v>0</v>
      </c>
      <c r="S502" s="1" t="str">
        <f>VLOOKUP(SALIDAS111518[[#This Row],[CÓDIGO]],PRODUCTOS31316[],3,FALSE)</f>
        <v>BOLSA TELA MAS CAMPO</v>
      </c>
      <c r="T502" s="2">
        <v>12</v>
      </c>
      <c r="U502" s="2">
        <v>241</v>
      </c>
      <c r="V502" s="2"/>
      <c r="W502" s="288"/>
      <c r="X502" s="2"/>
      <c r="Y502" s="7"/>
      <c r="Z502" s="2"/>
      <c r="AA502" s="1"/>
      <c r="AC502" s="2"/>
      <c r="AE502" s="1"/>
      <c r="AG502" s="2"/>
    </row>
    <row r="503" spans="1:33" ht="49.95" customHeight="1" x14ac:dyDescent="0.3">
      <c r="A503" s="2" t="s">
        <v>572</v>
      </c>
      <c r="B503" s="1">
        <v>70175</v>
      </c>
      <c r="C503" s="1" t="s">
        <v>1716</v>
      </c>
      <c r="D503" s="1" t="s">
        <v>262</v>
      </c>
      <c r="E503" s="1" t="s">
        <v>177</v>
      </c>
      <c r="F503" s="283" t="s">
        <v>3840</v>
      </c>
      <c r="G503" s="2">
        <v>24</v>
      </c>
      <c r="H503" s="14">
        <f>SUMIF(ENTRADAS71417[CÓDIGO],PRODUCTOS31316[[#This Row],[CÓDIGO]],ENTRADAS71417[CANTIDAD])</f>
        <v>0</v>
      </c>
      <c r="I503" s="11">
        <f>SUMIF(SALIDAS111518[CÓDIGO],PRODUCTOS31316[[#This Row],[CÓDIGO]],SALIDAS111518[CANTIDAD])</f>
        <v>1</v>
      </c>
      <c r="J503" s="6">
        <f>PRODUCTOS31316[[#This Row],[EXISTENCIAS]]+PRODUCTOS31316[[#This Row],[ENTRADAS]]-PRODUCTOS31316[[#This Row],[SALIDAS]]</f>
        <v>23</v>
      </c>
      <c r="L503" s="288"/>
      <c r="M503" s="288"/>
      <c r="N503" s="293" t="s">
        <v>4068</v>
      </c>
      <c r="O503" s="293" t="s">
        <v>2207</v>
      </c>
      <c r="P503" s="16">
        <v>46064</v>
      </c>
      <c r="Q503" s="293" t="s">
        <v>3095</v>
      </c>
      <c r="R503" s="2">
        <f>VLOOKUP(SALIDAS111518[[#This Row],[CÓDIGO]],PRODUCTOS31316[],2,FALSE)</f>
        <v>0</v>
      </c>
      <c r="S503" s="1" t="str">
        <f>VLOOKUP(SALIDAS111518[[#This Row],[CÓDIGO]],PRODUCTOS31316[],3,FALSE)</f>
        <v>GORRA MAS CAMPO</v>
      </c>
      <c r="T503" s="2">
        <v>12</v>
      </c>
      <c r="U503" s="2"/>
      <c r="V503" s="2"/>
      <c r="W503" s="288"/>
      <c r="X503" s="2"/>
      <c r="Y503" s="7"/>
      <c r="Z503" s="2"/>
      <c r="AA503" s="1"/>
      <c r="AC503" s="2"/>
      <c r="AE503" s="1"/>
      <c r="AG503" s="2"/>
    </row>
    <row r="504" spans="1:33" ht="49.95" customHeight="1" x14ac:dyDescent="0.3">
      <c r="A504" s="2" t="s">
        <v>1717</v>
      </c>
      <c r="B504" s="1" t="s">
        <v>1718</v>
      </c>
      <c r="C504" s="1" t="s">
        <v>1719</v>
      </c>
      <c r="D504" s="1" t="s">
        <v>634</v>
      </c>
      <c r="E504" s="1" t="s">
        <v>634</v>
      </c>
      <c r="F504" s="1" t="s">
        <v>30</v>
      </c>
      <c r="G504" s="2">
        <v>0</v>
      </c>
      <c r="H504" s="14">
        <f>SUMIF(ENTRADAS71417[CÓDIGO],PRODUCTOS31316[[#This Row],[CÓDIGO]],ENTRADAS71417[CANTIDAD])</f>
        <v>0</v>
      </c>
      <c r="I504" s="11">
        <f>SUMIF(SALIDAS111518[CÓDIGO],PRODUCTOS31316[[#This Row],[CÓDIGO]],SALIDAS111518[CANTIDAD])</f>
        <v>0</v>
      </c>
      <c r="J504" s="6">
        <f>PRODUCTOS31316[[#This Row],[EXISTENCIAS]]+PRODUCTOS31316[[#This Row],[ENTRADAS]]-PRODUCTOS31316[[#This Row],[SALIDAS]]</f>
        <v>0</v>
      </c>
      <c r="L504" s="288"/>
      <c r="M504" s="288"/>
      <c r="N504" s="294" t="s">
        <v>4050</v>
      </c>
      <c r="O504" s="305" t="s">
        <v>3461</v>
      </c>
      <c r="P504" s="16">
        <v>46064</v>
      </c>
      <c r="Q504" s="293" t="s">
        <v>3202</v>
      </c>
      <c r="R504" s="2">
        <f>VLOOKUP(SALIDAS111518[[#This Row],[CÓDIGO]],PRODUCTOS31316[],2,FALSE)</f>
        <v>0</v>
      </c>
      <c r="S504" s="1" t="str">
        <f>VLOOKUP(SALIDAS111518[[#This Row],[CÓDIGO]],PRODUCTOS31316[],3,FALSE)</f>
        <v>CABLE REPUESTO ECOGRAFO S5</v>
      </c>
      <c r="T504" s="2">
        <v>2</v>
      </c>
      <c r="U504" s="2">
        <v>238</v>
      </c>
      <c r="V504" s="2"/>
      <c r="W504" s="293" t="s">
        <v>2823</v>
      </c>
      <c r="X504" s="2"/>
      <c r="Y504" s="7"/>
      <c r="Z504" s="2"/>
      <c r="AA504" s="1"/>
      <c r="AC504" s="2"/>
      <c r="AE504" s="1"/>
      <c r="AG504" s="2"/>
    </row>
    <row r="505" spans="1:33" ht="49.95" customHeight="1" x14ac:dyDescent="0.3">
      <c r="A505" s="203" t="s">
        <v>1720</v>
      </c>
      <c r="C505" s="1" t="s">
        <v>1721</v>
      </c>
      <c r="D505" s="1" t="s">
        <v>380</v>
      </c>
      <c r="E505" s="1" t="s">
        <v>380</v>
      </c>
      <c r="F505" s="1" t="s">
        <v>30</v>
      </c>
      <c r="G505" s="2">
        <v>8</v>
      </c>
      <c r="H505" s="14">
        <f>SUMIF(ENTRADAS71417[CÓDIGO],PRODUCTOS31316[[#This Row],[CÓDIGO]],ENTRADAS71417[CANTIDAD])</f>
        <v>0</v>
      </c>
      <c r="I505" s="11">
        <f>SUMIF(SALIDAS111518[CÓDIGO],PRODUCTOS31316[[#This Row],[CÓDIGO]],SALIDAS111518[CANTIDAD])</f>
        <v>3</v>
      </c>
      <c r="J505" s="6">
        <f>PRODUCTOS31316[[#This Row],[EXISTENCIAS]]+PRODUCTOS31316[[#This Row],[ENTRADAS]]-PRODUCTOS31316[[#This Row],[SALIDAS]]</f>
        <v>5</v>
      </c>
      <c r="L505" s="293" t="s">
        <v>3521</v>
      </c>
      <c r="M505" s="293" t="s">
        <v>3931</v>
      </c>
      <c r="N505" s="304" t="s">
        <v>4048</v>
      </c>
      <c r="O505" s="304" t="s">
        <v>4045</v>
      </c>
      <c r="P505" s="16">
        <v>46064</v>
      </c>
      <c r="Q505" s="293" t="s">
        <v>2435</v>
      </c>
      <c r="R505" s="2">
        <f>VLOOKUP(SALIDAS111518[[#This Row],[CÓDIGO]],PRODUCTOS31316[],2,FALSE)</f>
        <v>9018121000</v>
      </c>
      <c r="S505" s="1" t="str">
        <f>VLOOKUP(SALIDAS111518[[#This Row],[CÓDIGO]],PRODUCTOS31316[],3,FALSE)</f>
        <v>ECÓGRAFO S0- VET</v>
      </c>
      <c r="T505" s="2">
        <v>1</v>
      </c>
      <c r="U505" s="2">
        <v>236</v>
      </c>
      <c r="V505" s="2"/>
      <c r="W505" s="293" t="s">
        <v>2823</v>
      </c>
      <c r="X505" s="2"/>
      <c r="Y505" s="7"/>
      <c r="Z505" s="2"/>
      <c r="AA505" s="1"/>
      <c r="AC505" s="2"/>
      <c r="AE505" s="1"/>
      <c r="AG505" s="2"/>
    </row>
    <row r="506" spans="1:33" ht="49.95" customHeight="1" x14ac:dyDescent="0.3">
      <c r="A506" s="2" t="s">
        <v>1722</v>
      </c>
      <c r="B506" s="1">
        <v>10191</v>
      </c>
      <c r="C506" s="1" t="s">
        <v>1723</v>
      </c>
      <c r="D506" s="1" t="s">
        <v>442</v>
      </c>
      <c r="E506" s="1" t="s">
        <v>442</v>
      </c>
      <c r="F506" s="1" t="s">
        <v>30</v>
      </c>
      <c r="G506" s="2">
        <v>4</v>
      </c>
      <c r="H506" s="14">
        <f>SUMIF(ENTRADAS71417[CÓDIGO],PRODUCTOS31316[[#This Row],[CÓDIGO]],ENTRADAS71417[CANTIDAD])</f>
        <v>0</v>
      </c>
      <c r="I506" s="11">
        <f>SUMIF(SALIDAS111518[CÓDIGO],PRODUCTOS31316[[#This Row],[CÓDIGO]],SALIDAS111518[CANTIDAD])</f>
        <v>1</v>
      </c>
      <c r="J506" s="6">
        <f>PRODUCTOS31316[[#This Row],[EXISTENCIAS]]+PRODUCTOS31316[[#This Row],[ENTRADAS]]-PRODUCTOS31316[[#This Row],[SALIDAS]]</f>
        <v>3</v>
      </c>
      <c r="L506" s="293" t="s">
        <v>3520</v>
      </c>
      <c r="M506" s="293" t="s">
        <v>3931</v>
      </c>
      <c r="N506" s="294" t="s">
        <v>4054</v>
      </c>
      <c r="O506" s="294" t="s">
        <v>4052</v>
      </c>
      <c r="P506" s="16">
        <v>46064</v>
      </c>
      <c r="Q506" s="293" t="s">
        <v>15</v>
      </c>
      <c r="R506" s="2" t="str">
        <f>VLOOKUP(SALIDAS111518[[#This Row],[CÓDIGO]],PRODUCTOS31316[],2,FALSE)</f>
        <v>BTE-025PT/ 504002</v>
      </c>
      <c r="S506" s="1" t="str">
        <f>VLOOKUP(SALIDAS111518[[#This Row],[CÓDIGO]],PRODUCTOS31316[],3,FALSE)</f>
        <v>FUNDAS PARA TRANSFERENCIA DE EMBRIONES</v>
      </c>
      <c r="T506" s="2">
        <v>3</v>
      </c>
      <c r="U506" s="2">
        <v>246</v>
      </c>
      <c r="V506" s="2"/>
      <c r="W506" s="293"/>
      <c r="X506" s="2"/>
      <c r="Y506" s="7"/>
      <c r="Z506" s="2"/>
      <c r="AA506" s="1"/>
      <c r="AC506" s="2"/>
      <c r="AE506" s="1"/>
      <c r="AG506" s="2"/>
    </row>
    <row r="507" spans="1:33" ht="49.95" customHeight="1" x14ac:dyDescent="0.3">
      <c r="A507" s="2" t="s">
        <v>1726</v>
      </c>
      <c r="B507" s="1">
        <v>10109</v>
      </c>
      <c r="C507" s="1" t="s">
        <v>1727</v>
      </c>
      <c r="D507" s="1" t="s">
        <v>442</v>
      </c>
      <c r="E507" s="1" t="s">
        <v>442</v>
      </c>
      <c r="F507" s="1" t="s">
        <v>30</v>
      </c>
      <c r="G507" s="2">
        <v>0</v>
      </c>
      <c r="H507" s="14">
        <f>SUMIF(ENTRADAS71417[CÓDIGO],PRODUCTOS31316[[#This Row],[CÓDIGO]],ENTRADAS71417[CANTIDAD])</f>
        <v>0</v>
      </c>
      <c r="I507" s="11">
        <f>SUMIF(SALIDAS111518[CÓDIGO],PRODUCTOS31316[[#This Row],[CÓDIGO]],SALIDAS111518[CANTIDAD])</f>
        <v>0</v>
      </c>
      <c r="J507" s="6">
        <f>PRODUCTOS31316[[#This Row],[EXISTENCIAS]]+PRODUCTOS31316[[#This Row],[ENTRADAS]]-PRODUCTOS31316[[#This Row],[SALIDAS]]</f>
        <v>0</v>
      </c>
      <c r="L507" s="293" t="s">
        <v>3520</v>
      </c>
      <c r="M507" s="293" t="s">
        <v>3931</v>
      </c>
      <c r="N507" s="304" t="s">
        <v>4055</v>
      </c>
      <c r="O507" s="304" t="s">
        <v>3385</v>
      </c>
      <c r="P507" s="16">
        <v>46064</v>
      </c>
      <c r="Q507" s="293" t="s">
        <v>3375</v>
      </c>
      <c r="R507" s="2" t="str">
        <f>VLOOKUP(SALIDAS111518[[#This Row],[CÓDIGO]],PRODUCTOS31316[],2,FALSE)</f>
        <v>13500/0250</v>
      </c>
      <c r="S507" s="1" t="str">
        <f>VLOOKUP(SALIDAS111518[[#This Row],[CÓDIGO]],PRODUCTOS31316[],3,FALSE)</f>
        <v>TRILADYL 250 ML</v>
      </c>
      <c r="T507" s="2">
        <v>1</v>
      </c>
      <c r="U507" s="2">
        <v>245</v>
      </c>
      <c r="V507" s="2"/>
      <c r="W507" s="293" t="s">
        <v>3412</v>
      </c>
      <c r="X507" s="2"/>
      <c r="Y507" s="7"/>
      <c r="Z507" s="2"/>
      <c r="AA507" s="1"/>
      <c r="AC507" s="2"/>
      <c r="AE507" s="1"/>
      <c r="AG507" s="2"/>
    </row>
    <row r="508" spans="1:33" ht="49.95" customHeight="1" x14ac:dyDescent="0.3">
      <c r="A508" s="2" t="s">
        <v>1380</v>
      </c>
      <c r="B508" s="1" t="s">
        <v>1728</v>
      </c>
      <c r="C508" s="1" t="s">
        <v>2443</v>
      </c>
      <c r="D508" s="1" t="s">
        <v>380</v>
      </c>
      <c r="E508" s="1" t="s">
        <v>380</v>
      </c>
      <c r="F508" s="1" t="s">
        <v>30</v>
      </c>
      <c r="G508" s="2">
        <v>0</v>
      </c>
      <c r="H508" s="14">
        <f>SUMIF(ENTRADAS71417[CÓDIGO],PRODUCTOS31316[[#This Row],[CÓDIGO]],ENTRADAS71417[CANTIDAD])</f>
        <v>0</v>
      </c>
      <c r="I508" s="11">
        <f>SUMIF(SALIDAS111518[CÓDIGO],PRODUCTOS31316[[#This Row],[CÓDIGO]],SALIDAS111518[CANTIDAD])</f>
        <v>0</v>
      </c>
      <c r="J508" s="6">
        <f>PRODUCTOS31316[[#This Row],[EXISTENCIAS]]+PRODUCTOS31316[[#This Row],[ENTRADAS]]-PRODUCTOS31316[[#This Row],[SALIDAS]]</f>
        <v>0</v>
      </c>
      <c r="L508" s="293"/>
      <c r="M508" s="293"/>
      <c r="N508" s="293">
        <v>7861</v>
      </c>
      <c r="O508" s="294" t="s">
        <v>3385</v>
      </c>
      <c r="P508" s="16">
        <v>46064</v>
      </c>
      <c r="Q508" s="293" t="s">
        <v>1631</v>
      </c>
      <c r="R508" s="2" t="str">
        <f>VLOOKUP(SALIDAS111518[[#This Row],[CÓDIGO]],PRODUCTOS31316[],2,FALSE)</f>
        <v>7101-CRAL</v>
      </c>
      <c r="S508" s="1" t="str">
        <f>VLOOKUP(SALIDAS111518[[#This Row],[CÓDIGO]],PRODUCTOS31316[],3,FALSE)</f>
        <v>LAMINA PORTA OBJETOS LISA EN VIDRIO 26X76MM, BORDE ESMERILADO</v>
      </c>
      <c r="T508" s="2">
        <v>3</v>
      </c>
      <c r="U508" s="2"/>
      <c r="V508" s="2"/>
      <c r="W508" s="293"/>
      <c r="X508" s="2"/>
      <c r="Y508" s="7"/>
      <c r="Z508" s="2"/>
      <c r="AA508" s="1"/>
      <c r="AC508" s="2"/>
      <c r="AE508" s="1"/>
      <c r="AG508" s="2"/>
    </row>
    <row r="509" spans="1:33" ht="49.95" customHeight="1" x14ac:dyDescent="0.3">
      <c r="A509" s="203" t="s">
        <v>476</v>
      </c>
      <c r="B509" s="1" t="s">
        <v>1729</v>
      </c>
      <c r="C509" s="1" t="s">
        <v>1730</v>
      </c>
      <c r="D509" s="270" t="s">
        <v>467</v>
      </c>
      <c r="E509" s="1" t="s">
        <v>467</v>
      </c>
      <c r="F509" s="1" t="s">
        <v>30</v>
      </c>
      <c r="G509" s="2">
        <v>0</v>
      </c>
      <c r="H509" s="14">
        <f>SUMIF(ENTRADAS71417[CÓDIGO],PRODUCTOS31316[[#This Row],[CÓDIGO]],ENTRADAS71417[CANTIDAD])</f>
        <v>0</v>
      </c>
      <c r="I509" s="11">
        <f>SUMIF(SALIDAS111518[CÓDIGO],PRODUCTOS31316[[#This Row],[CÓDIGO]],SALIDAS111518[CANTIDAD])</f>
        <v>0</v>
      </c>
      <c r="J509" s="6">
        <f>PRODUCTOS31316[[#This Row],[EXISTENCIAS]]+PRODUCTOS31316[[#This Row],[ENTRADAS]]-PRODUCTOS31316[[#This Row],[SALIDAS]]</f>
        <v>0</v>
      </c>
      <c r="L509" s="293"/>
      <c r="M509" s="293"/>
      <c r="N509" s="293">
        <v>7861</v>
      </c>
      <c r="O509" s="294" t="s">
        <v>3385</v>
      </c>
      <c r="P509" s="16">
        <v>46064</v>
      </c>
      <c r="Q509" s="293" t="s">
        <v>1637</v>
      </c>
      <c r="R509" s="2" t="str">
        <f>VLOOKUP(SALIDAS111518[[#This Row],[CÓDIGO]],PRODUCTOS31316[],2,FALSE)</f>
        <v>P22X22</v>
      </c>
      <c r="S509" s="1" t="str">
        <f>VLOOKUP(SALIDAS111518[[#This Row],[CÓDIGO]],PRODUCTOS31316[],3,FALSE)</f>
        <v>LAMINA CUBRE OBJETO EN VIDRIO 22X22</v>
      </c>
      <c r="T509" s="2">
        <v>6</v>
      </c>
      <c r="U509" s="2"/>
      <c r="V509" s="2"/>
      <c r="W509" s="293"/>
      <c r="X509" s="2"/>
      <c r="Y509" s="7"/>
      <c r="Z509" s="2"/>
      <c r="AA509" s="1"/>
      <c r="AC509" s="2"/>
      <c r="AE509" s="1"/>
      <c r="AG509" s="2"/>
    </row>
    <row r="510" spans="1:33" ht="49.95" customHeight="1" x14ac:dyDescent="0.3">
      <c r="A510" s="2" t="s">
        <v>1731</v>
      </c>
      <c r="C510" s="1" t="s">
        <v>1229</v>
      </c>
      <c r="E510" s="1" t="s">
        <v>352</v>
      </c>
      <c r="F510" s="1" t="s">
        <v>30</v>
      </c>
      <c r="G510" s="2">
        <v>0</v>
      </c>
      <c r="H510" s="14">
        <f>SUMIF(ENTRADAS71417[CÓDIGO],PRODUCTOS31316[[#This Row],[CÓDIGO]],ENTRADAS71417[CANTIDAD])</f>
        <v>0</v>
      </c>
      <c r="I510" s="11">
        <f>SUMIF(SALIDAS111518[CÓDIGO],PRODUCTOS31316[[#This Row],[CÓDIGO]],SALIDAS111518[CANTIDAD])</f>
        <v>0</v>
      </c>
      <c r="J510" s="6">
        <f>PRODUCTOS31316[[#This Row],[EXISTENCIAS]]+PRODUCTOS31316[[#This Row],[ENTRADAS]]-PRODUCTOS31316[[#This Row],[SALIDAS]]</f>
        <v>0</v>
      </c>
      <c r="L510" s="293"/>
      <c r="M510" s="293"/>
      <c r="N510" s="293">
        <v>7861</v>
      </c>
      <c r="O510" s="294" t="s">
        <v>3385</v>
      </c>
      <c r="P510" s="16">
        <v>46064</v>
      </c>
      <c r="Q510" s="293" t="s">
        <v>369</v>
      </c>
      <c r="R510" s="2">
        <f>VLOOKUP(SALIDAS111518[[#This Row],[CÓDIGO]],PRODUCTOS31316[],2,FALSE)</f>
        <v>0</v>
      </c>
      <c r="S510" s="1" t="str">
        <f>VLOOKUP(SALIDAS111518[[#This Row],[CÓDIGO]],PRODUCTOS31316[],3,FALSE)</f>
        <v>FUNDA UNIVERSAL PARA I.A. RANURADA</v>
      </c>
      <c r="T510" s="2">
        <v>5</v>
      </c>
      <c r="U510" s="2"/>
      <c r="V510" s="2"/>
      <c r="W510" s="293"/>
      <c r="X510" s="2"/>
      <c r="Y510" s="7"/>
      <c r="Z510" s="2"/>
      <c r="AA510" s="1"/>
      <c r="AC510" s="2"/>
      <c r="AE510" s="1"/>
      <c r="AG510" s="2"/>
    </row>
    <row r="511" spans="1:33" ht="49.95" customHeight="1" x14ac:dyDescent="0.3">
      <c r="A511" s="2" t="s">
        <v>1732</v>
      </c>
      <c r="C511" s="1" t="s">
        <v>1230</v>
      </c>
      <c r="E511" s="1" t="s">
        <v>352</v>
      </c>
      <c r="F511" s="1" t="s">
        <v>30</v>
      </c>
      <c r="G511" s="2">
        <v>0</v>
      </c>
      <c r="H511" s="14">
        <f>SUMIF(ENTRADAS71417[CÓDIGO],PRODUCTOS31316[[#This Row],[CÓDIGO]],ENTRADAS71417[CANTIDAD])</f>
        <v>0</v>
      </c>
      <c r="I511" s="11">
        <f>SUMIF(SALIDAS111518[CÓDIGO],PRODUCTOS31316[[#This Row],[CÓDIGO]],SALIDAS111518[CANTIDAD])</f>
        <v>0</v>
      </c>
      <c r="J511" s="6">
        <f>PRODUCTOS31316[[#This Row],[EXISTENCIAS]]+PRODUCTOS31316[[#This Row],[ENTRADAS]]-PRODUCTOS31316[[#This Row],[SALIDAS]]</f>
        <v>0</v>
      </c>
      <c r="L511" s="293" t="s">
        <v>3521</v>
      </c>
      <c r="M511" s="293" t="s">
        <v>3931</v>
      </c>
      <c r="N511" s="294" t="s">
        <v>4056</v>
      </c>
      <c r="O511" s="293" t="s">
        <v>4051</v>
      </c>
      <c r="P511" s="16">
        <v>46064</v>
      </c>
      <c r="Q511" s="293" t="s">
        <v>2405</v>
      </c>
      <c r="R511" s="2">
        <f>VLOOKUP(SALIDAS111518[[#This Row],[CÓDIGO]],PRODUCTOS31316[],2,FALSE)</f>
        <v>20898</v>
      </c>
      <c r="S511" s="1" t="str">
        <f>VLOOKUP(SALIDAS111518[[#This Row],[CÓDIGO]],PRODUCTOS31316[],3,FALSE)</f>
        <v>TERMO DESCONGELADOR DE SEMEN DE EMBRIONES ROSADO</v>
      </c>
      <c r="T511" s="2">
        <v>1</v>
      </c>
      <c r="U511" s="2">
        <v>247</v>
      </c>
      <c r="V511" s="2"/>
      <c r="W511" s="293"/>
      <c r="X511" s="2"/>
      <c r="Y511" s="7"/>
      <c r="Z511" s="2"/>
      <c r="AA511" s="1"/>
      <c r="AC511" s="2"/>
      <c r="AE511" s="1"/>
      <c r="AG511" s="2"/>
    </row>
    <row r="512" spans="1:33" ht="49.95" customHeight="1" x14ac:dyDescent="0.3">
      <c r="A512" s="2" t="s">
        <v>43</v>
      </c>
      <c r="B512" s="1">
        <v>1601</v>
      </c>
      <c r="C512" s="214" t="s">
        <v>1734</v>
      </c>
      <c r="E512" s="1" t="s">
        <v>1735</v>
      </c>
      <c r="F512" s="1" t="s">
        <v>30</v>
      </c>
      <c r="G512" s="2">
        <v>0</v>
      </c>
      <c r="H512" s="14">
        <f>SUMIF(ENTRADAS71417[CÓDIGO],PRODUCTOS31316[[#This Row],[CÓDIGO]],ENTRADAS71417[CANTIDAD])</f>
        <v>1</v>
      </c>
      <c r="I512" s="11">
        <f>SUMIF(SALIDAS111518[CÓDIGO],PRODUCTOS31316[[#This Row],[CÓDIGO]],SALIDAS111518[CANTIDAD])</f>
        <v>1</v>
      </c>
      <c r="J512" s="6">
        <f>PRODUCTOS31316[[#This Row],[EXISTENCIAS]]+PRODUCTOS31316[[#This Row],[ENTRADAS]]-PRODUCTOS31316[[#This Row],[SALIDAS]]</f>
        <v>0</v>
      </c>
      <c r="L512" s="293" t="s">
        <v>3521</v>
      </c>
      <c r="M512" s="293" t="s">
        <v>3931</v>
      </c>
      <c r="N512" s="294" t="s">
        <v>4059</v>
      </c>
      <c r="O512" s="304" t="s">
        <v>4053</v>
      </c>
      <c r="P512" s="16">
        <v>46065</v>
      </c>
      <c r="Q512" s="293" t="s">
        <v>3354</v>
      </c>
      <c r="R512" s="2" t="str">
        <f>VLOOKUP(SALIDAS111518[[#This Row],[CÓDIGO]],PRODUCTOS31316[],2,FALSE)</f>
        <v>MX5C</v>
      </c>
      <c r="S512" s="1" t="str">
        <f>VLOOKUP(SALIDAS111518[[#This Row],[CÓDIGO]],PRODUCTOS31316[],3,FALSE)</f>
        <v>ECOGRAFO MX5C CON SONDA LINEAL RECTAL/DOPLLER COLOR</v>
      </c>
      <c r="T512" s="2">
        <v>1</v>
      </c>
      <c r="U512" s="2">
        <v>242</v>
      </c>
      <c r="V512" s="2"/>
      <c r="W512" s="293" t="s">
        <v>2823</v>
      </c>
      <c r="X512" s="2"/>
      <c r="Y512" s="7"/>
      <c r="Z512" s="2"/>
      <c r="AA512" s="1"/>
      <c r="AC512" s="2"/>
      <c r="AE512" s="1"/>
      <c r="AG512" s="2"/>
    </row>
    <row r="513" spans="1:33" ht="49.95" customHeight="1" x14ac:dyDescent="0.3">
      <c r="A513" s="2" t="s">
        <v>37</v>
      </c>
      <c r="B513" s="1" t="s">
        <v>1736</v>
      </c>
      <c r="C513" s="1" t="s">
        <v>1737</v>
      </c>
      <c r="E513" s="1" t="s">
        <v>1735</v>
      </c>
      <c r="F513" s="1" t="s">
        <v>30</v>
      </c>
      <c r="G513" s="2">
        <v>1</v>
      </c>
      <c r="H513" s="14">
        <f>SUMIF(ENTRADAS71417[CÓDIGO],PRODUCTOS31316[[#This Row],[CÓDIGO]],ENTRADAS71417[CANTIDAD])</f>
        <v>0</v>
      </c>
      <c r="I513" s="11">
        <f>SUMIF(SALIDAS111518[CÓDIGO],PRODUCTOS31316[[#This Row],[CÓDIGO]],SALIDAS111518[CANTIDAD])</f>
        <v>1</v>
      </c>
      <c r="J513" s="6">
        <f>PRODUCTOS31316[[#This Row],[EXISTENCIAS]]+PRODUCTOS31316[[#This Row],[ENTRADAS]]-PRODUCTOS31316[[#This Row],[SALIDAS]]</f>
        <v>0</v>
      </c>
      <c r="L513" s="293"/>
      <c r="M513" s="293"/>
      <c r="N513" s="293">
        <v>7864</v>
      </c>
      <c r="O513" s="294" t="s">
        <v>4053</v>
      </c>
      <c r="P513" s="16">
        <v>46065</v>
      </c>
      <c r="Q513" s="293" t="s">
        <v>3791</v>
      </c>
      <c r="R513" s="2">
        <f>VLOOKUP(SALIDAS111518[[#This Row],[CÓDIGO]],PRODUCTOS31316[],2,FALSE)</f>
        <v>6936520864546</v>
      </c>
      <c r="S513" s="1" t="str">
        <f>VLOOKUP(SALIDAS111518[[#This Row],[CÓDIGO]],PRODUCTOS31316[],3,FALSE)</f>
        <v>TABLET 11" HONOR PAD X8A 128 GB</v>
      </c>
      <c r="T513" s="2">
        <v>1</v>
      </c>
      <c r="U513" s="2"/>
      <c r="V513" s="2"/>
      <c r="W513" s="293"/>
      <c r="X513" s="2"/>
      <c r="Y513" s="7"/>
      <c r="Z513" s="2"/>
      <c r="AA513" s="1"/>
      <c r="AC513" s="2"/>
      <c r="AE513" s="1"/>
      <c r="AG513" s="2"/>
    </row>
    <row r="514" spans="1:33" ht="49.95" customHeight="1" x14ac:dyDescent="0.3">
      <c r="A514" s="2" t="s">
        <v>21</v>
      </c>
      <c r="B514" s="1" t="s">
        <v>1738</v>
      </c>
      <c r="C514" s="1" t="s">
        <v>1739</v>
      </c>
      <c r="E514" s="1" t="s">
        <v>1735</v>
      </c>
      <c r="F514" s="1" t="s">
        <v>30</v>
      </c>
      <c r="G514" s="2">
        <v>0</v>
      </c>
      <c r="H514" s="14">
        <f>SUMIF(ENTRADAS71417[CÓDIGO],PRODUCTOS31316[[#This Row],[CÓDIGO]],ENTRADAS71417[CANTIDAD])</f>
        <v>1</v>
      </c>
      <c r="I514" s="11">
        <f>SUMIF(SALIDAS111518[CÓDIGO],PRODUCTOS31316[[#This Row],[CÓDIGO]],SALIDAS111518[CANTIDAD])</f>
        <v>1</v>
      </c>
      <c r="J514" s="6">
        <f>PRODUCTOS31316[[#This Row],[EXISTENCIAS]]+PRODUCTOS31316[[#This Row],[ENTRADAS]]-PRODUCTOS31316[[#This Row],[SALIDAS]]</f>
        <v>0</v>
      </c>
      <c r="L514" s="288"/>
      <c r="M514" s="288"/>
      <c r="N514" s="276">
        <v>7864</v>
      </c>
      <c r="O514" s="294" t="s">
        <v>4053</v>
      </c>
      <c r="P514" s="16">
        <v>46065</v>
      </c>
      <c r="Q514" s="293" t="s">
        <v>3286</v>
      </c>
      <c r="R514" s="2">
        <f>VLOOKUP(SALIDAS111518[[#This Row],[CÓDIGO]],PRODUCTOS31316[],2,FALSE)</f>
        <v>0</v>
      </c>
      <c r="S514" s="1" t="str">
        <f>VLOOKUP(SALIDAS111518[[#This Row],[CÓDIGO]],PRODUCTOS31316[],3,FALSE)</f>
        <v>CARCASA TABLET BMV</v>
      </c>
      <c r="T514" s="2">
        <v>1</v>
      </c>
      <c r="U514" s="2"/>
      <c r="V514" s="2"/>
      <c r="W514" s="288"/>
      <c r="X514" s="2"/>
      <c r="Y514" s="7"/>
      <c r="Z514" s="2"/>
      <c r="AA514" s="1"/>
      <c r="AC514" s="2"/>
      <c r="AE514" s="1"/>
      <c r="AG514" s="2"/>
    </row>
    <row r="515" spans="1:33" ht="49.95" customHeight="1" x14ac:dyDescent="0.3">
      <c r="A515" s="2" t="s">
        <v>26</v>
      </c>
      <c r="B515" s="1" t="s">
        <v>1738</v>
      </c>
      <c r="C515" s="1" t="s">
        <v>1740</v>
      </c>
      <c r="E515" s="1" t="s">
        <v>1735</v>
      </c>
      <c r="F515" s="1" t="s">
        <v>30</v>
      </c>
      <c r="G515" s="2">
        <v>0</v>
      </c>
      <c r="H515" s="14">
        <f>SUMIF(ENTRADAS71417[CÓDIGO],PRODUCTOS31316[[#This Row],[CÓDIGO]],ENTRADAS71417[CANTIDAD])</f>
        <v>1</v>
      </c>
      <c r="I515" s="11">
        <f>SUMIF(SALIDAS111518[CÓDIGO],PRODUCTOS31316[[#This Row],[CÓDIGO]],SALIDAS111518[CANTIDAD])</f>
        <v>1</v>
      </c>
      <c r="J515" s="6">
        <f>PRODUCTOS31316[[#This Row],[EXISTENCIAS]]+PRODUCTOS31316[[#This Row],[ENTRADAS]]-PRODUCTOS31316[[#This Row],[SALIDAS]]</f>
        <v>0</v>
      </c>
      <c r="L515" s="288"/>
      <c r="M515" s="288"/>
      <c r="N515" s="293">
        <v>7864</v>
      </c>
      <c r="O515" s="294" t="s">
        <v>4053</v>
      </c>
      <c r="P515" s="16">
        <v>46065</v>
      </c>
      <c r="Q515" s="293" t="s">
        <v>25</v>
      </c>
      <c r="R515" s="2">
        <f>VLOOKUP(SALIDAS111518[[#This Row],[CÓDIGO]],PRODUCTOS31316[],2,FALSE)</f>
        <v>0</v>
      </c>
      <c r="S515" s="1" t="str">
        <f>VLOOKUP(SALIDAS111518[[#This Row],[CÓDIGO]],PRODUCTOS31316[],3,FALSE)</f>
        <v>BOLSA TELA MAS CAMPO</v>
      </c>
      <c r="T515" s="2">
        <v>1</v>
      </c>
      <c r="U515" s="2"/>
      <c r="V515" s="2"/>
      <c r="W515" s="288"/>
      <c r="X515" s="38"/>
      <c r="Y515" s="7"/>
      <c r="Z515" s="2"/>
      <c r="AA515" s="1"/>
      <c r="AC515" s="2"/>
      <c r="AE515" s="1"/>
      <c r="AG515" s="2"/>
    </row>
    <row r="516" spans="1:33" ht="49.95" customHeight="1" x14ac:dyDescent="0.3">
      <c r="A516" s="2" t="s">
        <v>661</v>
      </c>
      <c r="B516" s="1">
        <v>7177</v>
      </c>
      <c r="C516" s="112" t="s">
        <v>1741</v>
      </c>
      <c r="D516" s="1" t="s">
        <v>156</v>
      </c>
      <c r="E516" s="1" t="s">
        <v>157</v>
      </c>
      <c r="F516" s="1" t="s">
        <v>30</v>
      </c>
      <c r="G516" s="2">
        <v>0</v>
      </c>
      <c r="H516" s="14">
        <f>SUMIF(ENTRADAS71417[CÓDIGO],PRODUCTOS31316[[#This Row],[CÓDIGO]],ENTRADAS71417[CANTIDAD])</f>
        <v>0</v>
      </c>
      <c r="I516" s="11">
        <f>SUMIF(SALIDAS111518[CÓDIGO],PRODUCTOS31316[[#This Row],[CÓDIGO]],SALIDAS111518[CANTIDAD])</f>
        <v>0</v>
      </c>
      <c r="J516" s="6">
        <f>PRODUCTOS31316[[#This Row],[EXISTENCIAS]]+PRODUCTOS31316[[#This Row],[ENTRADAS]]-PRODUCTOS31316[[#This Row],[SALIDAS]]</f>
        <v>0</v>
      </c>
      <c r="L516" s="288"/>
      <c r="M516" s="288"/>
      <c r="N516" s="276">
        <v>7864</v>
      </c>
      <c r="O516" s="294" t="s">
        <v>4053</v>
      </c>
      <c r="P516" s="16">
        <v>46065</v>
      </c>
      <c r="Q516" s="293" t="s">
        <v>3095</v>
      </c>
      <c r="R516" s="2">
        <f>VLOOKUP(SALIDAS111518[[#This Row],[CÓDIGO]],PRODUCTOS31316[],2,FALSE)</f>
        <v>0</v>
      </c>
      <c r="S516" s="1" t="str">
        <f>VLOOKUP(SALIDAS111518[[#This Row],[CÓDIGO]],PRODUCTOS31316[],3,FALSE)</f>
        <v>GORRA MAS CAMPO</v>
      </c>
      <c r="T516" s="2">
        <v>1</v>
      </c>
      <c r="U516" s="2"/>
      <c r="V516" s="2"/>
      <c r="W516" s="288"/>
      <c r="X516" s="2"/>
      <c r="Y516" s="7"/>
      <c r="Z516" s="2"/>
      <c r="AA516" s="1"/>
      <c r="AC516" s="2"/>
      <c r="AE516" s="1"/>
      <c r="AG516" s="2"/>
    </row>
    <row r="517" spans="1:33" ht="49.95" customHeight="1" x14ac:dyDescent="0.3">
      <c r="A517" s="2" t="s">
        <v>336</v>
      </c>
      <c r="C517" s="269" t="s">
        <v>3635</v>
      </c>
      <c r="D517" s="1" t="s">
        <v>244</v>
      </c>
      <c r="E517" s="1" t="s">
        <v>352</v>
      </c>
      <c r="F517" s="1" t="s">
        <v>1171</v>
      </c>
      <c r="G517" s="2">
        <v>7</v>
      </c>
      <c r="H517" s="14">
        <f>SUMIF(ENTRADAS71417[CÓDIGO],PRODUCTOS31316[[#This Row],[CÓDIGO]],ENTRADAS71417[CANTIDAD])</f>
        <v>15</v>
      </c>
      <c r="I517" s="11">
        <f>SUMIF(SALIDAS111518[CÓDIGO],PRODUCTOS31316[[#This Row],[CÓDIGO]],SALIDAS111518[CANTIDAD])</f>
        <v>15</v>
      </c>
      <c r="J517" s="6">
        <f>PRODUCTOS31316[[#This Row],[EXISTENCIAS]]+PRODUCTOS31316[[#This Row],[ENTRADAS]]-PRODUCTOS31316[[#This Row],[SALIDAS]]</f>
        <v>7</v>
      </c>
      <c r="L517" s="293" t="s">
        <v>3520</v>
      </c>
      <c r="M517" s="293" t="s">
        <v>3931</v>
      </c>
      <c r="N517" s="294" t="s">
        <v>4060</v>
      </c>
      <c r="O517" s="293" t="s">
        <v>2971</v>
      </c>
      <c r="P517" s="16">
        <v>46065</v>
      </c>
      <c r="Q517" s="293" t="s">
        <v>741</v>
      </c>
      <c r="R517" s="2" t="str">
        <f>VLOOKUP(SALIDAS111518[[#This Row],[CÓDIGO]],PRODUCTOS31316[],2,FALSE)</f>
        <v>17209/1165</v>
      </c>
      <c r="S517" s="1" t="str">
        <f>VLOOKUP(SALIDAS111518[[#This Row],[CÓDIGO]],PRODUCTOS31316[],3,FALSE)</f>
        <v>PIPETA EQUINA 65CM</v>
      </c>
      <c r="T517" s="2">
        <v>5</v>
      </c>
      <c r="U517" s="2">
        <v>248</v>
      </c>
      <c r="V517" s="2"/>
      <c r="W517" s="288"/>
      <c r="X517" s="2"/>
      <c r="Y517" s="7"/>
      <c r="Z517" s="2"/>
      <c r="AA517" s="1"/>
      <c r="AC517" s="2"/>
      <c r="AE517" s="1"/>
      <c r="AG517" s="2"/>
    </row>
    <row r="518" spans="1:33" ht="49.95" customHeight="1" x14ac:dyDescent="0.3">
      <c r="A518" s="2" t="s">
        <v>1657</v>
      </c>
      <c r="B518" s="1">
        <v>7246</v>
      </c>
      <c r="C518" s="1" t="s">
        <v>1746</v>
      </c>
      <c r="D518" s="1" t="s">
        <v>156</v>
      </c>
      <c r="E518" s="1" t="s">
        <v>352</v>
      </c>
      <c r="F518" s="1" t="s">
        <v>30</v>
      </c>
      <c r="G518" s="2">
        <v>0</v>
      </c>
      <c r="H518" s="14">
        <f>SUMIF(ENTRADAS71417[CÓDIGO],PRODUCTOS31316[[#This Row],[CÓDIGO]],ENTRADAS71417[CANTIDAD])</f>
        <v>0</v>
      </c>
      <c r="I518" s="11">
        <f>SUMIF(SALIDAS111518[CÓDIGO],PRODUCTOS31316[[#This Row],[CÓDIGO]],SALIDAS111518[CANTIDAD])</f>
        <v>0</v>
      </c>
      <c r="J518" s="6">
        <f>PRODUCTOS31316[[#This Row],[EXISTENCIAS]]+PRODUCTOS31316[[#This Row],[ENTRADAS]]-PRODUCTOS31316[[#This Row],[SALIDAS]]</f>
        <v>0</v>
      </c>
      <c r="L518" s="293" t="s">
        <v>3521</v>
      </c>
      <c r="M518" s="293" t="s">
        <v>3931</v>
      </c>
      <c r="N518" s="294" t="s">
        <v>4061</v>
      </c>
      <c r="O518" s="293" t="s">
        <v>2780</v>
      </c>
      <c r="P518" s="16">
        <v>46065</v>
      </c>
      <c r="Q518" s="293" t="s">
        <v>36</v>
      </c>
      <c r="R518" s="2">
        <f>VLOOKUP(SALIDAS111518[[#This Row],[CÓDIGO]],PRODUCTOS31316[],2,FALSE)</f>
        <v>1</v>
      </c>
      <c r="S518" s="1" t="str">
        <f>VLOOKUP(SALIDAS111518[[#This Row],[CÓDIGO]],PRODUCTOS31316[],3,FALSE)</f>
        <v xml:space="preserve">PARCHE ESTROTECT </v>
      </c>
      <c r="T518" s="2">
        <v>1</v>
      </c>
      <c r="U518" s="2">
        <v>249</v>
      </c>
      <c r="V518" s="2"/>
      <c r="W518" s="288"/>
      <c r="X518" s="2"/>
      <c r="Y518" s="7"/>
      <c r="Z518" s="2"/>
      <c r="AA518" s="1"/>
      <c r="AC518" s="2"/>
      <c r="AE518" s="1"/>
      <c r="AG518" s="2"/>
    </row>
    <row r="519" spans="1:33" ht="49.95" customHeight="1" x14ac:dyDescent="0.3">
      <c r="A519" s="2" t="s">
        <v>1515</v>
      </c>
      <c r="B519" s="1">
        <v>7240</v>
      </c>
      <c r="C519" s="1" t="s">
        <v>1746</v>
      </c>
      <c r="D519" s="1" t="s">
        <v>156</v>
      </c>
      <c r="E519" s="1" t="s">
        <v>352</v>
      </c>
      <c r="F519" s="1" t="s">
        <v>30</v>
      </c>
      <c r="G519" s="2">
        <v>0</v>
      </c>
      <c r="H519" s="14">
        <f>SUMIF(ENTRADAS71417[CÓDIGO],PRODUCTOS31316[[#This Row],[CÓDIGO]],ENTRADAS71417[CANTIDAD])</f>
        <v>0</v>
      </c>
      <c r="I519" s="11">
        <f>SUMIF(SALIDAS111518[CÓDIGO],PRODUCTOS31316[[#This Row],[CÓDIGO]],SALIDAS111518[CANTIDAD])</f>
        <v>0</v>
      </c>
      <c r="J519" s="6">
        <f>PRODUCTOS31316[[#This Row],[EXISTENCIAS]]+PRODUCTOS31316[[#This Row],[ENTRADAS]]-PRODUCTOS31316[[#This Row],[SALIDAS]]</f>
        <v>0</v>
      </c>
      <c r="L519" s="293" t="s">
        <v>3520</v>
      </c>
      <c r="M519" s="293" t="s">
        <v>3931</v>
      </c>
      <c r="N519" s="294" t="s">
        <v>4062</v>
      </c>
      <c r="O519" s="294" t="s">
        <v>2691</v>
      </c>
      <c r="P519" s="16">
        <v>46065</v>
      </c>
      <c r="Q519" s="293" t="s">
        <v>658</v>
      </c>
      <c r="R519" s="2">
        <f>VLOOKUP(SALIDAS111518[[#This Row],[CÓDIGO]],PRODUCTOS31316[],2,FALSE)</f>
        <v>0</v>
      </c>
      <c r="S519" s="1" t="str">
        <f>VLOOKUP(SALIDAS111518[[#This Row],[CÓDIGO]],PRODUCTOS31316[],3,FALSE)</f>
        <v>CATETER TALADRO TRANSPARENTE 18"</v>
      </c>
      <c r="T519" s="2">
        <v>2</v>
      </c>
      <c r="U519" s="2">
        <v>250</v>
      </c>
      <c r="V519" s="2"/>
      <c r="W519" s="288"/>
      <c r="X519" s="2"/>
      <c r="Y519" s="7"/>
      <c r="Z519" s="2"/>
      <c r="AA519" s="1"/>
      <c r="AC519" s="2"/>
      <c r="AE519" s="1"/>
      <c r="AG519" s="2"/>
    </row>
    <row r="520" spans="1:33" ht="49.95" customHeight="1" x14ac:dyDescent="0.3">
      <c r="A520" s="2" t="s">
        <v>1183</v>
      </c>
      <c r="B520" s="1">
        <v>190199062535</v>
      </c>
      <c r="C520" s="1" t="s">
        <v>1751</v>
      </c>
      <c r="D520" s="1" t="s">
        <v>1752</v>
      </c>
      <c r="E520" s="1" t="s">
        <v>1753</v>
      </c>
      <c r="F520" s="1" t="s">
        <v>30</v>
      </c>
      <c r="G520" s="2">
        <v>0</v>
      </c>
      <c r="H520" s="14">
        <f>SUMIF(ENTRADAS71417[CÓDIGO],PRODUCTOS31316[[#This Row],[CÓDIGO]],ENTRADAS71417[CANTIDAD])</f>
        <v>0</v>
      </c>
      <c r="I520" s="11">
        <f>SUMIF(SALIDAS111518[CÓDIGO],PRODUCTOS31316[[#This Row],[CÓDIGO]],SALIDAS111518[CANTIDAD])</f>
        <v>0</v>
      </c>
      <c r="J520" s="6">
        <f>PRODUCTOS31316[[#This Row],[EXISTENCIAS]]+PRODUCTOS31316[[#This Row],[ENTRADAS]]-PRODUCTOS31316[[#This Row],[SALIDAS]]</f>
        <v>0</v>
      </c>
      <c r="L520" s="293"/>
      <c r="M520" s="293"/>
      <c r="N520" s="276">
        <v>7867</v>
      </c>
      <c r="O520" s="294" t="s">
        <v>2691</v>
      </c>
      <c r="P520" s="16">
        <v>46065</v>
      </c>
      <c r="Q520" s="293" t="s">
        <v>741</v>
      </c>
      <c r="R520" s="2" t="str">
        <f>VLOOKUP(SALIDAS111518[[#This Row],[CÓDIGO]],PRODUCTOS31316[],2,FALSE)</f>
        <v>17209/1165</v>
      </c>
      <c r="S520" s="1" t="str">
        <f>VLOOKUP(SALIDAS111518[[#This Row],[CÓDIGO]],PRODUCTOS31316[],3,FALSE)</f>
        <v>PIPETA EQUINA 65CM</v>
      </c>
      <c r="T520" s="2">
        <v>3</v>
      </c>
      <c r="U520" s="2"/>
      <c r="V520" s="2"/>
      <c r="W520" s="288"/>
      <c r="X520" s="2"/>
      <c r="Y520" s="7"/>
      <c r="Z520" s="2"/>
      <c r="AA520" s="1"/>
      <c r="AC520" s="2"/>
      <c r="AE520" s="1"/>
      <c r="AG520" s="2"/>
    </row>
    <row r="521" spans="1:33" ht="49.95" customHeight="1" x14ac:dyDescent="0.3">
      <c r="A521" s="2" t="s">
        <v>1756</v>
      </c>
      <c r="B521" s="1" t="s">
        <v>1757</v>
      </c>
      <c r="C521" s="1" t="s">
        <v>1758</v>
      </c>
      <c r="D521" s="1" t="s">
        <v>1759</v>
      </c>
      <c r="E521" s="1" t="s">
        <v>957</v>
      </c>
      <c r="F521" s="1" t="s">
        <v>365</v>
      </c>
      <c r="G521" s="2">
        <v>0</v>
      </c>
      <c r="H521" s="14">
        <f>SUMIF(ENTRADAS71417[CÓDIGO],PRODUCTOS31316[[#This Row],[CÓDIGO]],ENTRADAS71417[CANTIDAD])</f>
        <v>0</v>
      </c>
      <c r="I521" s="11">
        <f>SUMIF(SALIDAS111518[CÓDIGO],PRODUCTOS31316[[#This Row],[CÓDIGO]],SALIDAS111518[CANTIDAD])</f>
        <v>0</v>
      </c>
      <c r="J521" s="6">
        <f>PRODUCTOS31316[[#This Row],[EXISTENCIAS]]+PRODUCTOS31316[[#This Row],[ENTRADAS]]-PRODUCTOS31316[[#This Row],[SALIDAS]]</f>
        <v>0</v>
      </c>
      <c r="L521" s="293" t="s">
        <v>3520</v>
      </c>
      <c r="M521" s="293" t="s">
        <v>3931</v>
      </c>
      <c r="N521" s="294" t="s">
        <v>4063</v>
      </c>
      <c r="O521" s="293" t="s">
        <v>3387</v>
      </c>
      <c r="P521" s="16">
        <v>46065</v>
      </c>
      <c r="Q521" s="293" t="s">
        <v>15</v>
      </c>
      <c r="R521" s="2" t="str">
        <f>VLOOKUP(SALIDAS111518[[#This Row],[CÓDIGO]],PRODUCTOS31316[],2,FALSE)</f>
        <v>BTE-025PT/ 504002</v>
      </c>
      <c r="S521" s="1" t="str">
        <f>VLOOKUP(SALIDAS111518[[#This Row],[CÓDIGO]],PRODUCTOS31316[],3,FALSE)</f>
        <v>FUNDAS PARA TRANSFERENCIA DE EMBRIONES</v>
      </c>
      <c r="T521" s="2">
        <v>10</v>
      </c>
      <c r="U521" s="2" t="s">
        <v>4057</v>
      </c>
      <c r="V521" s="2"/>
      <c r="W521" s="288"/>
      <c r="X521" s="2"/>
      <c r="Y521" s="7"/>
      <c r="Z521" s="2"/>
      <c r="AA521" s="1"/>
      <c r="AC521" s="2"/>
      <c r="AE521" s="1"/>
      <c r="AG521" s="2"/>
    </row>
    <row r="522" spans="1:33" ht="49.95" customHeight="1" x14ac:dyDescent="0.3">
      <c r="A522" s="2" t="s">
        <v>674</v>
      </c>
      <c r="C522" s="1" t="s">
        <v>1760</v>
      </c>
      <c r="D522" s="1" t="s">
        <v>568</v>
      </c>
      <c r="E522" s="1" t="s">
        <v>1761</v>
      </c>
      <c r="F522" s="1" t="s">
        <v>124</v>
      </c>
      <c r="G522" s="2">
        <v>0</v>
      </c>
      <c r="H522" s="14">
        <f>SUMIF(ENTRADAS71417[CÓDIGO],PRODUCTOS31316[[#This Row],[CÓDIGO]],ENTRADAS71417[CANTIDAD])</f>
        <v>0</v>
      </c>
      <c r="I522" s="11">
        <f>SUMIF(SALIDAS111518[CÓDIGO],PRODUCTOS31316[[#This Row],[CÓDIGO]],SALIDAS111518[CANTIDAD])</f>
        <v>0</v>
      </c>
      <c r="J522" s="6">
        <f>PRODUCTOS31316[[#This Row],[EXISTENCIAS]]+PRODUCTOS31316[[#This Row],[ENTRADAS]]-PRODUCTOS31316[[#This Row],[SALIDAS]]</f>
        <v>0</v>
      </c>
      <c r="L522" s="293"/>
      <c r="M522" s="293"/>
      <c r="N522" s="276">
        <v>7868</v>
      </c>
      <c r="O522" s="326" t="s">
        <v>3387</v>
      </c>
      <c r="P522" s="16">
        <v>46065</v>
      </c>
      <c r="Q522" s="293" t="s">
        <v>1779</v>
      </c>
      <c r="R522" s="2">
        <f>VLOOKUP(SALIDAS111518[[#This Row],[CÓDIGO]],PRODUCTOS31316[],2,FALSE)</f>
        <v>5563</v>
      </c>
      <c r="S522" s="1" t="str">
        <f>VLOOKUP(SALIDAS111518[[#This Row],[CÓDIGO]],PRODUCTOS31316[],3,FALSE)</f>
        <v>CAMISA SANITARIA ROLLO X 80</v>
      </c>
      <c r="T522" s="2">
        <v>1</v>
      </c>
      <c r="U522" s="2"/>
      <c r="V522" s="2"/>
      <c r="W522" s="288"/>
      <c r="X522" s="2"/>
      <c r="Y522" s="7"/>
      <c r="Z522" s="2"/>
      <c r="AA522" s="1"/>
      <c r="AC522" s="2"/>
      <c r="AE522" s="1"/>
      <c r="AG522" s="2"/>
    </row>
    <row r="523" spans="1:33" ht="49.95" customHeight="1" x14ac:dyDescent="0.3">
      <c r="A523" s="2" t="s">
        <v>1765</v>
      </c>
      <c r="B523" s="1">
        <v>41309501</v>
      </c>
      <c r="C523" s="1" t="s">
        <v>1766</v>
      </c>
      <c r="D523" s="1" t="s">
        <v>1767</v>
      </c>
      <c r="E523" s="1" t="s">
        <v>1768</v>
      </c>
      <c r="F523" s="1" t="s">
        <v>30</v>
      </c>
      <c r="G523" s="2">
        <v>0</v>
      </c>
      <c r="H523" s="14">
        <f>SUMIF(ENTRADAS71417[CÓDIGO],PRODUCTOS31316[[#This Row],[CÓDIGO]],ENTRADAS71417[CANTIDAD])</f>
        <v>0</v>
      </c>
      <c r="I523" s="11">
        <f>SUMIF(SALIDAS111518[CÓDIGO],PRODUCTOS31316[[#This Row],[CÓDIGO]],SALIDAS111518[CANTIDAD])</f>
        <v>0</v>
      </c>
      <c r="J523" s="6">
        <f>PRODUCTOS31316[[#This Row],[EXISTENCIAS]]+PRODUCTOS31316[[#This Row],[ENTRADAS]]-PRODUCTOS31316[[#This Row],[SALIDAS]]</f>
        <v>0</v>
      </c>
      <c r="L523" s="293"/>
      <c r="M523" s="293"/>
      <c r="N523" s="294" t="s">
        <v>4067</v>
      </c>
      <c r="O523" s="293" t="s">
        <v>3459</v>
      </c>
      <c r="P523" s="16">
        <v>46065</v>
      </c>
      <c r="Q523" s="293" t="s">
        <v>2405</v>
      </c>
      <c r="R523" s="2">
        <f>VLOOKUP(SALIDAS111518[[#This Row],[CÓDIGO]],PRODUCTOS31316[],2,FALSE)</f>
        <v>20898</v>
      </c>
      <c r="S523" s="1" t="str">
        <f>VLOOKUP(SALIDAS111518[[#This Row],[CÓDIGO]],PRODUCTOS31316[],3,FALSE)</f>
        <v>TERMO DESCONGELADOR DE SEMEN DE EMBRIONES ROSADO</v>
      </c>
      <c r="T523" s="2">
        <v>1</v>
      </c>
      <c r="U523" s="2">
        <v>252</v>
      </c>
      <c r="V523" s="2"/>
      <c r="W523" s="288"/>
      <c r="X523" s="2"/>
      <c r="Y523" s="7"/>
      <c r="Z523" s="2"/>
      <c r="AA523" s="1"/>
      <c r="AC523" s="2"/>
      <c r="AE523" s="1"/>
      <c r="AG523" s="2"/>
    </row>
    <row r="524" spans="1:33" ht="49.95" customHeight="1" x14ac:dyDescent="0.3">
      <c r="A524" s="2" t="s">
        <v>109</v>
      </c>
      <c r="B524" s="1">
        <v>20920</v>
      </c>
      <c r="C524" s="1" t="s">
        <v>1769</v>
      </c>
      <c r="D524" s="1" t="s">
        <v>442</v>
      </c>
      <c r="E524" s="1" t="s">
        <v>442</v>
      </c>
      <c r="F524" s="1" t="s">
        <v>30</v>
      </c>
      <c r="G524" s="2">
        <v>0</v>
      </c>
      <c r="H524" s="14">
        <f>SUMIF(ENTRADAS71417[CÓDIGO],PRODUCTOS31316[[#This Row],[CÓDIGO]],ENTRADAS71417[CANTIDAD])</f>
        <v>0</v>
      </c>
      <c r="I524" s="11">
        <f>SUMIF(SALIDAS111518[CÓDIGO],PRODUCTOS31316[[#This Row],[CÓDIGO]],SALIDAS111518[CANTIDAD])</f>
        <v>0</v>
      </c>
      <c r="J524" s="6">
        <f>PRODUCTOS31316[[#This Row],[EXISTENCIAS]]+PRODUCTOS31316[[#This Row],[ENTRADAS]]-PRODUCTOS31316[[#This Row],[SALIDAS]]</f>
        <v>0</v>
      </c>
      <c r="L524" s="293" t="s">
        <v>3520</v>
      </c>
      <c r="M524" s="293" t="s">
        <v>3931</v>
      </c>
      <c r="N524" s="294" t="s">
        <v>4064</v>
      </c>
      <c r="O524" s="293" t="s">
        <v>2195</v>
      </c>
      <c r="P524" s="16">
        <v>46065</v>
      </c>
      <c r="Q524" s="293" t="s">
        <v>36</v>
      </c>
      <c r="R524" s="2">
        <f>VLOOKUP(SALIDAS111518[[#This Row],[CÓDIGO]],PRODUCTOS31316[],2,FALSE)</f>
        <v>1</v>
      </c>
      <c r="S524" s="1" t="str">
        <f>VLOOKUP(SALIDAS111518[[#This Row],[CÓDIGO]],PRODUCTOS31316[],3,FALSE)</f>
        <v xml:space="preserve">PARCHE ESTROTECT </v>
      </c>
      <c r="T524" s="2">
        <v>2</v>
      </c>
      <c r="U524" s="2">
        <v>254</v>
      </c>
      <c r="V524" s="2"/>
      <c r="W524" s="288"/>
      <c r="X524" s="2"/>
      <c r="Y524" s="7"/>
      <c r="Z524" s="2"/>
      <c r="AA524" s="1"/>
      <c r="AC524" s="2"/>
      <c r="AE524" s="1"/>
      <c r="AG524" s="2"/>
    </row>
    <row r="525" spans="1:33" ht="49.95" customHeight="1" x14ac:dyDescent="0.3">
      <c r="A525" s="2" t="s">
        <v>57</v>
      </c>
      <c r="B525" s="1">
        <v>20931</v>
      </c>
      <c r="C525" s="133" t="s">
        <v>1770</v>
      </c>
      <c r="D525" s="1" t="s">
        <v>442</v>
      </c>
      <c r="E525" s="1" t="s">
        <v>442</v>
      </c>
      <c r="F525" s="1" t="s">
        <v>30</v>
      </c>
      <c r="G525" s="2">
        <v>0</v>
      </c>
      <c r="H525" s="14">
        <f>SUMIF(ENTRADAS71417[CÓDIGO],PRODUCTOS31316[[#This Row],[CÓDIGO]],ENTRADAS71417[CANTIDAD])</f>
        <v>0</v>
      </c>
      <c r="I525" s="11">
        <f>SUMIF(SALIDAS111518[CÓDIGO],PRODUCTOS31316[[#This Row],[CÓDIGO]],SALIDAS111518[CANTIDAD])</f>
        <v>0</v>
      </c>
      <c r="J525" s="6">
        <f>PRODUCTOS31316[[#This Row],[EXISTENCIAS]]+PRODUCTOS31316[[#This Row],[ENTRADAS]]-PRODUCTOS31316[[#This Row],[SALIDAS]]</f>
        <v>0</v>
      </c>
      <c r="L525" s="293" t="s">
        <v>3521</v>
      </c>
      <c r="M525" s="293" t="s">
        <v>3931</v>
      </c>
      <c r="N525" s="294" t="s">
        <v>4065</v>
      </c>
      <c r="O525" s="293" t="s">
        <v>4058</v>
      </c>
      <c r="P525" s="16">
        <v>46065</v>
      </c>
      <c r="Q525" s="293" t="s">
        <v>36</v>
      </c>
      <c r="R525" s="2">
        <f>VLOOKUP(SALIDAS111518[[#This Row],[CÓDIGO]],PRODUCTOS31316[],2,FALSE)</f>
        <v>1</v>
      </c>
      <c r="S525" s="1" t="str">
        <f>VLOOKUP(SALIDAS111518[[#This Row],[CÓDIGO]],PRODUCTOS31316[],3,FALSE)</f>
        <v xml:space="preserve">PARCHE ESTROTECT </v>
      </c>
      <c r="T525" s="2">
        <v>2</v>
      </c>
      <c r="U525" s="2">
        <v>253</v>
      </c>
      <c r="V525" s="2"/>
      <c r="W525" s="288"/>
      <c r="X525" s="2"/>
      <c r="Y525" s="7"/>
      <c r="Z525" s="2"/>
      <c r="AA525" s="1"/>
      <c r="AC525" s="2"/>
      <c r="AE525" s="1"/>
      <c r="AG525" s="2"/>
    </row>
    <row r="526" spans="1:33" ht="49.95" customHeight="1" x14ac:dyDescent="0.3">
      <c r="A526" s="2" t="s">
        <v>1771</v>
      </c>
      <c r="B526" s="78" t="s">
        <v>2878</v>
      </c>
      <c r="C526" s="216" t="s">
        <v>2879</v>
      </c>
      <c r="D526" s="1" t="s">
        <v>1772</v>
      </c>
      <c r="E526" s="1" t="s">
        <v>352</v>
      </c>
      <c r="F526" s="1" t="s">
        <v>30</v>
      </c>
      <c r="G526" s="2">
        <v>1</v>
      </c>
      <c r="H526" s="14">
        <f>SUMIF(ENTRADAS71417[CÓDIGO],PRODUCTOS31316[[#This Row],[CÓDIGO]],ENTRADAS71417[CANTIDAD])</f>
        <v>0</v>
      </c>
      <c r="I526" s="11">
        <f>SUMIF(SALIDAS111518[CÓDIGO],PRODUCTOS31316[[#This Row],[CÓDIGO]],SALIDAS111518[CANTIDAD])</f>
        <v>1</v>
      </c>
      <c r="J526" s="6">
        <f>PRODUCTOS31316[[#This Row],[EXISTENCIAS]]+PRODUCTOS31316[[#This Row],[ENTRADAS]]-PRODUCTOS31316[[#This Row],[SALIDAS]]</f>
        <v>0</v>
      </c>
      <c r="L526" s="293" t="s">
        <v>3520</v>
      </c>
      <c r="M526" s="293" t="s">
        <v>3931</v>
      </c>
      <c r="N526" s="294" t="s">
        <v>4066</v>
      </c>
      <c r="O526" s="293" t="s">
        <v>3374</v>
      </c>
      <c r="P526" s="16">
        <v>46065</v>
      </c>
      <c r="Q526" s="293" t="s">
        <v>658</v>
      </c>
      <c r="R526" s="2">
        <f>VLOOKUP(SALIDAS111518[[#This Row],[CÓDIGO]],PRODUCTOS31316[],2,FALSE)</f>
        <v>0</v>
      </c>
      <c r="S526" s="1" t="str">
        <f>VLOOKUP(SALIDAS111518[[#This Row],[CÓDIGO]],PRODUCTOS31316[],3,FALSE)</f>
        <v>CATETER TALADRO TRANSPARENTE 18"</v>
      </c>
      <c r="T526" s="2">
        <v>1</v>
      </c>
      <c r="U526" s="2">
        <v>255</v>
      </c>
      <c r="V526" s="2"/>
      <c r="W526" s="288"/>
      <c r="X526" s="2"/>
      <c r="Y526" s="7"/>
      <c r="Z526" s="2"/>
      <c r="AA526" s="1"/>
      <c r="AC526" s="2"/>
      <c r="AE526" s="1"/>
      <c r="AG526" s="2"/>
    </row>
    <row r="527" spans="1:33" ht="49.95" customHeight="1" x14ac:dyDescent="0.3">
      <c r="A527" s="2" t="s">
        <v>32</v>
      </c>
      <c r="B527" s="1" t="s">
        <v>1775</v>
      </c>
      <c r="C527" s="1" t="s">
        <v>1776</v>
      </c>
      <c r="E527" s="1" t="s">
        <v>1735</v>
      </c>
      <c r="F527" s="1" t="s">
        <v>30</v>
      </c>
      <c r="G527" s="2">
        <v>2</v>
      </c>
      <c r="H527" s="14">
        <f>SUMIF(ENTRADAS71417[CÓDIGO],PRODUCTOS31316[[#This Row],[CÓDIGO]],ENTRADAS71417[CANTIDAD])</f>
        <v>2</v>
      </c>
      <c r="I527" s="11">
        <f>SUMIF(SALIDAS111518[CÓDIGO],PRODUCTOS31316[[#This Row],[CÓDIGO]],SALIDAS111518[CANTIDAD])</f>
        <v>2</v>
      </c>
      <c r="J527" s="6">
        <f>PRODUCTOS31316[[#This Row],[EXISTENCIAS]]+PRODUCTOS31316[[#This Row],[ENTRADAS]]-PRODUCTOS31316[[#This Row],[SALIDAS]]</f>
        <v>2</v>
      </c>
      <c r="L527" s="293"/>
      <c r="M527" s="293"/>
      <c r="N527" s="276">
        <v>7871</v>
      </c>
      <c r="O527" s="293" t="s">
        <v>3374</v>
      </c>
      <c r="P527" s="16">
        <v>46065</v>
      </c>
      <c r="Q527" s="293" t="s">
        <v>1779</v>
      </c>
      <c r="R527" s="2">
        <f>VLOOKUP(SALIDAS111518[[#This Row],[CÓDIGO]],PRODUCTOS31316[],2,FALSE)</f>
        <v>5563</v>
      </c>
      <c r="S527" s="1" t="str">
        <f>VLOOKUP(SALIDAS111518[[#This Row],[CÓDIGO]],PRODUCTOS31316[],3,FALSE)</f>
        <v>CAMISA SANITARIA ROLLO X 80</v>
      </c>
      <c r="T527" s="2">
        <v>1</v>
      </c>
      <c r="U527" s="2"/>
      <c r="V527" s="2"/>
      <c r="W527" s="288"/>
      <c r="X527" s="2"/>
      <c r="Y527" s="7"/>
      <c r="Z527" s="2"/>
      <c r="AA527" s="1"/>
      <c r="AC527" s="2"/>
      <c r="AE527" s="1"/>
      <c r="AG527" s="2"/>
    </row>
    <row r="528" spans="1:33" ht="49.95" customHeight="1" x14ac:dyDescent="0.3">
      <c r="A528" s="2" t="s">
        <v>919</v>
      </c>
      <c r="B528" s="1">
        <v>680</v>
      </c>
      <c r="C528" s="1" t="s">
        <v>1773</v>
      </c>
      <c r="D528" s="1" t="s">
        <v>1774</v>
      </c>
      <c r="E528" s="1" t="s">
        <v>410</v>
      </c>
      <c r="F528" s="1" t="s">
        <v>30</v>
      </c>
      <c r="G528" s="2">
        <v>2</v>
      </c>
      <c r="H528" s="14">
        <f>SUMIF(ENTRADAS71417[CÓDIGO],PRODUCTOS31316[[#This Row],[CÓDIGO]],ENTRADAS71417[CANTIDAD])</f>
        <v>0</v>
      </c>
      <c r="I528" s="11">
        <f>SUMIF(SALIDAS111518[CÓDIGO],PRODUCTOS31316[[#This Row],[CÓDIGO]],SALIDAS111518[CANTIDAD])</f>
        <v>0</v>
      </c>
      <c r="J528" s="6">
        <f>PRODUCTOS31316[[#This Row],[EXISTENCIAS]]+PRODUCTOS31316[[#This Row],[ENTRADAS]]-PRODUCTOS31316[[#This Row],[SALIDAS]]</f>
        <v>2</v>
      </c>
      <c r="L528" s="293" t="s">
        <v>3520</v>
      </c>
      <c r="M528" s="293" t="s">
        <v>3931</v>
      </c>
      <c r="N528" s="294" t="s">
        <v>4073</v>
      </c>
      <c r="O528" s="294" t="s">
        <v>2383</v>
      </c>
      <c r="P528" s="16">
        <v>46066</v>
      </c>
      <c r="Q528" s="293" t="s">
        <v>104</v>
      </c>
      <c r="R528" s="2">
        <f>VLOOKUP(SALIDAS111518[[#This Row],[CÓDIGO]],PRODUCTOS31316[],2,FALSE)</f>
        <v>0</v>
      </c>
      <c r="S528" s="1" t="str">
        <f>VLOOKUP(SALIDAS111518[[#This Row],[CÓDIGO]],PRODUCTOS31316[],3,FALSE)</f>
        <v>ISPERM CHIPS (500 TESTS PER BOX) PAQ. X 50 UND</v>
      </c>
      <c r="T528" s="2">
        <v>2</v>
      </c>
      <c r="U528" s="2">
        <v>257</v>
      </c>
      <c r="V528" s="2"/>
      <c r="W528" s="288"/>
      <c r="X528" s="2"/>
      <c r="Y528" s="7"/>
      <c r="Z528" s="2"/>
      <c r="AA528" s="1"/>
      <c r="AC528" s="2"/>
      <c r="AE528" s="1"/>
      <c r="AG528" s="2"/>
    </row>
    <row r="529" spans="1:33" ht="49.95" customHeight="1" x14ac:dyDescent="0.3">
      <c r="A529" s="2" t="s">
        <v>1777</v>
      </c>
      <c r="B529" s="1">
        <v>683</v>
      </c>
      <c r="C529" s="1" t="s">
        <v>1778</v>
      </c>
      <c r="D529" s="1" t="s">
        <v>1774</v>
      </c>
      <c r="E529" s="1" t="s">
        <v>410</v>
      </c>
      <c r="F529" s="1" t="s">
        <v>30</v>
      </c>
      <c r="G529" s="2">
        <v>0</v>
      </c>
      <c r="H529" s="14">
        <f>SUMIF(ENTRADAS71417[CÓDIGO],PRODUCTOS31316[[#This Row],[CÓDIGO]],ENTRADAS71417[CANTIDAD])</f>
        <v>0</v>
      </c>
      <c r="I529" s="11">
        <f>SUMIF(SALIDAS111518[CÓDIGO],PRODUCTOS31316[[#This Row],[CÓDIGO]],SALIDAS111518[CANTIDAD])</f>
        <v>0</v>
      </c>
      <c r="J529" s="6">
        <f>PRODUCTOS31316[[#This Row],[EXISTENCIAS]]+PRODUCTOS31316[[#This Row],[ENTRADAS]]-PRODUCTOS31316[[#This Row],[SALIDAS]]</f>
        <v>0</v>
      </c>
      <c r="L529" s="293"/>
      <c r="M529" s="293"/>
      <c r="N529" s="276">
        <v>7874</v>
      </c>
      <c r="O529" s="294" t="s">
        <v>2383</v>
      </c>
      <c r="P529" s="16">
        <v>46066</v>
      </c>
      <c r="Q529" s="293" t="s">
        <v>658</v>
      </c>
      <c r="R529" s="2">
        <f>VLOOKUP(SALIDAS111518[[#This Row],[CÓDIGO]],PRODUCTOS31316[],2,FALSE)</f>
        <v>0</v>
      </c>
      <c r="S529" s="1" t="str">
        <f>VLOOKUP(SALIDAS111518[[#This Row],[CÓDIGO]],PRODUCTOS31316[],3,FALSE)</f>
        <v>CATETER TALADRO TRANSPARENTE 18"</v>
      </c>
      <c r="T529" s="2">
        <v>3</v>
      </c>
      <c r="U529" s="2"/>
      <c r="V529" s="2"/>
      <c r="W529" s="288"/>
      <c r="X529" s="2"/>
      <c r="Y529" s="7"/>
      <c r="Z529" s="2"/>
      <c r="AA529" s="1"/>
      <c r="AC529" s="2"/>
      <c r="AE529" s="1"/>
      <c r="AG529" s="2"/>
    </row>
    <row r="530" spans="1:33" ht="49.95" customHeight="1" x14ac:dyDescent="0.3">
      <c r="A530" s="2" t="s">
        <v>519</v>
      </c>
      <c r="B530" s="1">
        <v>1976</v>
      </c>
      <c r="C530" s="1" t="s">
        <v>1781</v>
      </c>
      <c r="D530" s="1" t="s">
        <v>429</v>
      </c>
      <c r="E530" s="1" t="s">
        <v>410</v>
      </c>
      <c r="F530" s="1" t="s">
        <v>30</v>
      </c>
      <c r="G530" s="2">
        <v>0</v>
      </c>
      <c r="H530" s="14">
        <f>SUMIF(ENTRADAS71417[CÓDIGO],PRODUCTOS31316[[#This Row],[CÓDIGO]],ENTRADAS71417[CANTIDAD])</f>
        <v>0</v>
      </c>
      <c r="I530" s="11">
        <f>SUMIF(SALIDAS111518[CÓDIGO],PRODUCTOS31316[[#This Row],[CÓDIGO]],SALIDAS111518[CANTIDAD])</f>
        <v>0</v>
      </c>
      <c r="J530" s="6">
        <f>PRODUCTOS31316[[#This Row],[EXISTENCIAS]]+PRODUCTOS31316[[#This Row],[ENTRADAS]]-PRODUCTOS31316[[#This Row],[SALIDAS]]</f>
        <v>0</v>
      </c>
      <c r="L530" s="293"/>
      <c r="M530" s="293"/>
      <c r="N530" s="276">
        <v>7874</v>
      </c>
      <c r="O530" s="294" t="s">
        <v>2383</v>
      </c>
      <c r="P530" s="16">
        <v>46066</v>
      </c>
      <c r="Q530" s="293" t="s">
        <v>167</v>
      </c>
      <c r="R530" s="2" t="str">
        <f>VLOOKUP(SALIDAS111518[[#This Row],[CÓDIGO]],PRODUCTOS31316[],2,FALSE)</f>
        <v>50050-1</v>
      </c>
      <c r="S530" s="1" t="str">
        <f>VLOOKUP(SALIDAS111518[[#This Row],[CÓDIGO]],PRODUCTOS31316[],3,FALSE)</f>
        <v>TUBO CONICO PLUG, AUTOCLAVABLE ESTERIL  TAPA ROSCA DE 50 ML</v>
      </c>
      <c r="T530" s="2">
        <v>1</v>
      </c>
      <c r="U530" s="2"/>
      <c r="V530" s="2"/>
      <c r="W530" s="288"/>
      <c r="X530" s="2"/>
      <c r="Y530" s="7"/>
      <c r="Z530" s="2"/>
      <c r="AA530" s="1"/>
      <c r="AC530" s="2"/>
      <c r="AE530" s="1"/>
      <c r="AG530" s="2"/>
    </row>
    <row r="531" spans="1:33" ht="49.95" customHeight="1" x14ac:dyDescent="0.3">
      <c r="A531" s="2" t="s">
        <v>1784</v>
      </c>
      <c r="B531" s="1">
        <v>1521</v>
      </c>
      <c r="C531" s="1" t="s">
        <v>1785</v>
      </c>
      <c r="D531" s="1" t="s">
        <v>1786</v>
      </c>
      <c r="E531" s="1" t="s">
        <v>410</v>
      </c>
      <c r="F531" s="1" t="s">
        <v>30</v>
      </c>
      <c r="G531" s="2">
        <v>0</v>
      </c>
      <c r="H531" s="14">
        <f>SUMIF(ENTRADAS71417[CÓDIGO],PRODUCTOS31316[[#This Row],[CÓDIGO]],ENTRADAS71417[CANTIDAD])</f>
        <v>0</v>
      </c>
      <c r="I531" s="11">
        <f>SUMIF(SALIDAS111518[CÓDIGO],PRODUCTOS31316[[#This Row],[CÓDIGO]],SALIDAS111518[CANTIDAD])</f>
        <v>0</v>
      </c>
      <c r="J531" s="6">
        <f>PRODUCTOS31316[[#This Row],[EXISTENCIAS]]+PRODUCTOS31316[[#This Row],[ENTRADAS]]-PRODUCTOS31316[[#This Row],[SALIDAS]]</f>
        <v>0</v>
      </c>
      <c r="L531" s="293"/>
      <c r="M531" s="293"/>
      <c r="N531" s="276">
        <v>7874</v>
      </c>
      <c r="O531" s="294" t="s">
        <v>2383</v>
      </c>
      <c r="P531" s="16">
        <v>46066</v>
      </c>
      <c r="Q531" s="293" t="s">
        <v>683</v>
      </c>
      <c r="R531" s="2">
        <f>VLOOKUP(SALIDAS111518[[#This Row],[CÓDIGO]],PRODUCTOS31316[],2,FALSE)</f>
        <v>109304</v>
      </c>
      <c r="S531" s="1" t="str">
        <f>VLOOKUP(SALIDAS111518[[#This Row],[CÓDIGO]],PRODUCTOS31316[],3,FALSE)</f>
        <v>EOSINA- NIGROSINA</v>
      </c>
      <c r="T531" s="2">
        <v>1</v>
      </c>
      <c r="U531" s="2"/>
      <c r="V531" s="2"/>
      <c r="W531" s="288"/>
      <c r="X531" s="2"/>
      <c r="Y531" s="7"/>
      <c r="Z531" s="2"/>
      <c r="AA531" s="1"/>
      <c r="AC531" s="2"/>
      <c r="AE531" s="1"/>
      <c r="AG531" s="2"/>
    </row>
    <row r="532" spans="1:33" ht="49.95" customHeight="1" x14ac:dyDescent="0.3">
      <c r="A532" s="2" t="s">
        <v>1787</v>
      </c>
      <c r="B532" s="1">
        <v>11262</v>
      </c>
      <c r="C532" s="1" t="s">
        <v>1788</v>
      </c>
      <c r="E532" s="1" t="s">
        <v>340</v>
      </c>
      <c r="F532" s="1" t="s">
        <v>30</v>
      </c>
      <c r="G532" s="2">
        <v>0</v>
      </c>
      <c r="H532" s="14">
        <f>SUMIF(ENTRADAS71417[CÓDIGO],PRODUCTOS31316[[#This Row],[CÓDIGO]],ENTRADAS71417[CANTIDAD])</f>
        <v>0</v>
      </c>
      <c r="I532" s="11">
        <f>SUMIF(SALIDAS111518[CÓDIGO],PRODUCTOS31316[[#This Row],[CÓDIGO]],SALIDAS111518[CANTIDAD])</f>
        <v>0</v>
      </c>
      <c r="J532" s="6">
        <f>PRODUCTOS31316[[#This Row],[EXISTENCIAS]]+PRODUCTOS31316[[#This Row],[ENTRADAS]]-PRODUCTOS31316[[#This Row],[SALIDAS]]</f>
        <v>0</v>
      </c>
      <c r="L532" s="293" t="s">
        <v>3521</v>
      </c>
      <c r="M532" s="293" t="s">
        <v>3931</v>
      </c>
      <c r="N532" s="293" t="s">
        <v>4071</v>
      </c>
      <c r="O532" s="293" t="s">
        <v>4070</v>
      </c>
      <c r="P532" s="16">
        <v>46065</v>
      </c>
      <c r="Q532" s="294" t="s">
        <v>2697</v>
      </c>
      <c r="R532" s="2" t="e">
        <f>VLOOKUP(SALIDAS111518[[#This Row],[CÓDIGO]],PRODUCTOS31316[],2,FALSE)</f>
        <v>#N/A</v>
      </c>
      <c r="S532" s="1" t="e">
        <f>VLOOKUP(SALIDAS111518[[#This Row],[CÓDIGO]],PRODUCTOS31316[],3,FALSE)</f>
        <v>#N/A</v>
      </c>
      <c r="T532" s="2">
        <v>1</v>
      </c>
      <c r="U532" s="2"/>
      <c r="V532" s="2"/>
      <c r="W532" s="288"/>
      <c r="X532" s="2"/>
      <c r="Y532" s="7"/>
      <c r="Z532" s="2"/>
      <c r="AA532" s="1"/>
      <c r="AC532" s="2"/>
      <c r="AE532" s="1"/>
      <c r="AG532" s="2"/>
    </row>
    <row r="533" spans="1:33" ht="49.95" customHeight="1" x14ac:dyDescent="0.3">
      <c r="A533" s="2" t="s">
        <v>491</v>
      </c>
      <c r="B533" s="1">
        <v>25867</v>
      </c>
      <c r="C533" s="1" t="s">
        <v>1789</v>
      </c>
      <c r="D533" s="1" t="s">
        <v>442</v>
      </c>
      <c r="E533" s="1" t="s">
        <v>442</v>
      </c>
      <c r="F533" s="1" t="s">
        <v>30</v>
      </c>
      <c r="G533" s="2">
        <v>0</v>
      </c>
      <c r="H533" s="14">
        <f>SUMIF(ENTRADAS71417[CÓDIGO],PRODUCTOS31316[[#This Row],[CÓDIGO]],ENTRADAS71417[CANTIDAD])</f>
        <v>0</v>
      </c>
      <c r="I533" s="11">
        <f>SUMIF(SALIDAS111518[CÓDIGO],PRODUCTOS31316[[#This Row],[CÓDIGO]],SALIDAS111518[CANTIDAD])</f>
        <v>0</v>
      </c>
      <c r="J533" s="6">
        <f>PRODUCTOS31316[[#This Row],[EXISTENCIAS]]+PRODUCTOS31316[[#This Row],[ENTRADAS]]-PRODUCTOS31316[[#This Row],[SALIDAS]]</f>
        <v>0</v>
      </c>
      <c r="L533" s="293" t="s">
        <v>3520</v>
      </c>
      <c r="M533" s="293" t="s">
        <v>3931</v>
      </c>
      <c r="N533" s="294" t="s">
        <v>4074</v>
      </c>
      <c r="O533" s="293" t="s">
        <v>4072</v>
      </c>
      <c r="P533" s="16">
        <v>46066</v>
      </c>
      <c r="Q533" s="293" t="s">
        <v>273</v>
      </c>
      <c r="R533" s="2">
        <f>VLOOKUP(SALIDAS111518[[#This Row],[CÓDIGO]],PRODUCTOS31316[],2,FALSE)</f>
        <v>1003514</v>
      </c>
      <c r="S533" s="1" t="str">
        <f>VLOOKUP(SALIDAS111518[[#This Row],[CÓDIGO]],PRODUCTOS31316[],3,FALSE)</f>
        <v>JALEA CONDUCTIVA (GEL ULTRASONICO) GALON X 3785 ML AZUL</v>
      </c>
      <c r="T533" s="2">
        <v>1</v>
      </c>
      <c r="U533" s="2">
        <v>258</v>
      </c>
      <c r="V533" s="2"/>
      <c r="W533" s="288"/>
      <c r="X533" s="2"/>
      <c r="Y533" s="7"/>
      <c r="Z533" s="2"/>
      <c r="AA533" s="1"/>
      <c r="AC533" s="2"/>
      <c r="AE533" s="1"/>
      <c r="AG533" s="2"/>
    </row>
    <row r="534" spans="1:33" ht="49.95" customHeight="1" x14ac:dyDescent="0.3">
      <c r="A534" s="2" t="s">
        <v>80</v>
      </c>
      <c r="B534" s="1" t="s">
        <v>1790</v>
      </c>
      <c r="C534" s="1" t="s">
        <v>1791</v>
      </c>
      <c r="D534" s="1" t="s">
        <v>171</v>
      </c>
      <c r="E534" s="1" t="s">
        <v>957</v>
      </c>
      <c r="F534" s="1" t="s">
        <v>184</v>
      </c>
      <c r="G534" s="2">
        <v>0</v>
      </c>
      <c r="H534" s="14">
        <f>SUMIF(ENTRADAS71417[CÓDIGO],PRODUCTOS31316[[#This Row],[CÓDIGO]],ENTRADAS71417[CANTIDAD])</f>
        <v>0</v>
      </c>
      <c r="I534" s="11">
        <f>SUMIF(SALIDAS111518[CÓDIGO],PRODUCTOS31316[[#This Row],[CÓDIGO]],SALIDAS111518[CANTIDAD])</f>
        <v>0</v>
      </c>
      <c r="J534" s="6">
        <f>PRODUCTOS31316[[#This Row],[EXISTENCIAS]]+PRODUCTOS31316[[#This Row],[ENTRADAS]]-PRODUCTOS31316[[#This Row],[SALIDAS]]</f>
        <v>0</v>
      </c>
      <c r="L534" s="288"/>
      <c r="M534" s="288"/>
      <c r="N534" s="293" t="s">
        <v>147</v>
      </c>
      <c r="O534" s="295" t="s">
        <v>4086</v>
      </c>
      <c r="P534" s="16">
        <v>46064</v>
      </c>
      <c r="Q534" s="293" t="s">
        <v>2433</v>
      </c>
      <c r="R534" s="2">
        <f>VLOOKUP(SALIDAS111518[[#This Row],[CÓDIGO]],PRODUCTOS31316[],2,FALSE)</f>
        <v>0</v>
      </c>
      <c r="S534" s="1" t="str">
        <f>VLOOKUP(SALIDAS111518[[#This Row],[CÓDIGO]],PRODUCTOS31316[],3,FALSE)</f>
        <v>SONDA LINEAL RECTAL DAWEI</v>
      </c>
      <c r="T534" s="2">
        <v>1</v>
      </c>
      <c r="U534" s="2"/>
      <c r="V534" s="2"/>
      <c r="W534" s="288"/>
      <c r="X534" s="2"/>
      <c r="Y534" s="7"/>
      <c r="Z534" s="2"/>
      <c r="AA534" s="1"/>
      <c r="AC534" s="2"/>
      <c r="AE534" s="1"/>
      <c r="AG534" s="2"/>
    </row>
    <row r="535" spans="1:33" ht="49.95" customHeight="1" x14ac:dyDescent="0.3">
      <c r="A535" s="2" t="s">
        <v>85</v>
      </c>
      <c r="B535" s="1">
        <v>5546</v>
      </c>
      <c r="C535" s="1" t="s">
        <v>1074</v>
      </c>
      <c r="D535" s="1" t="s">
        <v>156</v>
      </c>
      <c r="E535" s="1" t="s">
        <v>1395</v>
      </c>
      <c r="F535" s="1" t="s">
        <v>68</v>
      </c>
      <c r="G535" s="2">
        <v>0</v>
      </c>
      <c r="H535" s="14">
        <f>SUMIF(ENTRADAS71417[CÓDIGO],PRODUCTOS31316[[#This Row],[CÓDIGO]],ENTRADAS71417[CANTIDAD])</f>
        <v>0</v>
      </c>
      <c r="I535" s="11">
        <f>SUMIF(SALIDAS111518[CÓDIGO],PRODUCTOS31316[[#This Row],[CÓDIGO]],SALIDAS111518[CANTIDAD])</f>
        <v>0</v>
      </c>
      <c r="J535" s="6">
        <f>PRODUCTOS31316[[#This Row],[EXISTENCIAS]]+PRODUCTOS31316[[#This Row],[ENTRADAS]]-PRODUCTOS31316[[#This Row],[SALIDAS]]</f>
        <v>0</v>
      </c>
      <c r="L535" s="293" t="s">
        <v>3520</v>
      </c>
      <c r="M535" s="293" t="s">
        <v>3931</v>
      </c>
      <c r="N535" s="296" t="s">
        <v>4089</v>
      </c>
      <c r="O535" s="293" t="s">
        <v>2849</v>
      </c>
      <c r="P535" s="16">
        <v>46069</v>
      </c>
      <c r="Q535" s="293" t="s">
        <v>15</v>
      </c>
      <c r="R535" s="2" t="str">
        <f>VLOOKUP(SALIDAS111518[[#This Row],[CÓDIGO]],PRODUCTOS31316[],2,FALSE)</f>
        <v>BTE-025PT/ 504002</v>
      </c>
      <c r="S535" s="1" t="str">
        <f>VLOOKUP(SALIDAS111518[[#This Row],[CÓDIGO]],PRODUCTOS31316[],3,FALSE)</f>
        <v>FUNDAS PARA TRANSFERENCIA DE EMBRIONES</v>
      </c>
      <c r="T535" s="2">
        <v>20</v>
      </c>
      <c r="U535" s="2">
        <v>260</v>
      </c>
      <c r="V535" s="2"/>
      <c r="W535" s="288"/>
      <c r="X535" s="2"/>
      <c r="Y535" s="7"/>
      <c r="Z535" s="2"/>
      <c r="AA535" s="1"/>
      <c r="AC535" s="2"/>
      <c r="AE535" s="1"/>
      <c r="AG535" s="2"/>
    </row>
    <row r="536" spans="1:33" ht="49.95" customHeight="1" x14ac:dyDescent="0.3">
      <c r="A536" s="2" t="s">
        <v>610</v>
      </c>
      <c r="B536" s="1">
        <v>413597</v>
      </c>
      <c r="C536" s="1" t="s">
        <v>1792</v>
      </c>
      <c r="E536" s="1" t="s">
        <v>1793</v>
      </c>
      <c r="F536" s="1" t="s">
        <v>30</v>
      </c>
      <c r="G536" s="2">
        <v>0</v>
      </c>
      <c r="H536" s="14">
        <f>SUMIF(ENTRADAS71417[CÓDIGO],PRODUCTOS31316[[#This Row],[CÓDIGO]],ENTRADAS71417[CANTIDAD])</f>
        <v>0</v>
      </c>
      <c r="I536" s="11">
        <f>SUMIF(SALIDAS111518[CÓDIGO],PRODUCTOS31316[[#This Row],[CÓDIGO]],SALIDAS111518[CANTIDAD])</f>
        <v>0</v>
      </c>
      <c r="J536" s="6">
        <f>PRODUCTOS31316[[#This Row],[EXISTENCIAS]]+PRODUCTOS31316[[#This Row],[ENTRADAS]]-PRODUCTOS31316[[#This Row],[SALIDAS]]</f>
        <v>0</v>
      </c>
      <c r="L536" s="293" t="s">
        <v>3521</v>
      </c>
      <c r="M536" s="293" t="s">
        <v>3931</v>
      </c>
      <c r="N536" s="327" t="s">
        <v>4594</v>
      </c>
      <c r="O536" s="294" t="s">
        <v>4075</v>
      </c>
      <c r="P536" s="16">
        <v>46092</v>
      </c>
      <c r="Q536" s="293" t="s">
        <v>2938</v>
      </c>
      <c r="R536" s="2" t="str">
        <f>VLOOKUP(SALIDAS111518[[#This Row],[CÓDIGO]],PRODUCTOS31316[],2,FALSE)</f>
        <v>UT01</v>
      </c>
      <c r="S536" s="1" t="str">
        <f>VLOOKUP(SALIDAS111518[[#This Row],[CÓDIGO]],PRODUCTOS31316[],3,FALSE)</f>
        <v>MEDIDOR DE GRASA DORSAL UT01</v>
      </c>
      <c r="T536" s="2">
        <v>1</v>
      </c>
      <c r="U536" s="2">
        <v>259</v>
      </c>
      <c r="V536" s="2"/>
      <c r="W536" s="293" t="s">
        <v>2823</v>
      </c>
      <c r="X536" s="2"/>
      <c r="Y536" s="7"/>
      <c r="Z536" s="2"/>
      <c r="AA536" s="1"/>
      <c r="AC536" s="2"/>
      <c r="AE536" s="1"/>
      <c r="AG536" s="2"/>
    </row>
    <row r="537" spans="1:33" ht="49.95" customHeight="1" x14ac:dyDescent="0.3">
      <c r="A537" s="2" t="s">
        <v>168</v>
      </c>
      <c r="B537" s="1">
        <v>4840</v>
      </c>
      <c r="C537" s="216" t="s">
        <v>1794</v>
      </c>
      <c r="D537" s="1" t="s">
        <v>769</v>
      </c>
      <c r="E537" s="1" t="s">
        <v>249</v>
      </c>
      <c r="F537" s="1" t="s">
        <v>365</v>
      </c>
      <c r="G537" s="2">
        <v>0</v>
      </c>
      <c r="H537" s="14">
        <f>SUMIF(ENTRADAS71417[CÓDIGO],PRODUCTOS31316[[#This Row],[CÓDIGO]],ENTRADAS71417[CANTIDAD])</f>
        <v>100</v>
      </c>
      <c r="I537" s="11">
        <f>SUMIF(SALIDAS111518[CÓDIGO],PRODUCTOS31316[[#This Row],[CÓDIGO]],SALIDAS111518[CANTIDAD])</f>
        <v>91</v>
      </c>
      <c r="J537" s="6">
        <f>PRODUCTOS31316[[#This Row],[EXISTENCIAS]]+PRODUCTOS31316[[#This Row],[ENTRADAS]]-PRODUCTOS31316[[#This Row],[SALIDAS]]</f>
        <v>9</v>
      </c>
      <c r="L537" s="293" t="s">
        <v>3520</v>
      </c>
      <c r="M537" s="293" t="s">
        <v>3931</v>
      </c>
      <c r="N537" s="304" t="s">
        <v>4090</v>
      </c>
      <c r="O537" s="305" t="s">
        <v>4076</v>
      </c>
      <c r="P537" s="16">
        <v>46071</v>
      </c>
      <c r="Q537" s="293" t="s">
        <v>273</v>
      </c>
      <c r="R537" s="2">
        <f>VLOOKUP(SALIDAS111518[[#This Row],[CÓDIGO]],PRODUCTOS31316[],2,FALSE)</f>
        <v>1003514</v>
      </c>
      <c r="S537" s="1" t="str">
        <f>VLOOKUP(SALIDAS111518[[#This Row],[CÓDIGO]],PRODUCTOS31316[],3,FALSE)</f>
        <v>JALEA CONDUCTIVA (GEL ULTRASONICO) GALON X 3785 ML AZUL</v>
      </c>
      <c r="T537" s="2">
        <v>1</v>
      </c>
      <c r="U537" s="2">
        <v>263</v>
      </c>
      <c r="V537" s="2"/>
      <c r="W537" s="293" t="s">
        <v>3412</v>
      </c>
      <c r="X537" s="2"/>
      <c r="Y537" s="7"/>
      <c r="Z537" s="2"/>
      <c r="AA537" s="1"/>
      <c r="AC537" s="2"/>
      <c r="AE537" s="1"/>
      <c r="AG537" s="2"/>
    </row>
    <row r="538" spans="1:33" ht="49.95" customHeight="1" x14ac:dyDescent="0.3">
      <c r="A538" s="2" t="s">
        <v>133</v>
      </c>
      <c r="B538" s="1" t="s">
        <v>1795</v>
      </c>
      <c r="C538" s="1" t="s">
        <v>1796</v>
      </c>
      <c r="E538" s="1" t="s">
        <v>183</v>
      </c>
      <c r="F538" s="1" t="s">
        <v>172</v>
      </c>
      <c r="G538" s="2">
        <v>0</v>
      </c>
      <c r="H538" s="14">
        <f>SUMIF(ENTRADAS71417[CÓDIGO],PRODUCTOS31316[[#This Row],[CÓDIGO]],ENTRADAS71417[CANTIDAD])</f>
        <v>0</v>
      </c>
      <c r="I538" s="11">
        <f>SUMIF(SALIDAS111518[CÓDIGO],PRODUCTOS31316[[#This Row],[CÓDIGO]],SALIDAS111518[CANTIDAD])</f>
        <v>0</v>
      </c>
      <c r="J538" s="6">
        <f>PRODUCTOS31316[[#This Row],[EXISTENCIAS]]+PRODUCTOS31316[[#This Row],[ENTRADAS]]-PRODUCTOS31316[[#This Row],[SALIDAS]]</f>
        <v>0</v>
      </c>
      <c r="L538" s="293" t="s">
        <v>3520</v>
      </c>
      <c r="M538" s="293" t="s">
        <v>3931</v>
      </c>
      <c r="N538" s="298" t="s">
        <v>4123</v>
      </c>
      <c r="O538" s="294" t="s">
        <v>3770</v>
      </c>
      <c r="P538" s="16">
        <v>46066</v>
      </c>
      <c r="Q538" s="293" t="s">
        <v>3233</v>
      </c>
      <c r="R538" s="2" t="str">
        <f>VLOOKUP(SALIDAS111518[[#This Row],[CÓDIGO]],PRODUCTOS31316[],2,FALSE)</f>
        <v>JA3022</v>
      </c>
      <c r="S538" s="1" t="str">
        <f>VLOOKUP(SALIDAS111518[[#This Row],[CÓDIGO]],PRODUCTOS31316[],3,FALSE)</f>
        <v>PIPETA AUTOMÁTICA VOLUMEN DE 0.5A 10UL</v>
      </c>
      <c r="T538" s="2">
        <v>1</v>
      </c>
      <c r="U538" s="2">
        <v>261</v>
      </c>
      <c r="V538" s="2"/>
      <c r="W538" s="288"/>
      <c r="X538" s="2"/>
      <c r="Y538" s="7"/>
      <c r="Z538" s="2"/>
      <c r="AA538" s="1"/>
      <c r="AC538" s="2"/>
      <c r="AE538" s="1"/>
      <c r="AG538" s="2"/>
    </row>
    <row r="539" spans="1:33" ht="49.95" customHeight="1" x14ac:dyDescent="0.3">
      <c r="A539" s="203" t="s">
        <v>752</v>
      </c>
      <c r="C539" s="1" t="s">
        <v>1798</v>
      </c>
      <c r="E539" s="1" t="s">
        <v>352</v>
      </c>
      <c r="F539" s="1" t="s">
        <v>41</v>
      </c>
      <c r="G539" s="2">
        <v>21</v>
      </c>
      <c r="H539" s="14">
        <f>SUMIF(ENTRADAS71417[CÓDIGO],PRODUCTOS31316[[#This Row],[CÓDIGO]],ENTRADAS71417[CANTIDAD])</f>
        <v>0</v>
      </c>
      <c r="I539" s="11">
        <f>SUMIF(SALIDAS111518[CÓDIGO],PRODUCTOS31316[[#This Row],[CÓDIGO]],SALIDAS111518[CANTIDAD])</f>
        <v>17</v>
      </c>
      <c r="J539" s="6">
        <f>PRODUCTOS31316[[#This Row],[EXISTENCIAS]]+PRODUCTOS31316[[#This Row],[ENTRADAS]]-PRODUCTOS31316[[#This Row],[SALIDAS]]</f>
        <v>4</v>
      </c>
      <c r="L539" s="293"/>
      <c r="M539" s="293"/>
      <c r="N539" s="293">
        <v>7901</v>
      </c>
      <c r="O539" s="294" t="s">
        <v>3770</v>
      </c>
      <c r="P539" s="16">
        <v>46066</v>
      </c>
      <c r="Q539" s="293" t="s">
        <v>3440</v>
      </c>
      <c r="R539" s="2" t="str">
        <f>VLOOKUP(SALIDAS111518[[#This Row],[CÓDIGO]],PRODUCTOS31316[],2,FALSE)</f>
        <v>M100</v>
      </c>
      <c r="S539" s="1" t="str">
        <f>VLOOKUP(SALIDAS111518[[#This Row],[CÓDIGO]],PRODUCTOS31316[],3,FALSE)</f>
        <v>MICROPIPETA AUTOMATICA VOLUMEN VARIABLE DE 100 - 1000</v>
      </c>
      <c r="T539" s="2">
        <v>1</v>
      </c>
      <c r="U539" s="2"/>
      <c r="V539" s="2"/>
      <c r="W539" s="288"/>
      <c r="X539" s="2"/>
      <c r="Y539" s="7"/>
      <c r="Z539" s="2"/>
      <c r="AA539" s="1"/>
      <c r="AC539" s="2"/>
      <c r="AE539" s="1"/>
      <c r="AG539" s="2"/>
    </row>
    <row r="540" spans="1:33" ht="49.95" customHeight="1" x14ac:dyDescent="0.3">
      <c r="A540" s="2" t="s">
        <v>345</v>
      </c>
      <c r="B540" s="1" t="s">
        <v>1801</v>
      </c>
      <c r="C540" s="1" t="s">
        <v>2448</v>
      </c>
      <c r="D540" s="1" t="s">
        <v>639</v>
      </c>
      <c r="E540" s="1" t="s">
        <v>640</v>
      </c>
      <c r="F540" s="1" t="s">
        <v>641</v>
      </c>
      <c r="G540" s="2">
        <v>0</v>
      </c>
      <c r="H540" s="14">
        <f>SUMIF(ENTRADAS71417[CÓDIGO],PRODUCTOS31316[[#This Row],[CÓDIGO]],ENTRADAS71417[CANTIDAD])</f>
        <v>0</v>
      </c>
      <c r="I540" s="11">
        <f>SUMIF(SALIDAS111518[CÓDIGO],PRODUCTOS31316[[#This Row],[CÓDIGO]],SALIDAS111518[CANTIDAD])</f>
        <v>0</v>
      </c>
      <c r="J540" s="6">
        <f>PRODUCTOS31316[[#This Row],[EXISTENCIAS]]+PRODUCTOS31316[[#This Row],[ENTRADAS]]-PRODUCTOS31316[[#This Row],[SALIDAS]]</f>
        <v>0</v>
      </c>
      <c r="L540" s="293"/>
      <c r="M540" s="293"/>
      <c r="N540" s="293">
        <v>7901</v>
      </c>
      <c r="O540" s="294" t="s">
        <v>3770</v>
      </c>
      <c r="P540" s="16">
        <v>46066</v>
      </c>
      <c r="Q540" s="293" t="s">
        <v>3168</v>
      </c>
      <c r="R540" s="2" t="str">
        <f>VLOOKUP(SALIDAS111518[[#This Row],[CÓDIGO]],PRODUCTOS31316[],2,FALSE)</f>
        <v>MCTB015</v>
      </c>
      <c r="S540" s="1" t="str">
        <f>VLOOKUP(SALIDAS111518[[#This Row],[CÓDIGO]],PRODUCTOS31316[],3,FALSE)</f>
        <v>TUBO CONICO DE 1,5ml PRE ESTERILIZADO LIBRE DE Rnasa y Dnasa No pirogenico No DNA Humano Tapa a Presion</v>
      </c>
      <c r="T540" s="2">
        <v>1</v>
      </c>
      <c r="U540" s="2"/>
      <c r="V540" s="2"/>
      <c r="W540" s="288"/>
      <c r="X540" s="2"/>
      <c r="Y540" s="7"/>
      <c r="Z540" s="2"/>
      <c r="AA540" s="1"/>
      <c r="AC540" s="2"/>
      <c r="AE540" s="1"/>
      <c r="AG540" s="2"/>
    </row>
    <row r="541" spans="1:33" ht="49.95" customHeight="1" x14ac:dyDescent="0.3">
      <c r="A541" s="2" t="s">
        <v>214</v>
      </c>
      <c r="B541" s="1">
        <v>101341</v>
      </c>
      <c r="C541" s="1" t="s">
        <v>1802</v>
      </c>
      <c r="E541" s="1" t="s">
        <v>1528</v>
      </c>
      <c r="F541" s="1" t="s">
        <v>41</v>
      </c>
      <c r="G541" s="2">
        <v>0</v>
      </c>
      <c r="H541" s="14">
        <f>SUMIF(ENTRADAS71417[CÓDIGO],PRODUCTOS31316[[#This Row],[CÓDIGO]],ENTRADAS71417[CANTIDAD])</f>
        <v>0</v>
      </c>
      <c r="I541" s="11">
        <f>SUMIF(SALIDAS111518[CÓDIGO],PRODUCTOS31316[[#This Row],[CÓDIGO]],SALIDAS111518[CANTIDAD])</f>
        <v>0</v>
      </c>
      <c r="J541" s="6">
        <f>PRODUCTOS31316[[#This Row],[EXISTENCIAS]]+PRODUCTOS31316[[#This Row],[ENTRADAS]]-PRODUCTOS31316[[#This Row],[SALIDAS]]</f>
        <v>0</v>
      </c>
      <c r="L541" s="295" t="s">
        <v>3521</v>
      </c>
      <c r="M541" s="295" t="s">
        <v>3931</v>
      </c>
      <c r="N541" s="304" t="s">
        <v>4239</v>
      </c>
      <c r="O541" s="295" t="s">
        <v>4080</v>
      </c>
      <c r="P541" s="16">
        <v>46067</v>
      </c>
      <c r="Q541" s="293" t="s">
        <v>2755</v>
      </c>
      <c r="R541" s="2" t="str">
        <f>VLOOKUP(SALIDAS111518[[#This Row],[CÓDIGO]],PRODUCTOS31316[],2,FALSE)</f>
        <v>MSLDO05</v>
      </c>
      <c r="S541" s="1" t="str">
        <f>VLOOKUP(SALIDAS111518[[#This Row],[CÓDIGO]],PRODUCTOS31316[],3,FALSE)</f>
        <v>TERMO DE RECOLECCIÓN DE SEMEN/ USO VETERINARIO</v>
      </c>
      <c r="T541" s="2">
        <v>1</v>
      </c>
      <c r="U541" s="305" t="s">
        <v>4238</v>
      </c>
      <c r="V541" s="2"/>
      <c r="W541" s="293" t="s">
        <v>3412</v>
      </c>
      <c r="X541" s="2"/>
      <c r="Y541" s="7"/>
      <c r="Z541" s="2"/>
      <c r="AA541" s="1"/>
      <c r="AC541" s="2"/>
      <c r="AE541" s="1"/>
      <c r="AG541" s="2"/>
    </row>
    <row r="542" spans="1:33" ht="49.95" customHeight="1" x14ac:dyDescent="0.3">
      <c r="A542" s="2" t="s">
        <v>237</v>
      </c>
      <c r="B542" s="1" t="s">
        <v>1803</v>
      </c>
      <c r="C542" s="1" t="s">
        <v>1804</v>
      </c>
      <c r="D542" s="1" t="s">
        <v>1805</v>
      </c>
      <c r="E542" s="1" t="s">
        <v>249</v>
      </c>
      <c r="F542" s="1" t="s">
        <v>30</v>
      </c>
      <c r="G542" s="2">
        <v>0</v>
      </c>
      <c r="H542" s="14">
        <f>SUMIF(ENTRADAS71417[CÓDIGO],PRODUCTOS31316[[#This Row],[CÓDIGO]],ENTRADAS71417[CANTIDAD])</f>
        <v>0</v>
      </c>
      <c r="I542" s="11">
        <f>SUMIF(SALIDAS111518[CÓDIGO],PRODUCTOS31316[[#This Row],[CÓDIGO]],SALIDAS111518[CANTIDAD])</f>
        <v>0</v>
      </c>
      <c r="J542" s="6">
        <f>PRODUCTOS31316[[#This Row],[EXISTENCIAS]]+PRODUCTOS31316[[#This Row],[ENTRADAS]]-PRODUCTOS31316[[#This Row],[SALIDAS]]</f>
        <v>0</v>
      </c>
      <c r="L542" s="295" t="s">
        <v>3521</v>
      </c>
      <c r="M542" s="295" t="s">
        <v>3931</v>
      </c>
      <c r="N542" s="325" t="s">
        <v>4291</v>
      </c>
      <c r="O542" s="305" t="s">
        <v>4080</v>
      </c>
      <c r="P542" s="16">
        <v>46085</v>
      </c>
      <c r="Q542" s="295" t="s">
        <v>3346</v>
      </c>
      <c r="R542" s="2" t="str">
        <f>VLOOKUP(SALIDAS111518[[#This Row],[CÓDIGO]],PRODUCTOS31316[],2,FALSE)</f>
        <v>S7PRO</v>
      </c>
      <c r="S542" s="1" t="str">
        <f>VLOOKUP(SALIDAS111518[[#This Row],[CÓDIGO]],PRODUCTOS31316[],3,FALSE)</f>
        <v>ECÓGRAFO S7 PRO VET CON SONDA LINEAL RECTAL</v>
      </c>
      <c r="T542" s="2">
        <v>1</v>
      </c>
      <c r="U542" s="293">
        <v>384</v>
      </c>
      <c r="V542" s="2"/>
      <c r="W542" s="295" t="s">
        <v>3412</v>
      </c>
      <c r="X542" s="2"/>
      <c r="Y542" s="7"/>
      <c r="Z542" s="2"/>
      <c r="AA542" s="1"/>
      <c r="AC542" s="2"/>
      <c r="AE542" s="1"/>
      <c r="AG542" s="2"/>
    </row>
    <row r="543" spans="1:33" ht="49.95" customHeight="1" x14ac:dyDescent="0.3">
      <c r="A543" s="2" t="s">
        <v>264</v>
      </c>
      <c r="B543" s="1" t="s">
        <v>1806</v>
      </c>
      <c r="C543" s="1" t="s">
        <v>1807</v>
      </c>
      <c r="E543" s="1" t="s">
        <v>24</v>
      </c>
      <c r="F543" s="1" t="s">
        <v>678</v>
      </c>
      <c r="G543" s="2">
        <v>0</v>
      </c>
      <c r="H543" s="14">
        <f>SUMIF(ENTRADAS71417[CÓDIGO],PRODUCTOS31316[[#This Row],[CÓDIGO]],ENTRADAS71417[CANTIDAD])</f>
        <v>0</v>
      </c>
      <c r="I543" s="11">
        <f>SUMIF(SALIDAS111518[CÓDIGO],PRODUCTOS31316[[#This Row],[CÓDIGO]],SALIDAS111518[CANTIDAD])</f>
        <v>0</v>
      </c>
      <c r="J543" s="6">
        <f>PRODUCTOS31316[[#This Row],[EXISTENCIAS]]+PRODUCTOS31316[[#This Row],[ENTRADAS]]-PRODUCTOS31316[[#This Row],[SALIDAS]]</f>
        <v>0</v>
      </c>
      <c r="L543" s="295"/>
      <c r="M543" s="295"/>
      <c r="N543" s="293">
        <v>7991</v>
      </c>
      <c r="O543" s="295" t="s">
        <v>4080</v>
      </c>
      <c r="P543" s="16">
        <v>59234</v>
      </c>
      <c r="Q543" s="295" t="s">
        <v>3286</v>
      </c>
      <c r="R543" s="2">
        <f>VLOOKUP(SALIDAS111518[[#This Row],[CÓDIGO]],PRODUCTOS31316[],2,FALSE)</f>
        <v>0</v>
      </c>
      <c r="S543" s="1" t="str">
        <f>VLOOKUP(SALIDAS111518[[#This Row],[CÓDIGO]],PRODUCTOS31316[],3,FALSE)</f>
        <v>CARCASA TABLET BMV</v>
      </c>
      <c r="T543" s="2">
        <v>1</v>
      </c>
      <c r="U543" s="293"/>
      <c r="V543" s="2"/>
      <c r="W543" s="293"/>
      <c r="X543" s="2"/>
      <c r="Y543" s="7"/>
      <c r="Z543" s="2"/>
      <c r="AA543" s="1"/>
      <c r="AC543" s="2"/>
      <c r="AE543" s="1"/>
      <c r="AG543" s="2"/>
    </row>
    <row r="544" spans="1:33" ht="49.95" customHeight="1" x14ac:dyDescent="0.3">
      <c r="A544" s="2" t="s">
        <v>311</v>
      </c>
      <c r="B544" s="1" t="s">
        <v>1808</v>
      </c>
      <c r="C544" s="1" t="s">
        <v>1809</v>
      </c>
      <c r="E544" s="1" t="s">
        <v>1810</v>
      </c>
      <c r="F544" s="1" t="s">
        <v>30</v>
      </c>
      <c r="G544" s="2">
        <v>0</v>
      </c>
      <c r="H544" s="14">
        <f>SUMIF(ENTRADAS71417[CÓDIGO],PRODUCTOS31316[[#This Row],[CÓDIGO]],ENTRADAS71417[CANTIDAD])</f>
        <v>0</v>
      </c>
      <c r="I544" s="11">
        <f>SUMIF(SALIDAS111518[CÓDIGO],PRODUCTOS31316[[#This Row],[CÓDIGO]],SALIDAS111518[CANTIDAD])</f>
        <v>0</v>
      </c>
      <c r="J544" s="6">
        <f>PRODUCTOS31316[[#This Row],[EXISTENCIAS]]+PRODUCTOS31316[[#This Row],[ENTRADAS]]-PRODUCTOS31316[[#This Row],[SALIDAS]]</f>
        <v>0</v>
      </c>
      <c r="L544" s="293"/>
      <c r="M544" s="293"/>
      <c r="N544" s="293">
        <v>7991</v>
      </c>
      <c r="O544" s="307" t="s">
        <v>4080</v>
      </c>
      <c r="P544" s="16">
        <v>46085</v>
      </c>
      <c r="Q544" s="307" t="s">
        <v>3077</v>
      </c>
      <c r="R544" s="2">
        <f>VLOOKUP(SALIDAS111518[[#This Row],[CÓDIGO]],PRODUCTOS31316[],2,FALSE)</f>
        <v>0</v>
      </c>
      <c r="S544" s="1" t="str">
        <f>VLOOKUP(SALIDAS111518[[#This Row],[CÓDIGO]],PRODUCTOS31316[],3,FALSE)</f>
        <v>TABLET GALAXY TAB A 9+ MARCA SANSUNG</v>
      </c>
      <c r="T544" s="2">
        <v>1</v>
      </c>
      <c r="U544" s="2"/>
      <c r="V544" s="2"/>
      <c r="W544" s="288"/>
      <c r="X544" s="2"/>
      <c r="Y544" s="7"/>
      <c r="Z544" s="2"/>
      <c r="AA544" s="1"/>
      <c r="AC544" s="2"/>
      <c r="AE544" s="1"/>
      <c r="AG544" s="2"/>
    </row>
    <row r="545" spans="1:33" ht="49.95" customHeight="1" x14ac:dyDescent="0.3">
      <c r="A545" s="2" t="s">
        <v>316</v>
      </c>
      <c r="B545" s="1" t="s">
        <v>1812</v>
      </c>
      <c r="C545" s="1" t="s">
        <v>1813</v>
      </c>
      <c r="D545" s="1" t="s">
        <v>1814</v>
      </c>
      <c r="E545" s="1" t="s">
        <v>1810</v>
      </c>
      <c r="F545" s="1" t="s">
        <v>1815</v>
      </c>
      <c r="G545" s="2">
        <v>0</v>
      </c>
      <c r="H545" s="14">
        <f>SUMIF(ENTRADAS71417[CÓDIGO],PRODUCTOS31316[[#This Row],[CÓDIGO]],ENTRADAS71417[CANTIDAD])</f>
        <v>0</v>
      </c>
      <c r="I545" s="11">
        <f>SUMIF(SALIDAS111518[CÓDIGO],PRODUCTOS31316[[#This Row],[CÓDIGO]],SALIDAS111518[CANTIDAD])</f>
        <v>0</v>
      </c>
      <c r="J545" s="6">
        <f>PRODUCTOS31316[[#This Row],[EXISTENCIAS]]+PRODUCTOS31316[[#This Row],[ENTRADAS]]-PRODUCTOS31316[[#This Row],[SALIDAS]]</f>
        <v>0</v>
      </c>
      <c r="L545" s="293"/>
      <c r="M545" s="293"/>
      <c r="N545" s="293">
        <v>7991</v>
      </c>
      <c r="O545" s="307" t="s">
        <v>4080</v>
      </c>
      <c r="P545" s="16">
        <v>59234</v>
      </c>
      <c r="Q545" s="307" t="s">
        <v>25</v>
      </c>
      <c r="R545" s="2">
        <f>VLOOKUP(SALIDAS111518[[#This Row],[CÓDIGO]],PRODUCTOS31316[],2,FALSE)</f>
        <v>0</v>
      </c>
      <c r="S545" s="1" t="str">
        <f>VLOOKUP(SALIDAS111518[[#This Row],[CÓDIGO]],PRODUCTOS31316[],3,FALSE)</f>
        <v>BOLSA TELA MAS CAMPO</v>
      </c>
      <c r="T545" s="2">
        <v>1</v>
      </c>
      <c r="U545" s="2"/>
      <c r="V545" s="2"/>
      <c r="W545" s="288"/>
      <c r="X545" s="2"/>
      <c r="Y545" s="7"/>
      <c r="Z545" s="2"/>
      <c r="AA545" s="1"/>
      <c r="AC545" s="2"/>
      <c r="AE545" s="1"/>
      <c r="AG545" s="2"/>
    </row>
    <row r="546" spans="1:33" ht="49.95" customHeight="1" x14ac:dyDescent="0.3">
      <c r="A546" s="2" t="s">
        <v>327</v>
      </c>
      <c r="B546" s="1">
        <v>6200</v>
      </c>
      <c r="C546" s="1" t="s">
        <v>1817</v>
      </c>
      <c r="D546" s="1" t="s">
        <v>176</v>
      </c>
      <c r="E546" s="1" t="s">
        <v>1818</v>
      </c>
      <c r="F546" s="1" t="s">
        <v>172</v>
      </c>
      <c r="G546" s="2">
        <v>0</v>
      </c>
      <c r="H546" s="14">
        <f>SUMIF(ENTRADAS71417[CÓDIGO],PRODUCTOS31316[[#This Row],[CÓDIGO]],ENTRADAS71417[CANTIDAD])</f>
        <v>0</v>
      </c>
      <c r="I546" s="11">
        <f>SUMIF(SALIDAS111518[CÓDIGO],PRODUCTOS31316[[#This Row],[CÓDIGO]],SALIDAS111518[CANTIDAD])</f>
        <v>0</v>
      </c>
      <c r="J546" s="6">
        <f>PRODUCTOS31316[[#This Row],[EXISTENCIAS]]+PRODUCTOS31316[[#This Row],[ENTRADAS]]-PRODUCTOS31316[[#This Row],[SALIDAS]]</f>
        <v>0</v>
      </c>
      <c r="L546" s="293"/>
      <c r="M546" s="293"/>
      <c r="N546" s="293">
        <v>7991</v>
      </c>
      <c r="O546" s="307" t="s">
        <v>4080</v>
      </c>
      <c r="P546" s="16">
        <v>46085</v>
      </c>
      <c r="Q546" s="307" t="s">
        <v>3095</v>
      </c>
      <c r="R546" s="2">
        <f>VLOOKUP(SALIDAS111518[[#This Row],[CÓDIGO]],PRODUCTOS31316[],2,FALSE)</f>
        <v>0</v>
      </c>
      <c r="S546" s="1" t="str">
        <f>VLOOKUP(SALIDAS111518[[#This Row],[CÓDIGO]],PRODUCTOS31316[],3,FALSE)</f>
        <v>GORRA MAS CAMPO</v>
      </c>
      <c r="T546" s="2">
        <v>1</v>
      </c>
      <c r="U546" s="2"/>
      <c r="V546" s="2"/>
      <c r="W546" s="288"/>
      <c r="X546" s="2"/>
      <c r="Y546" s="7"/>
      <c r="Z546" s="2"/>
      <c r="AA546" s="1"/>
      <c r="AC546" s="2"/>
      <c r="AE546" s="1"/>
      <c r="AG546" s="2"/>
    </row>
    <row r="547" spans="1:33" ht="49.95" customHeight="1" x14ac:dyDescent="0.3">
      <c r="A547" s="203" t="s">
        <v>333</v>
      </c>
      <c r="B547" s="1" t="s">
        <v>1733</v>
      </c>
      <c r="C547" s="216" t="s">
        <v>2449</v>
      </c>
      <c r="D547" s="1" t="s">
        <v>2022</v>
      </c>
      <c r="E547" s="1" t="s">
        <v>1819</v>
      </c>
      <c r="F547" s="1" t="s">
        <v>68</v>
      </c>
      <c r="G547" s="2">
        <v>65</v>
      </c>
      <c r="H547" s="14">
        <f>SUMIF(ENTRADAS71417[CÓDIGO],PRODUCTOS31316[[#This Row],[CÓDIGO]],ENTRADAS71417[CANTIDAD])</f>
        <v>60</v>
      </c>
      <c r="I547" s="11">
        <f>SUMIF(SALIDAS111518[CÓDIGO],PRODUCTOS31316[[#This Row],[CÓDIGO]],SALIDAS111518[CANTIDAD])</f>
        <v>120</v>
      </c>
      <c r="J547" s="6">
        <f>PRODUCTOS31316[[#This Row],[EXISTENCIAS]]+PRODUCTOS31316[[#This Row],[ENTRADAS]]-PRODUCTOS31316[[#This Row],[SALIDAS]]</f>
        <v>5</v>
      </c>
      <c r="L547" s="293" t="s">
        <v>3520</v>
      </c>
      <c r="M547" s="293" t="s">
        <v>3931</v>
      </c>
      <c r="N547" s="296" t="s">
        <v>4091</v>
      </c>
      <c r="O547" s="293" t="s">
        <v>3257</v>
      </c>
      <c r="P547" s="16">
        <v>46069</v>
      </c>
      <c r="Q547" s="293" t="s">
        <v>15</v>
      </c>
      <c r="R547" s="2" t="str">
        <f>VLOOKUP(SALIDAS111518[[#This Row],[CÓDIGO]],PRODUCTOS31316[],2,FALSE)</f>
        <v>BTE-025PT/ 504002</v>
      </c>
      <c r="S547" s="1" t="str">
        <f>VLOOKUP(SALIDAS111518[[#This Row],[CÓDIGO]],PRODUCTOS31316[],3,FALSE)</f>
        <v>FUNDAS PARA TRANSFERENCIA DE EMBRIONES</v>
      </c>
      <c r="T547" s="2">
        <v>200</v>
      </c>
      <c r="U547" s="2">
        <v>270</v>
      </c>
      <c r="V547" s="2"/>
      <c r="W547" s="293" t="s">
        <v>2823</v>
      </c>
      <c r="X547" s="2"/>
      <c r="Y547" s="7"/>
      <c r="Z547" s="2"/>
      <c r="AA547" s="1"/>
      <c r="AC547" s="2"/>
      <c r="AE547" s="1"/>
      <c r="AG547" s="2"/>
    </row>
    <row r="548" spans="1:33" ht="49.95" customHeight="1" x14ac:dyDescent="0.3">
      <c r="A548" s="2" t="s">
        <v>341</v>
      </c>
      <c r="B548" s="1" t="s">
        <v>1820</v>
      </c>
      <c r="C548" s="216" t="s">
        <v>1821</v>
      </c>
      <c r="D548" s="1" t="s">
        <v>2022</v>
      </c>
      <c r="E548" s="1" t="s">
        <v>1819</v>
      </c>
      <c r="F548" s="1" t="s">
        <v>68</v>
      </c>
      <c r="G548" s="2">
        <v>24</v>
      </c>
      <c r="H548" s="14">
        <f>SUMIF(ENTRADAS71417[CÓDIGO],PRODUCTOS31316[[#This Row],[CÓDIGO]],ENTRADAS71417[CANTIDAD])</f>
        <v>70</v>
      </c>
      <c r="I548" s="11">
        <f>SUMIF(SALIDAS111518[CÓDIGO],PRODUCTOS31316[[#This Row],[CÓDIGO]],SALIDAS111518[CANTIDAD])</f>
        <v>98</v>
      </c>
      <c r="J548" s="6">
        <f>PRODUCTOS31316[[#This Row],[EXISTENCIAS]]+PRODUCTOS31316[[#This Row],[ENTRADAS]]-PRODUCTOS31316[[#This Row],[SALIDAS]]</f>
        <v>-4</v>
      </c>
      <c r="L548" s="293"/>
      <c r="M548" s="293"/>
      <c r="N548" s="293">
        <v>7879</v>
      </c>
      <c r="O548" s="293" t="s">
        <v>3257</v>
      </c>
      <c r="P548" s="16">
        <v>46069</v>
      </c>
      <c r="Q548" s="293" t="s">
        <v>369</v>
      </c>
      <c r="R548" s="2">
        <f>VLOOKUP(SALIDAS111518[[#This Row],[CÓDIGO]],PRODUCTOS31316[],2,FALSE)</f>
        <v>0</v>
      </c>
      <c r="S548" s="1" t="str">
        <f>VLOOKUP(SALIDAS111518[[#This Row],[CÓDIGO]],PRODUCTOS31316[],3,FALSE)</f>
        <v>FUNDA UNIVERSAL PARA I.A. RANURADA</v>
      </c>
      <c r="T548" s="2">
        <v>40</v>
      </c>
      <c r="U548" s="2"/>
      <c r="V548" s="2"/>
      <c r="W548" s="288"/>
      <c r="X548" s="2"/>
      <c r="Y548" s="7"/>
      <c r="Z548" s="2"/>
      <c r="AA548" s="1"/>
      <c r="AC548" s="2"/>
      <c r="AE548" s="1"/>
      <c r="AG548" s="2"/>
    </row>
    <row r="549" spans="1:33" ht="49.95" customHeight="1" x14ac:dyDescent="0.3">
      <c r="A549" s="2" t="s">
        <v>390</v>
      </c>
      <c r="C549" s="1" t="s">
        <v>1822</v>
      </c>
      <c r="D549" s="1" t="s">
        <v>156</v>
      </c>
      <c r="E549" s="1" t="s">
        <v>352</v>
      </c>
      <c r="F549" s="1" t="s">
        <v>124</v>
      </c>
      <c r="G549" s="2">
        <v>0</v>
      </c>
      <c r="H549" s="14">
        <f>SUMIF(ENTRADAS71417[CÓDIGO],PRODUCTOS31316[[#This Row],[CÓDIGO]],ENTRADAS71417[CANTIDAD])</f>
        <v>0</v>
      </c>
      <c r="I549" s="11">
        <f>SUMIF(SALIDAS111518[CÓDIGO],PRODUCTOS31316[[#This Row],[CÓDIGO]],SALIDAS111518[CANTIDAD])</f>
        <v>0</v>
      </c>
      <c r="J549" s="6">
        <f>PRODUCTOS31316[[#This Row],[EXISTENCIAS]]+PRODUCTOS31316[[#This Row],[ENTRADAS]]-PRODUCTOS31316[[#This Row],[SALIDAS]]</f>
        <v>0</v>
      </c>
      <c r="L549" s="293"/>
      <c r="M549" s="293"/>
      <c r="N549" s="293">
        <v>7879</v>
      </c>
      <c r="O549" s="293" t="s">
        <v>3257</v>
      </c>
      <c r="P549" s="16">
        <v>46069</v>
      </c>
      <c r="Q549" s="293" t="s">
        <v>1779</v>
      </c>
      <c r="R549" s="2">
        <f>VLOOKUP(SALIDAS111518[[#This Row],[CÓDIGO]],PRODUCTOS31316[],2,FALSE)</f>
        <v>5563</v>
      </c>
      <c r="S549" s="1" t="str">
        <f>VLOOKUP(SALIDAS111518[[#This Row],[CÓDIGO]],PRODUCTOS31316[],3,FALSE)</f>
        <v>CAMISA SANITARIA ROLLO X 80</v>
      </c>
      <c r="T549" s="2">
        <v>15</v>
      </c>
      <c r="U549" s="2"/>
      <c r="V549" s="2"/>
      <c r="W549" s="288"/>
      <c r="X549" s="2"/>
      <c r="Y549" s="7"/>
      <c r="Z549" s="2"/>
      <c r="AA549" s="1"/>
      <c r="AC549" s="2"/>
      <c r="AE549" s="1"/>
      <c r="AG549" s="2"/>
    </row>
    <row r="550" spans="1:33" ht="49.95" customHeight="1" x14ac:dyDescent="0.3">
      <c r="A550" s="2" t="s">
        <v>1823</v>
      </c>
      <c r="C550" s="1" t="s">
        <v>1824</v>
      </c>
      <c r="D550" s="1" t="s">
        <v>1825</v>
      </c>
      <c r="E550" s="1" t="s">
        <v>1826</v>
      </c>
      <c r="F550" s="1" t="s">
        <v>30</v>
      </c>
      <c r="G550" s="2">
        <v>0</v>
      </c>
      <c r="H550" s="14">
        <f>SUMIF(ENTRADAS71417[CÓDIGO],PRODUCTOS31316[[#This Row],[CÓDIGO]],ENTRADAS71417[CANTIDAD])</f>
        <v>0</v>
      </c>
      <c r="I550" s="11">
        <f>SUMIF(SALIDAS111518[CÓDIGO],PRODUCTOS31316[[#This Row],[CÓDIGO]],SALIDAS111518[CANTIDAD])</f>
        <v>0</v>
      </c>
      <c r="J550" s="6">
        <f>PRODUCTOS31316[[#This Row],[EXISTENCIAS]]+PRODUCTOS31316[[#This Row],[ENTRADAS]]-PRODUCTOS31316[[#This Row],[SALIDAS]]</f>
        <v>0</v>
      </c>
      <c r="L550" s="288"/>
      <c r="M550" s="288"/>
      <c r="N550" s="293">
        <v>7879</v>
      </c>
      <c r="O550" s="293" t="s">
        <v>3257</v>
      </c>
      <c r="P550" s="16">
        <v>46069</v>
      </c>
      <c r="Q550" s="293" t="s">
        <v>438</v>
      </c>
      <c r="R550" s="2">
        <f>VLOOKUP(SALIDAS111518[[#This Row],[CÓDIGO]],PRODUCTOS31316[],2,FALSE)</f>
        <v>18421</v>
      </c>
      <c r="S550" s="1" t="str">
        <f>VLOOKUP(SALIDAS111518[[#This Row],[CÓDIGO]],PRODUCTOS31316[],3,FALSE)</f>
        <v xml:space="preserve">PISTOLA DE TRANSFERENCIA DE EMBRIONES 0,25 / BLOQUEO AUTOMÁTICO </v>
      </c>
      <c r="T550" s="2">
        <v>2</v>
      </c>
      <c r="U550" s="2"/>
      <c r="V550" s="2"/>
      <c r="W550" s="288"/>
      <c r="X550" s="2"/>
      <c r="Y550" s="7"/>
      <c r="Z550" s="2"/>
      <c r="AA550" s="1"/>
      <c r="AC550" s="2"/>
      <c r="AE550" s="1"/>
      <c r="AG550" s="2"/>
    </row>
    <row r="551" spans="1:33" ht="49.95" customHeight="1" x14ac:dyDescent="0.3">
      <c r="A551" s="2" t="s">
        <v>1827</v>
      </c>
      <c r="C551" s="1" t="s">
        <v>1828</v>
      </c>
      <c r="D551" s="1" t="s">
        <v>1825</v>
      </c>
      <c r="E551" s="1" t="s">
        <v>1826</v>
      </c>
      <c r="F551" s="1" t="s">
        <v>30</v>
      </c>
      <c r="G551" s="2">
        <v>0</v>
      </c>
      <c r="H551" s="14">
        <f>SUMIF(ENTRADAS71417[CÓDIGO],PRODUCTOS31316[[#This Row],[CÓDIGO]],ENTRADAS71417[CANTIDAD])</f>
        <v>0</v>
      </c>
      <c r="I551" s="11">
        <f>SUMIF(SALIDAS111518[CÓDIGO],PRODUCTOS31316[[#This Row],[CÓDIGO]],SALIDAS111518[CANTIDAD])</f>
        <v>0</v>
      </c>
      <c r="J551" s="6">
        <f>PRODUCTOS31316[[#This Row],[EXISTENCIAS]]+PRODUCTOS31316[[#This Row],[ENTRADAS]]-PRODUCTOS31316[[#This Row],[SALIDAS]]</f>
        <v>0</v>
      </c>
      <c r="L551" s="282"/>
      <c r="M551" s="282"/>
      <c r="N551" s="293">
        <v>7879</v>
      </c>
      <c r="O551" s="293" t="s">
        <v>3257</v>
      </c>
      <c r="P551" s="16">
        <v>46069</v>
      </c>
      <c r="Q551" s="293" t="s">
        <v>153</v>
      </c>
      <c r="R551" s="2">
        <f>VLOOKUP(SALIDAS111518[[#This Row],[CÓDIGO]],PRODUCTOS31316[],2,FALSE)</f>
        <v>1132</v>
      </c>
      <c r="S551" s="1" t="str">
        <f>VLOOKUP(SALIDAS111518[[#This Row],[CÓDIGO]],PRODUCTOS31316[],3,FALSE)</f>
        <v>PISTOLA QUICKLOCK CLASIC</v>
      </c>
      <c r="T551" s="2">
        <v>2</v>
      </c>
      <c r="U551" s="2"/>
      <c r="V551" s="2"/>
      <c r="W551" s="2"/>
      <c r="X551" s="2"/>
      <c r="Y551" s="7"/>
      <c r="Z551" s="2"/>
      <c r="AA551" s="1"/>
      <c r="AC551" s="2"/>
      <c r="AE551" s="1"/>
      <c r="AG551" s="2"/>
    </row>
    <row r="552" spans="1:33" ht="49.95" customHeight="1" x14ac:dyDescent="0.3">
      <c r="A552" s="2" t="s">
        <v>517</v>
      </c>
      <c r="C552" s="1" t="s">
        <v>1831</v>
      </c>
      <c r="D552" s="1" t="s">
        <v>1825</v>
      </c>
      <c r="E552" s="1" t="s">
        <v>1826</v>
      </c>
      <c r="F552" s="1" t="s">
        <v>30</v>
      </c>
      <c r="G552" s="2">
        <v>0</v>
      </c>
      <c r="H552" s="14">
        <f>SUMIF(ENTRADAS71417[CÓDIGO],PRODUCTOS31316[[#This Row],[CÓDIGO]],ENTRADAS71417[CANTIDAD])</f>
        <v>0</v>
      </c>
      <c r="I552" s="11">
        <f>SUMIF(SALIDAS111518[CÓDIGO],PRODUCTOS31316[[#This Row],[CÓDIGO]],SALIDAS111518[CANTIDAD])</f>
        <v>0</v>
      </c>
      <c r="J552" s="6">
        <f>PRODUCTOS31316[[#This Row],[EXISTENCIAS]]+PRODUCTOS31316[[#This Row],[ENTRADAS]]-PRODUCTOS31316[[#This Row],[SALIDAS]]</f>
        <v>0</v>
      </c>
      <c r="L552" s="282"/>
      <c r="M552" s="282"/>
      <c r="N552" s="293">
        <v>7879</v>
      </c>
      <c r="O552" s="293" t="s">
        <v>3257</v>
      </c>
      <c r="P552" s="16">
        <v>46069</v>
      </c>
      <c r="Q552" s="293" t="s">
        <v>2338</v>
      </c>
      <c r="R552" s="2" t="str">
        <f>VLOOKUP(SALIDAS111518[[#This Row],[CÓDIGO]],PRODUCTOS31316[],2,FALSE)</f>
        <v>XH-2002</v>
      </c>
      <c r="S552" s="1" t="str">
        <f>VLOOKUP(SALIDAS111518[[#This Row],[CÓDIGO]],PRODUCTOS31316[],3,FALSE)</f>
        <v>PLATINA XH-2002</v>
      </c>
      <c r="T552" s="2">
        <v>1</v>
      </c>
      <c r="U552" s="2"/>
      <c r="V552" s="2"/>
      <c r="W552" s="2"/>
      <c r="X552" s="2"/>
      <c r="Y552" s="7"/>
      <c r="Z552" s="2"/>
      <c r="AA552" s="1"/>
      <c r="AC552" s="2"/>
      <c r="AE552" s="1"/>
      <c r="AG552" s="2"/>
    </row>
    <row r="553" spans="1:33" ht="49.95" customHeight="1" x14ac:dyDescent="0.3">
      <c r="A553" s="2" t="s">
        <v>630</v>
      </c>
      <c r="C553" s="1" t="s">
        <v>1832</v>
      </c>
      <c r="D553" s="1" t="s">
        <v>1825</v>
      </c>
      <c r="E553" s="1" t="s">
        <v>1826</v>
      </c>
      <c r="F553" s="1" t="s">
        <v>30</v>
      </c>
      <c r="G553" s="2">
        <v>0</v>
      </c>
      <c r="H553" s="14">
        <f>SUMIF(ENTRADAS71417[CÓDIGO],PRODUCTOS31316[[#This Row],[CÓDIGO]],ENTRADAS71417[CANTIDAD])</f>
        <v>0</v>
      </c>
      <c r="I553" s="11">
        <f>SUMIF(SALIDAS111518[CÓDIGO],PRODUCTOS31316[[#This Row],[CÓDIGO]],SALIDAS111518[CANTIDAD])</f>
        <v>0</v>
      </c>
      <c r="J553" s="6">
        <f>PRODUCTOS31316[[#This Row],[EXISTENCIAS]]+PRODUCTOS31316[[#This Row],[ENTRADAS]]-PRODUCTOS31316[[#This Row],[SALIDAS]]</f>
        <v>0</v>
      </c>
      <c r="L553" s="282"/>
      <c r="M553" s="282"/>
      <c r="N553" s="293">
        <v>7879</v>
      </c>
      <c r="O553" s="293" t="s">
        <v>3257</v>
      </c>
      <c r="P553" s="16">
        <v>46069</v>
      </c>
      <c r="Q553" s="295" t="s">
        <v>3095</v>
      </c>
      <c r="R553" s="2">
        <f>VLOOKUP(SALIDAS111518[[#This Row],[CÓDIGO]],PRODUCTOS31316[],2,FALSE)</f>
        <v>0</v>
      </c>
      <c r="S553" s="1" t="str">
        <f>VLOOKUP(SALIDAS111518[[#This Row],[CÓDIGO]],PRODUCTOS31316[],3,FALSE)</f>
        <v>GORRA MAS CAMPO</v>
      </c>
      <c r="T553" s="2">
        <v>1</v>
      </c>
      <c r="U553" s="2"/>
      <c r="V553" s="2"/>
      <c r="W553" s="2"/>
      <c r="X553" s="2"/>
      <c r="Y553" s="7"/>
      <c r="Z553" s="2"/>
      <c r="AA553" s="1"/>
      <c r="AC553" s="2"/>
      <c r="AE553" s="1"/>
      <c r="AG553" s="2"/>
    </row>
    <row r="554" spans="1:33" ht="49.95" customHeight="1" x14ac:dyDescent="0.3">
      <c r="A554" s="2" t="s">
        <v>1836</v>
      </c>
      <c r="C554" s="1" t="s">
        <v>1837</v>
      </c>
      <c r="D554" s="1" t="s">
        <v>1825</v>
      </c>
      <c r="E554" s="1" t="s">
        <v>1826</v>
      </c>
      <c r="F554" s="1" t="s">
        <v>30</v>
      </c>
      <c r="G554" s="2">
        <v>0</v>
      </c>
      <c r="H554" s="14">
        <f>SUMIF(ENTRADAS71417[CÓDIGO],PRODUCTOS31316[[#This Row],[CÓDIGO]],ENTRADAS71417[CANTIDAD])</f>
        <v>0</v>
      </c>
      <c r="I554" s="11">
        <f>SUMIF(SALIDAS111518[CÓDIGO],PRODUCTOS31316[[#This Row],[CÓDIGO]],SALIDAS111518[CANTIDAD])</f>
        <v>0</v>
      </c>
      <c r="J554" s="6">
        <f>PRODUCTOS31316[[#This Row],[EXISTENCIAS]]+PRODUCTOS31316[[#This Row],[ENTRADAS]]-PRODUCTOS31316[[#This Row],[SALIDAS]]</f>
        <v>0</v>
      </c>
      <c r="L554" s="295" t="s">
        <v>3521</v>
      </c>
      <c r="M554" s="295" t="s">
        <v>3931</v>
      </c>
      <c r="N554" s="304" t="s">
        <v>4092</v>
      </c>
      <c r="O554" s="305" t="s">
        <v>4079</v>
      </c>
      <c r="P554" s="16">
        <v>46069</v>
      </c>
      <c r="Q554" s="295" t="s">
        <v>3705</v>
      </c>
      <c r="R554" s="2" t="str">
        <f>VLOOKUP(SALIDAS111518[[#This Row],[CÓDIGO]],PRODUCTOS31316[],2,FALSE)</f>
        <v>13407-054</v>
      </c>
      <c r="S554" s="1" t="str">
        <f>VLOOKUP(SALIDAS111518[[#This Row],[CÓDIGO]],PRODUCTOS31316[],3,FALSE)</f>
        <v>PAJUELA VERDE 0.25/ PAQ. X 2000 MARCA MINITUBE</v>
      </c>
      <c r="T554" s="2">
        <v>1</v>
      </c>
      <c r="U554" s="2">
        <v>265</v>
      </c>
      <c r="V554" s="2"/>
      <c r="W554" s="2" t="s">
        <v>3412</v>
      </c>
      <c r="X554" s="2"/>
      <c r="Y554" s="7"/>
      <c r="Z554" s="2"/>
      <c r="AA554" s="1"/>
      <c r="AC554" s="2"/>
      <c r="AE554" s="1"/>
      <c r="AG554" s="2"/>
    </row>
    <row r="555" spans="1:33" ht="49.95" customHeight="1" x14ac:dyDescent="0.3">
      <c r="A555" s="2" t="s">
        <v>434</v>
      </c>
      <c r="B555" s="1" t="s">
        <v>1841</v>
      </c>
      <c r="C555" s="1" t="s">
        <v>1842</v>
      </c>
      <c r="D555" s="1" t="s">
        <v>1636</v>
      </c>
      <c r="E555" s="1" t="s">
        <v>1115</v>
      </c>
      <c r="F555" s="1" t="s">
        <v>365</v>
      </c>
      <c r="G555" s="2">
        <v>0</v>
      </c>
      <c r="H555" s="14">
        <f>SUMIF(ENTRADAS71417[CÓDIGO],PRODUCTOS31316[[#This Row],[CÓDIGO]],ENTRADAS71417[CANTIDAD])</f>
        <v>0</v>
      </c>
      <c r="I555" s="11">
        <f>SUMIF(SALIDAS111518[CÓDIGO],PRODUCTOS31316[[#This Row],[CÓDIGO]],SALIDAS111518[CANTIDAD])</f>
        <v>0</v>
      </c>
      <c r="J555" s="6">
        <f>PRODUCTOS31316[[#This Row],[EXISTENCIAS]]+PRODUCTOS31316[[#This Row],[ENTRADAS]]-PRODUCTOS31316[[#This Row],[SALIDAS]]</f>
        <v>0</v>
      </c>
      <c r="L555" s="295" t="s">
        <v>3520</v>
      </c>
      <c r="M555" s="295" t="s">
        <v>3931</v>
      </c>
      <c r="N555" s="296" t="s">
        <v>4104</v>
      </c>
      <c r="O555" s="295" t="s">
        <v>2782</v>
      </c>
      <c r="P555" s="16">
        <v>46069</v>
      </c>
      <c r="Q555" s="295" t="s">
        <v>3168</v>
      </c>
      <c r="R555" s="2" t="str">
        <f>VLOOKUP(SALIDAS111518[[#This Row],[CÓDIGO]],PRODUCTOS31316[],2,FALSE)</f>
        <v>MCTB015</v>
      </c>
      <c r="S555" s="1" t="str">
        <f>VLOOKUP(SALIDAS111518[[#This Row],[CÓDIGO]],PRODUCTOS31316[],3,FALSE)</f>
        <v>TUBO CONICO DE 1,5ml PRE ESTERILIZADO LIBRE DE Rnasa y Dnasa No pirogenico No DNA Humano Tapa a Presion</v>
      </c>
      <c r="T555" s="2">
        <v>1</v>
      </c>
      <c r="U555" s="2">
        <v>271</v>
      </c>
      <c r="V555" s="2"/>
      <c r="W555" s="2"/>
      <c r="X555" s="2"/>
      <c r="Y555" s="7"/>
      <c r="Z555" s="2"/>
      <c r="AA555" s="1"/>
      <c r="AC555" s="2"/>
      <c r="AE555" s="1"/>
      <c r="AG555" s="2"/>
    </row>
    <row r="556" spans="1:33" ht="49.95" customHeight="1" x14ac:dyDescent="0.3">
      <c r="A556" s="2" t="s">
        <v>439</v>
      </c>
      <c r="B556" s="1" t="s">
        <v>1843</v>
      </c>
      <c r="C556" s="1" t="s">
        <v>1844</v>
      </c>
      <c r="D556" s="1" t="s">
        <v>1332</v>
      </c>
      <c r="E556" s="1" t="s">
        <v>1115</v>
      </c>
      <c r="F556" s="1" t="s">
        <v>139</v>
      </c>
      <c r="G556" s="2">
        <v>0</v>
      </c>
      <c r="H556" s="14">
        <f>SUMIF(ENTRADAS71417[CÓDIGO],PRODUCTOS31316[[#This Row],[CÓDIGO]],ENTRADAS71417[CANTIDAD])</f>
        <v>0</v>
      </c>
      <c r="I556" s="11">
        <f>SUMIF(SALIDAS111518[CÓDIGO],PRODUCTOS31316[[#This Row],[CÓDIGO]],SALIDAS111518[CANTIDAD])</f>
        <v>0</v>
      </c>
      <c r="J556" s="6">
        <f>PRODUCTOS31316[[#This Row],[EXISTENCIAS]]+PRODUCTOS31316[[#This Row],[ENTRADAS]]-PRODUCTOS31316[[#This Row],[SALIDAS]]</f>
        <v>0</v>
      </c>
      <c r="L556" s="282"/>
      <c r="M556" s="282"/>
      <c r="N556" s="276">
        <v>7891</v>
      </c>
      <c r="O556" s="295" t="s">
        <v>2782</v>
      </c>
      <c r="P556" s="16">
        <v>46069</v>
      </c>
      <c r="Q556" s="295" t="s">
        <v>341</v>
      </c>
      <c r="R556" s="2" t="str">
        <f>VLOOKUP(SALIDAS111518[[#This Row],[CÓDIGO]],PRODUCTOS31316[],2,FALSE)</f>
        <v>CTB50</v>
      </c>
      <c r="S556" s="1" t="str">
        <f>VLOOKUP(SALIDAS111518[[#This Row],[CÓDIGO]],PRODUCTOS31316[],3,FALSE)</f>
        <v>TUBO CÓNICO DE 50 mL, TAPA ROSCA, PRE ESTERILIZADO. RCF MAX: 10000xg, graduados, PCR puro.</v>
      </c>
      <c r="T556" s="2">
        <v>2</v>
      </c>
      <c r="U556" s="2"/>
      <c r="V556" s="2"/>
      <c r="W556" s="2"/>
      <c r="X556" s="2"/>
      <c r="Y556" s="7"/>
      <c r="Z556" s="2"/>
      <c r="AA556" s="1"/>
      <c r="AC556" s="2"/>
      <c r="AE556" s="1"/>
      <c r="AG556" s="2"/>
    </row>
    <row r="557" spans="1:33" ht="49.95" customHeight="1" x14ac:dyDescent="0.3">
      <c r="A557" s="2" t="s">
        <v>451</v>
      </c>
      <c r="B557" s="1">
        <v>1135</v>
      </c>
      <c r="C557" s="1" t="s">
        <v>1845</v>
      </c>
      <c r="D557" s="1" t="s">
        <v>103</v>
      </c>
      <c r="E557" s="1" t="s">
        <v>233</v>
      </c>
      <c r="F557" s="1" t="s">
        <v>1846</v>
      </c>
      <c r="G557" s="2">
        <v>0</v>
      </c>
      <c r="H557" s="14">
        <f>SUMIF(ENTRADAS71417[CÓDIGO],PRODUCTOS31316[[#This Row],[CÓDIGO]],ENTRADAS71417[CANTIDAD])</f>
        <v>0</v>
      </c>
      <c r="I557" s="11">
        <f>SUMIF(SALIDAS111518[CÓDIGO],PRODUCTOS31316[[#This Row],[CÓDIGO]],SALIDAS111518[CANTIDAD])</f>
        <v>0</v>
      </c>
      <c r="J557" s="6">
        <f>PRODUCTOS31316[[#This Row],[EXISTENCIAS]]+PRODUCTOS31316[[#This Row],[ENTRADAS]]-PRODUCTOS31316[[#This Row],[SALIDAS]]</f>
        <v>0</v>
      </c>
      <c r="L557" s="282"/>
      <c r="M557" s="282"/>
      <c r="N557" s="276">
        <v>7891</v>
      </c>
      <c r="O557" s="295" t="s">
        <v>2782</v>
      </c>
      <c r="P557" s="16">
        <v>46069</v>
      </c>
      <c r="Q557" s="295" t="s">
        <v>333</v>
      </c>
      <c r="R557" s="2" t="str">
        <f>VLOOKUP(SALIDAS111518[[#This Row],[CÓDIGO]],PRODUCTOS31316[],2,FALSE)</f>
        <v>CTB15</v>
      </c>
      <c r="S557" s="1" t="str">
        <f>VLOOKUP(SALIDAS111518[[#This Row],[CÓDIGO]],PRODUCTOS31316[],3,FALSE)</f>
        <v>TUBO CÓNICO DE 15 ML, TAPA ROSCA ESTÉRIL  RCF MAX: 10000xg, 
graduados, PCR puro. VENCE: 03/04/2028</v>
      </c>
      <c r="T557" s="2">
        <v>2</v>
      </c>
      <c r="U557" s="2"/>
      <c r="V557" s="2"/>
      <c r="W557" s="2"/>
      <c r="X557" s="2"/>
      <c r="Y557" s="7"/>
      <c r="Z557" s="2"/>
      <c r="AA557" s="1"/>
      <c r="AC557" s="2"/>
      <c r="AE557" s="1"/>
      <c r="AG557" s="2"/>
    </row>
    <row r="558" spans="1:33" ht="49.95" customHeight="1" x14ac:dyDescent="0.3">
      <c r="A558" s="203" t="s">
        <v>458</v>
      </c>
      <c r="C558" s="1" t="s">
        <v>1848</v>
      </c>
      <c r="E558" s="1" t="s">
        <v>352</v>
      </c>
      <c r="F558" s="1" t="s">
        <v>41</v>
      </c>
      <c r="G558" s="2">
        <v>9</v>
      </c>
      <c r="H558" s="14">
        <f>SUMIF(ENTRADAS71417[CÓDIGO],PRODUCTOS31316[[#This Row],[CÓDIGO]],ENTRADAS71417[CANTIDAD])</f>
        <v>20</v>
      </c>
      <c r="I558" s="11">
        <f>SUMIF(SALIDAS111518[CÓDIGO],PRODUCTOS31316[[#This Row],[CÓDIGO]],SALIDAS111518[CANTIDAD])</f>
        <v>24</v>
      </c>
      <c r="J558" s="6">
        <f>PRODUCTOS31316[[#This Row],[EXISTENCIAS]]+PRODUCTOS31316[[#This Row],[ENTRADAS]]-PRODUCTOS31316[[#This Row],[SALIDAS]]</f>
        <v>5</v>
      </c>
      <c r="L558" s="282"/>
      <c r="M558" s="282"/>
      <c r="N558" s="276">
        <v>7891</v>
      </c>
      <c r="O558" s="295" t="s">
        <v>2782</v>
      </c>
      <c r="P558" s="16">
        <v>46069</v>
      </c>
      <c r="Q558" s="295" t="s">
        <v>2232</v>
      </c>
      <c r="R558" s="2">
        <f>VLOOKUP(SALIDAS111518[[#This Row],[CÓDIGO]],PRODUCTOS31316[],2,FALSE)</f>
        <v>0</v>
      </c>
      <c r="S558" s="1" t="str">
        <f>VLOOKUP(SALIDAS111518[[#This Row],[CÓDIGO]],PRODUCTOS31316[],3,FALSE)</f>
        <v>CONO RECOLECTOR</v>
      </c>
      <c r="T558" s="2">
        <v>1</v>
      </c>
      <c r="U558" s="2"/>
      <c r="V558" s="2"/>
      <c r="W558" s="2"/>
      <c r="X558" s="2"/>
      <c r="Y558" s="7"/>
      <c r="Z558" s="2"/>
      <c r="AA558" s="1"/>
      <c r="AC558" s="2"/>
      <c r="AE558" s="1"/>
      <c r="AG558" s="2"/>
    </row>
    <row r="559" spans="1:33" ht="49.95" customHeight="1" x14ac:dyDescent="0.3">
      <c r="A559" s="2" t="s">
        <v>1038</v>
      </c>
      <c r="B559" s="1" t="s">
        <v>1849</v>
      </c>
      <c r="C559" s="1" t="s">
        <v>1850</v>
      </c>
      <c r="D559" s="1" t="s">
        <v>639</v>
      </c>
      <c r="E559" s="1" t="s">
        <v>640</v>
      </c>
      <c r="F559" s="1" t="s">
        <v>973</v>
      </c>
      <c r="G559" s="2">
        <v>0</v>
      </c>
      <c r="H559" s="14">
        <f>SUMIF(ENTRADAS71417[CÓDIGO],PRODUCTOS31316[[#This Row],[CÓDIGO]],ENTRADAS71417[CANTIDAD])</f>
        <v>0</v>
      </c>
      <c r="I559" s="11">
        <f>SUMIF(SALIDAS111518[CÓDIGO],PRODUCTOS31316[[#This Row],[CÓDIGO]],SALIDAS111518[CANTIDAD])</f>
        <v>0</v>
      </c>
      <c r="J559" s="6">
        <f>PRODUCTOS31316[[#This Row],[EXISTENCIAS]]+PRODUCTOS31316[[#This Row],[ENTRADAS]]-PRODUCTOS31316[[#This Row],[SALIDAS]]</f>
        <v>0</v>
      </c>
      <c r="L559" s="282"/>
      <c r="M559" s="282"/>
      <c r="N559" s="276">
        <v>7891</v>
      </c>
      <c r="O559" s="295" t="s">
        <v>2782</v>
      </c>
      <c r="P559" s="16">
        <v>46069</v>
      </c>
      <c r="Q559" s="295" t="s">
        <v>2306</v>
      </c>
      <c r="R559" s="2">
        <f>VLOOKUP(SALIDAS111518[[#This Row],[CÓDIGO]],PRODUCTOS31316[],2,FALSE)</f>
        <v>0</v>
      </c>
      <c r="S559" s="1" t="str">
        <f>VLOOKUP(SALIDAS111518[[#This Row],[CÓDIGO]],PRODUCTOS31316[],3,FALSE)</f>
        <v>ESCALERILLAS METÁLICAS DE 10 MM</v>
      </c>
      <c r="T559" s="2">
        <v>2</v>
      </c>
      <c r="U559" s="2"/>
      <c r="V559" s="2"/>
      <c r="W559" s="2"/>
      <c r="X559" s="2"/>
      <c r="Y559" s="7"/>
      <c r="Z559" s="2"/>
      <c r="AA559" s="1"/>
      <c r="AC559" s="2"/>
      <c r="AE559" s="1"/>
      <c r="AG559" s="2"/>
    </row>
    <row r="560" spans="1:33" ht="49.95" customHeight="1" x14ac:dyDescent="0.3">
      <c r="A560" s="2" t="s">
        <v>1851</v>
      </c>
      <c r="B560" s="1" t="s">
        <v>1852</v>
      </c>
      <c r="C560" s="1" t="s">
        <v>1853</v>
      </c>
      <c r="D560" s="1" t="s">
        <v>639</v>
      </c>
      <c r="E560" s="1" t="s">
        <v>640</v>
      </c>
      <c r="F560" s="1" t="s">
        <v>1854</v>
      </c>
      <c r="G560" s="2">
        <v>0</v>
      </c>
      <c r="H560" s="14">
        <f>SUMIF(ENTRADAS71417[CÓDIGO],PRODUCTOS31316[[#This Row],[CÓDIGO]],ENTRADAS71417[CANTIDAD])</f>
        <v>0</v>
      </c>
      <c r="I560" s="11">
        <f>SUMIF(SALIDAS111518[CÓDIGO],PRODUCTOS31316[[#This Row],[CÓDIGO]],SALIDAS111518[CANTIDAD])</f>
        <v>0</v>
      </c>
      <c r="J560" s="6">
        <f>PRODUCTOS31316[[#This Row],[EXISTENCIAS]]+PRODUCTOS31316[[#This Row],[ENTRADAS]]-PRODUCTOS31316[[#This Row],[SALIDAS]]</f>
        <v>0</v>
      </c>
      <c r="L560" s="282"/>
      <c r="M560" s="282"/>
      <c r="N560" s="276">
        <v>7891</v>
      </c>
      <c r="O560" s="295" t="s">
        <v>2782</v>
      </c>
      <c r="P560" s="16">
        <v>46069</v>
      </c>
      <c r="Q560" s="295" t="s">
        <v>455</v>
      </c>
      <c r="R560" s="2">
        <f>VLOOKUP(SALIDAS111518[[#This Row],[CÓDIGO]],PRODUCTOS31316[],2,FALSE)</f>
        <v>0</v>
      </c>
      <c r="S560" s="1" t="str">
        <f>VLOOKUP(SALIDAS111518[[#This Row],[CÓDIGO]],PRODUCTOS31316[],3,FALSE)</f>
        <v>ESCALERILLAS PARA GOBLETS DE 13 MM</v>
      </c>
      <c r="T560" s="2">
        <v>2</v>
      </c>
      <c r="U560" s="2"/>
      <c r="V560" s="2"/>
      <c r="W560" s="2"/>
      <c r="X560" s="2"/>
      <c r="Y560" s="7"/>
      <c r="Z560" s="2"/>
      <c r="AA560" s="1"/>
      <c r="AC560" s="2"/>
      <c r="AE560" s="1"/>
      <c r="AG560" s="2"/>
    </row>
    <row r="561" spans="1:33" ht="49.95" customHeight="1" x14ac:dyDescent="0.3">
      <c r="A561" s="2" t="s">
        <v>687</v>
      </c>
      <c r="B561" s="1" t="s">
        <v>1855</v>
      </c>
      <c r="C561" s="1" t="s">
        <v>1856</v>
      </c>
      <c r="D561" s="1" t="s">
        <v>639</v>
      </c>
      <c r="E561" s="1" t="s">
        <v>640</v>
      </c>
      <c r="F561" s="1" t="s">
        <v>1857</v>
      </c>
      <c r="G561" s="2">
        <v>0</v>
      </c>
      <c r="H561" s="14">
        <f>SUMIF(ENTRADAS71417[CÓDIGO],PRODUCTOS31316[[#This Row],[CÓDIGO]],ENTRADAS71417[CANTIDAD])</f>
        <v>0</v>
      </c>
      <c r="I561" s="11">
        <f>SUMIF(SALIDAS111518[CÓDIGO],PRODUCTOS31316[[#This Row],[CÓDIGO]],SALIDAS111518[CANTIDAD])</f>
        <v>0</v>
      </c>
      <c r="J561" s="6">
        <f>PRODUCTOS31316[[#This Row],[EXISTENCIAS]]+PRODUCTOS31316[[#This Row],[ENTRADAS]]-PRODUCTOS31316[[#This Row],[SALIDAS]]</f>
        <v>0</v>
      </c>
      <c r="L561" s="282"/>
      <c r="M561" s="282"/>
      <c r="N561" s="276">
        <v>7891</v>
      </c>
      <c r="O561" s="295" t="s">
        <v>2782</v>
      </c>
      <c r="P561" s="16">
        <v>46069</v>
      </c>
      <c r="Q561" s="295" t="s">
        <v>3052</v>
      </c>
      <c r="R561" s="2">
        <f>VLOOKUP(SALIDAS111518[[#This Row],[CÓDIGO]],PRODUCTOS31316[],2,FALSE)</f>
        <v>0</v>
      </c>
      <c r="S561" s="1" t="str">
        <f>VLOOKUP(SALIDAS111518[[#This Row],[CÓDIGO]],PRODUCTOS31316[],3,FALSE)</f>
        <v>GOBLET DE 10 AZULES</v>
      </c>
      <c r="T561" s="2">
        <v>4</v>
      </c>
      <c r="U561" s="2"/>
      <c r="V561" s="2"/>
      <c r="W561" s="2"/>
      <c r="X561" s="2"/>
      <c r="Y561" s="7"/>
      <c r="Z561" s="2"/>
      <c r="AA561" s="1"/>
      <c r="AC561" s="2"/>
      <c r="AE561" s="1"/>
      <c r="AG561" s="2"/>
    </row>
    <row r="562" spans="1:33" ht="49.95" customHeight="1" x14ac:dyDescent="0.3">
      <c r="A562" s="2" t="s">
        <v>1042</v>
      </c>
      <c r="B562" s="1" t="s">
        <v>1858</v>
      </c>
      <c r="C562" s="1" t="s">
        <v>1859</v>
      </c>
      <c r="D562" s="1" t="s">
        <v>639</v>
      </c>
      <c r="E562" s="1" t="s">
        <v>640</v>
      </c>
      <c r="F562" s="1" t="s">
        <v>1860</v>
      </c>
      <c r="G562" s="2">
        <v>0</v>
      </c>
      <c r="H562" s="14">
        <f>SUMIF(ENTRADAS71417[CÓDIGO],PRODUCTOS31316[[#This Row],[CÓDIGO]],ENTRADAS71417[CANTIDAD])</f>
        <v>0</v>
      </c>
      <c r="I562" s="11">
        <f>SUMIF(SALIDAS111518[CÓDIGO],PRODUCTOS31316[[#This Row],[CÓDIGO]],SALIDAS111518[CANTIDAD])</f>
        <v>0</v>
      </c>
      <c r="J562" s="6">
        <f>PRODUCTOS31316[[#This Row],[EXISTENCIAS]]+PRODUCTOS31316[[#This Row],[ENTRADAS]]-PRODUCTOS31316[[#This Row],[SALIDAS]]</f>
        <v>0</v>
      </c>
      <c r="L562" s="282"/>
      <c r="M562" s="282"/>
      <c r="N562" s="276">
        <v>7891</v>
      </c>
      <c r="O562" s="295" t="s">
        <v>2782</v>
      </c>
      <c r="P562" s="16">
        <v>46069</v>
      </c>
      <c r="Q562" s="295" t="s">
        <v>458</v>
      </c>
      <c r="R562" s="2">
        <f>VLOOKUP(SALIDAS111518[[#This Row],[CÓDIGO]],PRODUCTOS31316[],2,FALSE)</f>
        <v>0</v>
      </c>
      <c r="S562" s="1" t="str">
        <f>VLOOKUP(SALIDAS111518[[#This Row],[CÓDIGO]],PRODUCTOS31316[],3,FALSE)</f>
        <v>GOBLET DE 13 MM BLANCOS</v>
      </c>
      <c r="T562" s="2">
        <v>4</v>
      </c>
      <c r="U562" s="2"/>
      <c r="V562" s="2"/>
      <c r="W562" s="2"/>
      <c r="X562" s="2"/>
      <c r="Y562" s="7"/>
      <c r="Z562" s="2"/>
      <c r="AA562" s="1"/>
      <c r="AC562" s="2"/>
      <c r="AE562" s="1"/>
      <c r="AG562" s="2"/>
    </row>
    <row r="563" spans="1:33" ht="49.95" customHeight="1" x14ac:dyDescent="0.3">
      <c r="A563" s="2" t="s">
        <v>690</v>
      </c>
      <c r="B563" s="1" t="s">
        <v>1861</v>
      </c>
      <c r="C563" s="1" t="s">
        <v>1862</v>
      </c>
      <c r="D563" s="1" t="s">
        <v>639</v>
      </c>
      <c r="E563" s="1" t="s">
        <v>640</v>
      </c>
      <c r="F563" s="1" t="s">
        <v>1860</v>
      </c>
      <c r="G563" s="2">
        <v>0</v>
      </c>
      <c r="H563" s="14">
        <f>SUMIF(ENTRADAS71417[CÓDIGO],PRODUCTOS31316[[#This Row],[CÓDIGO]],ENTRADAS71417[CANTIDAD])</f>
        <v>0</v>
      </c>
      <c r="I563" s="11">
        <f>SUMIF(SALIDAS111518[CÓDIGO],PRODUCTOS31316[[#This Row],[CÓDIGO]],SALIDAS111518[CANTIDAD])</f>
        <v>0</v>
      </c>
      <c r="J563" s="6">
        <f>PRODUCTOS31316[[#This Row],[EXISTENCIAS]]+PRODUCTOS31316[[#This Row],[ENTRADAS]]-PRODUCTOS31316[[#This Row],[SALIDAS]]</f>
        <v>0</v>
      </c>
      <c r="L563" s="282"/>
      <c r="M563" s="282"/>
      <c r="N563" s="276">
        <v>7891</v>
      </c>
      <c r="O563" s="295" t="s">
        <v>2782</v>
      </c>
      <c r="P563" s="16">
        <v>46069</v>
      </c>
      <c r="Q563" s="295" t="s">
        <v>2295</v>
      </c>
      <c r="R563" s="2" t="str">
        <f>VLOOKUP(SALIDAS111518[[#This Row],[CÓDIGO]],PRODUCTOS31316[],2,FALSE)</f>
        <v>B00992</v>
      </c>
      <c r="S563" s="1" t="str">
        <f>VLOOKUP(SALIDAS111518[[#This Row],[CÓDIGO]],PRODUCTOS31316[],3,FALSE)</f>
        <v>BOLSA WHRIL-PAK 7 OZ</v>
      </c>
      <c r="T563" s="2">
        <v>50</v>
      </c>
      <c r="U563" s="2"/>
      <c r="V563" s="2"/>
      <c r="W563" s="2"/>
      <c r="X563" s="2"/>
      <c r="Y563" s="7"/>
      <c r="Z563" s="2"/>
      <c r="AA563" s="1"/>
      <c r="AC563" s="2"/>
      <c r="AE563" s="1"/>
      <c r="AG563" s="2"/>
    </row>
    <row r="564" spans="1:33" ht="49.95" customHeight="1" x14ac:dyDescent="0.3">
      <c r="A564" s="2" t="s">
        <v>1046</v>
      </c>
      <c r="B564" s="1" t="s">
        <v>1863</v>
      </c>
      <c r="C564" s="1" t="s">
        <v>1864</v>
      </c>
      <c r="D564" s="1" t="s">
        <v>639</v>
      </c>
      <c r="E564" s="1" t="s">
        <v>640</v>
      </c>
      <c r="F564" s="1" t="s">
        <v>1479</v>
      </c>
      <c r="G564" s="2">
        <v>0</v>
      </c>
      <c r="H564" s="14">
        <f>SUMIF(ENTRADAS71417[CÓDIGO],PRODUCTOS31316[[#This Row],[CÓDIGO]],ENTRADAS71417[CANTIDAD])</f>
        <v>0</v>
      </c>
      <c r="I564" s="11">
        <f>SUMIF(SALIDAS111518[CÓDIGO],PRODUCTOS31316[[#This Row],[CÓDIGO]],SALIDAS111518[CANTIDAD])</f>
        <v>0</v>
      </c>
      <c r="J564" s="6">
        <f>PRODUCTOS31316[[#This Row],[EXISTENCIAS]]+PRODUCTOS31316[[#This Row],[ENTRADAS]]-PRODUCTOS31316[[#This Row],[SALIDAS]]</f>
        <v>0</v>
      </c>
      <c r="L564" s="282"/>
      <c r="M564" s="282"/>
      <c r="N564" s="276">
        <v>7891</v>
      </c>
      <c r="O564" s="295" t="s">
        <v>2782</v>
      </c>
      <c r="P564" s="16">
        <v>46069</v>
      </c>
      <c r="Q564" s="295" t="s">
        <v>411</v>
      </c>
      <c r="R564" s="2">
        <f>VLOOKUP(SALIDAS111518[[#This Row],[CÓDIGO]],PRODUCTOS31316[],2,FALSE)</f>
        <v>0</v>
      </c>
      <c r="S564" s="1" t="str">
        <f>VLOOKUP(SALIDAS111518[[#This Row],[CÓDIGO]],PRODUCTOS31316[],3,FALSE)</f>
        <v>BOLSA WHIRL-PAK 4 oz</v>
      </c>
      <c r="T564" s="2">
        <v>50</v>
      </c>
      <c r="U564" s="2"/>
      <c r="V564" s="2"/>
      <c r="W564" s="2"/>
      <c r="X564" s="2"/>
      <c r="Y564" s="7"/>
      <c r="Z564" s="2"/>
      <c r="AA564" s="1"/>
      <c r="AC564" s="2"/>
      <c r="AE564" s="1"/>
      <c r="AG564" s="2"/>
    </row>
    <row r="565" spans="1:33" ht="49.95" customHeight="1" x14ac:dyDescent="0.3">
      <c r="A565" s="2" t="s">
        <v>503</v>
      </c>
      <c r="C565" s="1" t="s">
        <v>1865</v>
      </c>
      <c r="D565" s="1" t="s">
        <v>442</v>
      </c>
      <c r="E565" s="1" t="s">
        <v>442</v>
      </c>
      <c r="F565" s="1" t="s">
        <v>30</v>
      </c>
      <c r="G565" s="2">
        <v>6</v>
      </c>
      <c r="H565" s="14">
        <f>SUMIF(ENTRADAS71417[CÓDIGO],PRODUCTOS31316[[#This Row],[CÓDIGO]],ENTRADAS71417[CANTIDAD])</f>
        <v>0</v>
      </c>
      <c r="I565" s="11">
        <f>SUMIF(SALIDAS111518[CÓDIGO],PRODUCTOS31316[[#This Row],[CÓDIGO]],SALIDAS111518[CANTIDAD])</f>
        <v>0</v>
      </c>
      <c r="J565" s="6">
        <f>PRODUCTOS31316[[#This Row],[EXISTENCIAS]]+PRODUCTOS31316[[#This Row],[ENTRADAS]]-PRODUCTOS31316[[#This Row],[SALIDAS]]</f>
        <v>6</v>
      </c>
      <c r="L565" s="282"/>
      <c r="M565" s="282"/>
      <c r="N565" s="276">
        <v>7891</v>
      </c>
      <c r="O565" s="295" t="s">
        <v>2782</v>
      </c>
      <c r="P565" s="16">
        <v>46069</v>
      </c>
      <c r="Q565" s="295" t="s">
        <v>3708</v>
      </c>
      <c r="R565" s="2" t="str">
        <f>VLOOKUP(SALIDAS111518[[#This Row],[CÓDIGO]],PRODUCTOS31316[],2,FALSE)</f>
        <v>13407-144</v>
      </c>
      <c r="S565" s="1" t="str">
        <f>VLOOKUP(SALIDAS111518[[#This Row],[CÓDIGO]],PRODUCTOS31316[],3,FALSE)</f>
        <v>PAJUELA ANARANJADA 0.25/ PAQ. X 2000 MARCA MINITUBE</v>
      </c>
      <c r="T565" s="2">
        <v>1</v>
      </c>
      <c r="U565" s="2"/>
      <c r="V565" s="2"/>
      <c r="W565" s="2"/>
      <c r="X565" s="2"/>
      <c r="Y565" s="7"/>
      <c r="Z565" s="2"/>
      <c r="AA565" s="1"/>
      <c r="AC565" s="2"/>
      <c r="AE565" s="1"/>
      <c r="AG565" s="2"/>
    </row>
    <row r="566" spans="1:33" ht="49.95" customHeight="1" x14ac:dyDescent="0.3">
      <c r="A566" s="2" t="s">
        <v>480</v>
      </c>
      <c r="B566" s="1" t="s">
        <v>1866</v>
      </c>
      <c r="C566" s="1" t="s">
        <v>1867</v>
      </c>
      <c r="D566" s="1" t="s">
        <v>634</v>
      </c>
      <c r="E566" s="1" t="s">
        <v>157</v>
      </c>
      <c r="F566" s="1" t="s">
        <v>30</v>
      </c>
      <c r="G566" s="2">
        <v>0</v>
      </c>
      <c r="H566" s="14">
        <f>SUMIF(ENTRADAS71417[CÓDIGO],PRODUCTOS31316[[#This Row],[CÓDIGO]],ENTRADAS71417[CANTIDAD])</f>
        <v>0</v>
      </c>
      <c r="I566" s="11">
        <f>SUMIF(SALIDAS111518[CÓDIGO],PRODUCTOS31316[[#This Row],[CÓDIGO]],SALIDAS111518[CANTIDAD])</f>
        <v>0</v>
      </c>
      <c r="J566" s="6">
        <f>PRODUCTOS31316[[#This Row],[EXISTENCIAS]]+PRODUCTOS31316[[#This Row],[ENTRADAS]]-PRODUCTOS31316[[#This Row],[SALIDAS]]</f>
        <v>0</v>
      </c>
      <c r="L566" s="282"/>
      <c r="M566" s="282"/>
      <c r="N566" s="276">
        <v>7891</v>
      </c>
      <c r="O566" s="295" t="s">
        <v>2782</v>
      </c>
      <c r="P566" s="16">
        <v>46069</v>
      </c>
      <c r="Q566" s="295" t="s">
        <v>3122</v>
      </c>
      <c r="R566" s="2" t="str">
        <f>VLOOKUP(SALIDAS111518[[#This Row],[CÓDIGO]],PRODUCTOS31316[],2,FALSE)</f>
        <v>BHS 1000</v>
      </c>
      <c r="S566" s="1" t="str">
        <f>VLOOKUP(SALIDAS111518[[#This Row],[CÓDIGO]],PRODUCTOS31316[],3,FALSE)</f>
        <v>PLACA TERMICA PARA MICROSCOPIO</v>
      </c>
      <c r="T566" s="2">
        <v>1</v>
      </c>
      <c r="U566" s="2"/>
      <c r="V566" s="2"/>
      <c r="W566" s="2"/>
      <c r="X566" s="2"/>
      <c r="Y566" s="7"/>
      <c r="Z566" s="2"/>
      <c r="AA566" s="1"/>
      <c r="AC566" s="2"/>
      <c r="AE566" s="1"/>
      <c r="AG566" s="2"/>
    </row>
    <row r="567" spans="1:33" ht="49.95" customHeight="1" x14ac:dyDescent="0.3">
      <c r="A567" s="2" t="s">
        <v>500</v>
      </c>
      <c r="B567" s="1">
        <v>15933</v>
      </c>
      <c r="C567" s="216" t="s">
        <v>1868</v>
      </c>
      <c r="D567" s="1" t="s">
        <v>442</v>
      </c>
      <c r="E567" s="1" t="s">
        <v>442</v>
      </c>
      <c r="F567" s="1" t="s">
        <v>30</v>
      </c>
      <c r="G567" s="2">
        <v>7</v>
      </c>
      <c r="H567" s="14">
        <f>SUMIF(ENTRADAS71417[CÓDIGO],PRODUCTOS31316[[#This Row],[CÓDIGO]],ENTRADAS71417[CANTIDAD])</f>
        <v>30</v>
      </c>
      <c r="I567" s="11">
        <f>SUMIF(SALIDAS111518[CÓDIGO],PRODUCTOS31316[[#This Row],[CÓDIGO]],SALIDAS111518[CANTIDAD])</f>
        <v>28</v>
      </c>
      <c r="J567" s="6">
        <f>PRODUCTOS31316[[#This Row],[EXISTENCIAS]]+PRODUCTOS31316[[#This Row],[ENTRADAS]]-PRODUCTOS31316[[#This Row],[SALIDAS]]</f>
        <v>9</v>
      </c>
      <c r="L567" s="282"/>
      <c r="M567" s="282"/>
      <c r="N567" s="276">
        <v>7891</v>
      </c>
      <c r="O567" s="295" t="s">
        <v>2782</v>
      </c>
      <c r="P567" s="16">
        <v>46069</v>
      </c>
      <c r="Q567" s="295" t="s">
        <v>3376</v>
      </c>
      <c r="R567" s="2">
        <f>VLOOKUP(SALIDAS111518[[#This Row],[CÓDIGO]],PRODUCTOS31316[],2,FALSE)</f>
        <v>0</v>
      </c>
      <c r="S567" s="1" t="str">
        <f>VLOOKUP(SALIDAS111518[[#This Row],[CÓDIGO]],PRODUCTOS31316[],3,FALSE)</f>
        <v>TERMO DE 380 ML MAS CAMPO</v>
      </c>
      <c r="T567" s="2">
        <v>1</v>
      </c>
      <c r="U567" s="2"/>
      <c r="V567" s="2"/>
      <c r="W567" s="2"/>
      <c r="X567" s="2"/>
      <c r="Y567" s="7"/>
      <c r="Z567" s="2"/>
      <c r="AA567" s="1"/>
      <c r="AC567" s="2"/>
      <c r="AE567" s="1"/>
      <c r="AG567" s="2"/>
    </row>
    <row r="568" spans="1:33" ht="49.95" customHeight="1" x14ac:dyDescent="0.3">
      <c r="A568" s="2" t="s">
        <v>557</v>
      </c>
      <c r="B568" s="1">
        <v>26647</v>
      </c>
      <c r="C568" s="1" t="s">
        <v>1869</v>
      </c>
      <c r="D568" s="1" t="s">
        <v>156</v>
      </c>
      <c r="E568" s="1" t="s">
        <v>352</v>
      </c>
      <c r="F568" s="1" t="s">
        <v>30</v>
      </c>
      <c r="G568" s="2">
        <v>0</v>
      </c>
      <c r="H568" s="14">
        <f>SUMIF(ENTRADAS71417[CÓDIGO],PRODUCTOS31316[[#This Row],[CÓDIGO]],ENTRADAS71417[CANTIDAD])</f>
        <v>0</v>
      </c>
      <c r="I568" s="11">
        <f>SUMIF(SALIDAS111518[CÓDIGO],PRODUCTOS31316[[#This Row],[CÓDIGO]],SALIDAS111518[CANTIDAD])</f>
        <v>0</v>
      </c>
      <c r="J568" s="6">
        <f>PRODUCTOS31316[[#This Row],[EXISTENCIAS]]+PRODUCTOS31316[[#This Row],[ENTRADAS]]-PRODUCTOS31316[[#This Row],[SALIDAS]]</f>
        <v>0</v>
      </c>
      <c r="L568" s="295" t="s">
        <v>3520</v>
      </c>
      <c r="M568" s="295" t="s">
        <v>3931</v>
      </c>
      <c r="N568" s="296" t="s">
        <v>4093</v>
      </c>
      <c r="O568" s="295" t="s">
        <v>2871</v>
      </c>
      <c r="P568" s="16">
        <v>46069</v>
      </c>
      <c r="Q568" s="295" t="s">
        <v>2232</v>
      </c>
      <c r="R568" s="2">
        <f>VLOOKUP(SALIDAS111518[[#This Row],[CÓDIGO]],PRODUCTOS31316[],2,FALSE)</f>
        <v>0</v>
      </c>
      <c r="S568" s="1" t="str">
        <f>VLOOKUP(SALIDAS111518[[#This Row],[CÓDIGO]],PRODUCTOS31316[],3,FALSE)</f>
        <v>CONO RECOLECTOR</v>
      </c>
      <c r="T568" s="2">
        <v>1</v>
      </c>
      <c r="U568" s="2">
        <v>272</v>
      </c>
      <c r="V568" s="2"/>
      <c r="W568" s="2"/>
      <c r="X568" s="2"/>
      <c r="Y568" s="7"/>
      <c r="Z568" s="2"/>
      <c r="AA568" s="1"/>
      <c r="AC568" s="2"/>
      <c r="AE568" s="1"/>
      <c r="AG568" s="2"/>
    </row>
    <row r="569" spans="1:33" ht="49.95" customHeight="1" x14ac:dyDescent="0.3">
      <c r="A569" s="2" t="s">
        <v>588</v>
      </c>
      <c r="B569" s="1" t="s">
        <v>1870</v>
      </c>
      <c r="C569" s="1" t="s">
        <v>1871</v>
      </c>
      <c r="E569" s="1" t="s">
        <v>352</v>
      </c>
      <c r="F569" s="1" t="s">
        <v>30</v>
      </c>
      <c r="G569" s="2">
        <v>0</v>
      </c>
      <c r="H569" s="14">
        <f>SUMIF(ENTRADAS71417[CÓDIGO],PRODUCTOS31316[[#This Row],[CÓDIGO]],ENTRADAS71417[CANTIDAD])</f>
        <v>0</v>
      </c>
      <c r="I569" s="11">
        <f>SUMIF(SALIDAS111518[CÓDIGO],PRODUCTOS31316[[#This Row],[CÓDIGO]],SALIDAS111518[CANTIDAD])</f>
        <v>0</v>
      </c>
      <c r="J569" s="6">
        <f>PRODUCTOS31316[[#This Row],[EXISTENCIAS]]+PRODUCTOS31316[[#This Row],[ENTRADAS]]-PRODUCTOS31316[[#This Row],[SALIDAS]]</f>
        <v>0</v>
      </c>
      <c r="L569" s="282"/>
      <c r="M569" s="282"/>
      <c r="N569" s="276">
        <v>7881</v>
      </c>
      <c r="O569" s="295" t="s">
        <v>2871</v>
      </c>
      <c r="P569" s="16">
        <v>46069</v>
      </c>
      <c r="Q569" s="295" t="s">
        <v>1631</v>
      </c>
      <c r="R569" s="2" t="str">
        <f>VLOOKUP(SALIDAS111518[[#This Row],[CÓDIGO]],PRODUCTOS31316[],2,FALSE)</f>
        <v>7101-CRAL</v>
      </c>
      <c r="S569" s="1" t="str">
        <f>VLOOKUP(SALIDAS111518[[#This Row],[CÓDIGO]],PRODUCTOS31316[],3,FALSE)</f>
        <v>LAMINA PORTA OBJETOS LISA EN VIDRIO 26X76MM, BORDE ESMERILADO</v>
      </c>
      <c r="T569" s="2">
        <v>2</v>
      </c>
      <c r="U569" s="2"/>
      <c r="V569" s="2"/>
      <c r="W569" s="2"/>
      <c r="X569" s="2"/>
      <c r="Y569" s="7"/>
      <c r="Z569" s="2"/>
      <c r="AA569" s="1"/>
      <c r="AC569" s="2"/>
      <c r="AE569" s="1"/>
      <c r="AG569" s="2"/>
    </row>
    <row r="570" spans="1:33" ht="49.95" customHeight="1" x14ac:dyDescent="0.3">
      <c r="A570" s="203" t="s">
        <v>602</v>
      </c>
      <c r="B570" s="1">
        <v>4845</v>
      </c>
      <c r="C570" s="216" t="s">
        <v>1797</v>
      </c>
      <c r="D570" s="1" t="s">
        <v>769</v>
      </c>
      <c r="E570" s="1" t="s">
        <v>249</v>
      </c>
      <c r="F570" s="1" t="s">
        <v>365</v>
      </c>
      <c r="G570" s="2">
        <v>19</v>
      </c>
      <c r="H570" s="14">
        <f>SUMIF(ENTRADAS71417[CÓDIGO],PRODUCTOS31316[[#This Row],[CÓDIGO]],ENTRADAS71417[CANTIDAD])</f>
        <v>110</v>
      </c>
      <c r="I570" s="11">
        <f>SUMIF(SALIDAS111518[CÓDIGO],PRODUCTOS31316[[#This Row],[CÓDIGO]],SALIDAS111518[CANTIDAD])</f>
        <v>91</v>
      </c>
      <c r="J570" s="6">
        <f>PRODUCTOS31316[[#This Row],[EXISTENCIAS]]+PRODUCTOS31316[[#This Row],[ENTRADAS]]-PRODUCTOS31316[[#This Row],[SALIDAS]]</f>
        <v>38</v>
      </c>
      <c r="L570" s="295" t="s">
        <v>3521</v>
      </c>
      <c r="M570" s="295" t="s">
        <v>3931</v>
      </c>
      <c r="N570" s="296" t="s">
        <v>4094</v>
      </c>
      <c r="O570" s="296" t="s">
        <v>4087</v>
      </c>
      <c r="P570" s="16">
        <v>46069</v>
      </c>
      <c r="Q570" s="295" t="s">
        <v>714</v>
      </c>
      <c r="R570" s="2" t="str">
        <f>VLOOKUP(SALIDAS111518[[#This Row],[CÓDIGO]],PRODUCTOS31316[],2,FALSE)</f>
        <v>S1</v>
      </c>
      <c r="S570" s="1" t="str">
        <f>VLOOKUP(SALIDAS111518[[#This Row],[CÓDIGO]],PRODUCTOS31316[],3,FALSE)</f>
        <v>ECÓGRAFO PORTATIL S1, PROBE RECTAL  Y PROTECTOR SOLAR</v>
      </c>
      <c r="T570" s="2">
        <v>1</v>
      </c>
      <c r="U570" s="2">
        <v>273</v>
      </c>
      <c r="V570" s="2"/>
      <c r="W570" s="2"/>
      <c r="X570" s="2"/>
      <c r="Y570" s="7"/>
      <c r="Z570" s="2"/>
      <c r="AA570" s="1"/>
      <c r="AC570" s="2"/>
      <c r="AE570" s="1"/>
      <c r="AG570" s="2"/>
    </row>
    <row r="571" spans="1:33" ht="49.95" customHeight="1" x14ac:dyDescent="0.3">
      <c r="A571" s="2" t="s">
        <v>628</v>
      </c>
      <c r="B571" s="1" t="s">
        <v>1872</v>
      </c>
      <c r="C571" s="1" t="s">
        <v>1873</v>
      </c>
      <c r="D571" s="1" t="s">
        <v>1874</v>
      </c>
      <c r="E571" s="1" t="s">
        <v>957</v>
      </c>
      <c r="F571" s="1" t="s">
        <v>30</v>
      </c>
      <c r="G571" s="2">
        <v>0</v>
      </c>
      <c r="H571" s="14">
        <f>SUMIF(ENTRADAS71417[CÓDIGO],PRODUCTOS31316[[#This Row],[CÓDIGO]],ENTRADAS71417[CANTIDAD])</f>
        <v>0</v>
      </c>
      <c r="I571" s="11">
        <f>SUMIF(SALIDAS111518[CÓDIGO],PRODUCTOS31316[[#This Row],[CÓDIGO]],SALIDAS111518[CANTIDAD])</f>
        <v>0</v>
      </c>
      <c r="J571" s="6">
        <f>PRODUCTOS31316[[#This Row],[EXISTENCIAS]]+PRODUCTOS31316[[#This Row],[ENTRADAS]]-PRODUCTOS31316[[#This Row],[SALIDAS]]</f>
        <v>0</v>
      </c>
      <c r="L571" s="282"/>
      <c r="M571" s="282"/>
      <c r="N571" s="276">
        <v>7882</v>
      </c>
      <c r="O571" s="296" t="s">
        <v>4087</v>
      </c>
      <c r="P571" s="16">
        <v>46069</v>
      </c>
      <c r="Q571" s="295" t="s">
        <v>3095</v>
      </c>
      <c r="R571" s="2">
        <f>VLOOKUP(SALIDAS111518[[#This Row],[CÓDIGO]],PRODUCTOS31316[],2,FALSE)</f>
        <v>0</v>
      </c>
      <c r="S571" s="1" t="str">
        <f>VLOOKUP(SALIDAS111518[[#This Row],[CÓDIGO]],PRODUCTOS31316[],3,FALSE)</f>
        <v>GORRA MAS CAMPO</v>
      </c>
      <c r="T571" s="2">
        <v>1</v>
      </c>
      <c r="U571" s="2"/>
      <c r="V571" s="2"/>
      <c r="W571" s="2"/>
      <c r="X571" s="2"/>
      <c r="Y571" s="7"/>
      <c r="Z571" s="2"/>
      <c r="AA571" s="1"/>
      <c r="AC571" s="2"/>
      <c r="AE571" s="1"/>
      <c r="AG571" s="2"/>
    </row>
    <row r="572" spans="1:33" ht="49.95" customHeight="1" x14ac:dyDescent="0.3">
      <c r="A572" s="2" t="s">
        <v>635</v>
      </c>
      <c r="C572" s="1" t="s">
        <v>1875</v>
      </c>
      <c r="D572" s="1" t="s">
        <v>471</v>
      </c>
      <c r="E572" s="1" t="s">
        <v>471</v>
      </c>
      <c r="F572" s="1" t="s">
        <v>30</v>
      </c>
      <c r="G572" s="2">
        <v>1</v>
      </c>
      <c r="H572" s="14">
        <f>SUMIF(ENTRADAS71417[CÓDIGO],PRODUCTOS31316[[#This Row],[CÓDIGO]],ENTRADAS71417[CANTIDAD])</f>
        <v>0</v>
      </c>
      <c r="I572" s="11">
        <f>SUMIF(SALIDAS111518[CÓDIGO],PRODUCTOS31316[[#This Row],[CÓDIGO]],SALIDAS111518[CANTIDAD])</f>
        <v>0</v>
      </c>
      <c r="J572" s="6">
        <f>PRODUCTOS31316[[#This Row],[EXISTENCIAS]]+PRODUCTOS31316[[#This Row],[ENTRADAS]]-PRODUCTOS31316[[#This Row],[SALIDAS]]</f>
        <v>1</v>
      </c>
      <c r="L572" s="295" t="s">
        <v>3520</v>
      </c>
      <c r="M572" s="295" t="s">
        <v>3931</v>
      </c>
      <c r="N572" s="296" t="s">
        <v>4098</v>
      </c>
      <c r="O572" s="295" t="s">
        <v>3232</v>
      </c>
      <c r="P572" s="16">
        <v>46070</v>
      </c>
      <c r="Q572" s="295" t="s">
        <v>2953</v>
      </c>
      <c r="R572" s="2" t="str">
        <f>VLOOKUP(SALIDAS111518[[#This Row],[CÓDIGO]],PRODUCTOS31316[],2,FALSE)</f>
        <v>24030/C01-26</v>
      </c>
      <c r="S572" s="1" t="str">
        <f>VLOOKUP(SALIDAS111518[[#This Row],[CÓDIGO]],PRODUCTOS31316[],3,FALSE)</f>
        <v xml:space="preserve"> DILUYENTE PARA CERDOS ACROMAX PLUS 1L/ 7-8 DIAS</v>
      </c>
      <c r="T572" s="2">
        <v>10</v>
      </c>
      <c r="U572" s="2">
        <v>268</v>
      </c>
      <c r="V572" s="2"/>
      <c r="W572" s="295" t="s">
        <v>2823</v>
      </c>
      <c r="X572" s="2"/>
      <c r="Y572" s="7"/>
      <c r="Z572" s="2"/>
      <c r="AA572" s="1"/>
      <c r="AC572" s="2"/>
      <c r="AE572" s="1"/>
      <c r="AG572" s="2"/>
    </row>
    <row r="573" spans="1:33" ht="49.95" customHeight="1" x14ac:dyDescent="0.3">
      <c r="A573" s="2" t="s">
        <v>642</v>
      </c>
      <c r="B573" s="1">
        <v>40201</v>
      </c>
      <c r="C573" s="1" t="s">
        <v>1876</v>
      </c>
      <c r="D573" s="1" t="s">
        <v>1877</v>
      </c>
      <c r="E573" s="1" t="s">
        <v>1877</v>
      </c>
      <c r="F573" s="1" t="s">
        <v>30</v>
      </c>
      <c r="G573" s="2">
        <v>0</v>
      </c>
      <c r="H573" s="14">
        <f>SUMIF(ENTRADAS71417[CÓDIGO],PRODUCTOS31316[[#This Row],[CÓDIGO]],ENTRADAS71417[CANTIDAD])</f>
        <v>0</v>
      </c>
      <c r="I573" s="11">
        <f>SUMIF(SALIDAS111518[CÓDIGO],PRODUCTOS31316[[#This Row],[CÓDIGO]],SALIDAS111518[CANTIDAD])</f>
        <v>0</v>
      </c>
      <c r="J573" s="6">
        <f>PRODUCTOS31316[[#This Row],[EXISTENCIAS]]+PRODUCTOS31316[[#This Row],[ENTRADAS]]-PRODUCTOS31316[[#This Row],[SALIDAS]]</f>
        <v>0</v>
      </c>
      <c r="L573" s="295" t="s">
        <v>3520</v>
      </c>
      <c r="M573" s="295" t="s">
        <v>3931</v>
      </c>
      <c r="N573" s="296" t="s">
        <v>4099</v>
      </c>
      <c r="O573" s="295" t="s">
        <v>4095</v>
      </c>
      <c r="P573" s="16">
        <v>46070</v>
      </c>
      <c r="Q573" s="295" t="s">
        <v>3355</v>
      </c>
      <c r="R573" s="2">
        <f>VLOOKUP(SALIDAS111518[[#This Row],[CÓDIGO]],PRODUCTOS31316[],2,FALSE)</f>
        <v>140681</v>
      </c>
      <c r="S573" s="1" t="str">
        <f>VLOOKUP(SALIDAS111518[[#This Row],[CÓDIGO]],PRODUCTOS31316[],3,FALSE)</f>
        <v>CAJA DE PETRI DESECHABLE ESTERIL 60x15MM.</v>
      </c>
      <c r="T573" s="2">
        <v>12</v>
      </c>
      <c r="U573" s="2">
        <v>274</v>
      </c>
      <c r="V573" s="2"/>
      <c r="W573" s="2"/>
      <c r="X573" s="2"/>
      <c r="Y573" s="7"/>
      <c r="Z573" s="2"/>
      <c r="AA573" s="1"/>
      <c r="AC573" s="2"/>
      <c r="AE573" s="1"/>
      <c r="AG573" s="2"/>
    </row>
    <row r="574" spans="1:33" ht="49.95" customHeight="1" x14ac:dyDescent="0.3">
      <c r="A574" s="2" t="s">
        <v>651</v>
      </c>
      <c r="B574" s="1">
        <v>18367</v>
      </c>
      <c r="C574" s="325" t="s">
        <v>1878</v>
      </c>
      <c r="D574" s="1" t="s">
        <v>442</v>
      </c>
      <c r="E574" s="1" t="s">
        <v>442</v>
      </c>
      <c r="F574" s="1" t="s">
        <v>30</v>
      </c>
      <c r="G574" s="2">
        <v>4</v>
      </c>
      <c r="H574" s="14">
        <f>SUMIF(ENTRADAS71417[CÓDIGO],PRODUCTOS31316[[#This Row],[CÓDIGO]],ENTRADAS71417[CANTIDAD])</f>
        <v>5</v>
      </c>
      <c r="I574" s="11">
        <f>SUMIF(SALIDAS111518[CÓDIGO],PRODUCTOS31316[[#This Row],[CÓDIGO]],SALIDAS111518[CANTIDAD])</f>
        <v>10</v>
      </c>
      <c r="J574" s="6">
        <f>PRODUCTOS31316[[#This Row],[EXISTENCIAS]]+PRODUCTOS31316[[#This Row],[ENTRADAS]]-PRODUCTOS31316[[#This Row],[SALIDAS]]</f>
        <v>-1</v>
      </c>
      <c r="L574" s="282"/>
      <c r="M574" s="282"/>
      <c r="N574" s="276">
        <v>7886</v>
      </c>
      <c r="O574" s="295" t="s">
        <v>4095</v>
      </c>
      <c r="P574" s="16">
        <v>46070</v>
      </c>
      <c r="Q574" s="295" t="s">
        <v>70</v>
      </c>
      <c r="R574" s="2">
        <f>VLOOKUP(SALIDAS111518[[#This Row],[CÓDIGO]],PRODUCTOS31316[],2,FALSE)</f>
        <v>25458</v>
      </c>
      <c r="S574" s="1" t="str">
        <f>VLOOKUP(SALIDAS111518[[#This Row],[CÓDIGO]],PRODUCTOS31316[],3,FALSE)</f>
        <v>FILTROS PARA OPU 100 UL</v>
      </c>
      <c r="T574" s="2">
        <v>5</v>
      </c>
      <c r="U574" s="2"/>
      <c r="V574" s="2"/>
      <c r="W574" s="2"/>
      <c r="X574" s="2"/>
      <c r="Y574" s="7"/>
      <c r="Z574" s="2"/>
      <c r="AA574" s="1"/>
      <c r="AC574" s="2"/>
      <c r="AE574" s="1"/>
      <c r="AG574" s="2"/>
    </row>
    <row r="575" spans="1:33" ht="49.95" customHeight="1" x14ac:dyDescent="0.3">
      <c r="A575" s="2" t="s">
        <v>657</v>
      </c>
      <c r="B575" s="1">
        <v>70002000002</v>
      </c>
      <c r="C575" s="1" t="s">
        <v>1879</v>
      </c>
      <c r="D575" s="1" t="s">
        <v>156</v>
      </c>
      <c r="E575" s="1" t="s">
        <v>157</v>
      </c>
      <c r="F575" s="1" t="s">
        <v>30</v>
      </c>
      <c r="G575" s="2">
        <v>0</v>
      </c>
      <c r="H575" s="14">
        <f>SUMIF(ENTRADAS71417[CÓDIGO],PRODUCTOS31316[[#This Row],[CÓDIGO]],ENTRADAS71417[CANTIDAD])</f>
        <v>0</v>
      </c>
      <c r="I575" s="11">
        <f>SUMIF(SALIDAS111518[CÓDIGO],PRODUCTOS31316[[#This Row],[CÓDIGO]],SALIDAS111518[CANTIDAD])</f>
        <v>0</v>
      </c>
      <c r="J575" s="6">
        <f>PRODUCTOS31316[[#This Row],[EXISTENCIAS]]+PRODUCTOS31316[[#This Row],[ENTRADAS]]-PRODUCTOS31316[[#This Row],[SALIDAS]]</f>
        <v>0</v>
      </c>
      <c r="L575" s="295" t="s">
        <v>3520</v>
      </c>
      <c r="M575" s="295" t="s">
        <v>3931</v>
      </c>
      <c r="N575" s="296" t="s">
        <v>4100</v>
      </c>
      <c r="O575" s="296" t="s">
        <v>3492</v>
      </c>
      <c r="P575" s="16">
        <v>46070</v>
      </c>
      <c r="Q575" s="295" t="s">
        <v>15</v>
      </c>
      <c r="R575" s="2" t="str">
        <f>VLOOKUP(SALIDAS111518[[#This Row],[CÓDIGO]],PRODUCTOS31316[],2,FALSE)</f>
        <v>BTE-025PT/ 504002</v>
      </c>
      <c r="S575" s="1" t="str">
        <f>VLOOKUP(SALIDAS111518[[#This Row],[CÓDIGO]],PRODUCTOS31316[],3,FALSE)</f>
        <v>FUNDAS PARA TRANSFERENCIA DE EMBRIONES</v>
      </c>
      <c r="T575" s="2">
        <v>50</v>
      </c>
      <c r="U575" s="2">
        <v>275</v>
      </c>
      <c r="V575" s="2"/>
      <c r="W575" s="2"/>
      <c r="X575" s="2"/>
      <c r="Y575" s="7"/>
      <c r="Z575" s="2"/>
      <c r="AA575" s="1"/>
      <c r="AC575" s="2"/>
      <c r="AE575" s="1"/>
      <c r="AG575" s="2"/>
    </row>
    <row r="576" spans="1:33" ht="49.95" customHeight="1" x14ac:dyDescent="0.3">
      <c r="A576" s="2" t="s">
        <v>664</v>
      </c>
      <c r="B576" s="1">
        <v>70002000003</v>
      </c>
      <c r="C576" s="1" t="s">
        <v>1880</v>
      </c>
      <c r="D576" s="1" t="s">
        <v>156</v>
      </c>
      <c r="E576" s="1" t="s">
        <v>157</v>
      </c>
      <c r="F576" s="1" t="s">
        <v>1881</v>
      </c>
      <c r="G576" s="2">
        <v>0</v>
      </c>
      <c r="H576" s="14">
        <f>SUMIF(ENTRADAS71417[CÓDIGO],PRODUCTOS31316[[#This Row],[CÓDIGO]],ENTRADAS71417[CANTIDAD])</f>
        <v>0</v>
      </c>
      <c r="I576" s="11">
        <f>SUMIF(SALIDAS111518[CÓDIGO],PRODUCTOS31316[[#This Row],[CÓDIGO]],SALIDAS111518[CANTIDAD])</f>
        <v>0</v>
      </c>
      <c r="J576" s="6">
        <f>PRODUCTOS31316[[#This Row],[EXISTENCIAS]]+PRODUCTOS31316[[#This Row],[ENTRADAS]]-PRODUCTOS31316[[#This Row],[SALIDAS]]</f>
        <v>0</v>
      </c>
      <c r="L576" s="295" t="s">
        <v>3520</v>
      </c>
      <c r="M576" s="295" t="s">
        <v>3931</v>
      </c>
      <c r="N576" s="298" t="s">
        <v>4119</v>
      </c>
      <c r="O576" s="296" t="s">
        <v>2828</v>
      </c>
      <c r="P576" s="16">
        <v>46070</v>
      </c>
      <c r="Q576" s="295" t="s">
        <v>2232</v>
      </c>
      <c r="R576" s="2">
        <f>VLOOKUP(SALIDAS111518[[#This Row],[CÓDIGO]],PRODUCTOS31316[],2,FALSE)</f>
        <v>0</v>
      </c>
      <c r="S576" s="1" t="str">
        <f>VLOOKUP(SALIDAS111518[[#This Row],[CÓDIGO]],PRODUCTOS31316[],3,FALSE)</f>
        <v>CONO RECOLECTOR</v>
      </c>
      <c r="T576" s="2">
        <v>2</v>
      </c>
      <c r="U576" s="2">
        <v>286</v>
      </c>
      <c r="V576" s="2"/>
      <c r="W576" s="295" t="s">
        <v>2823</v>
      </c>
      <c r="X576" s="2"/>
      <c r="Y576" s="7"/>
      <c r="Z576" s="2"/>
      <c r="AA576" s="1"/>
      <c r="AC576" s="2"/>
      <c r="AE576" s="1"/>
      <c r="AG576" s="2"/>
    </row>
    <row r="577" spans="1:33" ht="49.95" customHeight="1" x14ac:dyDescent="0.3">
      <c r="A577" s="2" t="s">
        <v>667</v>
      </c>
      <c r="B577" s="1">
        <v>70002000013</v>
      </c>
      <c r="C577" s="1" t="s">
        <v>1882</v>
      </c>
      <c r="D577" s="1" t="s">
        <v>156</v>
      </c>
      <c r="E577" s="1" t="s">
        <v>157</v>
      </c>
      <c r="F577" s="1" t="s">
        <v>1881</v>
      </c>
      <c r="G577" s="2">
        <v>0</v>
      </c>
      <c r="H577" s="14">
        <f>SUMIF(ENTRADAS71417[CÓDIGO],PRODUCTOS31316[[#This Row],[CÓDIGO]],ENTRADAS71417[CANTIDAD])</f>
        <v>0</v>
      </c>
      <c r="I577" s="11">
        <f>SUMIF(SALIDAS111518[CÓDIGO],PRODUCTOS31316[[#This Row],[CÓDIGO]],SALIDAS111518[CANTIDAD])</f>
        <v>0</v>
      </c>
      <c r="J577" s="6">
        <f>PRODUCTOS31316[[#This Row],[EXISTENCIAS]]+PRODUCTOS31316[[#This Row],[ENTRADAS]]-PRODUCTOS31316[[#This Row],[SALIDAS]]</f>
        <v>0</v>
      </c>
      <c r="L577" s="295" t="s">
        <v>3520</v>
      </c>
      <c r="M577" s="295" t="s">
        <v>3931</v>
      </c>
      <c r="N577" s="296" t="s">
        <v>4101</v>
      </c>
      <c r="O577" s="296" t="s">
        <v>2445</v>
      </c>
      <c r="P577" s="16">
        <v>46070</v>
      </c>
      <c r="Q577" s="295" t="s">
        <v>3714</v>
      </c>
      <c r="R577" s="2" t="str">
        <f>VLOOKUP(SALIDAS111518[[#This Row],[CÓDIGO]],PRODUCTOS31316[],2,FALSE)</f>
        <v>13408-094</v>
      </c>
      <c r="S577" s="1" t="str">
        <f>VLOOKUP(SALIDAS111518[[#This Row],[CÓDIGO]],PRODUCTOS31316[],3,FALSE)</f>
        <v>PAJUELA AMARILLA 0.50/ PAQ. X 2500 MARCA MINITUBE</v>
      </c>
      <c r="T577" s="2">
        <v>1</v>
      </c>
      <c r="U577" s="2">
        <v>276</v>
      </c>
      <c r="V577" s="2"/>
      <c r="W577" s="2"/>
      <c r="X577" s="2"/>
      <c r="Y577" s="7"/>
      <c r="Z577" s="2"/>
      <c r="AA577" s="1"/>
      <c r="AC577" s="2"/>
      <c r="AE577" s="1"/>
      <c r="AG577" s="2"/>
    </row>
    <row r="578" spans="1:33" ht="49.95" customHeight="1" x14ac:dyDescent="0.3">
      <c r="A578" s="2" t="s">
        <v>709</v>
      </c>
      <c r="B578" s="1">
        <v>1040</v>
      </c>
      <c r="C578" s="1" t="s">
        <v>1883</v>
      </c>
      <c r="D578" s="1" t="s">
        <v>103</v>
      </c>
      <c r="E578" s="1" t="s">
        <v>233</v>
      </c>
      <c r="F578" s="1" t="s">
        <v>30</v>
      </c>
      <c r="G578" s="2">
        <v>3</v>
      </c>
      <c r="H578" s="14">
        <f>SUMIF(ENTRADAS71417[CÓDIGO],PRODUCTOS31316[[#This Row],[CÓDIGO]],ENTRADAS71417[CANTIDAD])</f>
        <v>0</v>
      </c>
      <c r="I578" s="11">
        <f>SUMIF(SALIDAS111518[CÓDIGO],PRODUCTOS31316[[#This Row],[CÓDIGO]],SALIDAS111518[CANTIDAD])</f>
        <v>0</v>
      </c>
      <c r="J578" s="6">
        <f>PRODUCTOS31316[[#This Row],[EXISTENCIAS]]+PRODUCTOS31316[[#This Row],[ENTRADAS]]-PRODUCTOS31316[[#This Row],[SALIDAS]]</f>
        <v>3</v>
      </c>
      <c r="L578" s="282"/>
      <c r="M578" s="282"/>
      <c r="N578" s="276">
        <v>7888</v>
      </c>
      <c r="O578" s="296" t="s">
        <v>2445</v>
      </c>
      <c r="P578" s="16">
        <v>46070</v>
      </c>
      <c r="Q578" s="295" t="s">
        <v>3709</v>
      </c>
      <c r="R578" s="2" t="str">
        <f>VLOOKUP(SALIDAS111518[[#This Row],[CÓDIGO]],PRODUCTOS31316[],2,FALSE)</f>
        <v>13408-010</v>
      </c>
      <c r="S578" s="1" t="str">
        <f>VLOOKUP(SALIDAS111518[[#This Row],[CÓDIGO]],PRODUCTOS31316[],3,FALSE)</f>
        <v>PAJUELA TRANSPARENTE 0.50/ PAQ. X 2500 MARCA MINITUBE</v>
      </c>
      <c r="T578" s="2">
        <v>1</v>
      </c>
      <c r="U578" s="2"/>
      <c r="V578" s="2"/>
      <c r="W578" s="2"/>
      <c r="X578" s="2"/>
      <c r="Y578" s="7"/>
      <c r="Z578" s="2"/>
      <c r="AA578" s="1"/>
      <c r="AC578" s="2"/>
      <c r="AE578" s="1"/>
      <c r="AG578" s="2"/>
    </row>
    <row r="579" spans="1:33" ht="49.95" customHeight="1" x14ac:dyDescent="0.3">
      <c r="A579" s="203" t="s">
        <v>714</v>
      </c>
      <c r="B579" s="1" t="s">
        <v>1884</v>
      </c>
      <c r="C579" s="216" t="s">
        <v>1885</v>
      </c>
      <c r="D579" s="1" t="s">
        <v>1886</v>
      </c>
      <c r="E579" s="1" t="s">
        <v>1886</v>
      </c>
      <c r="F579" s="1" t="s">
        <v>30</v>
      </c>
      <c r="G579" s="2">
        <v>-2</v>
      </c>
      <c r="H579" s="14">
        <f>SUMIF(ENTRADAS71417[CÓDIGO],PRODUCTOS31316[[#This Row],[CÓDIGO]],ENTRADAS71417[CANTIDAD])</f>
        <v>6</v>
      </c>
      <c r="I579" s="11">
        <f>SUMIF(SALIDAS111518[CÓDIGO],PRODUCTOS31316[[#This Row],[CÓDIGO]],SALIDAS111518[CANTIDAD])</f>
        <v>4</v>
      </c>
      <c r="J579" s="6">
        <f>PRODUCTOS31316[[#This Row],[EXISTENCIAS]]+PRODUCTOS31316[[#This Row],[ENTRADAS]]-PRODUCTOS31316[[#This Row],[SALIDAS]]</f>
        <v>0</v>
      </c>
      <c r="L579" s="282"/>
      <c r="M579" s="282"/>
      <c r="N579" s="276">
        <v>7888</v>
      </c>
      <c r="O579" s="296" t="s">
        <v>2445</v>
      </c>
      <c r="P579" s="16">
        <v>46070</v>
      </c>
      <c r="Q579" s="295" t="s">
        <v>2409</v>
      </c>
      <c r="R579" s="2">
        <f>VLOOKUP(SALIDAS111518[[#This Row],[CÓDIGO]],PRODUCTOS31316[],2,FALSE)</f>
        <v>6986</v>
      </c>
      <c r="S579" s="1" t="str">
        <f>VLOOKUP(SALIDAS111518[[#This Row],[CÓDIGO]],PRODUCTOS31316[],3,FALSE)</f>
        <v>CINTA ESCROTAL METÁLICA</v>
      </c>
      <c r="T579" s="2">
        <v>2</v>
      </c>
      <c r="U579" s="2"/>
      <c r="V579" s="2"/>
      <c r="W579" s="2"/>
      <c r="X579" s="2"/>
      <c r="Y579" s="7"/>
      <c r="Z579" s="2"/>
      <c r="AA579" s="1"/>
      <c r="AC579" s="2"/>
      <c r="AE579" s="1"/>
      <c r="AG579" s="2"/>
    </row>
    <row r="580" spans="1:33" ht="49.95" customHeight="1" x14ac:dyDescent="0.3">
      <c r="A580" s="2" t="s">
        <v>718</v>
      </c>
      <c r="B580" s="1">
        <v>7179</v>
      </c>
      <c r="C580" s="1" t="s">
        <v>1887</v>
      </c>
      <c r="D580" s="1" t="s">
        <v>156</v>
      </c>
      <c r="E580" s="1" t="s">
        <v>352</v>
      </c>
      <c r="F580" s="1" t="s">
        <v>30</v>
      </c>
      <c r="G580" s="2">
        <v>0</v>
      </c>
      <c r="H580" s="14">
        <f>SUMIF(ENTRADAS71417[CÓDIGO],PRODUCTOS31316[[#This Row],[CÓDIGO]],ENTRADAS71417[CANTIDAD])</f>
        <v>0</v>
      </c>
      <c r="I580" s="11">
        <f>SUMIF(SALIDAS111518[CÓDIGO],PRODUCTOS31316[[#This Row],[CÓDIGO]],SALIDAS111518[CANTIDAD])</f>
        <v>0</v>
      </c>
      <c r="J580" s="6">
        <f>PRODUCTOS31316[[#This Row],[EXISTENCIAS]]+PRODUCTOS31316[[#This Row],[ENTRADAS]]-PRODUCTOS31316[[#This Row],[SALIDAS]]</f>
        <v>0</v>
      </c>
      <c r="L580" s="282"/>
      <c r="M580" s="282"/>
      <c r="N580" s="276">
        <v>7888</v>
      </c>
      <c r="O580" s="296" t="s">
        <v>2445</v>
      </c>
      <c r="P580" s="16">
        <v>46070</v>
      </c>
      <c r="Q580" s="295" t="s">
        <v>2941</v>
      </c>
      <c r="R580" s="2">
        <f>VLOOKUP(SALIDAS111518[[#This Row],[CÓDIGO]],PRODUCTOS31316[],2,FALSE)</f>
        <v>1101</v>
      </c>
      <c r="S580" s="1" t="str">
        <f>VLOOKUP(SALIDAS111518[[#This Row],[CÓDIGO]],PRODUCTOS31316[],3,FALSE)</f>
        <v>ESCROTIMETRO</v>
      </c>
      <c r="T580" s="2">
        <v>2</v>
      </c>
      <c r="U580" s="2"/>
      <c r="V580" s="2"/>
      <c r="W580" s="2"/>
      <c r="X580" s="2"/>
      <c r="Y580" s="7"/>
      <c r="Z580" s="2"/>
      <c r="AA580" s="1"/>
      <c r="AC580" s="2"/>
      <c r="AE580" s="1"/>
      <c r="AG580" s="2"/>
    </row>
    <row r="581" spans="1:33" ht="49.95" customHeight="1" x14ac:dyDescent="0.3">
      <c r="A581" s="203" t="s">
        <v>722</v>
      </c>
      <c r="C581" s="1" t="s">
        <v>1888</v>
      </c>
      <c r="D581" s="1" t="s">
        <v>156</v>
      </c>
      <c r="E581" s="1" t="s">
        <v>352</v>
      </c>
      <c r="F581" s="1" t="s">
        <v>30</v>
      </c>
      <c r="G581" s="31">
        <v>1</v>
      </c>
      <c r="H581" s="14">
        <f>SUMIF(ENTRADAS71417[CÓDIGO],PRODUCTOS31316[[#This Row],[CÓDIGO]],ENTRADAS71417[CANTIDAD])</f>
        <v>0</v>
      </c>
      <c r="I581" s="11">
        <f>SUMIF(SALIDAS111518[CÓDIGO],PRODUCTOS31316[[#This Row],[CÓDIGO]],SALIDAS111518[CANTIDAD])</f>
        <v>1</v>
      </c>
      <c r="J581" s="6">
        <f>PRODUCTOS31316[[#This Row],[EXISTENCIAS]]+PRODUCTOS31316[[#This Row],[ENTRADAS]]-PRODUCTOS31316[[#This Row],[SALIDAS]]</f>
        <v>0</v>
      </c>
      <c r="L581" s="295" t="s">
        <v>3521</v>
      </c>
      <c r="M581" s="295" t="s">
        <v>3931</v>
      </c>
      <c r="N581" s="296" t="s">
        <v>4105</v>
      </c>
      <c r="O581" s="296" t="s">
        <v>4096</v>
      </c>
      <c r="P581" s="16">
        <v>46070</v>
      </c>
      <c r="Q581" s="295" t="s">
        <v>3354</v>
      </c>
      <c r="R581" s="2" t="str">
        <f>VLOOKUP(SALIDAS111518[[#This Row],[CÓDIGO]],PRODUCTOS31316[],2,FALSE)</f>
        <v>MX5C</v>
      </c>
      <c r="S581" s="1" t="str">
        <f>VLOOKUP(SALIDAS111518[[#This Row],[CÓDIGO]],PRODUCTOS31316[],3,FALSE)</f>
        <v>ECOGRAFO MX5C CON SONDA LINEAL RECTAL/DOPLLER COLOR</v>
      </c>
      <c r="T581" s="2">
        <v>1</v>
      </c>
      <c r="U581" s="2">
        <v>279</v>
      </c>
      <c r="V581" s="2"/>
      <c r="W581" s="2"/>
      <c r="X581" s="2"/>
      <c r="Y581" s="7"/>
      <c r="Z581" s="2"/>
      <c r="AA581" s="1"/>
      <c r="AC581" s="2"/>
      <c r="AE581" s="1"/>
      <c r="AG581" s="2"/>
    </row>
    <row r="582" spans="1:33" ht="49.95" customHeight="1" x14ac:dyDescent="0.3">
      <c r="A582" s="2" t="s">
        <v>732</v>
      </c>
      <c r="C582" s="1" t="s">
        <v>1889</v>
      </c>
      <c r="D582" s="1" t="s">
        <v>156</v>
      </c>
      <c r="E582" s="1" t="s">
        <v>352</v>
      </c>
      <c r="F582" s="1" t="s">
        <v>30</v>
      </c>
      <c r="G582" s="2">
        <v>0</v>
      </c>
      <c r="H582" s="14">
        <f>SUMIF(ENTRADAS71417[CÓDIGO],PRODUCTOS31316[[#This Row],[CÓDIGO]],ENTRADAS71417[CANTIDAD])</f>
        <v>0</v>
      </c>
      <c r="I582" s="11">
        <f>SUMIF(SALIDAS111518[CÓDIGO],PRODUCTOS31316[[#This Row],[CÓDIGO]],SALIDAS111518[CANTIDAD])</f>
        <v>0</v>
      </c>
      <c r="J582" s="6">
        <f>PRODUCTOS31316[[#This Row],[EXISTENCIAS]]+PRODUCTOS31316[[#This Row],[ENTRADAS]]-PRODUCTOS31316[[#This Row],[SALIDAS]]</f>
        <v>0</v>
      </c>
      <c r="L582" s="282"/>
      <c r="M582" s="282"/>
      <c r="N582" s="276">
        <v>7892</v>
      </c>
      <c r="O582" s="296" t="s">
        <v>4096</v>
      </c>
      <c r="P582" s="16">
        <v>46070</v>
      </c>
      <c r="Q582" s="295" t="s">
        <v>3077</v>
      </c>
      <c r="R582" s="2">
        <f>VLOOKUP(SALIDAS111518[[#This Row],[CÓDIGO]],PRODUCTOS31316[],2,FALSE)</f>
        <v>0</v>
      </c>
      <c r="S582" s="1" t="str">
        <f>VLOOKUP(SALIDAS111518[[#This Row],[CÓDIGO]],PRODUCTOS31316[],3,FALSE)</f>
        <v>TABLET GALAXY TAB A 9+ MARCA SANSUNG</v>
      </c>
      <c r="T582" s="2">
        <v>1</v>
      </c>
      <c r="U582" s="2"/>
      <c r="V582" s="2"/>
      <c r="W582" s="2"/>
      <c r="X582" s="2"/>
      <c r="Y582" s="7"/>
      <c r="Z582" s="2"/>
      <c r="AA582" s="1"/>
      <c r="AC582" s="2"/>
      <c r="AE582" s="1"/>
      <c r="AG582" s="2"/>
    </row>
    <row r="583" spans="1:33" ht="49.95" customHeight="1" x14ac:dyDescent="0.3">
      <c r="A583" s="2" t="s">
        <v>737</v>
      </c>
      <c r="B583" s="1" t="s">
        <v>1890</v>
      </c>
      <c r="C583" s="1" t="s">
        <v>1891</v>
      </c>
      <c r="D583" s="1" t="s">
        <v>103</v>
      </c>
      <c r="E583" s="1" t="s">
        <v>352</v>
      </c>
      <c r="F583" s="1" t="s">
        <v>30</v>
      </c>
      <c r="G583" s="2">
        <v>0</v>
      </c>
      <c r="H583" s="14">
        <f>SUMIF(ENTRADAS71417[CÓDIGO],PRODUCTOS31316[[#This Row],[CÓDIGO]],ENTRADAS71417[CANTIDAD])</f>
        <v>0</v>
      </c>
      <c r="I583" s="11">
        <f>SUMIF(SALIDAS111518[CÓDIGO],PRODUCTOS31316[[#This Row],[CÓDIGO]],SALIDAS111518[CANTIDAD])</f>
        <v>0</v>
      </c>
      <c r="J583" s="6">
        <f>PRODUCTOS31316[[#This Row],[EXISTENCIAS]]+PRODUCTOS31316[[#This Row],[ENTRADAS]]-PRODUCTOS31316[[#This Row],[SALIDAS]]</f>
        <v>0</v>
      </c>
      <c r="L583" s="282"/>
      <c r="M583" s="282"/>
      <c r="N583" s="276">
        <v>7892</v>
      </c>
      <c r="O583" s="296" t="s">
        <v>4096</v>
      </c>
      <c r="P583" s="16">
        <v>46070</v>
      </c>
      <c r="Q583" s="295" t="s">
        <v>3286</v>
      </c>
      <c r="R583" s="2">
        <f>VLOOKUP(SALIDAS111518[[#This Row],[CÓDIGO]],PRODUCTOS31316[],2,FALSE)</f>
        <v>0</v>
      </c>
      <c r="S583" s="1" t="str">
        <f>VLOOKUP(SALIDAS111518[[#This Row],[CÓDIGO]],PRODUCTOS31316[],3,FALSE)</f>
        <v>CARCASA TABLET BMV</v>
      </c>
      <c r="T583" s="2">
        <v>1</v>
      </c>
      <c r="U583" s="2"/>
      <c r="V583" s="2"/>
      <c r="W583" s="2"/>
      <c r="X583" s="2"/>
      <c r="Y583" s="7"/>
      <c r="Z583" s="2"/>
      <c r="AA583" s="1"/>
      <c r="AC583" s="2"/>
      <c r="AE583" s="1"/>
      <c r="AG583" s="2"/>
    </row>
    <row r="584" spans="1:33" ht="49.95" customHeight="1" x14ac:dyDescent="0.3">
      <c r="A584" s="2" t="s">
        <v>742</v>
      </c>
      <c r="B584" s="1">
        <v>7175</v>
      </c>
      <c r="C584" s="1" t="s">
        <v>1892</v>
      </c>
      <c r="D584" s="1" t="s">
        <v>156</v>
      </c>
      <c r="E584" s="1" t="s">
        <v>352</v>
      </c>
      <c r="F584" s="1" t="s">
        <v>30</v>
      </c>
      <c r="G584" s="2">
        <v>0</v>
      </c>
      <c r="H584" s="14">
        <f>SUMIF(ENTRADAS71417[CÓDIGO],PRODUCTOS31316[[#This Row],[CÓDIGO]],ENTRADAS71417[CANTIDAD])</f>
        <v>0</v>
      </c>
      <c r="I584" s="11">
        <f>SUMIF(SALIDAS111518[CÓDIGO],PRODUCTOS31316[[#This Row],[CÓDIGO]],SALIDAS111518[CANTIDAD])</f>
        <v>0</v>
      </c>
      <c r="J584" s="6">
        <f>PRODUCTOS31316[[#This Row],[EXISTENCIAS]]+PRODUCTOS31316[[#This Row],[ENTRADAS]]-PRODUCTOS31316[[#This Row],[SALIDAS]]</f>
        <v>0</v>
      </c>
      <c r="L584" s="282"/>
      <c r="M584" s="282"/>
      <c r="N584" s="276">
        <v>7892</v>
      </c>
      <c r="O584" s="296" t="s">
        <v>4096</v>
      </c>
      <c r="P584" s="16">
        <v>46070</v>
      </c>
      <c r="Q584" s="295" t="s">
        <v>3095</v>
      </c>
      <c r="R584" s="2">
        <f>VLOOKUP(SALIDAS111518[[#This Row],[CÓDIGO]],PRODUCTOS31316[],2,FALSE)</f>
        <v>0</v>
      </c>
      <c r="S584" s="1" t="str">
        <f>VLOOKUP(SALIDAS111518[[#This Row],[CÓDIGO]],PRODUCTOS31316[],3,FALSE)</f>
        <v>GORRA MAS CAMPO</v>
      </c>
      <c r="T584" s="2">
        <v>1</v>
      </c>
      <c r="U584" s="2"/>
      <c r="V584" s="2"/>
      <c r="W584" s="2"/>
      <c r="X584" s="2"/>
      <c r="Y584" s="7"/>
      <c r="Z584" s="2"/>
      <c r="AA584" s="1"/>
      <c r="AC584" s="2"/>
      <c r="AE584" s="1"/>
      <c r="AG584" s="2"/>
    </row>
    <row r="585" spans="1:33" ht="49.95" customHeight="1" x14ac:dyDescent="0.3">
      <c r="A585" s="2" t="s">
        <v>760</v>
      </c>
      <c r="B585" s="1" t="s">
        <v>1893</v>
      </c>
      <c r="C585" s="1" t="s">
        <v>1894</v>
      </c>
      <c r="D585" s="1" t="s">
        <v>103</v>
      </c>
      <c r="E585" s="1" t="s">
        <v>352</v>
      </c>
      <c r="F585" s="1" t="s">
        <v>62</v>
      </c>
      <c r="G585" s="2">
        <v>0</v>
      </c>
      <c r="H585" s="14">
        <f>SUMIF(ENTRADAS71417[CÓDIGO],PRODUCTOS31316[[#This Row],[CÓDIGO]],ENTRADAS71417[CANTIDAD])</f>
        <v>0</v>
      </c>
      <c r="I585" s="11">
        <f>SUMIF(SALIDAS111518[CÓDIGO],PRODUCTOS31316[[#This Row],[CÓDIGO]],SALIDAS111518[CANTIDAD])</f>
        <v>0</v>
      </c>
      <c r="J585" s="6">
        <f>PRODUCTOS31316[[#This Row],[EXISTENCIAS]]+PRODUCTOS31316[[#This Row],[ENTRADAS]]-PRODUCTOS31316[[#This Row],[SALIDAS]]</f>
        <v>0</v>
      </c>
      <c r="L585" s="295" t="s">
        <v>3521</v>
      </c>
      <c r="M585" s="295" t="s">
        <v>3931</v>
      </c>
      <c r="N585" s="296" t="s">
        <v>4107</v>
      </c>
      <c r="O585" s="295" t="s">
        <v>4097</v>
      </c>
      <c r="P585" s="16">
        <v>46070</v>
      </c>
      <c r="Q585" s="295" t="s">
        <v>438</v>
      </c>
      <c r="R585" s="2">
        <f>VLOOKUP(SALIDAS111518[[#This Row],[CÓDIGO]],PRODUCTOS31316[],2,FALSE)</f>
        <v>18421</v>
      </c>
      <c r="S585" s="1" t="str">
        <f>VLOOKUP(SALIDAS111518[[#This Row],[CÓDIGO]],PRODUCTOS31316[],3,FALSE)</f>
        <v xml:space="preserve">PISTOLA DE TRANSFERENCIA DE EMBRIONES 0,25 / BLOQUEO AUTOMÁTICO </v>
      </c>
      <c r="T585" s="2">
        <v>1</v>
      </c>
      <c r="U585" s="2">
        <v>280</v>
      </c>
      <c r="V585" s="2"/>
      <c r="W585" s="2"/>
      <c r="X585" s="2"/>
      <c r="Y585" s="7"/>
      <c r="Z585" s="2"/>
      <c r="AA585" s="1"/>
      <c r="AC585" s="2"/>
      <c r="AE585" s="1"/>
      <c r="AG585" s="2"/>
    </row>
    <row r="586" spans="1:33" ht="49.95" customHeight="1" x14ac:dyDescent="0.3">
      <c r="A586" s="2" t="s">
        <v>1352</v>
      </c>
      <c r="B586" s="1" t="s">
        <v>1895</v>
      </c>
      <c r="C586" s="1" t="s">
        <v>1896</v>
      </c>
      <c r="D586" s="1" t="s">
        <v>639</v>
      </c>
      <c r="E586" s="1" t="s">
        <v>640</v>
      </c>
      <c r="F586" s="1" t="s">
        <v>1897</v>
      </c>
      <c r="G586" s="2">
        <v>0</v>
      </c>
      <c r="H586" s="14">
        <f>SUMIF(ENTRADAS71417[CÓDIGO],PRODUCTOS31316[[#This Row],[CÓDIGO]],ENTRADAS71417[CANTIDAD])</f>
        <v>0</v>
      </c>
      <c r="I586" s="11">
        <f>SUMIF(SALIDAS111518[CÓDIGO],PRODUCTOS31316[[#This Row],[CÓDIGO]],SALIDAS111518[CANTIDAD])</f>
        <v>0</v>
      </c>
      <c r="J586" s="6">
        <f>PRODUCTOS31316[[#This Row],[EXISTENCIAS]]+PRODUCTOS31316[[#This Row],[ENTRADAS]]-PRODUCTOS31316[[#This Row],[SALIDAS]]</f>
        <v>0</v>
      </c>
      <c r="L586" s="282"/>
      <c r="M586" s="282"/>
      <c r="N586" s="276">
        <v>7893</v>
      </c>
      <c r="O586" s="295" t="s">
        <v>4097</v>
      </c>
      <c r="P586" s="16">
        <v>46070</v>
      </c>
      <c r="Q586" s="295" t="s">
        <v>15</v>
      </c>
      <c r="R586" s="2" t="str">
        <f>VLOOKUP(SALIDAS111518[[#This Row],[CÓDIGO]],PRODUCTOS31316[],2,FALSE)</f>
        <v>BTE-025PT/ 504002</v>
      </c>
      <c r="S586" s="1" t="str">
        <f>VLOOKUP(SALIDAS111518[[#This Row],[CÓDIGO]],PRODUCTOS31316[],3,FALSE)</f>
        <v>FUNDAS PARA TRANSFERENCIA DE EMBRIONES</v>
      </c>
      <c r="T586" s="2">
        <v>2</v>
      </c>
      <c r="U586" s="2"/>
      <c r="V586" s="2"/>
      <c r="W586" s="2"/>
      <c r="X586" s="2"/>
      <c r="Y586" s="7"/>
      <c r="Z586" s="2"/>
      <c r="AA586" s="1"/>
      <c r="AC586" s="2"/>
      <c r="AE586" s="1"/>
      <c r="AG586" s="2"/>
    </row>
    <row r="587" spans="1:33" ht="49.95" customHeight="1" x14ac:dyDescent="0.3">
      <c r="A587" s="2" t="s">
        <v>924</v>
      </c>
      <c r="B587" s="1" t="s">
        <v>1898</v>
      </c>
      <c r="C587" s="1" t="s">
        <v>1899</v>
      </c>
      <c r="D587" s="1" t="s">
        <v>822</v>
      </c>
      <c r="E587" s="1" t="s">
        <v>884</v>
      </c>
      <c r="F587" s="1" t="s">
        <v>30</v>
      </c>
      <c r="G587" s="2">
        <v>0</v>
      </c>
      <c r="H587" s="14">
        <f>SUMIF(ENTRADAS71417[CÓDIGO],PRODUCTOS31316[[#This Row],[CÓDIGO]],ENTRADAS71417[CANTIDAD])</f>
        <v>0</v>
      </c>
      <c r="I587" s="11">
        <f>SUMIF(SALIDAS111518[CÓDIGO],PRODUCTOS31316[[#This Row],[CÓDIGO]],SALIDAS111518[CANTIDAD])</f>
        <v>0</v>
      </c>
      <c r="J587" s="6">
        <f>PRODUCTOS31316[[#This Row],[EXISTENCIAS]]+PRODUCTOS31316[[#This Row],[ENTRADAS]]-PRODUCTOS31316[[#This Row],[SALIDAS]]</f>
        <v>0</v>
      </c>
      <c r="L587" s="295" t="s">
        <v>3520</v>
      </c>
      <c r="M587" s="295" t="s">
        <v>3931</v>
      </c>
      <c r="N587" s="296" t="s">
        <v>4108</v>
      </c>
      <c r="O587" s="295" t="s">
        <v>3537</v>
      </c>
      <c r="P587" s="16">
        <v>46070</v>
      </c>
      <c r="Q587" s="295" t="s">
        <v>104</v>
      </c>
      <c r="R587" s="2">
        <f>VLOOKUP(SALIDAS111518[[#This Row],[CÓDIGO]],PRODUCTOS31316[],2,FALSE)</f>
        <v>0</v>
      </c>
      <c r="S587" s="1" t="str">
        <f>VLOOKUP(SALIDAS111518[[#This Row],[CÓDIGO]],PRODUCTOS31316[],3,FALSE)</f>
        <v>ISPERM CHIPS (500 TESTS PER BOX) PAQ. X 50 UND</v>
      </c>
      <c r="T587" s="2">
        <v>2</v>
      </c>
      <c r="U587" s="2">
        <v>281</v>
      </c>
      <c r="V587" s="2"/>
      <c r="W587" s="2"/>
      <c r="X587" s="2"/>
      <c r="Y587" s="7"/>
      <c r="Z587" s="2"/>
      <c r="AA587" s="1"/>
      <c r="AC587" s="2"/>
      <c r="AE587" s="1"/>
      <c r="AG587" s="2"/>
    </row>
    <row r="588" spans="1:33" ht="49.95" customHeight="1" x14ac:dyDescent="0.3">
      <c r="A588" s="2" t="s">
        <v>801</v>
      </c>
      <c r="B588" s="1" t="s">
        <v>1900</v>
      </c>
      <c r="C588" s="1" t="s">
        <v>1901</v>
      </c>
      <c r="E588" s="1" t="s">
        <v>1735</v>
      </c>
      <c r="F588" s="1" t="s">
        <v>30</v>
      </c>
      <c r="G588" s="2">
        <v>2</v>
      </c>
      <c r="H588" s="14">
        <f>SUMIF(ENTRADAS71417[CÓDIGO],PRODUCTOS31316[[#This Row],[CÓDIGO]],ENTRADAS71417[CANTIDAD])</f>
        <v>0</v>
      </c>
      <c r="I588" s="11">
        <f>SUMIF(SALIDAS111518[CÓDIGO],PRODUCTOS31316[[#This Row],[CÓDIGO]],SALIDAS111518[CANTIDAD])</f>
        <v>0</v>
      </c>
      <c r="J588" s="6">
        <f>PRODUCTOS31316[[#This Row],[EXISTENCIAS]]+PRODUCTOS31316[[#This Row],[ENTRADAS]]-PRODUCTOS31316[[#This Row],[SALIDAS]]</f>
        <v>2</v>
      </c>
      <c r="L588" s="295" t="s">
        <v>3520</v>
      </c>
      <c r="M588" s="295" t="s">
        <v>3931</v>
      </c>
      <c r="N588" s="296" t="s">
        <v>4109</v>
      </c>
      <c r="O588" s="295" t="s">
        <v>2299</v>
      </c>
      <c r="P588" s="16">
        <v>46070</v>
      </c>
      <c r="Q588" s="295" t="s">
        <v>2306</v>
      </c>
      <c r="R588" s="2">
        <f>VLOOKUP(SALIDAS111518[[#This Row],[CÓDIGO]],PRODUCTOS31316[],2,FALSE)</f>
        <v>0</v>
      </c>
      <c r="S588" s="1" t="str">
        <f>VLOOKUP(SALIDAS111518[[#This Row],[CÓDIGO]],PRODUCTOS31316[],3,FALSE)</f>
        <v>ESCALERILLAS METÁLICAS DE 10 MM</v>
      </c>
      <c r="T588" s="2">
        <v>1</v>
      </c>
      <c r="U588" s="2">
        <v>282</v>
      </c>
      <c r="V588" s="2"/>
      <c r="W588" s="2"/>
      <c r="X588" s="2"/>
      <c r="Y588" s="7"/>
      <c r="Z588" s="2"/>
      <c r="AA588" s="1"/>
      <c r="AC588" s="2"/>
      <c r="AE588" s="1"/>
      <c r="AG588" s="2"/>
    </row>
    <row r="589" spans="1:33" ht="49.95" customHeight="1" x14ac:dyDescent="0.3">
      <c r="A589" s="2" t="s">
        <v>805</v>
      </c>
      <c r="B589" s="1" t="s">
        <v>1902</v>
      </c>
      <c r="C589" s="1" t="s">
        <v>1903</v>
      </c>
      <c r="D589" s="1" t="s">
        <v>1904</v>
      </c>
      <c r="E589" s="1" t="s">
        <v>1904</v>
      </c>
      <c r="F589" s="1" t="s">
        <v>30</v>
      </c>
      <c r="G589" s="2">
        <v>1</v>
      </c>
      <c r="H589" s="14">
        <f>SUMIF(ENTRADAS71417[CÓDIGO],PRODUCTOS31316[[#This Row],[CÓDIGO]],ENTRADAS71417[CANTIDAD])</f>
        <v>0</v>
      </c>
      <c r="I589" s="11">
        <f>SUMIF(SALIDAS111518[CÓDIGO],PRODUCTOS31316[[#This Row],[CÓDIGO]],SALIDAS111518[CANTIDAD])</f>
        <v>0</v>
      </c>
      <c r="J589" s="6">
        <f>PRODUCTOS31316[[#This Row],[EXISTENCIAS]]+PRODUCTOS31316[[#This Row],[ENTRADAS]]-PRODUCTOS31316[[#This Row],[SALIDAS]]</f>
        <v>1</v>
      </c>
      <c r="L589" s="282"/>
      <c r="M589" s="282"/>
      <c r="N589" s="276">
        <v>7895</v>
      </c>
      <c r="O589" s="295" t="s">
        <v>2299</v>
      </c>
      <c r="P589" s="16">
        <v>46070</v>
      </c>
      <c r="Q589" s="295" t="s">
        <v>3709</v>
      </c>
      <c r="R589" s="2" t="str">
        <f>VLOOKUP(SALIDAS111518[[#This Row],[CÓDIGO]],PRODUCTOS31316[],2,FALSE)</f>
        <v>13408-010</v>
      </c>
      <c r="S589" s="1" t="str">
        <f>VLOOKUP(SALIDAS111518[[#This Row],[CÓDIGO]],PRODUCTOS31316[],3,FALSE)</f>
        <v>PAJUELA TRANSPARENTE 0.50/ PAQ. X 2500 MARCA MINITUBE</v>
      </c>
      <c r="T589" s="2">
        <v>1</v>
      </c>
      <c r="U589" s="2"/>
      <c r="V589" s="2"/>
      <c r="W589" s="2"/>
      <c r="X589" s="2"/>
      <c r="Y589" s="7"/>
      <c r="Z589" s="2"/>
      <c r="AA589" s="1"/>
      <c r="AC589" s="2"/>
      <c r="AE589" s="1"/>
      <c r="AG589" s="2"/>
    </row>
    <row r="590" spans="1:33" ht="49.95" customHeight="1" x14ac:dyDescent="0.3">
      <c r="A590" s="2" t="s">
        <v>830</v>
      </c>
      <c r="B590" s="1">
        <v>5111</v>
      </c>
      <c r="C590" s="1" t="s">
        <v>1699</v>
      </c>
      <c r="D590" s="1" t="s">
        <v>156</v>
      </c>
      <c r="E590" s="1" t="s">
        <v>352</v>
      </c>
      <c r="F590" s="1" t="s">
        <v>30</v>
      </c>
      <c r="G590" s="2">
        <v>1</v>
      </c>
      <c r="H590" s="14">
        <f>SUMIF(ENTRADAS71417[CÓDIGO],PRODUCTOS31316[[#This Row],[CÓDIGO]],ENTRADAS71417[CANTIDAD])</f>
        <v>0</v>
      </c>
      <c r="I590" s="11">
        <f>SUMIF(SALIDAS111518[CÓDIGO],PRODUCTOS31316[[#This Row],[CÓDIGO]],SALIDAS111518[CANTIDAD])</f>
        <v>0</v>
      </c>
      <c r="J590" s="6">
        <f>PRODUCTOS31316[[#This Row],[EXISTENCIAS]]+PRODUCTOS31316[[#This Row],[ENTRADAS]]-PRODUCTOS31316[[#This Row],[SALIDAS]]</f>
        <v>1</v>
      </c>
      <c r="L590" s="295" t="s">
        <v>3520</v>
      </c>
      <c r="M590" s="295" t="s">
        <v>3931</v>
      </c>
      <c r="N590" s="296" t="s">
        <v>4110</v>
      </c>
      <c r="O590" s="295" t="s">
        <v>3043</v>
      </c>
      <c r="P590" s="16">
        <v>46070</v>
      </c>
      <c r="Q590" s="295" t="s">
        <v>75</v>
      </c>
      <c r="R590" s="2" t="str">
        <f>VLOOKUP(SALIDAS111518[[#This Row],[CÓDIGO]],PRODUCTOS31316[],2,FALSE)</f>
        <v>18130E</v>
      </c>
      <c r="S590" s="1" t="str">
        <f>VLOOKUP(SALIDAS111518[[#This Row],[CÓDIGO]],PRODUCTOS31316[],3,FALSE)</f>
        <v>CAJA PETRI DESECHABLE ESTERIL 60X15 MM</v>
      </c>
      <c r="T590" s="2">
        <v>6</v>
      </c>
      <c r="U590" s="2">
        <v>283</v>
      </c>
      <c r="V590" s="2"/>
      <c r="W590" s="2"/>
      <c r="X590" s="2"/>
      <c r="Y590" s="7"/>
      <c r="Z590" s="2"/>
      <c r="AA590" s="1"/>
      <c r="AC590" s="2"/>
      <c r="AE590" s="1"/>
      <c r="AG590" s="2"/>
    </row>
    <row r="591" spans="1:33" ht="49.95" customHeight="1" x14ac:dyDescent="0.3">
      <c r="A591" s="2" t="s">
        <v>833</v>
      </c>
      <c r="B591" s="1">
        <v>7117</v>
      </c>
      <c r="C591" s="1" t="s">
        <v>1905</v>
      </c>
      <c r="D591" s="1" t="s">
        <v>156</v>
      </c>
      <c r="E591" s="1" t="s">
        <v>352</v>
      </c>
      <c r="F591" s="1" t="s">
        <v>30</v>
      </c>
      <c r="G591" s="2">
        <v>0</v>
      </c>
      <c r="H591" s="14">
        <f>SUMIF(ENTRADAS71417[CÓDIGO],PRODUCTOS31316[[#This Row],[CÓDIGO]],ENTRADAS71417[CANTIDAD])</f>
        <v>0</v>
      </c>
      <c r="I591" s="11">
        <f>SUMIF(SALIDAS111518[CÓDIGO],PRODUCTOS31316[[#This Row],[CÓDIGO]],SALIDAS111518[CANTIDAD])</f>
        <v>0</v>
      </c>
      <c r="J591" s="6">
        <f>PRODUCTOS31316[[#This Row],[EXISTENCIAS]]+PRODUCTOS31316[[#This Row],[ENTRADAS]]-PRODUCTOS31316[[#This Row],[SALIDAS]]</f>
        <v>0</v>
      </c>
      <c r="L591" s="282"/>
      <c r="M591" s="282"/>
      <c r="N591" s="276">
        <v>7896</v>
      </c>
      <c r="O591" s="295" t="s">
        <v>3043</v>
      </c>
      <c r="P591" s="16">
        <v>46070</v>
      </c>
      <c r="Q591" s="295" t="s">
        <v>63</v>
      </c>
      <c r="R591" s="2">
        <f>VLOOKUP(SALIDAS111518[[#This Row],[CÓDIGO]],PRODUCTOS31316[],2,FALSE)</f>
        <v>25458</v>
      </c>
      <c r="S591" s="1" t="str">
        <f>VLOOKUP(SALIDAS111518[[#This Row],[CÓDIGO]],PRODUCTOS31316[],3,FALSE)</f>
        <v>FILTROS PARA OPU 100 UL</v>
      </c>
      <c r="T591" s="2">
        <v>1</v>
      </c>
      <c r="U591" s="2"/>
      <c r="V591" s="2"/>
      <c r="W591" s="2"/>
      <c r="X591" s="2"/>
      <c r="Y591" s="7"/>
      <c r="Z591" s="2"/>
      <c r="AA591" s="1"/>
      <c r="AC591" s="2"/>
      <c r="AE591" s="1"/>
      <c r="AG591" s="2"/>
    </row>
    <row r="592" spans="1:33" ht="49.95" customHeight="1" x14ac:dyDescent="0.3">
      <c r="A592" s="2" t="s">
        <v>836</v>
      </c>
      <c r="C592" s="1" t="s">
        <v>695</v>
      </c>
      <c r="E592" s="1" t="s">
        <v>352</v>
      </c>
      <c r="F592" s="1" t="s">
        <v>30</v>
      </c>
      <c r="G592" s="2">
        <v>0</v>
      </c>
      <c r="H592" s="14">
        <f>SUMIF(ENTRADAS71417[CÓDIGO],PRODUCTOS31316[[#This Row],[CÓDIGO]],ENTRADAS71417[CANTIDAD])</f>
        <v>0</v>
      </c>
      <c r="I592" s="11">
        <f>SUMIF(SALIDAS111518[CÓDIGO],PRODUCTOS31316[[#This Row],[CÓDIGO]],SALIDAS111518[CANTIDAD])</f>
        <v>0</v>
      </c>
      <c r="J592" s="6">
        <f>PRODUCTOS31316[[#This Row],[EXISTENCIAS]]+PRODUCTOS31316[[#This Row],[ENTRADAS]]-PRODUCTOS31316[[#This Row],[SALIDAS]]</f>
        <v>0</v>
      </c>
      <c r="L592" s="282"/>
      <c r="M592" s="282"/>
      <c r="N592" s="276">
        <v>7896</v>
      </c>
      <c r="O592" s="295" t="s">
        <v>3043</v>
      </c>
      <c r="P592" s="16">
        <v>46070</v>
      </c>
      <c r="Q592" s="295" t="s">
        <v>167</v>
      </c>
      <c r="R592" s="2" t="str">
        <f>VLOOKUP(SALIDAS111518[[#This Row],[CÓDIGO]],PRODUCTOS31316[],2,FALSE)</f>
        <v>50050-1</v>
      </c>
      <c r="S592" s="1" t="str">
        <f>VLOOKUP(SALIDAS111518[[#This Row],[CÓDIGO]],PRODUCTOS31316[],3,FALSE)</f>
        <v>TUBO CONICO PLUG, AUTOCLAVABLE ESTERIL  TAPA ROSCA DE 50 ML</v>
      </c>
      <c r="T592" s="2">
        <v>2</v>
      </c>
      <c r="U592" s="2"/>
      <c r="V592" s="2"/>
      <c r="W592" s="2"/>
      <c r="X592" s="2"/>
      <c r="Y592" s="7"/>
      <c r="Z592" s="2"/>
      <c r="AA592" s="1"/>
      <c r="AC592" s="2"/>
      <c r="AE592" s="1"/>
      <c r="AG592" s="2"/>
    </row>
    <row r="593" spans="1:33" ht="49.95" customHeight="1" x14ac:dyDescent="0.3">
      <c r="A593" s="2" t="s">
        <v>840</v>
      </c>
      <c r="B593" s="1" t="s">
        <v>1906</v>
      </c>
      <c r="C593" s="1" t="s">
        <v>1907</v>
      </c>
      <c r="D593" s="1" t="s">
        <v>1908</v>
      </c>
      <c r="E593" s="1" t="s">
        <v>1908</v>
      </c>
      <c r="F593" s="1" t="s">
        <v>30</v>
      </c>
      <c r="G593" s="2">
        <v>0</v>
      </c>
      <c r="H593" s="14">
        <f>SUMIF(ENTRADAS71417[CÓDIGO],PRODUCTOS31316[[#This Row],[CÓDIGO]],ENTRADAS71417[CANTIDAD])</f>
        <v>0</v>
      </c>
      <c r="I593" s="11">
        <f>SUMIF(SALIDAS111518[CÓDIGO],PRODUCTOS31316[[#This Row],[CÓDIGO]],SALIDAS111518[CANTIDAD])</f>
        <v>0</v>
      </c>
      <c r="J593" s="6">
        <f>PRODUCTOS31316[[#This Row],[EXISTENCIAS]]+PRODUCTOS31316[[#This Row],[ENTRADAS]]-PRODUCTOS31316[[#This Row],[SALIDAS]]</f>
        <v>0</v>
      </c>
      <c r="L593" s="295" t="s">
        <v>3521</v>
      </c>
      <c r="M593" s="295" t="s">
        <v>3931</v>
      </c>
      <c r="N593" s="296" t="s">
        <v>4111</v>
      </c>
      <c r="O593" s="295" t="s">
        <v>4106</v>
      </c>
      <c r="P593" s="16">
        <v>46070</v>
      </c>
      <c r="Q593" s="295" t="s">
        <v>15</v>
      </c>
      <c r="R593" s="2" t="str">
        <f>VLOOKUP(SALIDAS111518[[#This Row],[CÓDIGO]],PRODUCTOS31316[],2,FALSE)</f>
        <v>BTE-025PT/ 504002</v>
      </c>
      <c r="S593" s="1" t="str">
        <f>VLOOKUP(SALIDAS111518[[#This Row],[CÓDIGO]],PRODUCTOS31316[],3,FALSE)</f>
        <v>FUNDAS PARA TRANSFERENCIA DE EMBRIONES</v>
      </c>
      <c r="T593" s="2">
        <v>6</v>
      </c>
      <c r="U593" s="2">
        <v>284</v>
      </c>
      <c r="V593" s="2"/>
      <c r="W593" s="2"/>
      <c r="X593" s="2"/>
      <c r="Y593" s="7"/>
      <c r="Z593" s="2"/>
      <c r="AA593" s="1"/>
      <c r="AC593" s="2"/>
      <c r="AE593" s="1"/>
      <c r="AG593" s="2"/>
    </row>
    <row r="594" spans="1:33" ht="49.95" customHeight="1" x14ac:dyDescent="0.3">
      <c r="A594" s="2" t="s">
        <v>845</v>
      </c>
      <c r="B594" s="1" t="s">
        <v>1909</v>
      </c>
      <c r="C594" s="1" t="s">
        <v>1910</v>
      </c>
      <c r="D594" s="1" t="s">
        <v>1908</v>
      </c>
      <c r="E594" s="1" t="s">
        <v>1908</v>
      </c>
      <c r="F594" s="1" t="s">
        <v>30</v>
      </c>
      <c r="G594" s="2">
        <v>0</v>
      </c>
      <c r="H594" s="14">
        <f>SUMIF(ENTRADAS71417[CÓDIGO],PRODUCTOS31316[[#This Row],[CÓDIGO]],ENTRADAS71417[CANTIDAD])</f>
        <v>0</v>
      </c>
      <c r="I594" s="11">
        <f>SUMIF(SALIDAS111518[CÓDIGO],PRODUCTOS31316[[#This Row],[CÓDIGO]],SALIDAS111518[CANTIDAD])</f>
        <v>0</v>
      </c>
      <c r="J594" s="6">
        <f>PRODUCTOS31316[[#This Row],[EXISTENCIAS]]+PRODUCTOS31316[[#This Row],[ENTRADAS]]-PRODUCTOS31316[[#This Row],[SALIDAS]]</f>
        <v>0</v>
      </c>
      <c r="L594" s="297" t="s">
        <v>3521</v>
      </c>
      <c r="M594" s="297" t="s">
        <v>3931</v>
      </c>
      <c r="N594" s="298" t="s">
        <v>4120</v>
      </c>
      <c r="O594" s="298" t="s">
        <v>4112</v>
      </c>
      <c r="P594" s="16">
        <v>46071</v>
      </c>
      <c r="Q594" s="297" t="s">
        <v>3181</v>
      </c>
      <c r="R594" s="2">
        <f>VLOOKUP(SALIDAS111518[[#This Row],[CÓDIGO]],PRODUCTOS31316[],2,FALSE)</f>
        <v>7416</v>
      </c>
      <c r="S594" s="1" t="str">
        <f>VLOOKUP(SALIDAS111518[[#This Row],[CÓDIGO]],PRODUCTOS31316[],3,FALSE)</f>
        <v>CAJA PLÁSTICA DE 22" DE TRANSPORTE</v>
      </c>
      <c r="T594" s="2">
        <v>1</v>
      </c>
      <c r="U594" s="2">
        <v>289</v>
      </c>
      <c r="V594" s="2"/>
      <c r="W594" s="2"/>
      <c r="X594" s="2"/>
      <c r="Y594" s="7"/>
      <c r="Z594" s="2"/>
      <c r="AA594" s="1"/>
      <c r="AC594" s="2"/>
      <c r="AE594" s="1"/>
      <c r="AG594" s="2"/>
    </row>
    <row r="595" spans="1:33" ht="49.95" customHeight="1" x14ac:dyDescent="0.3">
      <c r="A595" s="2" t="s">
        <v>848</v>
      </c>
      <c r="B595" s="83" t="s">
        <v>1911</v>
      </c>
      <c r="C595" s="1" t="s">
        <v>1912</v>
      </c>
      <c r="D595" s="1" t="s">
        <v>1908</v>
      </c>
      <c r="E595" s="1" t="s">
        <v>1908</v>
      </c>
      <c r="F595" s="1" t="s">
        <v>30</v>
      </c>
      <c r="G595" s="2">
        <v>0</v>
      </c>
      <c r="H595" s="14">
        <f>SUMIF(ENTRADAS71417[CÓDIGO],PRODUCTOS31316[[#This Row],[CÓDIGO]],ENTRADAS71417[CANTIDAD])</f>
        <v>0</v>
      </c>
      <c r="I595" s="11">
        <f>SUMIF(SALIDAS111518[CÓDIGO],PRODUCTOS31316[[#This Row],[CÓDIGO]],SALIDAS111518[CANTIDAD])</f>
        <v>0</v>
      </c>
      <c r="J595" s="6">
        <f>PRODUCTOS31316[[#This Row],[EXISTENCIAS]]+PRODUCTOS31316[[#This Row],[ENTRADAS]]-PRODUCTOS31316[[#This Row],[SALIDAS]]</f>
        <v>0</v>
      </c>
      <c r="L595" s="295"/>
      <c r="M595" s="295"/>
      <c r="N595" s="295">
        <v>7900</v>
      </c>
      <c r="O595" s="298" t="s">
        <v>4112</v>
      </c>
      <c r="P595" s="16">
        <v>46071</v>
      </c>
      <c r="Q595" s="297" t="s">
        <v>153</v>
      </c>
      <c r="R595" s="2">
        <f>VLOOKUP(SALIDAS111518[[#This Row],[CÓDIGO]],PRODUCTOS31316[],2,FALSE)</f>
        <v>1132</v>
      </c>
      <c r="S595" s="1" t="str">
        <f>VLOOKUP(SALIDAS111518[[#This Row],[CÓDIGO]],PRODUCTOS31316[],3,FALSE)</f>
        <v>PISTOLA QUICKLOCK CLASIC</v>
      </c>
      <c r="T595" s="2">
        <v>1</v>
      </c>
      <c r="U595" s="2"/>
      <c r="V595" s="2"/>
      <c r="W595" s="2"/>
      <c r="X595" s="2"/>
      <c r="Y595" s="7"/>
      <c r="Z595" s="2"/>
      <c r="AA595" s="1"/>
      <c r="AC595" s="2"/>
      <c r="AE595" s="1"/>
      <c r="AG595" s="2"/>
    </row>
    <row r="596" spans="1:33" ht="49.95" customHeight="1" x14ac:dyDescent="0.3">
      <c r="A596" s="2" t="s">
        <v>853</v>
      </c>
      <c r="B596" s="1" t="s">
        <v>1913</v>
      </c>
      <c r="C596" s="70" t="s">
        <v>1914</v>
      </c>
      <c r="D596" s="1" t="s">
        <v>1908</v>
      </c>
      <c r="E596" s="1" t="s">
        <v>1908</v>
      </c>
      <c r="F596" s="1" t="s">
        <v>30</v>
      </c>
      <c r="G596" s="2">
        <v>0</v>
      </c>
      <c r="H596" s="14">
        <f>SUMIF(ENTRADAS71417[CÓDIGO],PRODUCTOS31316[[#This Row],[CÓDIGO]],ENTRADAS71417[CANTIDAD])</f>
        <v>0</v>
      </c>
      <c r="I596" s="11">
        <f>SUMIF(SALIDAS111518[CÓDIGO],PRODUCTOS31316[[#This Row],[CÓDIGO]],SALIDAS111518[CANTIDAD])</f>
        <v>0</v>
      </c>
      <c r="J596" s="6">
        <f>PRODUCTOS31316[[#This Row],[EXISTENCIAS]]+PRODUCTOS31316[[#This Row],[ENTRADAS]]-PRODUCTOS31316[[#This Row],[SALIDAS]]</f>
        <v>0</v>
      </c>
      <c r="L596" s="295"/>
      <c r="M596" s="295"/>
      <c r="N596" s="295">
        <v>7900</v>
      </c>
      <c r="O596" s="298" t="s">
        <v>4112</v>
      </c>
      <c r="P596" s="16">
        <v>46071</v>
      </c>
      <c r="Q596" s="297" t="s">
        <v>369</v>
      </c>
      <c r="R596" s="2">
        <f>VLOOKUP(SALIDAS111518[[#This Row],[CÓDIGO]],PRODUCTOS31316[],2,FALSE)</f>
        <v>0</v>
      </c>
      <c r="S596" s="1" t="str">
        <f>VLOOKUP(SALIDAS111518[[#This Row],[CÓDIGO]],PRODUCTOS31316[],3,FALSE)</f>
        <v>FUNDA UNIVERSAL PARA I.A. RANURADA</v>
      </c>
      <c r="T596" s="2">
        <v>1</v>
      </c>
      <c r="U596" s="2"/>
      <c r="V596" s="2"/>
      <c r="W596" s="2"/>
      <c r="X596" s="2"/>
      <c r="Y596" s="7"/>
      <c r="Z596" s="2"/>
      <c r="AA596" s="1"/>
      <c r="AC596" s="2"/>
      <c r="AE596" s="1"/>
      <c r="AG596" s="2"/>
    </row>
    <row r="597" spans="1:33" ht="49.95" customHeight="1" x14ac:dyDescent="0.3">
      <c r="A597" s="2" t="s">
        <v>876</v>
      </c>
      <c r="B597" s="1" t="s">
        <v>1915</v>
      </c>
      <c r="C597" s="1" t="s">
        <v>1916</v>
      </c>
      <c r="D597" s="1" t="s">
        <v>1917</v>
      </c>
      <c r="E597" s="1" t="s">
        <v>1526</v>
      </c>
      <c r="F597" s="1" t="s">
        <v>1918</v>
      </c>
      <c r="G597" s="2">
        <v>0</v>
      </c>
      <c r="H597" s="14">
        <f>SUMIF(ENTRADAS71417[CÓDIGO],PRODUCTOS31316[[#This Row],[CÓDIGO]],ENTRADAS71417[CANTIDAD])</f>
        <v>0</v>
      </c>
      <c r="I597" s="11">
        <f>SUMIF(SALIDAS111518[CÓDIGO],PRODUCTOS31316[[#This Row],[CÓDIGO]],SALIDAS111518[CANTIDAD])</f>
        <v>0</v>
      </c>
      <c r="J597" s="6">
        <f>PRODUCTOS31316[[#This Row],[EXISTENCIAS]]+PRODUCTOS31316[[#This Row],[ENTRADAS]]-PRODUCTOS31316[[#This Row],[SALIDAS]]</f>
        <v>0</v>
      </c>
      <c r="L597" s="295"/>
      <c r="M597" s="295"/>
      <c r="N597" s="295">
        <v>7900</v>
      </c>
      <c r="O597" s="298" t="s">
        <v>4112</v>
      </c>
      <c r="P597" s="16">
        <v>46071</v>
      </c>
      <c r="Q597" s="297" t="s">
        <v>658</v>
      </c>
      <c r="R597" s="2">
        <f>VLOOKUP(SALIDAS111518[[#This Row],[CÓDIGO]],PRODUCTOS31316[],2,FALSE)</f>
        <v>0</v>
      </c>
      <c r="S597" s="1" t="str">
        <f>VLOOKUP(SALIDAS111518[[#This Row],[CÓDIGO]],PRODUCTOS31316[],3,FALSE)</f>
        <v>CATETER TALADRO TRANSPARENTE 18"</v>
      </c>
      <c r="T597" s="2">
        <v>1</v>
      </c>
      <c r="U597" s="2"/>
      <c r="V597" s="2"/>
      <c r="W597" s="2"/>
      <c r="X597" s="2"/>
      <c r="Y597" s="7"/>
      <c r="Z597" s="2"/>
      <c r="AA597" s="1"/>
      <c r="AC597" s="2"/>
      <c r="AE597" s="1"/>
      <c r="AG597" s="2"/>
    </row>
    <row r="598" spans="1:33" ht="49.95" customHeight="1" x14ac:dyDescent="0.3">
      <c r="A598" s="2" t="s">
        <v>880</v>
      </c>
      <c r="B598" s="1">
        <v>7175</v>
      </c>
      <c r="C598" s="112" t="s">
        <v>1919</v>
      </c>
      <c r="D598" s="1" t="s">
        <v>156</v>
      </c>
      <c r="E598" s="1" t="s">
        <v>1920</v>
      </c>
      <c r="F598" s="1" t="s">
        <v>30</v>
      </c>
      <c r="G598" s="2">
        <v>0</v>
      </c>
      <c r="H598" s="14">
        <f>SUMIF(ENTRADAS71417[CÓDIGO],PRODUCTOS31316[[#This Row],[CÓDIGO]],ENTRADAS71417[CANTIDAD])</f>
        <v>0</v>
      </c>
      <c r="I598" s="11">
        <f>SUMIF(SALIDAS111518[CÓDIGO],PRODUCTOS31316[[#This Row],[CÓDIGO]],SALIDAS111518[CANTIDAD])</f>
        <v>0</v>
      </c>
      <c r="J598" s="6">
        <f>PRODUCTOS31316[[#This Row],[EXISTENCIAS]]+PRODUCTOS31316[[#This Row],[ENTRADAS]]-PRODUCTOS31316[[#This Row],[SALIDAS]]</f>
        <v>0</v>
      </c>
      <c r="L598" s="295"/>
      <c r="M598" s="295"/>
      <c r="N598" s="295">
        <v>7900</v>
      </c>
      <c r="O598" s="298" t="s">
        <v>4112</v>
      </c>
      <c r="P598" s="16">
        <v>46071</v>
      </c>
      <c r="Q598" s="297" t="s">
        <v>210</v>
      </c>
      <c r="R598" s="2">
        <f>VLOOKUP(SALIDAS111518[[#This Row],[CÓDIGO]],PRODUCTOS31316[],2,FALSE)</f>
        <v>101257</v>
      </c>
      <c r="S598" s="1" t="str">
        <f>VLOOKUP(SALIDAS111518[[#This Row],[CÓDIGO]],PRODUCTOS31316[],3,FALSE)</f>
        <v>MANGA DESECHABLE SUPER SENSITIVA</v>
      </c>
      <c r="T598" s="2">
        <v>1</v>
      </c>
      <c r="U598" s="2"/>
      <c r="V598" s="2"/>
      <c r="W598" s="2"/>
      <c r="X598" s="2"/>
      <c r="Y598" s="7"/>
      <c r="Z598" s="2"/>
      <c r="AA598" s="1"/>
      <c r="AC598" s="2"/>
      <c r="AE598" s="1"/>
      <c r="AG598" s="2"/>
    </row>
    <row r="599" spans="1:33" ht="49.95" customHeight="1" x14ac:dyDescent="0.3">
      <c r="A599" s="2" t="s">
        <v>885</v>
      </c>
      <c r="B599" s="1">
        <v>6921</v>
      </c>
      <c r="C599" s="112" t="s">
        <v>1921</v>
      </c>
      <c r="D599" s="1" t="s">
        <v>156</v>
      </c>
      <c r="E599" s="1" t="s">
        <v>1920</v>
      </c>
      <c r="F599" s="1" t="s">
        <v>1881</v>
      </c>
      <c r="G599" s="2">
        <v>0</v>
      </c>
      <c r="H599" s="14">
        <f>SUMIF(ENTRADAS71417[CÓDIGO],PRODUCTOS31316[[#This Row],[CÓDIGO]],ENTRADAS71417[CANTIDAD])</f>
        <v>0</v>
      </c>
      <c r="I599" s="11">
        <f>SUMIF(SALIDAS111518[CÓDIGO],PRODUCTOS31316[[#This Row],[CÓDIGO]],SALIDAS111518[CANTIDAD])</f>
        <v>0</v>
      </c>
      <c r="J599" s="6">
        <f>PRODUCTOS31316[[#This Row],[EXISTENCIAS]]+PRODUCTOS31316[[#This Row],[ENTRADAS]]-PRODUCTOS31316[[#This Row],[SALIDAS]]</f>
        <v>0</v>
      </c>
      <c r="L599" s="295"/>
      <c r="M599" s="295"/>
      <c r="N599" s="295">
        <v>7900</v>
      </c>
      <c r="O599" s="298" t="s">
        <v>4112</v>
      </c>
      <c r="P599" s="16">
        <v>46071</v>
      </c>
      <c r="Q599" s="297" t="s">
        <v>1779</v>
      </c>
      <c r="R599" s="2">
        <f>VLOOKUP(SALIDAS111518[[#This Row],[CÓDIGO]],PRODUCTOS31316[],2,FALSE)</f>
        <v>5563</v>
      </c>
      <c r="S599" s="1" t="str">
        <f>VLOOKUP(SALIDAS111518[[#This Row],[CÓDIGO]],PRODUCTOS31316[],3,FALSE)</f>
        <v>CAMISA SANITARIA ROLLO X 80</v>
      </c>
      <c r="T599" s="2">
        <v>1</v>
      </c>
      <c r="U599" s="2"/>
      <c r="V599" s="2"/>
      <c r="W599" s="2"/>
      <c r="X599" s="2"/>
      <c r="Y599" s="7"/>
      <c r="Z599" s="2"/>
      <c r="AA599" s="1"/>
      <c r="AC599" s="2"/>
      <c r="AE599" s="1"/>
      <c r="AG599" s="2"/>
    </row>
    <row r="600" spans="1:33" ht="49.95" customHeight="1" x14ac:dyDescent="0.3">
      <c r="A600" s="2" t="s">
        <v>891</v>
      </c>
      <c r="B600" s="1">
        <v>7176</v>
      </c>
      <c r="C600" s="112" t="s">
        <v>1922</v>
      </c>
      <c r="D600" s="1" t="s">
        <v>156</v>
      </c>
      <c r="E600" s="1" t="s">
        <v>1920</v>
      </c>
      <c r="F600" s="1" t="s">
        <v>30</v>
      </c>
      <c r="G600" s="2">
        <v>1</v>
      </c>
      <c r="H600" s="14">
        <f>SUMIF(ENTRADAS71417[CÓDIGO],PRODUCTOS31316[[#This Row],[CÓDIGO]],ENTRADAS71417[CANTIDAD])</f>
        <v>0</v>
      </c>
      <c r="I600" s="11">
        <f>SUMIF(SALIDAS111518[CÓDIGO],PRODUCTOS31316[[#This Row],[CÓDIGO]],SALIDAS111518[CANTIDAD])</f>
        <v>0</v>
      </c>
      <c r="J600" s="6">
        <f>PRODUCTOS31316[[#This Row],[EXISTENCIAS]]+PRODUCTOS31316[[#This Row],[ENTRADAS]]-PRODUCTOS31316[[#This Row],[SALIDAS]]</f>
        <v>1</v>
      </c>
      <c r="L600" s="295"/>
      <c r="M600" s="295"/>
      <c r="N600" s="295">
        <v>7900</v>
      </c>
      <c r="O600" s="298" t="s">
        <v>4112</v>
      </c>
      <c r="P600" s="16">
        <v>46071</v>
      </c>
      <c r="Q600" s="297" t="s">
        <v>2364</v>
      </c>
      <c r="R600" s="2">
        <f>VLOOKUP(SALIDAS111518[[#This Row],[CÓDIGO]],PRODUCTOS31316[],2,FALSE)</f>
        <v>0</v>
      </c>
      <c r="S600" s="1" t="str">
        <f>VLOOKUP(SALIDAS111518[[#This Row],[CÓDIGO]],PRODUCTOS31316[],3,FALSE)</f>
        <v>CORTAPAJILLAS WTA</v>
      </c>
      <c r="T600" s="2">
        <v>1</v>
      </c>
      <c r="U600" s="2"/>
      <c r="V600" s="2"/>
      <c r="W600" s="2"/>
      <c r="X600" s="2"/>
      <c r="Y600" s="7"/>
      <c r="Z600" s="2"/>
      <c r="AA600" s="1"/>
      <c r="AC600" s="2"/>
      <c r="AE600" s="1"/>
      <c r="AG600" s="2"/>
    </row>
    <row r="601" spans="1:33" ht="49.95" customHeight="1" x14ac:dyDescent="0.3">
      <c r="A601" s="2" t="s">
        <v>895</v>
      </c>
      <c r="B601" s="1">
        <v>6922</v>
      </c>
      <c r="C601" s="112" t="s">
        <v>1923</v>
      </c>
      <c r="D601" s="1" t="s">
        <v>156</v>
      </c>
      <c r="E601" s="1" t="s">
        <v>1920</v>
      </c>
      <c r="F601" s="1" t="s">
        <v>1881</v>
      </c>
      <c r="G601" s="2">
        <v>0</v>
      </c>
      <c r="H601" s="14">
        <f>SUMIF(ENTRADAS71417[CÓDIGO],PRODUCTOS31316[[#This Row],[CÓDIGO]],ENTRADAS71417[CANTIDAD])</f>
        <v>0</v>
      </c>
      <c r="I601" s="11">
        <f>SUMIF(SALIDAS111518[CÓDIGO],PRODUCTOS31316[[#This Row],[CÓDIGO]],SALIDAS111518[CANTIDAD])</f>
        <v>0</v>
      </c>
      <c r="J601" s="6">
        <f>PRODUCTOS31316[[#This Row],[EXISTENCIAS]]+PRODUCTOS31316[[#This Row],[ENTRADAS]]-PRODUCTOS31316[[#This Row],[SALIDAS]]</f>
        <v>0</v>
      </c>
      <c r="L601" s="295"/>
      <c r="M601" s="295"/>
      <c r="N601" s="295">
        <v>7900</v>
      </c>
      <c r="O601" s="298" t="s">
        <v>4112</v>
      </c>
      <c r="P601" s="16">
        <v>46071</v>
      </c>
      <c r="Q601" s="297" t="s">
        <v>236</v>
      </c>
      <c r="R601" s="2">
        <f>VLOOKUP(SALIDAS111518[[#This Row],[CÓDIGO]],PRODUCTOS31316[],2,FALSE)</f>
        <v>0</v>
      </c>
      <c r="S601" s="1" t="str">
        <f>VLOOKUP(SALIDAS111518[[#This Row],[CÓDIGO]],PRODUCTOS31316[],3,FALSE)</f>
        <v>TERMO METÁLICO DESCONGELADOR</v>
      </c>
      <c r="T601" s="2">
        <v>1</v>
      </c>
      <c r="U601" s="2"/>
      <c r="V601" s="2"/>
      <c r="W601" s="2"/>
      <c r="X601" s="2"/>
      <c r="Y601" s="7"/>
      <c r="Z601" s="2"/>
      <c r="AA601" s="1"/>
      <c r="AC601" s="2"/>
      <c r="AE601" s="1"/>
      <c r="AG601" s="2"/>
    </row>
    <row r="602" spans="1:33" ht="49.95" customHeight="1" x14ac:dyDescent="0.3">
      <c r="A602" s="2" t="s">
        <v>899</v>
      </c>
      <c r="B602" s="1">
        <v>26218</v>
      </c>
      <c r="C602" s="1" t="s">
        <v>1924</v>
      </c>
      <c r="D602" s="1" t="s">
        <v>156</v>
      </c>
      <c r="E602" s="1" t="s">
        <v>1920</v>
      </c>
      <c r="F602" s="1" t="s">
        <v>731</v>
      </c>
      <c r="G602" s="2">
        <v>0</v>
      </c>
      <c r="H602" s="14">
        <f>SUMIF(ENTRADAS71417[CÓDIGO],PRODUCTOS31316[[#This Row],[CÓDIGO]],ENTRADAS71417[CANTIDAD])</f>
        <v>0</v>
      </c>
      <c r="I602" s="11">
        <f>SUMIF(SALIDAS111518[CÓDIGO],PRODUCTOS31316[[#This Row],[CÓDIGO]],SALIDAS111518[CANTIDAD])</f>
        <v>0</v>
      </c>
      <c r="J602" s="6">
        <f>PRODUCTOS31316[[#This Row],[EXISTENCIAS]]+PRODUCTOS31316[[#This Row],[ENTRADAS]]-PRODUCTOS31316[[#This Row],[SALIDAS]]</f>
        <v>0</v>
      </c>
      <c r="L602" s="295"/>
      <c r="M602" s="295"/>
      <c r="N602" s="295">
        <v>7900</v>
      </c>
      <c r="O602" s="298" t="s">
        <v>4112</v>
      </c>
      <c r="P602" s="16">
        <v>46071</v>
      </c>
      <c r="Q602" s="297" t="s">
        <v>581</v>
      </c>
      <c r="R602" s="2">
        <f>VLOOKUP(SALIDAS111518[[#This Row],[CÓDIGO]],PRODUCTOS31316[],2,FALSE)</f>
        <v>11571</v>
      </c>
      <c r="S602" s="1" t="str">
        <f>VLOOKUP(SALIDAS111518[[#This Row],[CÓDIGO]],PRODUCTOS31316[],3,FALSE)</f>
        <v>PINZA COGEPAJILLA</v>
      </c>
      <c r="T602" s="2">
        <v>1</v>
      </c>
      <c r="U602" s="2"/>
      <c r="V602" s="2"/>
      <c r="W602" s="2"/>
      <c r="X602" s="2"/>
      <c r="Y602" s="7"/>
      <c r="Z602" s="2"/>
      <c r="AA602" s="1"/>
      <c r="AC602" s="2"/>
      <c r="AE602" s="1"/>
      <c r="AG602" s="2"/>
    </row>
    <row r="603" spans="1:33" ht="49.95" customHeight="1" x14ac:dyDescent="0.3">
      <c r="A603" s="2" t="s">
        <v>909</v>
      </c>
      <c r="B603" s="1" t="s">
        <v>1925</v>
      </c>
      <c r="C603" s="1" t="s">
        <v>1926</v>
      </c>
      <c r="D603" s="1" t="s">
        <v>1904</v>
      </c>
      <c r="E603" s="1" t="s">
        <v>1904</v>
      </c>
      <c r="F603" s="1" t="s">
        <v>30</v>
      </c>
      <c r="G603" s="2">
        <v>0</v>
      </c>
      <c r="H603" s="14">
        <f>SUMIF(ENTRADAS71417[CÓDIGO],PRODUCTOS31316[[#This Row],[CÓDIGO]],ENTRADAS71417[CANTIDAD])</f>
        <v>4</v>
      </c>
      <c r="I603" s="11">
        <f>SUMIF(SALIDAS111518[CÓDIGO],PRODUCTOS31316[[#This Row],[CÓDIGO]],SALIDAS111518[CANTIDAD])</f>
        <v>4</v>
      </c>
      <c r="J603" s="6">
        <f>PRODUCTOS31316[[#This Row],[EXISTENCIAS]]+PRODUCTOS31316[[#This Row],[ENTRADAS]]-PRODUCTOS31316[[#This Row],[SALIDAS]]</f>
        <v>0</v>
      </c>
      <c r="L603" s="295"/>
      <c r="M603" s="295"/>
      <c r="N603" s="295">
        <v>7900</v>
      </c>
      <c r="O603" s="298" t="s">
        <v>4112</v>
      </c>
      <c r="P603" s="16">
        <v>46071</v>
      </c>
      <c r="Q603" s="297" t="s">
        <v>382</v>
      </c>
      <c r="R603" s="2">
        <f>VLOOKUP(SALIDAS111518[[#This Row],[CÓDIGO]],PRODUCTOS31316[],2,FALSE)</f>
        <v>605032</v>
      </c>
      <c r="S603" s="1" t="str">
        <f>VLOOKUP(SALIDAS111518[[#This Row],[CÓDIGO]],PRODUCTOS31316[],3,FALSE)</f>
        <v>LUBRICANTE OB, NO ESPERMICIDA</v>
      </c>
      <c r="T603" s="2">
        <v>1</v>
      </c>
      <c r="U603" s="2"/>
      <c r="V603" s="2"/>
      <c r="W603" s="2"/>
      <c r="X603" s="2"/>
      <c r="Y603" s="7"/>
      <c r="Z603" s="2"/>
      <c r="AA603" s="1"/>
      <c r="AC603" s="2"/>
      <c r="AE603" s="1"/>
      <c r="AG603" s="2"/>
    </row>
    <row r="604" spans="1:33" ht="49.95" customHeight="1" x14ac:dyDescent="0.3">
      <c r="A604" s="2" t="s">
        <v>928</v>
      </c>
      <c r="C604" s="1" t="s">
        <v>1927</v>
      </c>
      <c r="E604" s="1" t="s">
        <v>884</v>
      </c>
      <c r="F604" s="1" t="s">
        <v>30</v>
      </c>
      <c r="G604" s="2">
        <v>0</v>
      </c>
      <c r="H604" s="14">
        <f>SUMIF(ENTRADAS71417[CÓDIGO],PRODUCTOS31316[[#This Row],[CÓDIGO]],ENTRADAS71417[CANTIDAD])</f>
        <v>0</v>
      </c>
      <c r="I604" s="11">
        <f>SUMIF(SALIDAS111518[CÓDIGO],PRODUCTOS31316[[#This Row],[CÓDIGO]],SALIDAS111518[CANTIDAD])</f>
        <v>0</v>
      </c>
      <c r="J604" s="6">
        <f>PRODUCTOS31316[[#This Row],[EXISTENCIAS]]+PRODUCTOS31316[[#This Row],[ENTRADAS]]-PRODUCTOS31316[[#This Row],[SALIDAS]]</f>
        <v>0</v>
      </c>
      <c r="L604" s="295"/>
      <c r="M604" s="295"/>
      <c r="N604" s="295">
        <v>7900</v>
      </c>
      <c r="O604" s="298" t="s">
        <v>4112</v>
      </c>
      <c r="P604" s="16">
        <v>46071</v>
      </c>
      <c r="Q604" s="297" t="s">
        <v>2382</v>
      </c>
      <c r="R604" s="2">
        <f>VLOOKUP(SALIDAS111518[[#This Row],[CÓDIGO]],PRODUCTOS31316[],2,FALSE)</f>
        <v>1</v>
      </c>
      <c r="S604" s="1" t="str">
        <f>VLOOKUP(SALIDAS111518[[#This Row],[CÓDIGO]],PRODUCTOS31316[],3,FALSE)</f>
        <v>TERMO DE TRANSPORTE 1 LITRO</v>
      </c>
      <c r="T604" s="2">
        <v>1</v>
      </c>
      <c r="U604" s="2"/>
      <c r="V604" s="2"/>
      <c r="W604" s="2"/>
      <c r="X604" s="2"/>
      <c r="Y604" s="7"/>
      <c r="Z604" s="2"/>
      <c r="AA604" s="1"/>
      <c r="AC604" s="2"/>
      <c r="AE604" s="1"/>
      <c r="AG604" s="2"/>
    </row>
    <row r="605" spans="1:33" ht="49.95" customHeight="1" x14ac:dyDescent="0.3">
      <c r="A605" s="203" t="s">
        <v>913</v>
      </c>
      <c r="B605" s="1" t="s">
        <v>1928</v>
      </c>
      <c r="C605" s="216" t="s">
        <v>343</v>
      </c>
      <c r="D605" s="1" t="s">
        <v>1929</v>
      </c>
      <c r="E605" s="1" t="s">
        <v>1929</v>
      </c>
      <c r="F605" s="1" t="s">
        <v>30</v>
      </c>
      <c r="G605" s="31">
        <v>0</v>
      </c>
      <c r="H605" s="14">
        <f>SUMIF(ENTRADAS71417[CÓDIGO],PRODUCTOS31316[[#This Row],[CÓDIGO]],ENTRADAS71417[CANTIDAD])</f>
        <v>30</v>
      </c>
      <c r="I605" s="11">
        <f>SUMIF(SALIDAS111518[CÓDIGO],PRODUCTOS31316[[#This Row],[CÓDIGO]],SALIDAS111518[CANTIDAD])</f>
        <v>21</v>
      </c>
      <c r="J605" s="6">
        <f>PRODUCTOS31316[[#This Row],[EXISTENCIAS]]+PRODUCTOS31316[[#This Row],[ENTRADAS]]-PRODUCTOS31316[[#This Row],[SALIDAS]]</f>
        <v>9</v>
      </c>
      <c r="L605" s="295"/>
      <c r="M605" s="295"/>
      <c r="N605" s="295">
        <v>7900</v>
      </c>
      <c r="O605" s="298" t="s">
        <v>4112</v>
      </c>
      <c r="P605" s="16">
        <v>46071</v>
      </c>
      <c r="Q605" s="297" t="s">
        <v>25</v>
      </c>
      <c r="R605" s="2">
        <f>VLOOKUP(SALIDAS111518[[#This Row],[CÓDIGO]],PRODUCTOS31316[],2,FALSE)</f>
        <v>0</v>
      </c>
      <c r="S605" s="1" t="str">
        <f>VLOOKUP(SALIDAS111518[[#This Row],[CÓDIGO]],PRODUCTOS31316[],3,FALSE)</f>
        <v>BOLSA TELA MAS CAMPO</v>
      </c>
      <c r="T605" s="2">
        <v>1</v>
      </c>
      <c r="U605" s="2"/>
      <c r="V605" s="2"/>
      <c r="W605" s="2"/>
      <c r="X605" s="2"/>
      <c r="Y605" s="7"/>
      <c r="Z605" s="2"/>
      <c r="AA605" s="1"/>
      <c r="AC605" s="2"/>
      <c r="AE605" s="1"/>
      <c r="AG605" s="2"/>
    </row>
    <row r="606" spans="1:33" ht="49.95" customHeight="1" x14ac:dyDescent="0.3">
      <c r="A606" s="2" t="s">
        <v>932</v>
      </c>
      <c r="B606" s="1" t="s">
        <v>1930</v>
      </c>
      <c r="C606" s="1" t="s">
        <v>2452</v>
      </c>
      <c r="D606" s="1" t="s">
        <v>1931</v>
      </c>
      <c r="E606" s="1" t="s">
        <v>1931</v>
      </c>
      <c r="F606" s="1" t="s">
        <v>30</v>
      </c>
      <c r="G606" s="2">
        <v>0</v>
      </c>
      <c r="H606" s="14">
        <f>SUMIF(ENTRADAS71417[CÓDIGO],PRODUCTOS31316[[#This Row],[CÓDIGO]],ENTRADAS71417[CANTIDAD])</f>
        <v>0</v>
      </c>
      <c r="I606" s="11">
        <f>SUMIF(SALIDAS111518[CÓDIGO],PRODUCTOS31316[[#This Row],[CÓDIGO]],SALIDAS111518[CANTIDAD])</f>
        <v>0</v>
      </c>
      <c r="J606" s="6">
        <f>PRODUCTOS31316[[#This Row],[EXISTENCIAS]]+PRODUCTOS31316[[#This Row],[ENTRADAS]]-PRODUCTOS31316[[#This Row],[SALIDAS]]</f>
        <v>0</v>
      </c>
      <c r="L606" s="295"/>
      <c r="M606" s="295"/>
      <c r="N606" s="297" t="s">
        <v>4116</v>
      </c>
      <c r="O606" s="297" t="s">
        <v>4076</v>
      </c>
      <c r="P606" s="16">
        <v>46071</v>
      </c>
      <c r="Q606" s="297" t="s">
        <v>3095</v>
      </c>
      <c r="R606" s="2">
        <f>VLOOKUP(SALIDAS111518[[#This Row],[CÓDIGO]],PRODUCTOS31316[],2,FALSE)</f>
        <v>0</v>
      </c>
      <c r="S606" s="1" t="str">
        <f>VLOOKUP(SALIDAS111518[[#This Row],[CÓDIGO]],PRODUCTOS31316[],3,FALSE)</f>
        <v>GORRA MAS CAMPO</v>
      </c>
      <c r="T606" s="2">
        <v>1</v>
      </c>
      <c r="U606" s="2">
        <v>285</v>
      </c>
      <c r="V606" s="2"/>
      <c r="W606" s="2"/>
      <c r="X606" s="2"/>
      <c r="Y606" s="7"/>
      <c r="Z606" s="2"/>
      <c r="AA606" s="1"/>
      <c r="AC606" s="2"/>
      <c r="AE606" s="1"/>
      <c r="AG606" s="2"/>
    </row>
    <row r="607" spans="1:33" ht="49.95" customHeight="1" x14ac:dyDescent="0.3">
      <c r="A607" s="203" t="s">
        <v>985</v>
      </c>
      <c r="C607" s="1" t="s">
        <v>1932</v>
      </c>
      <c r="D607" s="1" t="s">
        <v>380</v>
      </c>
      <c r="E607" s="1" t="s">
        <v>381</v>
      </c>
      <c r="F607" s="1" t="s">
        <v>30</v>
      </c>
      <c r="G607" s="31">
        <v>2</v>
      </c>
      <c r="H607" s="14">
        <f>SUMIF(ENTRADAS71417[CÓDIGO],PRODUCTOS31316[[#This Row],[CÓDIGO]],ENTRADAS71417[CANTIDAD])</f>
        <v>5</v>
      </c>
      <c r="I607" s="11">
        <f>SUMIF(SALIDAS111518[CÓDIGO],PRODUCTOS31316[[#This Row],[CÓDIGO]],SALIDAS111518[CANTIDAD])</f>
        <v>9</v>
      </c>
      <c r="J607" s="6">
        <f>PRODUCTOS31316[[#This Row],[EXISTENCIAS]]+PRODUCTOS31316[[#This Row],[ENTRADAS]]-PRODUCTOS31316[[#This Row],[SALIDAS]]</f>
        <v>-2</v>
      </c>
      <c r="L607" s="297" t="s">
        <v>3521</v>
      </c>
      <c r="M607" s="297" t="s">
        <v>3931</v>
      </c>
      <c r="N607" s="330" t="s">
        <v>4639</v>
      </c>
      <c r="O607" s="330" t="s">
        <v>4117</v>
      </c>
      <c r="P607" s="16">
        <v>46120</v>
      </c>
      <c r="Q607" s="297" t="s">
        <v>3363</v>
      </c>
      <c r="R607" s="2">
        <f>VLOOKUP(SALIDAS111518[[#This Row],[CÓDIGO]],PRODUCTOS31316[],2,FALSE)</f>
        <v>76311</v>
      </c>
      <c r="S607" s="1" t="str">
        <f>VLOOKUP(SALIDAS111518[[#This Row],[CÓDIGO]],PRODUCTOS31316[],3,FALSE)</f>
        <v xml:space="preserve">DETECTOR DE MASTITIS 4X4 </v>
      </c>
      <c r="T607" s="2">
        <v>1</v>
      </c>
      <c r="U607" s="2">
        <v>551</v>
      </c>
      <c r="V607" s="2"/>
      <c r="W607" s="2"/>
      <c r="X607" s="2"/>
      <c r="Y607" s="7"/>
      <c r="Z607" s="2"/>
      <c r="AA607" s="1"/>
      <c r="AC607" s="2"/>
      <c r="AE607" s="1"/>
      <c r="AG607" s="2"/>
    </row>
    <row r="608" spans="1:33" ht="49.95" customHeight="1" x14ac:dyDescent="0.3">
      <c r="A608" s="2" t="s">
        <v>958</v>
      </c>
      <c r="B608" s="1" t="s">
        <v>1933</v>
      </c>
      <c r="C608" s="1" t="s">
        <v>1934</v>
      </c>
      <c r="D608" s="1" t="s">
        <v>1935</v>
      </c>
      <c r="E608" s="1" t="s">
        <v>1142</v>
      </c>
      <c r="F608" s="1" t="s">
        <v>30</v>
      </c>
      <c r="G608" s="2">
        <v>0</v>
      </c>
      <c r="H608" s="14">
        <f>SUMIF(ENTRADAS71417[CÓDIGO],PRODUCTOS31316[[#This Row],[CÓDIGO]],ENTRADAS71417[CANTIDAD])</f>
        <v>0</v>
      </c>
      <c r="I608" s="11">
        <f>SUMIF(SALIDAS111518[CÓDIGO],PRODUCTOS31316[[#This Row],[CÓDIGO]],SALIDAS111518[CANTIDAD])</f>
        <v>0</v>
      </c>
      <c r="J608" s="6">
        <f>PRODUCTOS31316[[#This Row],[EXISTENCIAS]]+PRODUCTOS31316[[#This Row],[ENTRADAS]]-PRODUCTOS31316[[#This Row],[SALIDAS]]</f>
        <v>0</v>
      </c>
      <c r="L608" s="295"/>
      <c r="M608" s="295"/>
      <c r="N608" s="298" t="s">
        <v>4121</v>
      </c>
      <c r="O608" s="297" t="s">
        <v>2758</v>
      </c>
      <c r="P608" s="16">
        <v>46071</v>
      </c>
      <c r="Q608" s="297" t="s">
        <v>25</v>
      </c>
      <c r="R608" s="2">
        <f>VLOOKUP(SALIDAS111518[[#This Row],[CÓDIGO]],PRODUCTOS31316[],2,FALSE)</f>
        <v>0</v>
      </c>
      <c r="S608" s="1" t="str">
        <f>VLOOKUP(SALIDAS111518[[#This Row],[CÓDIGO]],PRODUCTOS31316[],3,FALSE)</f>
        <v>BOLSA TELA MAS CAMPO</v>
      </c>
      <c r="T608" s="2">
        <v>12</v>
      </c>
      <c r="U608" s="2">
        <v>290</v>
      </c>
      <c r="V608" s="2"/>
      <c r="W608" s="2"/>
      <c r="X608" s="2"/>
      <c r="Y608" s="7"/>
      <c r="Z608" s="2"/>
      <c r="AA608" s="1"/>
      <c r="AC608" s="2"/>
      <c r="AE608" s="1"/>
      <c r="AG608" s="2"/>
    </row>
    <row r="609" spans="1:33" ht="49.95" customHeight="1" x14ac:dyDescent="0.3">
      <c r="A609" s="2" t="s">
        <v>969</v>
      </c>
      <c r="B609" s="1">
        <v>13316</v>
      </c>
      <c r="C609" s="216" t="s">
        <v>1561</v>
      </c>
      <c r="D609" s="1" t="s">
        <v>442</v>
      </c>
      <c r="E609" s="1" t="s">
        <v>442</v>
      </c>
      <c r="F609" s="1" t="s">
        <v>30</v>
      </c>
      <c r="G609" s="31">
        <f>491+15</f>
        <v>506</v>
      </c>
      <c r="H609" s="14">
        <f>SUMIF(ENTRADAS71417[CÓDIGO],PRODUCTOS31316[[#This Row],[CÓDIGO]],ENTRADAS71417[CANTIDAD])</f>
        <v>617</v>
      </c>
      <c r="I609" s="11">
        <f>SUMIF(SALIDAS111518[CÓDIGO],PRODUCTOS31316[[#This Row],[CÓDIGO]],SALIDAS111518[CANTIDAD])</f>
        <v>713</v>
      </c>
      <c r="J609" s="6">
        <f>PRODUCTOS31316[[#This Row],[EXISTENCIAS]]+PRODUCTOS31316[[#This Row],[ENTRADAS]]-PRODUCTOS31316[[#This Row],[SALIDAS]]</f>
        <v>410</v>
      </c>
      <c r="L609" s="295"/>
      <c r="M609" s="295"/>
      <c r="N609" s="295">
        <v>470</v>
      </c>
      <c r="O609" s="297" t="s">
        <v>2758</v>
      </c>
      <c r="P609" s="16">
        <v>46071</v>
      </c>
      <c r="Q609" s="297" t="s">
        <v>3645</v>
      </c>
      <c r="R609" s="2">
        <f>VLOOKUP(SALIDAS111518[[#This Row],[CÓDIGO]],PRODUCTOS31316[],2,FALSE)</f>
        <v>0</v>
      </c>
      <c r="S609" s="1" t="str">
        <f>VLOOKUP(SALIDAS111518[[#This Row],[CÓDIGO]],PRODUCTOS31316[],3,FALSE)</f>
        <v>AGENDA MAS CAMPO</v>
      </c>
      <c r="T609" s="2">
        <v>12</v>
      </c>
      <c r="U609" s="2"/>
      <c r="V609" s="2"/>
      <c r="W609" s="2"/>
      <c r="X609" s="2"/>
      <c r="Y609" s="7"/>
      <c r="Z609" s="2"/>
      <c r="AA609" s="1"/>
      <c r="AC609" s="2"/>
      <c r="AE609" s="1"/>
      <c r="AG609" s="2"/>
    </row>
    <row r="610" spans="1:33" ht="49.95" customHeight="1" x14ac:dyDescent="0.3">
      <c r="A610" s="2" t="s">
        <v>1006</v>
      </c>
      <c r="B610" s="1" t="s">
        <v>1936</v>
      </c>
      <c r="C610" s="216" t="s">
        <v>1937</v>
      </c>
      <c r="D610" s="1" t="s">
        <v>1341</v>
      </c>
      <c r="E610" s="1" t="s">
        <v>352</v>
      </c>
      <c r="F610" s="1" t="s">
        <v>1502</v>
      </c>
      <c r="G610" s="31">
        <f>2+1</f>
        <v>3</v>
      </c>
      <c r="H610" s="14">
        <f>SUMIF(ENTRADAS71417[CÓDIGO],PRODUCTOS31316[[#This Row],[CÓDIGO]],ENTRADAS71417[CANTIDAD])</f>
        <v>5</v>
      </c>
      <c r="I610" s="11">
        <f>SUMIF(SALIDAS111518[CÓDIGO],PRODUCTOS31316[[#This Row],[CÓDIGO]],SALIDAS111518[CANTIDAD])</f>
        <v>7</v>
      </c>
      <c r="J610" s="6">
        <f>PRODUCTOS31316[[#This Row],[EXISTENCIAS]]+PRODUCTOS31316[[#This Row],[ENTRADAS]]-PRODUCTOS31316[[#This Row],[SALIDAS]]</f>
        <v>1</v>
      </c>
      <c r="L610" s="295"/>
      <c r="M610" s="295"/>
      <c r="N610" s="295">
        <v>470</v>
      </c>
      <c r="O610" s="297" t="s">
        <v>2758</v>
      </c>
      <c r="P610" s="16">
        <v>46071</v>
      </c>
      <c r="Q610" s="297" t="s">
        <v>3649</v>
      </c>
      <c r="R610" s="2">
        <f>VLOOKUP(SALIDAS111518[[#This Row],[CÓDIGO]],PRODUCTOS31316[],2,FALSE)</f>
        <v>0</v>
      </c>
      <c r="S610" s="1" t="str">
        <f>VLOOKUP(SALIDAS111518[[#This Row],[CÓDIGO]],PRODUCTOS31316[],3,FALSE)</f>
        <v>ESFEROS MAS CAMPO</v>
      </c>
      <c r="T610" s="2">
        <v>12</v>
      </c>
      <c r="U610" s="2"/>
      <c r="V610" s="2"/>
      <c r="W610" s="2"/>
      <c r="X610" s="2"/>
      <c r="Y610" s="7"/>
      <c r="Z610" s="2"/>
      <c r="AA610" s="1"/>
      <c r="AC610" s="2"/>
      <c r="AE610" s="1"/>
      <c r="AG610" s="2"/>
    </row>
    <row r="611" spans="1:33" ht="49.95" customHeight="1" x14ac:dyDescent="0.3">
      <c r="A611" s="2" t="s">
        <v>1938</v>
      </c>
      <c r="C611" s="1" t="s">
        <v>1939</v>
      </c>
      <c r="F611" s="1" t="s">
        <v>30</v>
      </c>
      <c r="G611" s="2">
        <v>0</v>
      </c>
      <c r="H611" s="14">
        <f>SUMIF(ENTRADAS71417[CÓDIGO],PRODUCTOS31316[[#This Row],[CÓDIGO]],ENTRADAS71417[CANTIDAD])</f>
        <v>0</v>
      </c>
      <c r="I611" s="11">
        <f>SUMIF(SALIDAS111518[CÓDIGO],PRODUCTOS31316[[#This Row],[CÓDIGO]],SALIDAS111518[CANTIDAD])</f>
        <v>0</v>
      </c>
      <c r="J611" s="6">
        <f>PRODUCTOS31316[[#This Row],[EXISTENCIAS]]+PRODUCTOS31316[[#This Row],[ENTRADAS]]-PRODUCTOS31316[[#This Row],[SALIDAS]]</f>
        <v>0</v>
      </c>
      <c r="L611" s="282"/>
      <c r="M611" s="282"/>
      <c r="N611" s="276">
        <v>470</v>
      </c>
      <c r="O611" s="297" t="s">
        <v>2758</v>
      </c>
      <c r="P611" s="16">
        <v>46071</v>
      </c>
      <c r="Q611" s="297" t="s">
        <v>3095</v>
      </c>
      <c r="R611" s="2">
        <f>VLOOKUP(SALIDAS111518[[#This Row],[CÓDIGO]],PRODUCTOS31316[],2,FALSE)</f>
        <v>0</v>
      </c>
      <c r="S611" s="1" t="str">
        <f>VLOOKUP(SALIDAS111518[[#This Row],[CÓDIGO]],PRODUCTOS31316[],3,FALSE)</f>
        <v>GORRA MAS CAMPO</v>
      </c>
      <c r="T611" s="2">
        <v>12</v>
      </c>
      <c r="U611" s="2"/>
      <c r="V611" s="2"/>
      <c r="W611" s="2"/>
      <c r="X611" s="2"/>
      <c r="Y611" s="7"/>
      <c r="Z611" s="2"/>
      <c r="AA611" s="1"/>
      <c r="AC611" s="2"/>
      <c r="AE611" s="1"/>
      <c r="AG611" s="2"/>
    </row>
    <row r="612" spans="1:33" ht="49.95" customHeight="1" x14ac:dyDescent="0.3">
      <c r="A612" s="2" t="s">
        <v>808</v>
      </c>
      <c r="B612" s="1" t="s">
        <v>1940</v>
      </c>
      <c r="C612" s="1" t="s">
        <v>1941</v>
      </c>
      <c r="D612" s="1" t="s">
        <v>1904</v>
      </c>
      <c r="E612" s="1" t="s">
        <v>1904</v>
      </c>
      <c r="F612" s="1" t="s">
        <v>30</v>
      </c>
      <c r="G612" s="2">
        <v>0</v>
      </c>
      <c r="H612" s="14">
        <f>SUMIF(ENTRADAS71417[CÓDIGO],PRODUCTOS31316[[#This Row],[CÓDIGO]],ENTRADAS71417[CANTIDAD])</f>
        <v>0</v>
      </c>
      <c r="I612" s="11">
        <f>SUMIF(SALIDAS111518[CÓDIGO],PRODUCTOS31316[[#This Row],[CÓDIGO]],SALIDAS111518[CANTIDAD])</f>
        <v>0</v>
      </c>
      <c r="J612" s="6">
        <f>PRODUCTOS31316[[#This Row],[EXISTENCIAS]]+PRODUCTOS31316[[#This Row],[ENTRADAS]]-PRODUCTOS31316[[#This Row],[SALIDAS]]</f>
        <v>0</v>
      </c>
      <c r="L612" s="297" t="s">
        <v>3520</v>
      </c>
      <c r="M612" s="297" t="s">
        <v>3931</v>
      </c>
      <c r="N612" s="298" t="s">
        <v>4124</v>
      </c>
      <c r="O612" s="297" t="s">
        <v>2256</v>
      </c>
      <c r="P612" s="16">
        <v>46071</v>
      </c>
      <c r="Q612" s="297" t="s">
        <v>33</v>
      </c>
      <c r="R612" s="2" t="str">
        <f>VLOOKUP(SALIDAS111518[[#This Row],[CÓDIGO]],PRODUCTOS31316[],2,FALSE)</f>
        <v>LA-120 /506003</v>
      </c>
      <c r="S612" s="1" t="str">
        <f>VLOOKUP(SALIDAS111518[[#This Row],[CÓDIGO]],PRODUCTOS31316[],3,FALSE)</f>
        <v>LíNEA PARA OPU 1,2 METROS</v>
      </c>
      <c r="T612" s="2">
        <v>5</v>
      </c>
      <c r="U612" s="2">
        <v>291</v>
      </c>
      <c r="V612" s="2"/>
      <c r="W612" s="2"/>
      <c r="X612" s="2"/>
      <c r="Y612" s="7"/>
      <c r="Z612" s="2"/>
      <c r="AA612" s="1"/>
      <c r="AC612" s="2"/>
      <c r="AE612" s="1"/>
      <c r="AG612" s="2"/>
    </row>
    <row r="613" spans="1:33" ht="49.95" customHeight="1" x14ac:dyDescent="0.3">
      <c r="A613" s="2" t="s">
        <v>1063</v>
      </c>
      <c r="B613" s="1" t="s">
        <v>1579</v>
      </c>
      <c r="C613" s="1" t="s">
        <v>1942</v>
      </c>
      <c r="D613" s="1" t="s">
        <v>1019</v>
      </c>
      <c r="E613" s="1" t="s">
        <v>177</v>
      </c>
      <c r="F613" s="1" t="s">
        <v>68</v>
      </c>
      <c r="G613" s="2">
        <v>0</v>
      </c>
      <c r="H613" s="14">
        <f>SUMIF(ENTRADAS71417[CÓDIGO],PRODUCTOS31316[[#This Row],[CÓDIGO]],ENTRADAS71417[CANTIDAD])</f>
        <v>0</v>
      </c>
      <c r="I613" s="11">
        <f>SUMIF(SALIDAS111518[CÓDIGO],PRODUCTOS31316[[#This Row],[CÓDIGO]],SALIDAS111518[CANTIDAD])</f>
        <v>0</v>
      </c>
      <c r="J613" s="6">
        <f>PRODUCTOS31316[[#This Row],[EXISTENCIAS]]+PRODUCTOS31316[[#This Row],[ENTRADAS]]-PRODUCTOS31316[[#This Row],[SALIDAS]]</f>
        <v>0</v>
      </c>
      <c r="L613" s="297" t="s">
        <v>3520</v>
      </c>
      <c r="M613" s="297" t="s">
        <v>3931</v>
      </c>
      <c r="N613" s="298" t="s">
        <v>4126</v>
      </c>
      <c r="O613" s="317" t="s">
        <v>2730</v>
      </c>
      <c r="P613" s="16">
        <v>46071</v>
      </c>
      <c r="Q613" s="297" t="s">
        <v>36</v>
      </c>
      <c r="R613" s="2">
        <f>VLOOKUP(SALIDAS111518[[#This Row],[CÓDIGO]],PRODUCTOS31316[],2,FALSE)</f>
        <v>1</v>
      </c>
      <c r="S613" s="1" t="str">
        <f>VLOOKUP(SALIDAS111518[[#This Row],[CÓDIGO]],PRODUCTOS31316[],3,FALSE)</f>
        <v xml:space="preserve">PARCHE ESTROTECT </v>
      </c>
      <c r="T613" s="2">
        <v>3</v>
      </c>
      <c r="U613" s="2"/>
      <c r="V613" s="2"/>
      <c r="W613" s="2"/>
      <c r="X613" s="2"/>
      <c r="Y613" s="7"/>
      <c r="Z613" s="2"/>
      <c r="AA613" s="1"/>
      <c r="AC613" s="2"/>
      <c r="AE613" s="1"/>
      <c r="AG613" s="2"/>
    </row>
    <row r="614" spans="1:33" ht="49.95" customHeight="1" x14ac:dyDescent="0.3">
      <c r="A614" s="2" t="s">
        <v>1073</v>
      </c>
      <c r="B614" s="1" t="s">
        <v>1695</v>
      </c>
      <c r="C614" s="1" t="s">
        <v>1943</v>
      </c>
      <c r="D614" s="1" t="s">
        <v>1125</v>
      </c>
      <c r="E614" s="1" t="s">
        <v>957</v>
      </c>
      <c r="F614" s="1" t="s">
        <v>30</v>
      </c>
      <c r="G614" s="2">
        <v>0</v>
      </c>
      <c r="H614" s="14">
        <f>SUMIF(ENTRADAS71417[CÓDIGO],PRODUCTOS31316[[#This Row],[CÓDIGO]],ENTRADAS71417[CANTIDAD])</f>
        <v>0</v>
      </c>
      <c r="I614" s="11">
        <f>SUMIF(SALIDAS111518[CÓDIGO],PRODUCTOS31316[[#This Row],[CÓDIGO]],SALIDAS111518[CANTIDAD])</f>
        <v>0</v>
      </c>
      <c r="J614" s="6">
        <f>PRODUCTOS31316[[#This Row],[EXISTENCIAS]]+PRODUCTOS31316[[#This Row],[ENTRADAS]]-PRODUCTOS31316[[#This Row],[SALIDAS]]</f>
        <v>0</v>
      </c>
      <c r="L614" s="297" t="s">
        <v>3520</v>
      </c>
      <c r="M614" s="297" t="s">
        <v>3931</v>
      </c>
      <c r="N614" s="298" t="s">
        <v>4127</v>
      </c>
      <c r="O614" s="297" t="s">
        <v>2384</v>
      </c>
      <c r="P614" s="16">
        <v>46071</v>
      </c>
      <c r="Q614" s="297" t="s">
        <v>63</v>
      </c>
      <c r="R614" s="2">
        <f>VLOOKUP(SALIDAS111518[[#This Row],[CÓDIGO]],PRODUCTOS31316[],2,FALSE)</f>
        <v>25458</v>
      </c>
      <c r="S614" s="1" t="str">
        <f>VLOOKUP(SALIDAS111518[[#This Row],[CÓDIGO]],PRODUCTOS31316[],3,FALSE)</f>
        <v>FILTROS PARA OPU 100 UL</v>
      </c>
      <c r="T614" s="2">
        <v>1</v>
      </c>
      <c r="U614" s="2">
        <v>295</v>
      </c>
      <c r="V614" s="2"/>
      <c r="W614" s="2"/>
      <c r="X614" s="2"/>
      <c r="Y614" s="7"/>
      <c r="Z614" s="2"/>
      <c r="AA614" s="1"/>
      <c r="AC614" s="2"/>
      <c r="AE614" s="1"/>
      <c r="AG614" s="2"/>
    </row>
    <row r="615" spans="1:33" ht="49.95" customHeight="1" x14ac:dyDescent="0.3">
      <c r="A615" s="2" t="s">
        <v>1944</v>
      </c>
      <c r="B615" s="1" t="s">
        <v>1945</v>
      </c>
      <c r="C615" s="1" t="s">
        <v>1946</v>
      </c>
      <c r="D615" s="1" t="s">
        <v>639</v>
      </c>
      <c r="E615" s="1" t="s">
        <v>640</v>
      </c>
      <c r="F615" s="1" t="s">
        <v>641</v>
      </c>
      <c r="G615" s="2">
        <v>0</v>
      </c>
      <c r="H615" s="14">
        <f>SUMIF(ENTRADAS71417[CÓDIGO],PRODUCTOS31316[[#This Row],[CÓDIGO]],ENTRADAS71417[CANTIDAD])</f>
        <v>0</v>
      </c>
      <c r="I615" s="11">
        <f>SUMIF(SALIDAS111518[CÓDIGO],PRODUCTOS31316[[#This Row],[CÓDIGO]],SALIDAS111518[CANTIDAD])</f>
        <v>0</v>
      </c>
      <c r="J615" s="6">
        <f>PRODUCTOS31316[[#This Row],[EXISTENCIAS]]+PRODUCTOS31316[[#This Row],[ENTRADAS]]-PRODUCTOS31316[[#This Row],[SALIDAS]]</f>
        <v>0</v>
      </c>
      <c r="L615" s="297"/>
      <c r="M615" s="297"/>
      <c r="N615" s="276">
        <v>7904</v>
      </c>
      <c r="O615" s="297" t="s">
        <v>2384</v>
      </c>
      <c r="P615" s="16">
        <v>46071</v>
      </c>
      <c r="Q615" s="297" t="s">
        <v>167</v>
      </c>
      <c r="R615" s="2" t="str">
        <f>VLOOKUP(SALIDAS111518[[#This Row],[CÓDIGO]],PRODUCTOS31316[],2,FALSE)</f>
        <v>50050-1</v>
      </c>
      <c r="S615" s="1" t="str">
        <f>VLOOKUP(SALIDAS111518[[#This Row],[CÓDIGO]],PRODUCTOS31316[],3,FALSE)</f>
        <v>TUBO CONICO PLUG, AUTOCLAVABLE ESTERIL  TAPA ROSCA DE 50 ML</v>
      </c>
      <c r="T615" s="2">
        <v>2</v>
      </c>
      <c r="U615" s="2"/>
      <c r="V615" s="2"/>
      <c r="W615" s="2"/>
      <c r="X615" s="2"/>
      <c r="Y615" s="7"/>
      <c r="Z615" s="2"/>
      <c r="AA615" s="1"/>
      <c r="AC615" s="2"/>
      <c r="AE615" s="1"/>
      <c r="AG615" s="2"/>
    </row>
    <row r="616" spans="1:33" ht="49.95" customHeight="1" x14ac:dyDescent="0.3">
      <c r="A616" s="2" t="s">
        <v>1079</v>
      </c>
      <c r="B616" s="1" t="s">
        <v>1947</v>
      </c>
      <c r="C616" s="1" t="s">
        <v>1948</v>
      </c>
      <c r="D616" s="1" t="s">
        <v>1949</v>
      </c>
      <c r="E616" s="1" t="s">
        <v>1375</v>
      </c>
      <c r="F616" s="1" t="s">
        <v>68</v>
      </c>
      <c r="G616" s="2">
        <v>0</v>
      </c>
      <c r="H616" s="14">
        <f>SUMIF(ENTRADAS71417[CÓDIGO],PRODUCTOS31316[[#This Row],[CÓDIGO]],ENTRADAS71417[CANTIDAD])</f>
        <v>0</v>
      </c>
      <c r="I616" s="11">
        <f>SUMIF(SALIDAS111518[CÓDIGO],PRODUCTOS31316[[#This Row],[CÓDIGO]],SALIDAS111518[CANTIDAD])</f>
        <v>0</v>
      </c>
      <c r="J616" s="6">
        <f>PRODUCTOS31316[[#This Row],[EXISTENCIAS]]+PRODUCTOS31316[[#This Row],[ENTRADAS]]-PRODUCTOS31316[[#This Row],[SALIDAS]]</f>
        <v>0</v>
      </c>
      <c r="L616" s="297"/>
      <c r="M616" s="297"/>
      <c r="N616" s="276">
        <v>7904</v>
      </c>
      <c r="O616" s="297" t="s">
        <v>2384</v>
      </c>
      <c r="P616" s="16">
        <v>46071</v>
      </c>
      <c r="Q616" s="297" t="s">
        <v>33</v>
      </c>
      <c r="R616" s="2" t="str">
        <f>VLOOKUP(SALIDAS111518[[#This Row],[CÓDIGO]],PRODUCTOS31316[],2,FALSE)</f>
        <v>LA-120 /506003</v>
      </c>
      <c r="S616" s="1" t="str">
        <f>VLOOKUP(SALIDAS111518[[#This Row],[CÓDIGO]],PRODUCTOS31316[],3,FALSE)</f>
        <v>LíNEA PARA OPU 1,2 METROS</v>
      </c>
      <c r="T616" s="2">
        <v>2</v>
      </c>
      <c r="U616" s="2"/>
      <c r="V616" s="2"/>
      <c r="W616" s="2"/>
      <c r="X616" s="2"/>
      <c r="Y616" s="7"/>
      <c r="Z616" s="2"/>
      <c r="AA616" s="1"/>
      <c r="AC616" s="2"/>
      <c r="AE616" s="1"/>
      <c r="AG616" s="2"/>
    </row>
    <row r="617" spans="1:33" ht="49.95" customHeight="1" x14ac:dyDescent="0.3">
      <c r="A617" s="2" t="s">
        <v>522</v>
      </c>
      <c r="C617" s="1" t="s">
        <v>1950</v>
      </c>
      <c r="E617" s="1" t="s">
        <v>352</v>
      </c>
      <c r="F617" s="1" t="s">
        <v>30</v>
      </c>
      <c r="G617" s="2">
        <v>50</v>
      </c>
      <c r="H617" s="14">
        <f>SUMIF(ENTRADAS71417[CÓDIGO],PRODUCTOS31316[[#This Row],[CÓDIGO]],ENTRADAS71417[CANTIDAD])</f>
        <v>0</v>
      </c>
      <c r="I617" s="11">
        <f>SUMIF(SALIDAS111518[CÓDIGO],PRODUCTOS31316[[#This Row],[CÓDIGO]],SALIDAS111518[CANTIDAD])</f>
        <v>0</v>
      </c>
      <c r="J617" s="6">
        <f>PRODUCTOS31316[[#This Row],[EXISTENCIAS]]+PRODUCTOS31316[[#This Row],[ENTRADAS]]-PRODUCTOS31316[[#This Row],[SALIDAS]]</f>
        <v>50</v>
      </c>
      <c r="L617" s="297" t="s">
        <v>3520</v>
      </c>
      <c r="M617" s="297" t="s">
        <v>3931</v>
      </c>
      <c r="N617" s="298" t="s">
        <v>4128</v>
      </c>
      <c r="O617" s="298" t="s">
        <v>4118</v>
      </c>
      <c r="P617" s="16">
        <v>46071</v>
      </c>
      <c r="Q617" s="297" t="s">
        <v>3142</v>
      </c>
      <c r="R617" s="2">
        <f>VLOOKUP(SALIDAS111518[[#This Row],[CÓDIGO]],PRODUCTOS31316[],2,FALSE)</f>
        <v>16301</v>
      </c>
      <c r="S617" s="1" t="str">
        <f>VLOOKUP(SALIDAS111518[[#This Row],[CÓDIGO]],PRODUCTOS31316[],3,FALSE)</f>
        <v>PISTOLA DE TRANSFERENCIA DE EMBRIONES 0,25 DE MANGO DE ALUMINIO</v>
      </c>
      <c r="T617" s="2">
        <v>1</v>
      </c>
      <c r="U617" s="2">
        <v>296</v>
      </c>
      <c r="V617" s="2"/>
      <c r="W617" s="2"/>
      <c r="X617" s="2"/>
      <c r="Y617" s="7"/>
      <c r="Z617" s="2"/>
      <c r="AA617" s="1"/>
      <c r="AC617" s="2"/>
      <c r="AE617" s="1"/>
      <c r="AG617" s="2"/>
    </row>
    <row r="618" spans="1:33" ht="49.95" customHeight="1" x14ac:dyDescent="0.3">
      <c r="A618" s="2" t="s">
        <v>1143</v>
      </c>
      <c r="B618" s="1">
        <v>771293</v>
      </c>
      <c r="C618" s="1" t="s">
        <v>1951</v>
      </c>
      <c r="D618" s="1" t="s">
        <v>171</v>
      </c>
      <c r="E618" s="1" t="s">
        <v>1115</v>
      </c>
      <c r="F618" s="1" t="s">
        <v>1952</v>
      </c>
      <c r="G618" s="2">
        <v>0</v>
      </c>
      <c r="H618" s="14">
        <f>SUMIF(ENTRADAS71417[CÓDIGO],PRODUCTOS31316[[#This Row],[CÓDIGO]],ENTRADAS71417[CANTIDAD])</f>
        <v>0</v>
      </c>
      <c r="I618" s="11">
        <f>SUMIF(SALIDAS111518[CÓDIGO],PRODUCTOS31316[[#This Row],[CÓDIGO]],SALIDAS111518[CANTIDAD])</f>
        <v>0</v>
      </c>
      <c r="J618" s="6">
        <f>PRODUCTOS31316[[#This Row],[EXISTENCIAS]]+PRODUCTOS31316[[#This Row],[ENTRADAS]]-PRODUCTOS31316[[#This Row],[SALIDAS]]</f>
        <v>0</v>
      </c>
      <c r="L618" s="297"/>
      <c r="M618" s="297"/>
      <c r="N618" s="276">
        <v>7905</v>
      </c>
      <c r="O618" s="297" t="s">
        <v>4118</v>
      </c>
      <c r="P618" s="16">
        <v>46071</v>
      </c>
      <c r="Q618" s="297" t="s">
        <v>79</v>
      </c>
      <c r="R618" s="2" t="str">
        <f>VLOOKUP(SALIDAS111518[[#This Row],[CÓDIGO]],PRODUCTOS31316[],2,FALSE)</f>
        <v>ABT ADAPT HOLDING</v>
      </c>
      <c r="S618" s="1" t="str">
        <f>VLOOKUP(SALIDAS111518[[#This Row],[CÓDIGO]],PRODUCTOS31316[],3,FALSE)</f>
        <v>ABT ADAPT HOLDING CON HA 7 ML</v>
      </c>
      <c r="T618" s="2">
        <v>3</v>
      </c>
      <c r="U618" s="2"/>
      <c r="V618" s="2"/>
      <c r="W618" s="2"/>
      <c r="X618" s="2"/>
      <c r="Y618" s="7"/>
      <c r="Z618" s="2"/>
      <c r="AA618" s="1"/>
      <c r="AC618" s="2"/>
      <c r="AE618" s="1"/>
      <c r="AG618" s="2"/>
    </row>
    <row r="619" spans="1:33" ht="49.95" customHeight="1" x14ac:dyDescent="0.3">
      <c r="A619" s="2" t="s">
        <v>1179</v>
      </c>
      <c r="B619" s="1">
        <v>698</v>
      </c>
      <c r="C619" s="1" t="s">
        <v>1953</v>
      </c>
      <c r="E619" s="1" t="s">
        <v>502</v>
      </c>
      <c r="F619" s="1" t="s">
        <v>30</v>
      </c>
      <c r="G619" s="2">
        <v>0</v>
      </c>
      <c r="H619" s="14">
        <f>SUMIF(ENTRADAS71417[CÓDIGO],PRODUCTOS31316[[#This Row],[CÓDIGO]],ENTRADAS71417[CANTIDAD])</f>
        <v>0</v>
      </c>
      <c r="I619" s="11">
        <f>SUMIF(SALIDAS111518[CÓDIGO],PRODUCTOS31316[[#This Row],[CÓDIGO]],SALIDAS111518[CANTIDAD])</f>
        <v>0</v>
      </c>
      <c r="J619" s="6">
        <f>PRODUCTOS31316[[#This Row],[EXISTENCIAS]]+PRODUCTOS31316[[#This Row],[ENTRADAS]]-PRODUCTOS31316[[#This Row],[SALIDAS]]</f>
        <v>0</v>
      </c>
      <c r="L619" s="297" t="s">
        <v>3520</v>
      </c>
      <c r="M619" s="297" t="s">
        <v>3931</v>
      </c>
      <c r="N619" s="298" t="s">
        <v>4129</v>
      </c>
      <c r="O619" s="297" t="s">
        <v>2344</v>
      </c>
      <c r="P619" s="16">
        <v>46071</v>
      </c>
      <c r="Q619" s="297" t="s">
        <v>2755</v>
      </c>
      <c r="R619" s="2" t="str">
        <f>VLOOKUP(SALIDAS111518[[#This Row],[CÓDIGO]],PRODUCTOS31316[],2,FALSE)</f>
        <v>MSLDO05</v>
      </c>
      <c r="S619" s="1" t="str">
        <f>VLOOKUP(SALIDAS111518[[#This Row],[CÓDIGO]],PRODUCTOS31316[],3,FALSE)</f>
        <v>TERMO DE RECOLECCIÓN DE SEMEN/ USO VETERINARIO</v>
      </c>
      <c r="T619" s="2">
        <v>2</v>
      </c>
      <c r="U619" s="2">
        <v>291</v>
      </c>
      <c r="V619" s="2"/>
      <c r="W619" s="2"/>
      <c r="X619" s="2"/>
      <c r="Y619" s="7"/>
      <c r="Z619" s="2"/>
      <c r="AA619" s="1"/>
      <c r="AC619" s="2"/>
      <c r="AE619" s="1"/>
      <c r="AG619" s="2"/>
    </row>
    <row r="620" spans="1:33" ht="49.95" customHeight="1" x14ac:dyDescent="0.3">
      <c r="A620" s="39" t="s">
        <v>1198</v>
      </c>
      <c r="B620" s="1">
        <v>21789</v>
      </c>
      <c r="C620" s="216" t="s">
        <v>1954</v>
      </c>
      <c r="D620" s="1" t="s">
        <v>442</v>
      </c>
      <c r="E620" s="1" t="s">
        <v>442</v>
      </c>
      <c r="F620" s="1" t="s">
        <v>30</v>
      </c>
      <c r="G620" s="2">
        <v>33</v>
      </c>
      <c r="H620" s="14">
        <f>SUMIF(ENTRADAS71417[CÓDIGO],PRODUCTOS31316[[#This Row],[CÓDIGO]],ENTRADAS71417[CANTIDAD])</f>
        <v>0</v>
      </c>
      <c r="I620" s="11">
        <f>SUMIF(SALIDAS111518[CÓDIGO],PRODUCTOS31316[[#This Row],[CÓDIGO]],SALIDAS111518[CANTIDAD])</f>
        <v>4</v>
      </c>
      <c r="J620" s="6">
        <f>PRODUCTOS31316[[#This Row],[EXISTENCIAS]]+PRODUCTOS31316[[#This Row],[ENTRADAS]]-PRODUCTOS31316[[#This Row],[SALIDAS]]</f>
        <v>29</v>
      </c>
      <c r="L620" s="297"/>
      <c r="M620" s="297"/>
      <c r="N620" s="276">
        <v>7906</v>
      </c>
      <c r="O620" s="314" t="s">
        <v>2344</v>
      </c>
      <c r="P620" s="16">
        <v>46071</v>
      </c>
      <c r="Q620" s="297" t="s">
        <v>3052</v>
      </c>
      <c r="R620" s="2">
        <f>VLOOKUP(SALIDAS111518[[#This Row],[CÓDIGO]],PRODUCTOS31316[],2,FALSE)</f>
        <v>0</v>
      </c>
      <c r="S620" s="1" t="str">
        <f>VLOOKUP(SALIDAS111518[[#This Row],[CÓDIGO]],PRODUCTOS31316[],3,FALSE)</f>
        <v>GOBLET DE 10 AZULES</v>
      </c>
      <c r="T620" s="2">
        <v>1</v>
      </c>
      <c r="U620" s="2"/>
      <c r="V620" s="2"/>
      <c r="W620" s="2"/>
      <c r="X620" s="2"/>
      <c r="Y620" s="7"/>
      <c r="Z620" s="2"/>
      <c r="AA620" s="1"/>
      <c r="AC620" s="2"/>
      <c r="AE620" s="1"/>
      <c r="AG620" s="2"/>
    </row>
    <row r="621" spans="1:33" ht="49.95" customHeight="1" x14ac:dyDescent="0.3">
      <c r="A621" s="2" t="s">
        <v>1225</v>
      </c>
      <c r="B621" s="1" t="s">
        <v>1955</v>
      </c>
      <c r="C621" s="1" t="s">
        <v>1290</v>
      </c>
      <c r="D621" s="1" t="s">
        <v>18</v>
      </c>
      <c r="E621" s="1" t="s">
        <v>18</v>
      </c>
      <c r="F621" s="1" t="s">
        <v>30</v>
      </c>
      <c r="G621" s="2">
        <v>0</v>
      </c>
      <c r="H621" s="14">
        <f>SUMIF(ENTRADAS71417[CÓDIGO],PRODUCTOS31316[[#This Row],[CÓDIGO]],ENTRADAS71417[CANTIDAD])</f>
        <v>0</v>
      </c>
      <c r="I621" s="11">
        <f>SUMIF(SALIDAS111518[CÓDIGO],PRODUCTOS31316[[#This Row],[CÓDIGO]],SALIDAS111518[CANTIDAD])</f>
        <v>0</v>
      </c>
      <c r="J621" s="6">
        <f>PRODUCTOS31316[[#This Row],[EXISTENCIAS]]+PRODUCTOS31316[[#This Row],[ENTRADAS]]-PRODUCTOS31316[[#This Row],[SALIDAS]]</f>
        <v>0</v>
      </c>
      <c r="L621" s="297" t="s">
        <v>3520</v>
      </c>
      <c r="M621" s="297" t="s">
        <v>3931</v>
      </c>
      <c r="N621" s="298" t="s">
        <v>4130</v>
      </c>
      <c r="O621" s="297" t="s">
        <v>2311</v>
      </c>
      <c r="P621" s="16">
        <v>46071</v>
      </c>
      <c r="Q621" s="297" t="s">
        <v>333</v>
      </c>
      <c r="R621" s="2" t="str">
        <f>VLOOKUP(SALIDAS111518[[#This Row],[CÓDIGO]],PRODUCTOS31316[],2,FALSE)</f>
        <v>CTB15</v>
      </c>
      <c r="S621" s="1" t="str">
        <f>VLOOKUP(SALIDAS111518[[#This Row],[CÓDIGO]],PRODUCTOS31316[],3,FALSE)</f>
        <v>TUBO CÓNICO DE 15 ML, TAPA ROSCA ESTÉRIL  RCF MAX: 10000xg, 
graduados, PCR puro. VENCE: 03/04/2028</v>
      </c>
      <c r="T621" s="2">
        <v>6</v>
      </c>
      <c r="U621" s="2"/>
      <c r="V621" s="2"/>
      <c r="W621" s="2"/>
      <c r="X621" s="2"/>
      <c r="Y621" s="7"/>
      <c r="Z621" s="2"/>
      <c r="AA621" s="1"/>
      <c r="AC621" s="2"/>
      <c r="AE621" s="1"/>
      <c r="AG621" s="2"/>
    </row>
    <row r="622" spans="1:33" ht="49.95" customHeight="1" x14ac:dyDescent="0.3">
      <c r="A622" s="2" t="s">
        <v>1215</v>
      </c>
      <c r="B622" s="1">
        <v>18029</v>
      </c>
      <c r="C622" s="1" t="s">
        <v>1956</v>
      </c>
      <c r="D622" s="1" t="s">
        <v>442</v>
      </c>
      <c r="E622" s="1" t="s">
        <v>442</v>
      </c>
      <c r="F622" s="1" t="s">
        <v>30</v>
      </c>
      <c r="G622" s="2">
        <v>0</v>
      </c>
      <c r="H622" s="14">
        <f>SUMIF(ENTRADAS71417[CÓDIGO],PRODUCTOS31316[[#This Row],[CÓDIGO]],ENTRADAS71417[CANTIDAD])</f>
        <v>0</v>
      </c>
      <c r="I622" s="11">
        <f>SUMIF(SALIDAS111518[CÓDIGO],PRODUCTOS31316[[#This Row],[CÓDIGO]],SALIDAS111518[CANTIDAD])</f>
        <v>0</v>
      </c>
      <c r="J622" s="6">
        <f>PRODUCTOS31316[[#This Row],[EXISTENCIAS]]+PRODUCTOS31316[[#This Row],[ENTRADAS]]-PRODUCTOS31316[[#This Row],[SALIDAS]]</f>
        <v>0</v>
      </c>
      <c r="L622" s="297"/>
      <c r="M622" s="297"/>
      <c r="N622" s="276">
        <v>7907</v>
      </c>
      <c r="O622" s="297" t="s">
        <v>2311</v>
      </c>
      <c r="P622" s="16">
        <v>46071</v>
      </c>
      <c r="Q622" s="297" t="s">
        <v>75</v>
      </c>
      <c r="R622" s="2" t="str">
        <f>VLOOKUP(SALIDAS111518[[#This Row],[CÓDIGO]],PRODUCTOS31316[],2,FALSE)</f>
        <v>18130E</v>
      </c>
      <c r="S622" s="1" t="str">
        <f>VLOOKUP(SALIDAS111518[[#This Row],[CÓDIGO]],PRODUCTOS31316[],3,FALSE)</f>
        <v>CAJA PETRI DESECHABLE ESTERIL 60X15 MM</v>
      </c>
      <c r="T622" s="2">
        <v>40</v>
      </c>
      <c r="U622" s="2"/>
      <c r="V622" s="2"/>
      <c r="W622" s="2"/>
      <c r="X622" s="2"/>
      <c r="Y622" s="7"/>
      <c r="Z622" s="2"/>
      <c r="AA622" s="1"/>
      <c r="AC622" s="2"/>
      <c r="AE622" s="1"/>
      <c r="AG622" s="2"/>
    </row>
    <row r="623" spans="1:33" ht="49.95" customHeight="1" x14ac:dyDescent="0.3">
      <c r="A623" s="2" t="s">
        <v>1231</v>
      </c>
      <c r="C623" s="1" t="s">
        <v>1957</v>
      </c>
      <c r="E623" s="1" t="s">
        <v>352</v>
      </c>
      <c r="F623" s="1" t="s">
        <v>41</v>
      </c>
      <c r="G623" s="2">
        <v>6</v>
      </c>
      <c r="H623" s="14">
        <f>SUMIF(ENTRADAS71417[CÓDIGO],PRODUCTOS31316[[#This Row],[CÓDIGO]],ENTRADAS71417[CANTIDAD])</f>
        <v>0</v>
      </c>
      <c r="I623" s="11">
        <f>SUMIF(SALIDAS111518[CÓDIGO],PRODUCTOS31316[[#This Row],[CÓDIGO]],SALIDAS111518[CANTIDAD])</f>
        <v>6</v>
      </c>
      <c r="J623" s="6">
        <f>PRODUCTOS31316[[#This Row],[EXISTENCIAS]]+PRODUCTOS31316[[#This Row],[ENTRADAS]]-PRODUCTOS31316[[#This Row],[SALIDAS]]</f>
        <v>0</v>
      </c>
      <c r="L623" s="297"/>
      <c r="M623" s="297"/>
      <c r="N623" s="276">
        <v>7907</v>
      </c>
      <c r="O623" s="297" t="s">
        <v>2311</v>
      </c>
      <c r="P623" s="16">
        <v>46071</v>
      </c>
      <c r="Q623" s="297" t="s">
        <v>167</v>
      </c>
      <c r="R623" s="2" t="str">
        <f>VLOOKUP(SALIDAS111518[[#This Row],[CÓDIGO]],PRODUCTOS31316[],2,FALSE)</f>
        <v>50050-1</v>
      </c>
      <c r="S623" s="1" t="str">
        <f>VLOOKUP(SALIDAS111518[[#This Row],[CÓDIGO]],PRODUCTOS31316[],3,FALSE)</f>
        <v>TUBO CONICO PLUG, AUTOCLAVABLE ESTERIL  TAPA ROSCA DE 50 ML</v>
      </c>
      <c r="T623" s="2">
        <v>25</v>
      </c>
      <c r="U623" s="2"/>
      <c r="V623" s="2"/>
      <c r="W623" s="2"/>
      <c r="X623" s="2"/>
      <c r="Y623" s="7"/>
      <c r="Z623" s="2"/>
      <c r="AA623" s="1"/>
      <c r="AC623" s="2"/>
      <c r="AE623" s="1"/>
      <c r="AG623" s="2"/>
    </row>
    <row r="624" spans="1:33" ht="49.95" customHeight="1" x14ac:dyDescent="0.3">
      <c r="A624" s="2" t="s">
        <v>1235</v>
      </c>
      <c r="C624" s="1" t="s">
        <v>1958</v>
      </c>
      <c r="E624" s="1" t="s">
        <v>352</v>
      </c>
      <c r="F624" s="1" t="s">
        <v>41</v>
      </c>
      <c r="G624" s="2">
        <v>3</v>
      </c>
      <c r="H624" s="14">
        <f>SUMIF(ENTRADAS71417[CÓDIGO],PRODUCTOS31316[[#This Row],[CÓDIGO]],ENTRADAS71417[CANTIDAD])</f>
        <v>0</v>
      </c>
      <c r="I624" s="11">
        <f>SUMIF(SALIDAS111518[CÓDIGO],PRODUCTOS31316[[#This Row],[CÓDIGO]],SALIDAS111518[CANTIDAD])</f>
        <v>3</v>
      </c>
      <c r="J624" s="6">
        <f>PRODUCTOS31316[[#This Row],[EXISTENCIAS]]+PRODUCTOS31316[[#This Row],[ENTRADAS]]-PRODUCTOS31316[[#This Row],[SALIDAS]]</f>
        <v>0</v>
      </c>
      <c r="L624" s="297"/>
      <c r="M624" s="297"/>
      <c r="N624" s="276">
        <v>7907</v>
      </c>
      <c r="O624" s="297" t="s">
        <v>2311</v>
      </c>
      <c r="P624" s="16">
        <v>46071</v>
      </c>
      <c r="Q624" s="297" t="s">
        <v>168</v>
      </c>
      <c r="R624" s="2">
        <f>VLOOKUP(SALIDAS111518[[#This Row],[CÓDIGO]],PRODUCTOS31316[],2,FALSE)</f>
        <v>4840</v>
      </c>
      <c r="S624" s="1" t="str">
        <f>VLOOKUP(SALIDAS111518[[#This Row],[CÓDIGO]],PRODUCTOS31316[],3,FALSE)</f>
        <v>PUNTAS BLANCAS UNIVERSALES, PLÁSTICAS, LIBRES DE DNASAS, RNASA Y PIROGENOS, RANGO DE 0.1 A 10UL. (CORTAS).</v>
      </c>
      <c r="T624" s="2">
        <v>5</v>
      </c>
      <c r="U624" s="2"/>
      <c r="V624" s="2"/>
      <c r="W624" s="2"/>
      <c r="X624" s="2"/>
      <c r="Y624" s="7"/>
      <c r="Z624" s="2"/>
      <c r="AA624" s="1"/>
      <c r="AC624" s="2"/>
      <c r="AE624" s="1"/>
      <c r="AG624" s="2"/>
    </row>
    <row r="625" spans="1:33" ht="49.95" customHeight="1" x14ac:dyDescent="0.3">
      <c r="A625" s="2" t="s">
        <v>1268</v>
      </c>
      <c r="B625" s="1" t="s">
        <v>1712</v>
      </c>
      <c r="C625" s="1" t="s">
        <v>1959</v>
      </c>
      <c r="D625" s="1" t="s">
        <v>103</v>
      </c>
      <c r="E625" s="1" t="s">
        <v>233</v>
      </c>
      <c r="F625" s="1" t="s">
        <v>201</v>
      </c>
      <c r="G625" s="2">
        <v>0</v>
      </c>
      <c r="H625" s="14">
        <f>SUMIF(ENTRADAS71417[CÓDIGO],PRODUCTOS31316[[#This Row],[CÓDIGO]],ENTRADAS71417[CANTIDAD])</f>
        <v>0</v>
      </c>
      <c r="I625" s="11">
        <f>SUMIF(SALIDAS111518[CÓDIGO],PRODUCTOS31316[[#This Row],[CÓDIGO]],SALIDAS111518[CANTIDAD])</f>
        <v>0</v>
      </c>
      <c r="J625" s="6">
        <f>PRODUCTOS31316[[#This Row],[EXISTENCIAS]]+PRODUCTOS31316[[#This Row],[ENTRADAS]]-PRODUCTOS31316[[#This Row],[SALIDAS]]</f>
        <v>0</v>
      </c>
      <c r="L625" s="282"/>
      <c r="M625" s="282"/>
      <c r="N625" s="276">
        <v>7907</v>
      </c>
      <c r="O625" s="297" t="s">
        <v>2311</v>
      </c>
      <c r="P625" s="16">
        <v>46071</v>
      </c>
      <c r="Q625" s="297" t="s">
        <v>438</v>
      </c>
      <c r="R625" s="2">
        <f>VLOOKUP(SALIDAS111518[[#This Row],[CÓDIGO]],PRODUCTOS31316[],2,FALSE)</f>
        <v>18421</v>
      </c>
      <c r="S625" s="1" t="str">
        <f>VLOOKUP(SALIDAS111518[[#This Row],[CÓDIGO]],PRODUCTOS31316[],3,FALSE)</f>
        <v xml:space="preserve">PISTOLA DE TRANSFERENCIA DE EMBRIONES 0,25 / BLOQUEO AUTOMÁTICO </v>
      </c>
      <c r="T625" s="2">
        <v>2</v>
      </c>
      <c r="U625" s="2"/>
      <c r="V625" s="2"/>
      <c r="W625" s="2"/>
      <c r="X625" s="2"/>
      <c r="Y625" s="7"/>
      <c r="Z625" s="2"/>
      <c r="AA625" s="1"/>
      <c r="AC625" s="2"/>
      <c r="AE625" s="1"/>
      <c r="AG625" s="2"/>
    </row>
    <row r="626" spans="1:33" ht="49.95" customHeight="1" x14ac:dyDescent="0.3">
      <c r="A626" s="2" t="s">
        <v>1274</v>
      </c>
      <c r="B626" s="1" t="s">
        <v>1960</v>
      </c>
      <c r="C626" s="1" t="s">
        <v>1961</v>
      </c>
      <c r="D626" s="1" t="s">
        <v>1962</v>
      </c>
      <c r="E626" s="1" t="s">
        <v>352</v>
      </c>
      <c r="F626" s="1" t="s">
        <v>1171</v>
      </c>
      <c r="G626" s="2">
        <v>0</v>
      </c>
      <c r="H626" s="14">
        <f>SUMIF(ENTRADAS71417[CÓDIGO],PRODUCTOS31316[[#This Row],[CÓDIGO]],ENTRADAS71417[CANTIDAD])</f>
        <v>0</v>
      </c>
      <c r="I626" s="11">
        <f>SUMIF(SALIDAS111518[CÓDIGO],PRODUCTOS31316[[#This Row],[CÓDIGO]],SALIDAS111518[CANTIDAD])</f>
        <v>0</v>
      </c>
      <c r="J626" s="6">
        <f>PRODUCTOS31316[[#This Row],[EXISTENCIAS]]+PRODUCTOS31316[[#This Row],[ENTRADAS]]-PRODUCTOS31316[[#This Row],[SALIDAS]]</f>
        <v>0</v>
      </c>
      <c r="L626" s="297" t="s">
        <v>3520</v>
      </c>
      <c r="M626" s="297" t="s">
        <v>3931</v>
      </c>
      <c r="N626" s="298" t="s">
        <v>4148</v>
      </c>
      <c r="O626" s="297" t="s">
        <v>3067</v>
      </c>
      <c r="P626" s="16">
        <v>46071</v>
      </c>
      <c r="Q626" s="297" t="s">
        <v>1210</v>
      </c>
      <c r="R626" s="2">
        <f>VLOOKUP(SALIDAS111518[[#This Row],[CÓDIGO]],PRODUCTOS31316[],2,FALSE)</f>
        <v>10589</v>
      </c>
      <c r="S626" s="1" t="str">
        <f>VLOOKUP(SALIDAS111518[[#This Row],[CÓDIGO]],PRODUCTOS31316[],3,FALSE)</f>
        <v>ROLA METÁLICA PARA ASPIRACIÓN FOLICULAR</v>
      </c>
      <c r="T626" s="2">
        <v>2</v>
      </c>
      <c r="U626" s="2">
        <v>302</v>
      </c>
      <c r="V626" s="2"/>
      <c r="W626" s="2"/>
      <c r="X626" s="2"/>
      <c r="Y626" s="7"/>
      <c r="Z626" s="2"/>
      <c r="AA626" s="1"/>
      <c r="AC626" s="2"/>
      <c r="AE626" s="1"/>
      <c r="AG626" s="2"/>
    </row>
    <row r="627" spans="1:33" ht="49.95" customHeight="1" x14ac:dyDescent="0.3">
      <c r="A627" s="2" t="s">
        <v>1278</v>
      </c>
      <c r="B627" s="1" t="s">
        <v>1667</v>
      </c>
      <c r="C627" s="1" t="s">
        <v>1668</v>
      </c>
      <c r="D627" s="1" t="s">
        <v>1962</v>
      </c>
      <c r="E627" s="1" t="s">
        <v>352</v>
      </c>
      <c r="F627" s="1" t="s">
        <v>1171</v>
      </c>
      <c r="G627" s="2">
        <v>0</v>
      </c>
      <c r="H627" s="14">
        <f>SUMIF(ENTRADAS71417[CÓDIGO],PRODUCTOS31316[[#This Row],[CÓDIGO]],ENTRADAS71417[CANTIDAD])</f>
        <v>0</v>
      </c>
      <c r="I627" s="11">
        <f>SUMIF(SALIDAS111518[CÓDIGO],PRODUCTOS31316[[#This Row],[CÓDIGO]],SALIDAS111518[CANTIDAD])</f>
        <v>0</v>
      </c>
      <c r="J627" s="6">
        <f>PRODUCTOS31316[[#This Row],[EXISTENCIAS]]+PRODUCTOS31316[[#This Row],[ENTRADAS]]-PRODUCTOS31316[[#This Row],[SALIDAS]]</f>
        <v>0</v>
      </c>
      <c r="L627" s="282"/>
      <c r="M627" s="282"/>
      <c r="N627" s="276">
        <v>7912</v>
      </c>
      <c r="O627" s="297" t="s">
        <v>3067</v>
      </c>
      <c r="P627" s="16">
        <v>46071</v>
      </c>
      <c r="Q627" s="297" t="s">
        <v>456</v>
      </c>
      <c r="R627" s="2">
        <f>VLOOKUP(SALIDAS111518[[#This Row],[CÓDIGO]],PRODUCTOS31316[],2,FALSE)</f>
        <v>23068</v>
      </c>
      <c r="S627" s="1" t="str">
        <f>VLOOKUP(SALIDAS111518[[#This Row],[CÓDIGO]],PRODUCTOS31316[],3,FALSE)</f>
        <v>TERMO DESCONGELADOR DE SEMEN DE EMBRIONES VERDE</v>
      </c>
      <c r="T627" s="2">
        <v>1</v>
      </c>
      <c r="U627" s="2"/>
      <c r="V627" s="2"/>
      <c r="W627" s="2"/>
      <c r="X627" s="2"/>
      <c r="Y627" s="7"/>
      <c r="Z627" s="2"/>
      <c r="AA627" s="1"/>
      <c r="AC627" s="2"/>
      <c r="AE627" s="1"/>
      <c r="AG627" s="2"/>
    </row>
    <row r="628" spans="1:33" ht="49.95" customHeight="1" x14ac:dyDescent="0.3">
      <c r="A628" s="2" t="s">
        <v>1284</v>
      </c>
      <c r="B628" s="1" t="s">
        <v>1963</v>
      </c>
      <c r="C628" s="1" t="s">
        <v>1964</v>
      </c>
      <c r="D628" s="1" t="s">
        <v>1962</v>
      </c>
      <c r="E628" s="1" t="s">
        <v>352</v>
      </c>
      <c r="F628" s="1" t="s">
        <v>1171</v>
      </c>
      <c r="G628" s="2">
        <v>0</v>
      </c>
      <c r="H628" s="14">
        <f>SUMIF(ENTRADAS71417[CÓDIGO],PRODUCTOS31316[[#This Row],[CÓDIGO]],ENTRADAS71417[CANTIDAD])</f>
        <v>0</v>
      </c>
      <c r="I628" s="11">
        <f>SUMIF(SALIDAS111518[CÓDIGO],PRODUCTOS31316[[#This Row],[CÓDIGO]],SALIDAS111518[CANTIDAD])</f>
        <v>0</v>
      </c>
      <c r="J628" s="6">
        <f>PRODUCTOS31316[[#This Row],[EXISTENCIAS]]+PRODUCTOS31316[[#This Row],[ENTRADAS]]-PRODUCTOS31316[[#This Row],[SALIDAS]]</f>
        <v>0</v>
      </c>
      <c r="L628" s="297" t="s">
        <v>3521</v>
      </c>
      <c r="M628" s="297" t="s">
        <v>3931</v>
      </c>
      <c r="N628" s="298" t="s">
        <v>4131</v>
      </c>
      <c r="O628" s="298" t="s">
        <v>4122</v>
      </c>
      <c r="P628" s="16">
        <v>46071</v>
      </c>
      <c r="Q628" s="297" t="s">
        <v>913</v>
      </c>
      <c r="R628" s="2" t="str">
        <f>VLOOKUP(SALIDAS111518[[#This Row],[CÓDIGO]],PRODUCTOS31316[],2,FALSE)</f>
        <v>HC-R069</v>
      </c>
      <c r="S628" s="1" t="str">
        <f>VLOOKUP(SALIDAS111518[[#This Row],[CÓDIGO]],PRODUCTOS31316[],3,FALSE)</f>
        <v>MICROSCOPIO CON PLATINA Y PANTALLA 7"</v>
      </c>
      <c r="T628" s="2">
        <v>1</v>
      </c>
      <c r="U628" s="2">
        <v>299</v>
      </c>
      <c r="V628" s="2"/>
      <c r="W628" s="2"/>
      <c r="X628" s="2"/>
      <c r="Y628" s="7"/>
      <c r="Z628" s="2"/>
      <c r="AA628" s="1"/>
      <c r="AC628" s="2"/>
      <c r="AE628" s="1"/>
      <c r="AG628" s="2"/>
    </row>
    <row r="629" spans="1:33" ht="49.95" customHeight="1" x14ac:dyDescent="0.3">
      <c r="A629" s="2" t="s">
        <v>1292</v>
      </c>
      <c r="B629" s="1">
        <v>7116</v>
      </c>
      <c r="C629" s="272" t="s">
        <v>2935</v>
      </c>
      <c r="D629" s="1" t="s">
        <v>156</v>
      </c>
      <c r="E629" s="1" t="s">
        <v>352</v>
      </c>
      <c r="F629" s="1" t="s">
        <v>30</v>
      </c>
      <c r="G629" s="2">
        <v>1</v>
      </c>
      <c r="H629" s="14">
        <f>SUMIF(ENTRADAS71417[CÓDIGO],PRODUCTOS31316[[#This Row],[CÓDIGO]],ENTRADAS71417[CANTIDAD])</f>
        <v>0</v>
      </c>
      <c r="I629" s="11">
        <f>SUMIF(SALIDAS111518[CÓDIGO],PRODUCTOS31316[[#This Row],[CÓDIGO]],SALIDAS111518[CANTIDAD])</f>
        <v>1</v>
      </c>
      <c r="J629" s="6">
        <f>PRODUCTOS31316[[#This Row],[EXISTENCIAS]]+PRODUCTOS31316[[#This Row],[ENTRADAS]]-PRODUCTOS31316[[#This Row],[SALIDAS]]</f>
        <v>0</v>
      </c>
      <c r="L629" s="297" t="s">
        <v>3520</v>
      </c>
      <c r="M629" s="297" t="s">
        <v>3931</v>
      </c>
      <c r="N629" s="298" t="s">
        <v>4132</v>
      </c>
      <c r="O629" s="297" t="s">
        <v>2706</v>
      </c>
      <c r="P629" s="16">
        <v>46071</v>
      </c>
      <c r="Q629" s="297" t="s">
        <v>247</v>
      </c>
      <c r="R629" s="2">
        <f>VLOOKUP(SALIDAS111518[[#This Row],[CÓDIGO]],PRODUCTOS31316[],2,FALSE)</f>
        <v>352054</v>
      </c>
      <c r="S629" s="1" t="str">
        <f>VLOOKUP(SALIDAS111518[[#This Row],[CÓDIGO]],PRODUCTOS31316[],3,FALSE)</f>
        <v>TUBO DE FONDO REDONDO DE 5ML 12X75MM , POLIESTIRENO</v>
      </c>
      <c r="T629" s="2">
        <v>6</v>
      </c>
      <c r="U629" s="2">
        <v>300</v>
      </c>
      <c r="V629" s="2"/>
      <c r="W629" s="2"/>
      <c r="X629" s="2"/>
      <c r="Y629" s="7"/>
      <c r="Z629" s="2"/>
      <c r="AA629" s="1"/>
      <c r="AC629" s="2"/>
      <c r="AE629" s="1"/>
      <c r="AG629" s="2"/>
    </row>
    <row r="630" spans="1:33" ht="49.95" customHeight="1" x14ac:dyDescent="0.3">
      <c r="A630" s="2" t="s">
        <v>1356</v>
      </c>
      <c r="B630" s="1">
        <v>1106</v>
      </c>
      <c r="C630" s="1" t="s">
        <v>1966</v>
      </c>
      <c r="D630" s="1" t="s">
        <v>1967</v>
      </c>
      <c r="E630" s="1" t="s">
        <v>1967</v>
      </c>
      <c r="F630" s="1" t="s">
        <v>30</v>
      </c>
      <c r="G630" s="31">
        <v>2</v>
      </c>
      <c r="H630" s="14">
        <f>SUMIF(ENTRADAS71417[CÓDIGO],PRODUCTOS31316[[#This Row],[CÓDIGO]],ENTRADAS71417[CANTIDAD])</f>
        <v>1</v>
      </c>
      <c r="I630" s="11">
        <f>SUMIF(SALIDAS111518[CÓDIGO],PRODUCTOS31316[[#This Row],[CÓDIGO]],SALIDAS111518[CANTIDAD])</f>
        <v>3</v>
      </c>
      <c r="J630" s="6">
        <f>PRODUCTOS31316[[#This Row],[EXISTENCIAS]]+PRODUCTOS31316[[#This Row],[ENTRADAS]]-PRODUCTOS31316[[#This Row],[SALIDAS]]</f>
        <v>0</v>
      </c>
      <c r="L630" s="282"/>
      <c r="M630" s="282"/>
      <c r="N630" s="276">
        <v>7909</v>
      </c>
      <c r="O630" s="297" t="s">
        <v>2706</v>
      </c>
      <c r="P630" s="16">
        <v>46071</v>
      </c>
      <c r="Q630" s="297" t="s">
        <v>602</v>
      </c>
      <c r="R630" s="2">
        <f>VLOOKUP(SALIDAS111518[[#This Row],[CÓDIGO]],PRODUCTOS31316[],2,FALSE)</f>
        <v>4845</v>
      </c>
      <c r="S630" s="1" t="str">
        <f>VLOOKUP(SALIDAS111518[[#This Row],[CÓDIGO]],PRODUCTOS31316[],3,FALSE)</f>
        <v>PUNTAS AMARILLAS, UNIVERSALES. PLASTICAS, NO ESTERIL. LIBRES DE RNASE, DNASE Y PYROGENOS. RANGO DE 1-200UL. BOLSA X1000UDS.</v>
      </c>
      <c r="T630" s="2">
        <v>4</v>
      </c>
      <c r="U630" s="2"/>
      <c r="V630" s="2"/>
      <c r="W630" s="2"/>
      <c r="X630" s="2"/>
      <c r="Y630" s="7"/>
      <c r="Z630" s="2"/>
      <c r="AA630" s="1"/>
      <c r="AC630" s="2"/>
      <c r="AE630" s="1"/>
      <c r="AG630" s="2"/>
    </row>
    <row r="631" spans="1:33" ht="49.95" customHeight="1" x14ac:dyDescent="0.3">
      <c r="A631" s="2" t="s">
        <v>1371</v>
      </c>
      <c r="B631" s="21">
        <v>7709265238861</v>
      </c>
      <c r="C631" s="1" t="s">
        <v>1968</v>
      </c>
      <c r="D631" s="1" t="s">
        <v>1969</v>
      </c>
      <c r="E631" s="1" t="s">
        <v>1969</v>
      </c>
      <c r="F631" s="1" t="s">
        <v>1970</v>
      </c>
      <c r="G631" s="2">
        <v>0</v>
      </c>
      <c r="H631" s="14">
        <f>SUMIF(ENTRADAS71417[CÓDIGO],PRODUCTOS31316[[#This Row],[CÓDIGO]],ENTRADAS71417[CANTIDAD])</f>
        <v>0</v>
      </c>
      <c r="I631" s="11">
        <f>SUMIF(SALIDAS111518[CÓDIGO],PRODUCTOS31316[[#This Row],[CÓDIGO]],SALIDAS111518[CANTIDAD])</f>
        <v>0</v>
      </c>
      <c r="J631" s="6">
        <f>PRODUCTOS31316[[#This Row],[EXISTENCIAS]]+PRODUCTOS31316[[#This Row],[ENTRADAS]]-PRODUCTOS31316[[#This Row],[SALIDAS]]</f>
        <v>0</v>
      </c>
      <c r="L631" s="297" t="s">
        <v>3521</v>
      </c>
      <c r="M631" s="297" t="s">
        <v>3931</v>
      </c>
      <c r="N631" s="298" t="s">
        <v>4133</v>
      </c>
      <c r="O631" s="297" t="s">
        <v>4125</v>
      </c>
      <c r="P631" s="16">
        <v>46071</v>
      </c>
      <c r="Q631" s="297" t="s">
        <v>2755</v>
      </c>
      <c r="R631" s="2" t="str">
        <f>VLOOKUP(SALIDAS111518[[#This Row],[CÓDIGO]],PRODUCTOS31316[],2,FALSE)</f>
        <v>MSLDO05</v>
      </c>
      <c r="S631" s="1" t="str">
        <f>VLOOKUP(SALIDAS111518[[#This Row],[CÓDIGO]],PRODUCTOS31316[],3,FALSE)</f>
        <v>TERMO DE RECOLECCIÓN DE SEMEN/ USO VETERINARIO</v>
      </c>
      <c r="T631" s="2">
        <v>1</v>
      </c>
      <c r="U631" s="2">
        <v>292</v>
      </c>
      <c r="V631" s="2"/>
      <c r="W631" s="297" t="s">
        <v>2823</v>
      </c>
      <c r="X631" s="2"/>
      <c r="Y631" s="7"/>
      <c r="Z631" s="2"/>
      <c r="AA631" s="1"/>
      <c r="AC631" s="2"/>
      <c r="AE631" s="1"/>
      <c r="AG631" s="2"/>
    </row>
    <row r="632" spans="1:33" ht="49.95" customHeight="1" x14ac:dyDescent="0.3">
      <c r="A632" s="2" t="s">
        <v>1364</v>
      </c>
      <c r="B632" s="325" t="s">
        <v>4569</v>
      </c>
      <c r="C632" s="1" t="s">
        <v>1971</v>
      </c>
      <c r="D632" s="1" t="s">
        <v>467</v>
      </c>
      <c r="E632" s="1" t="s">
        <v>467</v>
      </c>
      <c r="F632" s="1" t="s">
        <v>30</v>
      </c>
      <c r="G632" s="2">
        <v>1</v>
      </c>
      <c r="H632" s="14">
        <f>SUMIF(ENTRADAS71417[CÓDIGO],PRODUCTOS31316[[#This Row],[CÓDIGO]],ENTRADAS71417[CANTIDAD])</f>
        <v>0</v>
      </c>
      <c r="I632" s="11">
        <f>SUMIF(SALIDAS111518[CÓDIGO],PRODUCTOS31316[[#This Row],[CÓDIGO]],SALIDAS111518[CANTIDAD])</f>
        <v>0</v>
      </c>
      <c r="J632" s="6">
        <f>PRODUCTOS31316[[#This Row],[EXISTENCIAS]]+PRODUCTOS31316[[#This Row],[ENTRADAS]]-PRODUCTOS31316[[#This Row],[SALIDAS]]</f>
        <v>1</v>
      </c>
      <c r="L632" s="297" t="s">
        <v>3521</v>
      </c>
      <c r="M632" s="297" t="s">
        <v>3931</v>
      </c>
      <c r="N632" s="303" t="s">
        <v>4163</v>
      </c>
      <c r="O632" s="303" t="s">
        <v>4162</v>
      </c>
      <c r="P632" s="16">
        <v>46071</v>
      </c>
      <c r="Q632" s="297" t="s">
        <v>648</v>
      </c>
      <c r="R632" s="2" t="str">
        <f>VLOOKUP(SALIDAS111518[[#This Row],[CÓDIGO]],PRODUCTOS31316[],2,FALSE)</f>
        <v>S5</v>
      </c>
      <c r="S632" s="1" t="str">
        <f>VLOOKUP(SALIDAS111518[[#This Row],[CÓDIGO]],PRODUCTOS31316[],3,FALSE)</f>
        <v>SONDA S5 UNIDAD PRINCIPAL CON SONDA LINEAL RECTAL</v>
      </c>
      <c r="T632" s="2">
        <v>1</v>
      </c>
      <c r="U632" s="2">
        <v>313</v>
      </c>
      <c r="V632" s="301" t="s">
        <v>4164</v>
      </c>
      <c r="W632" s="2"/>
      <c r="X632" s="2"/>
      <c r="Y632" s="7"/>
      <c r="Z632" s="2"/>
      <c r="AA632" s="1"/>
      <c r="AC632" s="2"/>
      <c r="AE632" s="1"/>
      <c r="AG632" s="2"/>
    </row>
    <row r="633" spans="1:33" ht="49.95" customHeight="1" x14ac:dyDescent="0.3">
      <c r="A633" s="2" t="s">
        <v>1368</v>
      </c>
      <c r="B633" s="325" t="s">
        <v>4569</v>
      </c>
      <c r="C633" s="1" t="s">
        <v>1972</v>
      </c>
      <c r="D633" s="1" t="s">
        <v>467</v>
      </c>
      <c r="E633" s="1" t="s">
        <v>467</v>
      </c>
      <c r="F633" s="1" t="s">
        <v>30</v>
      </c>
      <c r="G633" s="2">
        <v>0</v>
      </c>
      <c r="H633" s="14">
        <f>SUMIF(ENTRADAS71417[CÓDIGO],PRODUCTOS31316[[#This Row],[CÓDIGO]],ENTRADAS71417[CANTIDAD])</f>
        <v>1</v>
      </c>
      <c r="I633" s="11">
        <f>SUMIF(SALIDAS111518[CÓDIGO],PRODUCTOS31316[[#This Row],[CÓDIGO]],SALIDAS111518[CANTIDAD])</f>
        <v>0</v>
      </c>
      <c r="J633" s="6">
        <f>PRODUCTOS31316[[#This Row],[EXISTENCIAS]]+PRODUCTOS31316[[#This Row],[ENTRADAS]]-PRODUCTOS31316[[#This Row],[SALIDAS]]</f>
        <v>1</v>
      </c>
      <c r="L633" s="282"/>
      <c r="M633" s="282"/>
      <c r="N633" s="276">
        <v>7922</v>
      </c>
      <c r="O633" s="303" t="s">
        <v>4162</v>
      </c>
      <c r="P633" s="16">
        <v>46071</v>
      </c>
      <c r="Q633" s="297" t="s">
        <v>3791</v>
      </c>
      <c r="R633" s="2">
        <f>VLOOKUP(SALIDAS111518[[#This Row],[CÓDIGO]],PRODUCTOS31316[],2,FALSE)</f>
        <v>6936520864546</v>
      </c>
      <c r="S633" s="1" t="str">
        <f>VLOOKUP(SALIDAS111518[[#This Row],[CÓDIGO]],PRODUCTOS31316[],3,FALSE)</f>
        <v>TABLET 11" HONOR PAD X8A 128 GB</v>
      </c>
      <c r="T633" s="2">
        <v>1</v>
      </c>
      <c r="U633" s="2"/>
      <c r="V633" s="2"/>
      <c r="W633" s="2"/>
      <c r="X633" s="2"/>
      <c r="Y633" s="7"/>
      <c r="Z633" s="2"/>
      <c r="AA633" s="1"/>
      <c r="AC633" s="2"/>
      <c r="AE633" s="1"/>
      <c r="AG633" s="2"/>
    </row>
    <row r="634" spans="1:33" ht="49.95" customHeight="1" x14ac:dyDescent="0.3">
      <c r="A634" s="2" t="s">
        <v>1377</v>
      </c>
      <c r="C634" s="1" t="s">
        <v>1973</v>
      </c>
      <c r="E634" s="1" t="s">
        <v>352</v>
      </c>
      <c r="F634" s="1" t="s">
        <v>30</v>
      </c>
      <c r="G634" s="2">
        <v>0</v>
      </c>
      <c r="H634" s="14">
        <f>SUMIF(ENTRADAS71417[CÓDIGO],PRODUCTOS31316[[#This Row],[CÓDIGO]],ENTRADAS71417[CANTIDAD])</f>
        <v>0</v>
      </c>
      <c r="I634" s="11">
        <f>SUMIF(SALIDAS111518[CÓDIGO],PRODUCTOS31316[[#This Row],[CÓDIGO]],SALIDAS111518[CANTIDAD])</f>
        <v>0</v>
      </c>
      <c r="J634" s="6">
        <f>PRODUCTOS31316[[#This Row],[EXISTENCIAS]]+PRODUCTOS31316[[#This Row],[ENTRADAS]]-PRODUCTOS31316[[#This Row],[SALIDAS]]</f>
        <v>0</v>
      </c>
      <c r="L634" s="282"/>
      <c r="M634" s="282"/>
      <c r="N634" s="276">
        <v>7922</v>
      </c>
      <c r="O634" s="303" t="s">
        <v>4162</v>
      </c>
      <c r="P634" s="16">
        <v>46071</v>
      </c>
      <c r="Q634" s="297" t="s">
        <v>3286</v>
      </c>
      <c r="R634" s="2">
        <f>VLOOKUP(SALIDAS111518[[#This Row],[CÓDIGO]],PRODUCTOS31316[],2,FALSE)</f>
        <v>0</v>
      </c>
      <c r="S634" s="1" t="str">
        <f>VLOOKUP(SALIDAS111518[[#This Row],[CÓDIGO]],PRODUCTOS31316[],3,FALSE)</f>
        <v>CARCASA TABLET BMV</v>
      </c>
      <c r="T634" s="2">
        <v>1</v>
      </c>
      <c r="U634" s="2"/>
      <c r="V634" s="2"/>
      <c r="W634" s="2"/>
      <c r="X634" s="2"/>
      <c r="Y634" s="7"/>
      <c r="Z634" s="2"/>
      <c r="AA634" s="1"/>
      <c r="AC634" s="2"/>
      <c r="AE634" s="1"/>
      <c r="AG634" s="2"/>
    </row>
    <row r="635" spans="1:33" ht="49.95" customHeight="1" x14ac:dyDescent="0.3">
      <c r="A635" s="2" t="s">
        <v>1389</v>
      </c>
      <c r="B635" s="1" t="s">
        <v>1974</v>
      </c>
      <c r="C635" s="1" t="s">
        <v>1975</v>
      </c>
      <c r="D635" s="1" t="s">
        <v>1976</v>
      </c>
      <c r="E635" s="1" t="s">
        <v>463</v>
      </c>
      <c r="F635" s="1" t="s">
        <v>30</v>
      </c>
      <c r="G635" s="2">
        <v>0</v>
      </c>
      <c r="H635" s="14">
        <f>SUMIF(ENTRADAS71417[CÓDIGO],PRODUCTOS31316[[#This Row],[CÓDIGO]],ENTRADAS71417[CANTIDAD])</f>
        <v>0</v>
      </c>
      <c r="I635" s="11">
        <f>SUMIF(SALIDAS111518[CÓDIGO],PRODUCTOS31316[[#This Row],[CÓDIGO]],SALIDAS111518[CANTIDAD])</f>
        <v>0</v>
      </c>
      <c r="J635" s="6">
        <f>PRODUCTOS31316[[#This Row],[EXISTENCIAS]]+PRODUCTOS31316[[#This Row],[ENTRADAS]]-PRODUCTOS31316[[#This Row],[SALIDAS]]</f>
        <v>0</v>
      </c>
      <c r="L635" s="282"/>
      <c r="M635" s="282"/>
      <c r="N635" s="276">
        <v>7922</v>
      </c>
      <c r="O635" s="303" t="s">
        <v>4162</v>
      </c>
      <c r="P635" s="16">
        <v>46071</v>
      </c>
      <c r="Q635" s="297" t="s">
        <v>25</v>
      </c>
      <c r="R635" s="2">
        <f>VLOOKUP(SALIDAS111518[[#This Row],[CÓDIGO]],PRODUCTOS31316[],2,FALSE)</f>
        <v>0</v>
      </c>
      <c r="S635" s="1" t="str">
        <f>VLOOKUP(SALIDAS111518[[#This Row],[CÓDIGO]],PRODUCTOS31316[],3,FALSE)</f>
        <v>BOLSA TELA MAS CAMPO</v>
      </c>
      <c r="T635" s="2">
        <v>1</v>
      </c>
      <c r="U635" s="2"/>
      <c r="V635" s="2"/>
      <c r="W635" s="2"/>
      <c r="X635" s="2"/>
      <c r="Y635" s="7"/>
      <c r="Z635" s="2"/>
      <c r="AA635" s="1"/>
      <c r="AC635" s="2"/>
      <c r="AE635" s="1"/>
      <c r="AG635" s="2"/>
    </row>
    <row r="636" spans="1:33" ht="49.95" customHeight="1" x14ac:dyDescent="0.3">
      <c r="A636" s="2" t="s">
        <v>1396</v>
      </c>
      <c r="B636" s="1" t="s">
        <v>1977</v>
      </c>
      <c r="C636" s="1" t="s">
        <v>1978</v>
      </c>
      <c r="D636" s="1" t="s">
        <v>1976</v>
      </c>
      <c r="E636" s="1" t="s">
        <v>463</v>
      </c>
      <c r="F636" s="1" t="s">
        <v>30</v>
      </c>
      <c r="G636" s="2">
        <v>0</v>
      </c>
      <c r="H636" s="14">
        <f>SUMIF(ENTRADAS71417[CÓDIGO],PRODUCTOS31316[[#This Row],[CÓDIGO]],ENTRADAS71417[CANTIDAD])</f>
        <v>0</v>
      </c>
      <c r="I636" s="11">
        <f>SUMIF(SALIDAS111518[CÓDIGO],PRODUCTOS31316[[#This Row],[CÓDIGO]],SALIDAS111518[CANTIDAD])</f>
        <v>0</v>
      </c>
      <c r="J636" s="6">
        <f>PRODUCTOS31316[[#This Row],[EXISTENCIAS]]+PRODUCTOS31316[[#This Row],[ENTRADAS]]-PRODUCTOS31316[[#This Row],[SALIDAS]]</f>
        <v>0</v>
      </c>
      <c r="L636" s="282"/>
      <c r="M636" s="282"/>
      <c r="N636" s="301" t="s">
        <v>4165</v>
      </c>
      <c r="O636" s="303" t="s">
        <v>4162</v>
      </c>
      <c r="P636" s="16">
        <v>46071</v>
      </c>
      <c r="Q636" s="301" t="s">
        <v>3365</v>
      </c>
      <c r="R636" s="2">
        <f>VLOOKUP(SALIDAS111518[[#This Row],[CÓDIGO]],PRODUCTOS31316[],2,FALSE)</f>
        <v>0</v>
      </c>
      <c r="S636" s="1" t="str">
        <f>VLOOKUP(SALIDAS111518[[#This Row],[CÓDIGO]],PRODUCTOS31316[],3,FALSE)</f>
        <v>MANGA DE PROTECCIÓN PALPACIÓN MAS CAMPO</v>
      </c>
      <c r="T636" s="2">
        <v>2</v>
      </c>
      <c r="U636" s="2">
        <v>315</v>
      </c>
      <c r="V636" s="2"/>
      <c r="W636" s="2"/>
      <c r="X636" s="2"/>
      <c r="Y636" s="7"/>
      <c r="Z636" s="2"/>
      <c r="AA636" s="1"/>
      <c r="AC636" s="2"/>
      <c r="AE636" s="1"/>
      <c r="AG636" s="2"/>
    </row>
    <row r="637" spans="1:33" ht="49.95" customHeight="1" x14ac:dyDescent="0.3">
      <c r="A637" s="2" t="s">
        <v>1569</v>
      </c>
      <c r="B637" s="1" t="s">
        <v>1570</v>
      </c>
      <c r="C637" s="251" t="s">
        <v>1979</v>
      </c>
      <c r="D637" s="251" t="s">
        <v>1980</v>
      </c>
      <c r="E637" s="1" t="s">
        <v>352</v>
      </c>
      <c r="F637" s="1" t="s">
        <v>30</v>
      </c>
      <c r="G637" s="2">
        <v>0</v>
      </c>
      <c r="H637" s="14">
        <f>SUMIF(ENTRADAS71417[CÓDIGO],PRODUCTOS31316[[#This Row],[CÓDIGO]],ENTRADAS71417[CANTIDAD])</f>
        <v>0</v>
      </c>
      <c r="I637" s="11">
        <f>SUMIF(SALIDAS111518[CÓDIGO],PRODUCTOS31316[[#This Row],[CÓDIGO]],SALIDAS111518[CANTIDAD])</f>
        <v>0</v>
      </c>
      <c r="J637" s="6">
        <f>PRODUCTOS31316[[#This Row],[EXISTENCIAS]]+PRODUCTOS31316[[#This Row],[ENTRADAS]]-PRODUCTOS31316[[#This Row],[SALIDAS]]</f>
        <v>0</v>
      </c>
      <c r="L637" s="297" t="s">
        <v>3521</v>
      </c>
      <c r="M637" s="297" t="s">
        <v>3931</v>
      </c>
      <c r="N637" s="298" t="s">
        <v>4149</v>
      </c>
      <c r="O637" s="297" t="s">
        <v>3388</v>
      </c>
      <c r="P637" s="16">
        <v>46072</v>
      </c>
      <c r="Q637" s="297" t="s">
        <v>2755</v>
      </c>
      <c r="R637" s="2" t="str">
        <f>VLOOKUP(SALIDAS111518[[#This Row],[CÓDIGO]],PRODUCTOS31316[],2,FALSE)</f>
        <v>MSLDO05</v>
      </c>
      <c r="S637" s="1" t="str">
        <f>VLOOKUP(SALIDAS111518[[#This Row],[CÓDIGO]],PRODUCTOS31316[],3,FALSE)</f>
        <v>TERMO DE RECOLECCIÓN DE SEMEN/ USO VETERINARIO</v>
      </c>
      <c r="T637" s="2">
        <v>1</v>
      </c>
      <c r="U637" s="2">
        <v>303</v>
      </c>
      <c r="V637" s="2"/>
      <c r="W637" s="2"/>
      <c r="X637" s="2"/>
      <c r="Y637" s="7"/>
      <c r="Z637" s="2"/>
      <c r="AA637" s="1"/>
      <c r="AC637" s="2"/>
      <c r="AE637" s="1"/>
      <c r="AG637" s="2"/>
    </row>
    <row r="638" spans="1:33" ht="49.95" customHeight="1" x14ac:dyDescent="0.3">
      <c r="A638" s="2" t="s">
        <v>1400</v>
      </c>
      <c r="B638" s="1">
        <v>5563</v>
      </c>
      <c r="C638" s="1" t="s">
        <v>1539</v>
      </c>
      <c r="D638" s="1" t="s">
        <v>156</v>
      </c>
      <c r="E638" s="1" t="s">
        <v>1920</v>
      </c>
      <c r="F638" s="1" t="s">
        <v>74</v>
      </c>
      <c r="G638" s="2">
        <v>0</v>
      </c>
      <c r="H638" s="14">
        <f>SUMIF(ENTRADAS71417[CÓDIGO],PRODUCTOS31316[[#This Row],[CÓDIGO]],ENTRADAS71417[CANTIDAD])</f>
        <v>0</v>
      </c>
      <c r="I638" s="11">
        <f>SUMIF(SALIDAS111518[CÓDIGO],PRODUCTOS31316[[#This Row],[CÓDIGO]],SALIDAS111518[CANTIDAD])</f>
        <v>0</v>
      </c>
      <c r="J638" s="6">
        <f>PRODUCTOS31316[[#This Row],[EXISTENCIAS]]+PRODUCTOS31316[[#This Row],[ENTRADAS]]-PRODUCTOS31316[[#This Row],[SALIDAS]]</f>
        <v>0</v>
      </c>
      <c r="L638" s="2"/>
      <c r="M638" s="2"/>
      <c r="N638" s="276">
        <v>7913</v>
      </c>
      <c r="O638" s="297" t="s">
        <v>3388</v>
      </c>
      <c r="P638" s="16">
        <v>46072</v>
      </c>
      <c r="Q638" s="297" t="s">
        <v>3395</v>
      </c>
      <c r="R638" s="2">
        <f>VLOOKUP(SALIDAS111518[[#This Row],[CÓDIGO]],PRODUCTOS31316[],2,FALSE)</f>
        <v>17062</v>
      </c>
      <c r="S638" s="1" t="str">
        <f>VLOOKUP(SALIDAS111518[[#This Row],[CÓDIGO]],PRODUCTOS31316[],3,FALSE)</f>
        <v>CORTAPAJILLAS MARCA MINITUBE</v>
      </c>
      <c r="T638" s="2">
        <v>1</v>
      </c>
      <c r="U638" s="2"/>
      <c r="V638" s="2"/>
      <c r="W638" s="2"/>
      <c r="X638" s="2"/>
      <c r="Y638" s="7"/>
      <c r="Z638" s="2"/>
      <c r="AA638" s="1"/>
      <c r="AC638" s="2"/>
      <c r="AE638" s="1"/>
      <c r="AG638" s="2"/>
    </row>
    <row r="639" spans="1:33" ht="49.95" customHeight="1" x14ac:dyDescent="0.3">
      <c r="A639" s="2" t="s">
        <v>1404</v>
      </c>
      <c r="B639" s="1">
        <v>7246</v>
      </c>
      <c r="C639" s="1" t="s">
        <v>1981</v>
      </c>
      <c r="D639" s="1" t="s">
        <v>156</v>
      </c>
      <c r="E639" s="1" t="s">
        <v>1920</v>
      </c>
      <c r="F639" s="1" t="s">
        <v>30</v>
      </c>
      <c r="G639" s="2">
        <v>0</v>
      </c>
      <c r="H639" s="14">
        <f>SUMIF(ENTRADAS71417[CÓDIGO],PRODUCTOS31316[[#This Row],[CÓDIGO]],ENTRADAS71417[CANTIDAD])</f>
        <v>0</v>
      </c>
      <c r="I639" s="11">
        <f>SUMIF(SALIDAS111518[CÓDIGO],PRODUCTOS31316[[#This Row],[CÓDIGO]],SALIDAS111518[CANTIDAD])</f>
        <v>0</v>
      </c>
      <c r="J639" s="6">
        <f>PRODUCTOS31316[[#This Row],[EXISTENCIAS]]+PRODUCTOS31316[[#This Row],[ENTRADAS]]-PRODUCTOS31316[[#This Row],[SALIDAS]]</f>
        <v>0</v>
      </c>
      <c r="L639" s="333" t="s">
        <v>3520</v>
      </c>
      <c r="M639" s="333" t="s">
        <v>3931</v>
      </c>
      <c r="N639" s="334" t="s">
        <v>4707</v>
      </c>
      <c r="O639" s="333" t="s">
        <v>2294</v>
      </c>
      <c r="P639" s="16">
        <v>46072</v>
      </c>
      <c r="Q639" s="333" t="s">
        <v>15</v>
      </c>
      <c r="R639" s="2" t="str">
        <f>VLOOKUP(SALIDAS111518[[#This Row],[CÓDIGO]],PRODUCTOS31316[],2,FALSE)</f>
        <v>BTE-025PT/ 504002</v>
      </c>
      <c r="S639" s="1" t="str">
        <f>VLOOKUP(SALIDAS111518[[#This Row],[CÓDIGO]],PRODUCTOS31316[],3,FALSE)</f>
        <v>FUNDAS PARA TRANSFERENCIA DE EMBRIONES</v>
      </c>
      <c r="T639" s="2">
        <v>10</v>
      </c>
      <c r="U639" s="2"/>
      <c r="V639" s="2"/>
      <c r="W639" s="2"/>
      <c r="X639" s="2"/>
      <c r="Y639" s="7"/>
      <c r="Z639" s="2"/>
      <c r="AA639" s="1"/>
      <c r="AC639" s="2"/>
      <c r="AE639" s="1"/>
      <c r="AG639" s="2"/>
    </row>
    <row r="640" spans="1:33" ht="49.95" customHeight="1" x14ac:dyDescent="0.3">
      <c r="A640" s="2" t="s">
        <v>1409</v>
      </c>
      <c r="B640" s="1">
        <v>5417</v>
      </c>
      <c r="C640" s="1" t="s">
        <v>1982</v>
      </c>
      <c r="D640" s="1" t="s">
        <v>156</v>
      </c>
      <c r="E640" s="1" t="s">
        <v>1920</v>
      </c>
      <c r="F640" s="1" t="s">
        <v>30</v>
      </c>
      <c r="G640" s="2">
        <v>0</v>
      </c>
      <c r="H640" s="14">
        <f>SUMIF(ENTRADAS71417[CÓDIGO],PRODUCTOS31316[[#This Row],[CÓDIGO]],ENTRADAS71417[CANTIDAD])</f>
        <v>0</v>
      </c>
      <c r="I640" s="11">
        <f>SUMIF(SALIDAS111518[CÓDIGO],PRODUCTOS31316[[#This Row],[CÓDIGO]],SALIDAS111518[CANTIDAD])</f>
        <v>0</v>
      </c>
      <c r="J640" s="6">
        <f>PRODUCTOS31316[[#This Row],[EXISTENCIAS]]+PRODUCTOS31316[[#This Row],[ENTRADAS]]-PRODUCTOS31316[[#This Row],[SALIDAS]]</f>
        <v>0</v>
      </c>
      <c r="L640" s="282"/>
      <c r="M640" s="282"/>
      <c r="N640" s="276">
        <v>7914</v>
      </c>
      <c r="O640" s="333" t="s">
        <v>2294</v>
      </c>
      <c r="P640" s="16">
        <v>46072</v>
      </c>
      <c r="Q640" s="333" t="s">
        <v>369</v>
      </c>
      <c r="R640" s="2">
        <f>VLOOKUP(SALIDAS111518[[#This Row],[CÓDIGO]],PRODUCTOS31316[],2,FALSE)</f>
        <v>0</v>
      </c>
      <c r="S640" s="1" t="str">
        <f>VLOOKUP(SALIDAS111518[[#This Row],[CÓDIGO]],PRODUCTOS31316[],3,FALSE)</f>
        <v>FUNDA UNIVERSAL PARA I.A. RANURADA</v>
      </c>
      <c r="T640" s="2">
        <v>5</v>
      </c>
      <c r="U640" s="2"/>
      <c r="V640" s="2"/>
      <c r="W640" s="2"/>
      <c r="X640" s="2"/>
      <c r="Y640" s="7"/>
      <c r="Z640" s="2"/>
      <c r="AA640" s="1"/>
      <c r="AC640" s="2"/>
      <c r="AE640" s="1"/>
      <c r="AG640" s="2"/>
    </row>
    <row r="641" spans="1:33" ht="49.95" customHeight="1" x14ac:dyDescent="0.3">
      <c r="A641" s="2" t="s">
        <v>1412</v>
      </c>
      <c r="B641" s="1">
        <v>5204</v>
      </c>
      <c r="C641" s="1" t="s">
        <v>1983</v>
      </c>
      <c r="D641" s="1" t="s">
        <v>156</v>
      </c>
      <c r="E641" s="1" t="s">
        <v>1920</v>
      </c>
      <c r="F641" s="1" t="s">
        <v>30</v>
      </c>
      <c r="G641" s="2">
        <v>0</v>
      </c>
      <c r="H641" s="14">
        <f>SUMIF(ENTRADAS71417[CÓDIGO],PRODUCTOS31316[[#This Row],[CÓDIGO]],ENTRADAS71417[CANTIDAD])</f>
        <v>0</v>
      </c>
      <c r="I641" s="11">
        <f>SUMIF(SALIDAS111518[CÓDIGO],PRODUCTOS31316[[#This Row],[CÓDIGO]],SALIDAS111518[CANTIDAD])</f>
        <v>0</v>
      </c>
      <c r="J641" s="6">
        <f>PRODUCTOS31316[[#This Row],[EXISTENCIAS]]+PRODUCTOS31316[[#This Row],[ENTRADAS]]-PRODUCTOS31316[[#This Row],[SALIDAS]]</f>
        <v>0</v>
      </c>
      <c r="L641" s="282"/>
      <c r="M641" s="282"/>
      <c r="N641" s="276">
        <v>7914</v>
      </c>
      <c r="O641" s="333" t="s">
        <v>2294</v>
      </c>
      <c r="P641" s="16">
        <v>46072</v>
      </c>
      <c r="Q641" s="333" t="s">
        <v>2246</v>
      </c>
      <c r="R641" s="2" t="str">
        <f>VLOOKUP(SALIDAS111518[[#This Row],[CÓDIGO]],PRODUCTOS31316[],2,FALSE)</f>
        <v>00051076-02</v>
      </c>
      <c r="S641" s="1" t="str">
        <f>VLOOKUP(SALIDAS111518[[#This Row],[CÓDIGO]],PRODUCTOS31316[],3,FALSE)</f>
        <v>LIDOCAÍNA  HCL 2 % X 100 ML/ 2025-12-16</v>
      </c>
      <c r="T641" s="2">
        <v>2</v>
      </c>
      <c r="U641" s="2"/>
      <c r="V641" s="2"/>
      <c r="W641" s="2"/>
      <c r="X641" s="2"/>
      <c r="Y641" s="7"/>
      <c r="Z641" s="2"/>
      <c r="AA641" s="1"/>
      <c r="AC641" s="2"/>
      <c r="AE641" s="1"/>
      <c r="AG641" s="2"/>
    </row>
    <row r="642" spans="1:33" ht="49.95" customHeight="1" x14ac:dyDescent="0.3">
      <c r="A642" s="2" t="s">
        <v>1414</v>
      </c>
      <c r="B642" s="1">
        <v>26541</v>
      </c>
      <c r="C642" s="1" t="s">
        <v>1869</v>
      </c>
      <c r="D642" s="1" t="s">
        <v>156</v>
      </c>
      <c r="E642" s="1" t="s">
        <v>1920</v>
      </c>
      <c r="F642" s="1" t="s">
        <v>30</v>
      </c>
      <c r="G642" s="2">
        <v>0</v>
      </c>
      <c r="H642" s="14">
        <f>SUMIF(ENTRADAS71417[CÓDIGO],PRODUCTOS31316[[#This Row],[CÓDIGO]],ENTRADAS71417[CANTIDAD])</f>
        <v>0</v>
      </c>
      <c r="I642" s="11">
        <f>SUMIF(SALIDAS111518[CÓDIGO],PRODUCTOS31316[[#This Row],[CÓDIGO]],SALIDAS111518[CANTIDAD])</f>
        <v>0</v>
      </c>
      <c r="J642" s="6">
        <f>PRODUCTOS31316[[#This Row],[EXISTENCIAS]]+PRODUCTOS31316[[#This Row],[ENTRADAS]]-PRODUCTOS31316[[#This Row],[SALIDAS]]</f>
        <v>0</v>
      </c>
      <c r="L642" s="282"/>
      <c r="M642" s="282"/>
      <c r="N642" s="276">
        <v>7914</v>
      </c>
      <c r="O642" s="333" t="s">
        <v>2294</v>
      </c>
      <c r="P642" s="16">
        <v>46072</v>
      </c>
      <c r="Q642" s="333" t="s">
        <v>33</v>
      </c>
      <c r="R642" s="2" t="str">
        <f>VLOOKUP(SALIDAS111518[[#This Row],[CÓDIGO]],PRODUCTOS31316[],2,FALSE)</f>
        <v>LA-120 /506003</v>
      </c>
      <c r="S642" s="1" t="str">
        <f>VLOOKUP(SALIDAS111518[[#This Row],[CÓDIGO]],PRODUCTOS31316[],3,FALSE)</f>
        <v>LíNEA PARA OPU 1,2 METROS</v>
      </c>
      <c r="T642" s="2">
        <v>3</v>
      </c>
      <c r="U642" s="2"/>
      <c r="V642" s="2"/>
      <c r="W642" s="2"/>
      <c r="X642" s="2"/>
      <c r="Y642" s="7"/>
      <c r="Z642" s="2"/>
      <c r="AA642" s="1"/>
      <c r="AC642" s="2"/>
      <c r="AE642" s="1"/>
      <c r="AG642" s="2"/>
    </row>
    <row r="643" spans="1:33" ht="49.95" customHeight="1" x14ac:dyDescent="0.3">
      <c r="A643" s="2" t="s">
        <v>1429</v>
      </c>
      <c r="B643" s="1" t="s">
        <v>1984</v>
      </c>
      <c r="C643" s="1" t="s">
        <v>1985</v>
      </c>
      <c r="D643" s="1" t="s">
        <v>103</v>
      </c>
      <c r="E643" s="1" t="s">
        <v>352</v>
      </c>
      <c r="F643" s="1" t="s">
        <v>30</v>
      </c>
      <c r="G643" s="2">
        <v>2</v>
      </c>
      <c r="H643" s="14">
        <f>SUMIF(ENTRADAS71417[CÓDIGO],PRODUCTOS31316[[#This Row],[CÓDIGO]],ENTRADAS71417[CANTIDAD])</f>
        <v>0</v>
      </c>
      <c r="I643" s="11">
        <f>SUMIF(SALIDAS111518[CÓDIGO],PRODUCTOS31316[[#This Row],[CÓDIGO]],SALIDAS111518[CANTIDAD])</f>
        <v>0</v>
      </c>
      <c r="J643" s="6">
        <f>PRODUCTOS31316[[#This Row],[EXISTENCIAS]]+PRODUCTOS31316[[#This Row],[ENTRADAS]]-PRODUCTOS31316[[#This Row],[SALIDAS]]</f>
        <v>2</v>
      </c>
      <c r="L643" s="333" t="s">
        <v>3520</v>
      </c>
      <c r="M643" s="333" t="s">
        <v>3931</v>
      </c>
      <c r="N643" s="333" t="s">
        <v>4706</v>
      </c>
      <c r="O643" s="333" t="s">
        <v>2871</v>
      </c>
      <c r="P643" s="16">
        <v>46072</v>
      </c>
      <c r="Q643" s="333" t="s">
        <v>2360</v>
      </c>
      <c r="R643" s="2">
        <f>VLOOKUP(SALIDAS111518[[#This Row],[CÓDIGO]],PRODUCTOS31316[],2,FALSE)</f>
        <v>0</v>
      </c>
      <c r="S643" s="1" t="str">
        <f>VLOOKUP(SALIDAS111518[[#This Row],[CÓDIGO]],PRODUCTOS31316[],3,FALSE)</f>
        <v>ADAPTADOR DE CELULAR PARA MICROSCOPIO</v>
      </c>
      <c r="T643" s="2">
        <v>1</v>
      </c>
      <c r="U643" s="2">
        <v>637</v>
      </c>
      <c r="V643" s="2"/>
      <c r="W643" s="2"/>
      <c r="X643" s="2"/>
      <c r="Y643" s="7"/>
      <c r="Z643" s="2"/>
      <c r="AA643" s="1"/>
      <c r="AC643" s="2"/>
      <c r="AE643" s="1"/>
      <c r="AG643" s="2"/>
    </row>
    <row r="644" spans="1:33" ht="49.95" customHeight="1" x14ac:dyDescent="0.3">
      <c r="A644" s="203" t="s">
        <v>1434</v>
      </c>
      <c r="C644" s="216" t="s">
        <v>1986</v>
      </c>
      <c r="D644" s="1" t="s">
        <v>1987</v>
      </c>
      <c r="E644" s="1" t="s">
        <v>352</v>
      </c>
      <c r="F644" s="1" t="s">
        <v>30</v>
      </c>
      <c r="G644" s="2">
        <v>0</v>
      </c>
      <c r="H644" s="14">
        <f>SUMIF(ENTRADAS71417[CÓDIGO],PRODUCTOS31316[[#This Row],[CÓDIGO]],ENTRADAS71417[CANTIDAD])</f>
        <v>0</v>
      </c>
      <c r="I644" s="11">
        <f>SUMIF(SALIDAS111518[CÓDIGO],PRODUCTOS31316[[#This Row],[CÓDIGO]],SALIDAS111518[CANTIDAD])</f>
        <v>0</v>
      </c>
      <c r="J644" s="6">
        <f>PRODUCTOS31316[[#This Row],[EXISTENCIAS]]+PRODUCTOS31316[[#This Row],[ENTRADAS]]-PRODUCTOS31316[[#This Row],[SALIDAS]]</f>
        <v>0</v>
      </c>
      <c r="L644" s="282"/>
      <c r="M644" s="282"/>
      <c r="N644" s="298" t="s">
        <v>4136</v>
      </c>
      <c r="O644" s="298" t="s">
        <v>4134</v>
      </c>
      <c r="P644" s="16">
        <v>46071</v>
      </c>
      <c r="Q644" s="297" t="s">
        <v>25</v>
      </c>
      <c r="R644" s="2">
        <f>VLOOKUP(SALIDAS111518[[#This Row],[CÓDIGO]],PRODUCTOS31316[],2,FALSE)</f>
        <v>0</v>
      </c>
      <c r="S644" s="1" t="str">
        <f>VLOOKUP(SALIDAS111518[[#This Row],[CÓDIGO]],PRODUCTOS31316[],3,FALSE)</f>
        <v>BOLSA TELA MAS CAMPO</v>
      </c>
      <c r="T644" s="2">
        <v>15</v>
      </c>
      <c r="U644" s="2">
        <v>301</v>
      </c>
      <c r="V644" s="2"/>
      <c r="W644" s="2"/>
      <c r="X644" s="2"/>
      <c r="Y644" s="7"/>
      <c r="Z644" s="2"/>
      <c r="AA644" s="1"/>
      <c r="AC644" s="2"/>
      <c r="AE644" s="1"/>
      <c r="AG644" s="2"/>
    </row>
    <row r="645" spans="1:33" ht="49.95" customHeight="1" x14ac:dyDescent="0.3">
      <c r="A645" s="2" t="s">
        <v>1443</v>
      </c>
      <c r="B645" s="1">
        <v>1094</v>
      </c>
      <c r="C645" s="1" t="s">
        <v>1988</v>
      </c>
      <c r="D645" s="1" t="s">
        <v>103</v>
      </c>
      <c r="E645" s="1" t="s">
        <v>233</v>
      </c>
      <c r="F645" s="78" t="s">
        <v>359</v>
      </c>
      <c r="G645" s="2">
        <v>0</v>
      </c>
      <c r="H645" s="14">
        <f>SUMIF(ENTRADAS71417[CÓDIGO],PRODUCTOS31316[[#This Row],[CÓDIGO]],ENTRADAS71417[CANTIDAD])</f>
        <v>0</v>
      </c>
      <c r="I645" s="11">
        <f>SUMIF(SALIDAS111518[CÓDIGO],PRODUCTOS31316[[#This Row],[CÓDIGO]],SALIDAS111518[CANTIDAD])</f>
        <v>0</v>
      </c>
      <c r="J645" s="6">
        <f>PRODUCTOS31316[[#This Row],[EXISTENCIAS]]+PRODUCTOS31316[[#This Row],[ENTRADAS]]-PRODUCTOS31316[[#This Row],[SALIDAS]]</f>
        <v>0</v>
      </c>
      <c r="L645" s="282"/>
      <c r="M645" s="282"/>
      <c r="N645" s="276" t="s">
        <v>4135</v>
      </c>
      <c r="O645" s="297" t="s">
        <v>4070</v>
      </c>
      <c r="P645" s="16">
        <v>46071</v>
      </c>
      <c r="Q645" s="297" t="s">
        <v>3645</v>
      </c>
      <c r="R645" s="2">
        <f>VLOOKUP(SALIDAS111518[[#This Row],[CÓDIGO]],PRODUCTOS31316[],2,FALSE)</f>
        <v>0</v>
      </c>
      <c r="S645" s="1" t="str">
        <f>VLOOKUP(SALIDAS111518[[#This Row],[CÓDIGO]],PRODUCTOS31316[],3,FALSE)</f>
        <v>AGENDA MAS CAMPO</v>
      </c>
      <c r="T645" s="2">
        <v>15</v>
      </c>
      <c r="U645" s="2"/>
      <c r="V645" s="2"/>
      <c r="W645" s="2"/>
      <c r="X645" s="2"/>
      <c r="Y645" s="7"/>
      <c r="Z645" s="2"/>
      <c r="AA645" s="1"/>
      <c r="AC645" s="2"/>
      <c r="AE645" s="1"/>
      <c r="AG645" s="2"/>
    </row>
    <row r="646" spans="1:33" ht="49.95" customHeight="1" x14ac:dyDescent="0.3">
      <c r="A646" s="2" t="s">
        <v>1447</v>
      </c>
      <c r="B646" s="1" t="s">
        <v>1989</v>
      </c>
      <c r="C646" s="1" t="s">
        <v>1990</v>
      </c>
      <c r="D646" s="1" t="s">
        <v>769</v>
      </c>
      <c r="E646" s="1" t="s">
        <v>183</v>
      </c>
      <c r="F646" s="1" t="s">
        <v>1991</v>
      </c>
      <c r="G646" s="2">
        <v>0</v>
      </c>
      <c r="H646" s="14">
        <f>SUMIF(ENTRADAS71417[CÓDIGO],PRODUCTOS31316[[#This Row],[CÓDIGO]],ENTRADAS71417[CANTIDAD])</f>
        <v>0</v>
      </c>
      <c r="I646" s="11">
        <f>SUMIF(SALIDAS111518[CÓDIGO],PRODUCTOS31316[[#This Row],[CÓDIGO]],SALIDAS111518[CANTIDAD])</f>
        <v>0</v>
      </c>
      <c r="J646" s="6">
        <f>PRODUCTOS31316[[#This Row],[EXISTENCIAS]]+PRODUCTOS31316[[#This Row],[ENTRADAS]]-PRODUCTOS31316[[#This Row],[SALIDAS]]</f>
        <v>0</v>
      </c>
      <c r="L646" s="282"/>
      <c r="M646" s="282"/>
      <c r="N646" s="276" t="s">
        <v>4135</v>
      </c>
      <c r="O646" s="297" t="s">
        <v>4070</v>
      </c>
      <c r="P646" s="16">
        <v>46071</v>
      </c>
      <c r="Q646" s="297" t="s">
        <v>3649</v>
      </c>
      <c r="R646" s="2">
        <f>VLOOKUP(SALIDAS111518[[#This Row],[CÓDIGO]],PRODUCTOS31316[],2,FALSE)</f>
        <v>0</v>
      </c>
      <c r="S646" s="1" t="str">
        <f>VLOOKUP(SALIDAS111518[[#This Row],[CÓDIGO]],PRODUCTOS31316[],3,FALSE)</f>
        <v>ESFEROS MAS CAMPO</v>
      </c>
      <c r="T646" s="2">
        <v>15</v>
      </c>
      <c r="U646" s="2"/>
      <c r="V646" s="2"/>
      <c r="W646" s="2"/>
      <c r="X646" s="2"/>
      <c r="Y646" s="7"/>
      <c r="Z646" s="2"/>
      <c r="AA646" s="1"/>
      <c r="AC646" s="2"/>
      <c r="AE646" s="1"/>
      <c r="AG646" s="2"/>
    </row>
    <row r="647" spans="1:33" ht="49.95" customHeight="1" x14ac:dyDescent="0.3">
      <c r="A647" s="2" t="s">
        <v>1456</v>
      </c>
      <c r="B647" s="1" t="s">
        <v>1992</v>
      </c>
      <c r="C647" s="1" t="s">
        <v>1993</v>
      </c>
      <c r="D647" s="1" t="s">
        <v>1636</v>
      </c>
      <c r="E647" s="1" t="s">
        <v>1115</v>
      </c>
      <c r="F647" s="1" t="s">
        <v>365</v>
      </c>
      <c r="G647" s="2">
        <v>0</v>
      </c>
      <c r="H647" s="14">
        <f>SUMIF(ENTRADAS71417[CÓDIGO],PRODUCTOS31316[[#This Row],[CÓDIGO]],ENTRADAS71417[CANTIDAD])</f>
        <v>0</v>
      </c>
      <c r="I647" s="11">
        <f>SUMIF(SALIDAS111518[CÓDIGO],PRODUCTOS31316[[#This Row],[CÓDIGO]],SALIDAS111518[CANTIDAD])</f>
        <v>0</v>
      </c>
      <c r="J647" s="6">
        <f>PRODUCTOS31316[[#This Row],[EXISTENCIAS]]+PRODUCTOS31316[[#This Row],[ENTRADAS]]-PRODUCTOS31316[[#This Row],[SALIDAS]]</f>
        <v>0</v>
      </c>
      <c r="L647" s="282"/>
      <c r="M647" s="282"/>
      <c r="N647" s="276" t="s">
        <v>4135</v>
      </c>
      <c r="O647" s="297" t="s">
        <v>4070</v>
      </c>
      <c r="P647" s="16">
        <v>46071</v>
      </c>
      <c r="Q647" s="297" t="s">
        <v>3095</v>
      </c>
      <c r="R647" s="2">
        <f>VLOOKUP(SALIDAS111518[[#This Row],[CÓDIGO]],PRODUCTOS31316[],2,FALSE)</f>
        <v>0</v>
      </c>
      <c r="S647" s="1" t="str">
        <f>VLOOKUP(SALIDAS111518[[#This Row],[CÓDIGO]],PRODUCTOS31316[],3,FALSE)</f>
        <v>GORRA MAS CAMPO</v>
      </c>
      <c r="T647" s="2">
        <v>15</v>
      </c>
      <c r="U647" s="2"/>
      <c r="V647" s="2"/>
      <c r="W647" s="2"/>
      <c r="X647" s="2"/>
      <c r="Y647" s="7"/>
      <c r="Z647" s="2"/>
      <c r="AA647" s="1"/>
      <c r="AC647" s="2"/>
      <c r="AE647" s="1"/>
      <c r="AG647" s="2"/>
    </row>
    <row r="648" spans="1:33" ht="49.95" customHeight="1" x14ac:dyDescent="0.3">
      <c r="A648" s="2" t="s">
        <v>1460</v>
      </c>
      <c r="B648" s="1">
        <v>3120000283</v>
      </c>
      <c r="C648" s="1" t="s">
        <v>1994</v>
      </c>
      <c r="D648" s="1" t="s">
        <v>707</v>
      </c>
      <c r="E648" s="1" t="s">
        <v>708</v>
      </c>
      <c r="F648" s="1" t="s">
        <v>30</v>
      </c>
      <c r="G648" s="2">
        <v>0</v>
      </c>
      <c r="H648" s="14">
        <f>SUMIF(ENTRADAS71417[CÓDIGO],PRODUCTOS31316[[#This Row],[CÓDIGO]],ENTRADAS71417[CANTIDAD])</f>
        <v>0</v>
      </c>
      <c r="I648" s="11">
        <f>SUMIF(SALIDAS111518[CÓDIGO],PRODUCTOS31316[[#This Row],[CÓDIGO]],SALIDAS111518[CANTIDAD])</f>
        <v>0</v>
      </c>
      <c r="J648" s="6">
        <f>PRODUCTOS31316[[#This Row],[EXISTENCIAS]]+PRODUCTOS31316[[#This Row],[ENTRADAS]]-PRODUCTOS31316[[#This Row],[SALIDAS]]</f>
        <v>0</v>
      </c>
      <c r="L648" s="297" t="s">
        <v>3521</v>
      </c>
      <c r="M648" s="297" t="s">
        <v>3931</v>
      </c>
      <c r="N648" s="318" t="s">
        <v>4466</v>
      </c>
      <c r="O648" s="297" t="s">
        <v>4137</v>
      </c>
      <c r="P648" s="16">
        <v>46099</v>
      </c>
      <c r="Q648" s="297" t="s">
        <v>3157</v>
      </c>
      <c r="R648" s="2" t="str">
        <f>VLOOKUP(SALIDAS111518[[#This Row],[CÓDIGO]],PRODUCTOS31316[],2,FALSE)</f>
        <v>SLIGHT</v>
      </c>
      <c r="S648" s="1" t="str">
        <f>VLOOKUP(SALIDAS111518[[#This Row],[CÓDIGO]],PRODUCTOS31316[],3,FALSE)</f>
        <v>ECOGRAFO SLITES S 1</v>
      </c>
      <c r="T648" s="2">
        <v>1</v>
      </c>
      <c r="U648" s="317" t="s">
        <v>4458</v>
      </c>
      <c r="V648" s="2"/>
      <c r="W648" s="299" t="s">
        <v>3194</v>
      </c>
      <c r="X648" s="2"/>
      <c r="Y648" s="7"/>
      <c r="Z648" s="2"/>
      <c r="AA648" s="1"/>
      <c r="AC648" s="2"/>
      <c r="AE648" s="1"/>
      <c r="AG648" s="2"/>
    </row>
    <row r="649" spans="1:33" ht="49.95" customHeight="1" x14ac:dyDescent="0.3">
      <c r="A649" s="2" t="s">
        <v>1465</v>
      </c>
      <c r="B649" s="1">
        <v>3120000070</v>
      </c>
      <c r="C649" s="1" t="s">
        <v>1995</v>
      </c>
      <c r="D649" s="1" t="s">
        <v>707</v>
      </c>
      <c r="E649" s="1" t="s">
        <v>708</v>
      </c>
      <c r="F649" s="1" t="s">
        <v>30</v>
      </c>
      <c r="G649" s="2">
        <v>0</v>
      </c>
      <c r="H649" s="14">
        <f>SUMIF(ENTRADAS71417[CÓDIGO],PRODUCTOS31316[[#This Row],[CÓDIGO]],ENTRADAS71417[CANTIDAD])</f>
        <v>0</v>
      </c>
      <c r="I649" s="11">
        <f>SUMIF(SALIDAS111518[CÓDIGO],PRODUCTOS31316[[#This Row],[CÓDIGO]],SALIDAS111518[CANTIDAD])</f>
        <v>0</v>
      </c>
      <c r="J649" s="6">
        <f>PRODUCTOS31316[[#This Row],[EXISTENCIAS]]+PRODUCTOS31316[[#This Row],[ENTRADAS]]-PRODUCTOS31316[[#This Row],[SALIDAS]]</f>
        <v>0</v>
      </c>
      <c r="L649" s="282"/>
      <c r="M649" s="282"/>
      <c r="N649" s="276">
        <v>7911</v>
      </c>
      <c r="O649" s="317" t="s">
        <v>4137</v>
      </c>
      <c r="P649" s="16">
        <v>46099</v>
      </c>
      <c r="Q649" s="297" t="s">
        <v>2382</v>
      </c>
      <c r="R649" s="2">
        <f>VLOOKUP(SALIDAS111518[[#This Row],[CÓDIGO]],PRODUCTOS31316[],2,FALSE)</f>
        <v>1</v>
      </c>
      <c r="S649" s="1" t="str">
        <f>VLOOKUP(SALIDAS111518[[#This Row],[CÓDIGO]],PRODUCTOS31316[],3,FALSE)</f>
        <v>TERMO DE TRANSPORTE 1 LITRO</v>
      </c>
      <c r="T649" s="2">
        <v>1</v>
      </c>
      <c r="U649" s="2"/>
      <c r="V649" s="2"/>
      <c r="W649" s="2"/>
      <c r="X649" s="2"/>
      <c r="Y649" s="7"/>
      <c r="Z649" s="2"/>
      <c r="AA649" s="1"/>
      <c r="AC649" s="2"/>
      <c r="AE649" s="1"/>
      <c r="AG649" s="2"/>
    </row>
    <row r="650" spans="1:33" ht="49.95" customHeight="1" x14ac:dyDescent="0.3">
      <c r="A650" s="2" t="s">
        <v>1467</v>
      </c>
      <c r="B650" s="1">
        <v>3120000054</v>
      </c>
      <c r="C650" s="1" t="s">
        <v>1996</v>
      </c>
      <c r="D650" s="1" t="s">
        <v>707</v>
      </c>
      <c r="E650" s="1" t="s">
        <v>708</v>
      </c>
      <c r="F650" s="1" t="s">
        <v>30</v>
      </c>
      <c r="G650" s="2">
        <v>0</v>
      </c>
      <c r="H650" s="14">
        <f>SUMIF(ENTRADAS71417[CÓDIGO],PRODUCTOS31316[[#This Row],[CÓDIGO]],ENTRADAS71417[CANTIDAD])</f>
        <v>0</v>
      </c>
      <c r="I650" s="11">
        <f>SUMIF(SALIDAS111518[CÓDIGO],PRODUCTOS31316[[#This Row],[CÓDIGO]],SALIDAS111518[CANTIDAD])</f>
        <v>0</v>
      </c>
      <c r="J650" s="6">
        <f>PRODUCTOS31316[[#This Row],[EXISTENCIAS]]+PRODUCTOS31316[[#This Row],[ENTRADAS]]-PRODUCTOS31316[[#This Row],[SALIDAS]]</f>
        <v>0</v>
      </c>
      <c r="L650" s="282"/>
      <c r="M650" s="282"/>
      <c r="N650" s="276">
        <v>7911</v>
      </c>
      <c r="O650" s="297" t="s">
        <v>4137</v>
      </c>
      <c r="P650" s="16">
        <v>46099</v>
      </c>
      <c r="Q650" s="297" t="s">
        <v>153</v>
      </c>
      <c r="R650" s="2">
        <f>VLOOKUP(SALIDAS111518[[#This Row],[CÓDIGO]],PRODUCTOS31316[],2,FALSE)</f>
        <v>1132</v>
      </c>
      <c r="S650" s="1" t="str">
        <f>VLOOKUP(SALIDAS111518[[#This Row],[CÓDIGO]],PRODUCTOS31316[],3,FALSE)</f>
        <v>PISTOLA QUICKLOCK CLASIC</v>
      </c>
      <c r="T650" s="2">
        <v>1</v>
      </c>
      <c r="U650" s="2"/>
      <c r="V650" s="2"/>
      <c r="W650" s="2"/>
      <c r="X650" s="2"/>
      <c r="Y650" s="7"/>
      <c r="Z650" s="2"/>
      <c r="AA650" s="1"/>
      <c r="AC650" s="2"/>
      <c r="AE650" s="1"/>
      <c r="AG650" s="2"/>
    </row>
    <row r="651" spans="1:33" ht="49.95" customHeight="1" x14ac:dyDescent="0.3">
      <c r="A651" s="2" t="s">
        <v>1471</v>
      </c>
      <c r="B651" s="1">
        <v>3123000268</v>
      </c>
      <c r="C651" s="1" t="s">
        <v>1997</v>
      </c>
      <c r="D651" s="1" t="s">
        <v>707</v>
      </c>
      <c r="E651" s="1" t="s">
        <v>708</v>
      </c>
      <c r="F651" s="1" t="s">
        <v>30</v>
      </c>
      <c r="G651" s="2">
        <v>0</v>
      </c>
      <c r="H651" s="14">
        <f>SUMIF(ENTRADAS71417[CÓDIGO],PRODUCTOS31316[[#This Row],[CÓDIGO]],ENTRADAS71417[CANTIDAD])</f>
        <v>0</v>
      </c>
      <c r="I651" s="11">
        <f>SUMIF(SALIDAS111518[CÓDIGO],PRODUCTOS31316[[#This Row],[CÓDIGO]],SALIDAS111518[CANTIDAD])</f>
        <v>0</v>
      </c>
      <c r="J651" s="6">
        <f>PRODUCTOS31316[[#This Row],[EXISTENCIAS]]+PRODUCTOS31316[[#This Row],[ENTRADAS]]-PRODUCTOS31316[[#This Row],[SALIDAS]]</f>
        <v>0</v>
      </c>
      <c r="L651" s="282"/>
      <c r="M651" s="282"/>
      <c r="N651" s="276">
        <v>7911</v>
      </c>
      <c r="O651" s="297" t="s">
        <v>4137</v>
      </c>
      <c r="P651" s="16">
        <v>46099</v>
      </c>
      <c r="Q651" s="317" t="s">
        <v>3095</v>
      </c>
      <c r="R651" s="2">
        <f>VLOOKUP(SALIDAS111518[[#This Row],[CÓDIGO]],PRODUCTOS31316[],2,FALSE)</f>
        <v>0</v>
      </c>
      <c r="S651" s="1" t="str">
        <f>VLOOKUP(SALIDAS111518[[#This Row],[CÓDIGO]],PRODUCTOS31316[],3,FALSE)</f>
        <v>GORRA MAS CAMPO</v>
      </c>
      <c r="T651" s="2">
        <v>1</v>
      </c>
      <c r="U651" s="2"/>
      <c r="V651" s="2"/>
      <c r="W651" s="2"/>
      <c r="X651" s="2"/>
      <c r="Y651" s="7"/>
      <c r="Z651" s="2"/>
      <c r="AA651" s="1"/>
      <c r="AC651" s="2"/>
      <c r="AE651" s="1"/>
      <c r="AG651" s="2"/>
    </row>
    <row r="652" spans="1:33" ht="49.95" customHeight="1" x14ac:dyDescent="0.3">
      <c r="A652" s="2" t="s">
        <v>1480</v>
      </c>
      <c r="B652" s="1">
        <v>7008</v>
      </c>
      <c r="C652" s="1" t="s">
        <v>1998</v>
      </c>
      <c r="D652" s="1" t="s">
        <v>156</v>
      </c>
      <c r="E652" s="1" t="s">
        <v>352</v>
      </c>
      <c r="F652" s="1" t="s">
        <v>30</v>
      </c>
      <c r="G652" s="2">
        <v>0</v>
      </c>
      <c r="H652" s="14">
        <f>SUMIF(ENTRADAS71417[CÓDIGO],PRODUCTOS31316[[#This Row],[CÓDIGO]],ENTRADAS71417[CANTIDAD])</f>
        <v>0</v>
      </c>
      <c r="I652" s="11">
        <f>SUMIF(SALIDAS111518[CÓDIGO],PRODUCTOS31316[[#This Row],[CÓDIGO]],SALIDAS111518[CANTIDAD])</f>
        <v>0</v>
      </c>
      <c r="J652" s="6">
        <f>PRODUCTOS31316[[#This Row],[EXISTENCIAS]]+PRODUCTOS31316[[#This Row],[ENTRADAS]]-PRODUCTOS31316[[#This Row],[SALIDAS]]</f>
        <v>0</v>
      </c>
      <c r="L652" s="299" t="s">
        <v>3520</v>
      </c>
      <c r="M652" s="299" t="s">
        <v>3931</v>
      </c>
      <c r="N652" s="300" t="s">
        <v>4150</v>
      </c>
      <c r="O652" s="299" t="s">
        <v>2215</v>
      </c>
      <c r="P652" s="16">
        <v>46073</v>
      </c>
      <c r="Q652" s="299" t="s">
        <v>75</v>
      </c>
      <c r="R652" s="2" t="str">
        <f>VLOOKUP(SALIDAS111518[[#This Row],[CÓDIGO]],PRODUCTOS31316[],2,FALSE)</f>
        <v>18130E</v>
      </c>
      <c r="S652" s="1" t="str">
        <f>VLOOKUP(SALIDAS111518[[#This Row],[CÓDIGO]],PRODUCTOS31316[],3,FALSE)</f>
        <v>CAJA PETRI DESECHABLE ESTERIL 60X15 MM</v>
      </c>
      <c r="T652" s="2">
        <v>10</v>
      </c>
      <c r="U652" s="2">
        <v>307</v>
      </c>
      <c r="V652" s="2"/>
      <c r="W652" s="2"/>
      <c r="X652" s="2"/>
      <c r="Y652" s="7"/>
      <c r="Z652" s="2"/>
      <c r="AA652" s="1"/>
      <c r="AC652" s="2"/>
      <c r="AE652" s="1"/>
      <c r="AG652" s="2"/>
    </row>
    <row r="653" spans="1:33" ht="49.95" customHeight="1" x14ac:dyDescent="0.3">
      <c r="A653" s="2" t="s">
        <v>1484</v>
      </c>
      <c r="B653" s="1">
        <v>7297</v>
      </c>
      <c r="C653" s="193" t="s">
        <v>1999</v>
      </c>
      <c r="D653" s="1" t="s">
        <v>156</v>
      </c>
      <c r="E653" s="1" t="s">
        <v>352</v>
      </c>
      <c r="F653" s="1" t="s">
        <v>30</v>
      </c>
      <c r="G653" s="2">
        <v>0</v>
      </c>
      <c r="H653" s="14">
        <f>SUMIF(ENTRADAS71417[CÓDIGO],PRODUCTOS31316[[#This Row],[CÓDIGO]],ENTRADAS71417[CANTIDAD])</f>
        <v>0</v>
      </c>
      <c r="I653" s="11">
        <f>SUMIF(SALIDAS111518[CÓDIGO],PRODUCTOS31316[[#This Row],[CÓDIGO]],SALIDAS111518[CANTIDAD])</f>
        <v>0</v>
      </c>
      <c r="J653" s="6">
        <f>PRODUCTOS31316[[#This Row],[EXISTENCIAS]]+PRODUCTOS31316[[#This Row],[ENTRADAS]]-PRODUCTOS31316[[#This Row],[SALIDAS]]</f>
        <v>0</v>
      </c>
      <c r="L653" s="282"/>
      <c r="M653" s="282"/>
      <c r="N653" s="276">
        <v>7916</v>
      </c>
      <c r="O653" s="299" t="s">
        <v>2215</v>
      </c>
      <c r="P653" s="16">
        <v>46073</v>
      </c>
      <c r="Q653" s="299" t="s">
        <v>63</v>
      </c>
      <c r="R653" s="2">
        <f>VLOOKUP(SALIDAS111518[[#This Row],[CÓDIGO]],PRODUCTOS31316[],2,FALSE)</f>
        <v>25458</v>
      </c>
      <c r="S653" s="1" t="str">
        <f>VLOOKUP(SALIDAS111518[[#This Row],[CÓDIGO]],PRODUCTOS31316[],3,FALSE)</f>
        <v>FILTROS PARA OPU 100 UL</v>
      </c>
      <c r="T653" s="2">
        <v>1</v>
      </c>
      <c r="U653" s="2"/>
      <c r="V653" s="2"/>
      <c r="W653" s="2"/>
      <c r="X653" s="2"/>
      <c r="Y653" s="7"/>
      <c r="Z653" s="2"/>
      <c r="AA653" s="1"/>
      <c r="AC653" s="2"/>
      <c r="AE653" s="1"/>
      <c r="AG653" s="2"/>
    </row>
    <row r="654" spans="1:33" ht="49.95" customHeight="1" x14ac:dyDescent="0.3">
      <c r="A654" s="2" t="s">
        <v>1506</v>
      </c>
      <c r="B654" s="1" t="s">
        <v>1507</v>
      </c>
      <c r="C654" s="1" t="s">
        <v>1508</v>
      </c>
      <c r="D654" s="1" t="s">
        <v>2000</v>
      </c>
      <c r="E654" s="1" t="s">
        <v>2000</v>
      </c>
      <c r="F654" s="1" t="s">
        <v>30</v>
      </c>
      <c r="G654" s="2">
        <v>0</v>
      </c>
      <c r="H654" s="14">
        <f>SUMIF(ENTRADAS71417[CÓDIGO],PRODUCTOS31316[[#This Row],[CÓDIGO]],ENTRADAS71417[CANTIDAD])</f>
        <v>0</v>
      </c>
      <c r="I654" s="11">
        <f>SUMIF(SALIDAS111518[CÓDIGO],PRODUCTOS31316[[#This Row],[CÓDIGO]],SALIDAS111518[CANTIDAD])</f>
        <v>0</v>
      </c>
      <c r="J654" s="6">
        <f>PRODUCTOS31316[[#This Row],[EXISTENCIAS]]+PRODUCTOS31316[[#This Row],[ENTRADAS]]-PRODUCTOS31316[[#This Row],[SALIDAS]]</f>
        <v>0</v>
      </c>
      <c r="L654" s="282"/>
      <c r="M654" s="282"/>
      <c r="N654" s="276">
        <v>7916</v>
      </c>
      <c r="O654" s="299" t="s">
        <v>2215</v>
      </c>
      <c r="P654" s="16">
        <v>46073</v>
      </c>
      <c r="Q654" s="299" t="s">
        <v>33</v>
      </c>
      <c r="R654" s="2" t="str">
        <f>VLOOKUP(SALIDAS111518[[#This Row],[CÓDIGO]],PRODUCTOS31316[],2,FALSE)</f>
        <v>LA-120 /506003</v>
      </c>
      <c r="S654" s="1" t="str">
        <f>VLOOKUP(SALIDAS111518[[#This Row],[CÓDIGO]],PRODUCTOS31316[],3,FALSE)</f>
        <v>LíNEA PARA OPU 1,2 METROS</v>
      </c>
      <c r="T654" s="2">
        <v>2</v>
      </c>
      <c r="U654" s="2"/>
      <c r="V654" s="2"/>
      <c r="W654" s="2"/>
      <c r="X654" s="2"/>
      <c r="Y654" s="7"/>
      <c r="Z654" s="2"/>
      <c r="AA654" s="1"/>
      <c r="AC654" s="2"/>
      <c r="AE654" s="1"/>
      <c r="AG654" s="2"/>
    </row>
    <row r="655" spans="1:33" ht="49.95" customHeight="1" x14ac:dyDescent="0.3">
      <c r="A655" s="2" t="s">
        <v>1529</v>
      </c>
      <c r="B655" s="1">
        <v>90008.004000000001</v>
      </c>
      <c r="C655" s="1" t="s">
        <v>2001</v>
      </c>
      <c r="D655" s="1" t="s">
        <v>18</v>
      </c>
      <c r="E655" s="1" t="s">
        <v>18</v>
      </c>
      <c r="F655" s="1" t="s">
        <v>30</v>
      </c>
      <c r="G655" s="2">
        <v>1</v>
      </c>
      <c r="H655" s="14">
        <f>SUMIF(ENTRADAS71417[CÓDIGO],PRODUCTOS31316[[#This Row],[CÓDIGO]],ENTRADAS71417[CANTIDAD])</f>
        <v>0</v>
      </c>
      <c r="I655" s="11">
        <f>SUMIF(SALIDAS111518[CÓDIGO],PRODUCTOS31316[[#This Row],[CÓDIGO]],SALIDAS111518[CANTIDAD])</f>
        <v>0</v>
      </c>
      <c r="J655" s="6">
        <f>PRODUCTOS31316[[#This Row],[EXISTENCIAS]]+PRODUCTOS31316[[#This Row],[ENTRADAS]]-PRODUCTOS31316[[#This Row],[SALIDAS]]</f>
        <v>1</v>
      </c>
      <c r="L655" s="299" t="s">
        <v>3520</v>
      </c>
      <c r="M655" s="299" t="s">
        <v>3931</v>
      </c>
      <c r="N655" s="303" t="s">
        <v>4152</v>
      </c>
      <c r="O655" s="299" t="s">
        <v>1358</v>
      </c>
      <c r="P655" s="16">
        <v>46073</v>
      </c>
      <c r="Q655" s="299" t="s">
        <v>27</v>
      </c>
      <c r="R655" s="2" t="str">
        <f>VLOOKUP(SALIDAS111518[[#This Row],[CÓDIGO]],PRODUCTOS31316[],2,FALSE)</f>
        <v>INO-025/ 508001</v>
      </c>
      <c r="S655" s="1" t="str">
        <f>VLOOKUP(SALIDAS111518[[#This Row],[CÓDIGO]],PRODUCTOS31316[],3,FALSE)</f>
        <v>PISTOLA DE TRANSFERENCIA DE EMBRIONES</v>
      </c>
      <c r="T655" s="2">
        <v>2</v>
      </c>
      <c r="U655" s="2">
        <v>308</v>
      </c>
      <c r="V655" s="2"/>
      <c r="W655" s="2"/>
      <c r="X655" s="2"/>
      <c r="Y655" s="7"/>
      <c r="Z655" s="2"/>
      <c r="AA655" s="1"/>
      <c r="AC655" s="2"/>
      <c r="AE655" s="1"/>
      <c r="AG655" s="2"/>
    </row>
    <row r="656" spans="1:33" ht="49.95" customHeight="1" x14ac:dyDescent="0.3">
      <c r="A656" s="2" t="s">
        <v>1564</v>
      </c>
      <c r="B656" s="1">
        <v>23218</v>
      </c>
      <c r="C656" s="1" t="s">
        <v>1565</v>
      </c>
      <c r="D656" s="1" t="s">
        <v>442</v>
      </c>
      <c r="E656" s="1" t="s">
        <v>442</v>
      </c>
      <c r="F656" s="1" t="s">
        <v>30</v>
      </c>
      <c r="G656" s="2">
        <v>0</v>
      </c>
      <c r="H656" s="14">
        <f>SUMIF(ENTRADAS71417[CÓDIGO],PRODUCTOS31316[[#This Row],[CÓDIGO]],ENTRADAS71417[CANTIDAD])</f>
        <v>0</v>
      </c>
      <c r="I656" s="11">
        <f>SUMIF(SALIDAS111518[CÓDIGO],PRODUCTOS31316[[#This Row],[CÓDIGO]],SALIDAS111518[CANTIDAD])</f>
        <v>0</v>
      </c>
      <c r="J656" s="6">
        <f>PRODUCTOS31316[[#This Row],[EXISTENCIAS]]+PRODUCTOS31316[[#This Row],[ENTRADAS]]-PRODUCTOS31316[[#This Row],[SALIDAS]]</f>
        <v>0</v>
      </c>
      <c r="L656" s="282"/>
      <c r="M656" s="282"/>
      <c r="N656" s="276">
        <v>7917</v>
      </c>
      <c r="O656" s="299" t="s">
        <v>1358</v>
      </c>
      <c r="P656" s="16">
        <v>46073</v>
      </c>
      <c r="Q656" s="299" t="s">
        <v>438</v>
      </c>
      <c r="R656" s="2">
        <f>VLOOKUP(SALIDAS111518[[#This Row],[CÓDIGO]],PRODUCTOS31316[],2,FALSE)</f>
        <v>18421</v>
      </c>
      <c r="S656" s="1" t="str">
        <f>VLOOKUP(SALIDAS111518[[#This Row],[CÓDIGO]],PRODUCTOS31316[],3,FALSE)</f>
        <v xml:space="preserve">PISTOLA DE TRANSFERENCIA DE EMBRIONES 0,25 / BLOQUEO AUTOMÁTICO </v>
      </c>
      <c r="T656" s="2">
        <v>1</v>
      </c>
      <c r="U656" s="2"/>
      <c r="V656" s="2"/>
      <c r="W656" s="2"/>
      <c r="X656" s="2"/>
      <c r="Y656" s="7"/>
      <c r="Z656" s="2"/>
      <c r="AA656" s="1"/>
      <c r="AC656" s="2"/>
      <c r="AE656" s="1"/>
      <c r="AG656" s="2"/>
    </row>
    <row r="657" spans="1:33" ht="49.95" customHeight="1" x14ac:dyDescent="0.3">
      <c r="A657" s="2" t="s">
        <v>1545</v>
      </c>
      <c r="B657" s="1">
        <v>6459</v>
      </c>
      <c r="C657" s="1" t="s">
        <v>1822</v>
      </c>
      <c r="D657" s="1" t="s">
        <v>156</v>
      </c>
      <c r="E657" s="1" t="s">
        <v>1920</v>
      </c>
      <c r="F657" s="1" t="s">
        <v>124</v>
      </c>
      <c r="G657" s="2">
        <v>0</v>
      </c>
      <c r="H657" s="14">
        <f>SUMIF(ENTRADAS71417[CÓDIGO],PRODUCTOS31316[[#This Row],[CÓDIGO]],ENTRADAS71417[CANTIDAD])</f>
        <v>0</v>
      </c>
      <c r="I657" s="11">
        <f>SUMIF(SALIDAS111518[CÓDIGO],PRODUCTOS31316[[#This Row],[CÓDIGO]],SALIDAS111518[CANTIDAD])</f>
        <v>0</v>
      </c>
      <c r="J657" s="6">
        <f>PRODUCTOS31316[[#This Row],[EXISTENCIAS]]+PRODUCTOS31316[[#This Row],[ENTRADAS]]-PRODUCTOS31316[[#This Row],[SALIDAS]]</f>
        <v>0</v>
      </c>
      <c r="L657" s="301" t="s">
        <v>3520</v>
      </c>
      <c r="M657" s="301" t="s">
        <v>3931</v>
      </c>
      <c r="N657" s="303" t="s">
        <v>4153</v>
      </c>
      <c r="O657" s="301" t="s">
        <v>3068</v>
      </c>
      <c r="P657" s="16">
        <v>46073</v>
      </c>
      <c r="Q657" s="301" t="s">
        <v>104</v>
      </c>
      <c r="R657" s="2">
        <f>VLOOKUP(SALIDAS111518[[#This Row],[CÓDIGO]],PRODUCTOS31316[],2,FALSE)</f>
        <v>0</v>
      </c>
      <c r="S657" s="1" t="str">
        <f>VLOOKUP(SALIDAS111518[[#This Row],[CÓDIGO]],PRODUCTOS31316[],3,FALSE)</f>
        <v>ISPERM CHIPS (500 TESTS PER BOX) PAQ. X 50 UND</v>
      </c>
      <c r="T657" s="2">
        <v>1</v>
      </c>
      <c r="U657" s="2">
        <v>309</v>
      </c>
      <c r="V657" s="2"/>
      <c r="W657" s="2" t="s">
        <v>2228</v>
      </c>
      <c r="X657" s="2"/>
      <c r="Y657" s="7"/>
      <c r="Z657" s="2"/>
      <c r="AA657" s="1"/>
      <c r="AC657" s="2"/>
      <c r="AE657" s="1"/>
      <c r="AG657" s="2"/>
    </row>
    <row r="658" spans="1:33" ht="49.95" customHeight="1" x14ac:dyDescent="0.3">
      <c r="A658" s="2" t="s">
        <v>1554</v>
      </c>
      <c r="B658" s="1">
        <v>20996</v>
      </c>
      <c r="C658" s="1" t="s">
        <v>2002</v>
      </c>
      <c r="D658" s="1" t="s">
        <v>156</v>
      </c>
      <c r="E658" s="1" t="s">
        <v>1920</v>
      </c>
      <c r="F658" s="1" t="s">
        <v>30</v>
      </c>
      <c r="G658" s="2">
        <v>0</v>
      </c>
      <c r="H658" s="14">
        <f>SUMIF(ENTRADAS71417[CÓDIGO],PRODUCTOS31316[[#This Row],[CÓDIGO]],ENTRADAS71417[CANTIDAD])</f>
        <v>0</v>
      </c>
      <c r="I658" s="11">
        <f>SUMIF(SALIDAS111518[CÓDIGO],PRODUCTOS31316[[#This Row],[CÓDIGO]],SALIDAS111518[CANTIDAD])</f>
        <v>0</v>
      </c>
      <c r="J658" s="6">
        <f>PRODUCTOS31316[[#This Row],[EXISTENCIAS]]+PRODUCTOS31316[[#This Row],[ENTRADAS]]-PRODUCTOS31316[[#This Row],[SALIDAS]]</f>
        <v>0</v>
      </c>
      <c r="L658" s="282"/>
      <c r="M658" s="282"/>
      <c r="N658" s="276">
        <v>7918</v>
      </c>
      <c r="O658" s="301" t="s">
        <v>3068</v>
      </c>
      <c r="P658" s="16">
        <v>46073</v>
      </c>
      <c r="Q658" s="301" t="s">
        <v>3701</v>
      </c>
      <c r="R658" s="2">
        <f>VLOOKUP(SALIDAS111518[[#This Row],[CÓDIGO]],PRODUCTOS31316[],2,FALSE)</f>
        <v>5685</v>
      </c>
      <c r="S658" s="1" t="str">
        <f>VLOOKUP(SALIDAS111518[[#This Row],[CÓDIGO]],PRODUCTOS31316[],3,FALSE)</f>
        <v>PAJUELA ANARANJADO 0.50/ PAQ. X 2000 MARCA IMV</v>
      </c>
      <c r="T658" s="2">
        <v>1</v>
      </c>
      <c r="U658" s="2"/>
      <c r="V658" s="2"/>
      <c r="W658" s="2"/>
      <c r="X658" s="2"/>
      <c r="Y658" s="7"/>
      <c r="Z658" s="2"/>
      <c r="AA658" s="1"/>
      <c r="AC658" s="2"/>
      <c r="AE658" s="1"/>
      <c r="AG658" s="2"/>
    </row>
    <row r="659" spans="1:33" ht="49.95" customHeight="1" x14ac:dyDescent="0.3">
      <c r="A659" s="2" t="s">
        <v>2003</v>
      </c>
      <c r="B659" s="1" t="s">
        <v>2004</v>
      </c>
      <c r="C659" s="1" t="s">
        <v>2005</v>
      </c>
      <c r="D659" s="1" t="s">
        <v>639</v>
      </c>
      <c r="E659" s="1" t="s">
        <v>639</v>
      </c>
      <c r="F659" s="1" t="s">
        <v>2006</v>
      </c>
      <c r="G659" s="2">
        <v>0</v>
      </c>
      <c r="H659" s="14">
        <f>SUMIF(ENTRADAS71417[CÓDIGO],PRODUCTOS31316[[#This Row],[CÓDIGO]],ENTRADAS71417[CANTIDAD])</f>
        <v>0</v>
      </c>
      <c r="I659" s="11">
        <f>SUMIF(SALIDAS111518[CÓDIGO],PRODUCTOS31316[[#This Row],[CÓDIGO]],SALIDAS111518[CANTIDAD])</f>
        <v>0</v>
      </c>
      <c r="J659" s="6">
        <f>PRODUCTOS31316[[#This Row],[EXISTENCIAS]]+PRODUCTOS31316[[#This Row],[ENTRADAS]]-PRODUCTOS31316[[#This Row],[SALIDAS]]</f>
        <v>0</v>
      </c>
      <c r="L659" s="282"/>
      <c r="M659" s="282"/>
      <c r="N659" s="276">
        <v>7819</v>
      </c>
      <c r="O659" s="301" t="s">
        <v>3068</v>
      </c>
      <c r="P659" s="16">
        <v>46073</v>
      </c>
      <c r="Q659" s="301" t="s">
        <v>3702</v>
      </c>
      <c r="R659" s="2">
        <f>VLOOKUP(SALIDAS111518[[#This Row],[CÓDIGO]],PRODUCTOS31316[],2,FALSE)</f>
        <v>5710</v>
      </c>
      <c r="S659" s="1" t="str">
        <f>VLOOKUP(SALIDAS111518[[#This Row],[CÓDIGO]],PRODUCTOS31316[],3,FALSE)</f>
        <v>PAJUELA VERDE 0.50/ PAQ. X 2000 MARCA IMV</v>
      </c>
      <c r="T659" s="2">
        <v>1</v>
      </c>
      <c r="U659" s="2"/>
      <c r="V659" s="2"/>
      <c r="W659" s="2"/>
      <c r="X659" s="2"/>
      <c r="Y659" s="7"/>
      <c r="Z659" s="2"/>
      <c r="AA659" s="1"/>
      <c r="AC659" s="2"/>
      <c r="AE659" s="1"/>
      <c r="AG659" s="2"/>
    </row>
    <row r="660" spans="1:33" ht="49.95" customHeight="1" x14ac:dyDescent="0.3">
      <c r="A660" s="2" t="s">
        <v>1610</v>
      </c>
      <c r="B660" s="1" t="s">
        <v>2007</v>
      </c>
      <c r="C660" s="1" t="s">
        <v>2008</v>
      </c>
      <c r="D660" s="1" t="s">
        <v>2009</v>
      </c>
      <c r="E660" s="1" t="s">
        <v>2010</v>
      </c>
      <c r="F660" s="1" t="s">
        <v>30</v>
      </c>
      <c r="G660" s="2">
        <v>0</v>
      </c>
      <c r="H660" s="14">
        <f>SUMIF(ENTRADAS71417[CÓDIGO],PRODUCTOS31316[[#This Row],[CÓDIGO]],ENTRADAS71417[CANTIDAD])</f>
        <v>0</v>
      </c>
      <c r="I660" s="11">
        <f>SUMIF(SALIDAS111518[CÓDIGO],PRODUCTOS31316[[#This Row],[CÓDIGO]],SALIDAS111518[CANTIDAD])</f>
        <v>0</v>
      </c>
      <c r="J660" s="6">
        <f>PRODUCTOS31316[[#This Row],[EXISTENCIAS]]+PRODUCTOS31316[[#This Row],[ENTRADAS]]-PRODUCTOS31316[[#This Row],[SALIDAS]]</f>
        <v>0</v>
      </c>
      <c r="L660" s="288" t="s">
        <v>3520</v>
      </c>
      <c r="M660" s="288" t="s">
        <v>4023</v>
      </c>
      <c r="N660" s="290" t="s">
        <v>4024</v>
      </c>
      <c r="O660" s="257" t="s">
        <v>3516</v>
      </c>
      <c r="P660" s="16">
        <v>45948</v>
      </c>
      <c r="Q660" s="256" t="s">
        <v>3365</v>
      </c>
      <c r="R660" s="2">
        <f>VLOOKUP(SALIDAS111518[[#This Row],[CÓDIGO]],PRODUCTOS31316[],2,FALSE)</f>
        <v>0</v>
      </c>
      <c r="S660" s="1" t="str">
        <f>VLOOKUP(SALIDAS111518[[#This Row],[CÓDIGO]],PRODUCTOS31316[],3,FALSE)</f>
        <v>MANGA DE PROTECCIÓN PALPACIÓN MAS CAMPO</v>
      </c>
      <c r="T660" s="2">
        <v>1</v>
      </c>
      <c r="U660" s="2">
        <v>227</v>
      </c>
      <c r="V660" s="2"/>
      <c r="W660" s="2"/>
      <c r="X660" s="2"/>
      <c r="Y660" s="7"/>
      <c r="Z660" s="2"/>
      <c r="AA660" s="1"/>
      <c r="AC660" s="2"/>
      <c r="AE660" s="1"/>
      <c r="AG660" s="2"/>
    </row>
    <row r="661" spans="1:33" ht="49.95" customHeight="1" x14ac:dyDescent="0.3">
      <c r="A661" s="2" t="s">
        <v>1621</v>
      </c>
      <c r="B661" s="1">
        <v>5452000816</v>
      </c>
      <c r="C661" s="1" t="s">
        <v>2011</v>
      </c>
      <c r="D661" s="1" t="s">
        <v>707</v>
      </c>
      <c r="E661" s="1" t="s">
        <v>2012</v>
      </c>
      <c r="F661" s="1" t="s">
        <v>30</v>
      </c>
      <c r="G661" s="2">
        <v>0</v>
      </c>
      <c r="H661" s="14">
        <f>SUMIF(ENTRADAS71417[CÓDIGO],PRODUCTOS31316[[#This Row],[CÓDIGO]],ENTRADAS71417[CANTIDAD])</f>
        <v>0</v>
      </c>
      <c r="I661" s="11">
        <f>SUMIF(SALIDAS111518[CÓDIGO],PRODUCTOS31316[[#This Row],[CÓDIGO]],SALIDAS111518[CANTIDAD])</f>
        <v>0</v>
      </c>
      <c r="J661" s="6">
        <f>PRODUCTOS31316[[#This Row],[EXISTENCIAS]]+PRODUCTOS31316[[#This Row],[ENTRADAS]]-PRODUCTOS31316[[#This Row],[SALIDAS]]</f>
        <v>0</v>
      </c>
      <c r="L661" s="276" t="s">
        <v>3521</v>
      </c>
      <c r="M661" s="276" t="s">
        <v>3653</v>
      </c>
      <c r="N661" s="303" t="s">
        <v>4161</v>
      </c>
      <c r="O661" s="300" t="s">
        <v>4151</v>
      </c>
      <c r="P661" s="16">
        <v>46074</v>
      </c>
      <c r="Q661" s="2" t="s">
        <v>2252</v>
      </c>
      <c r="R661" s="2">
        <f>VLOOKUP(SALIDAS111518[[#This Row],[CÓDIGO]],PRODUCTOS31316[],2,FALSE)</f>
        <v>24857</v>
      </c>
      <c r="S661" s="1" t="str">
        <f>VLOOKUP(SALIDAS111518[[#This Row],[CÓDIGO]],PRODUCTOS31316[],3,FALSE)</f>
        <v>PISTOLA DE TE 0,5 / MARCA IMV</v>
      </c>
      <c r="T661" s="2">
        <v>1</v>
      </c>
      <c r="U661" s="2">
        <v>312</v>
      </c>
      <c r="V661" s="2"/>
      <c r="W661" s="2"/>
      <c r="X661" s="2"/>
      <c r="Y661" s="7"/>
      <c r="Z661" s="2"/>
      <c r="AA661" s="1"/>
      <c r="AC661" s="2"/>
      <c r="AE661" s="1"/>
      <c r="AG661" s="2"/>
    </row>
    <row r="662" spans="1:33" ht="49.95" customHeight="1" x14ac:dyDescent="0.3">
      <c r="A662" s="2" t="s">
        <v>1631</v>
      </c>
      <c r="B662" s="1" t="s">
        <v>1632</v>
      </c>
      <c r="C662" s="216" t="s">
        <v>1633</v>
      </c>
      <c r="D662" s="1" t="s">
        <v>2013</v>
      </c>
      <c r="E662" s="1" t="s">
        <v>957</v>
      </c>
      <c r="F662" s="1" t="s">
        <v>537</v>
      </c>
      <c r="G662" s="2">
        <v>23</v>
      </c>
      <c r="H662" s="14">
        <f>SUMIF(ENTRADAS71417[CÓDIGO],PRODUCTOS31316[[#This Row],[CÓDIGO]],ENTRADAS71417[CANTIDAD])</f>
        <v>30</v>
      </c>
      <c r="I662" s="11">
        <f>SUMIF(SALIDAS111518[CÓDIGO],PRODUCTOS31316[[#This Row],[CÓDIGO]],SALIDAS111518[CANTIDAD])</f>
        <v>40</v>
      </c>
      <c r="J662" s="6">
        <f>PRODUCTOS31316[[#This Row],[EXISTENCIAS]]+PRODUCTOS31316[[#This Row],[ENTRADAS]]-PRODUCTOS31316[[#This Row],[SALIDAS]]</f>
        <v>13</v>
      </c>
      <c r="L662" s="2"/>
      <c r="M662" s="2"/>
      <c r="N662" s="2">
        <v>7919</v>
      </c>
      <c r="O662" s="300" t="s">
        <v>4151</v>
      </c>
      <c r="P662" s="16">
        <v>46074</v>
      </c>
      <c r="Q662" s="2" t="s">
        <v>2402</v>
      </c>
      <c r="R662" s="2">
        <f>VLOOKUP(SALIDAS111518[[#This Row],[CÓDIGO]],PRODUCTOS31316[],2,FALSE)</f>
        <v>17532</v>
      </c>
      <c r="S662" s="1" t="str">
        <f>VLOOKUP(SALIDAS111518[[#This Row],[CÓDIGO]],PRODUCTOS31316[],3,FALSE)</f>
        <v xml:space="preserve"> FUNDAS DE TRANSFERENCAI DE 0,5 PARA EQUINOS        IMV
</v>
      </c>
      <c r="T662" s="2">
        <v>10</v>
      </c>
      <c r="U662" s="2"/>
      <c r="V662" s="2"/>
      <c r="W662" s="2"/>
      <c r="X662" s="2"/>
      <c r="Y662" s="7"/>
      <c r="Z662" s="2"/>
      <c r="AA662" s="1"/>
      <c r="AC662" s="2"/>
      <c r="AE662" s="1"/>
      <c r="AG662" s="2"/>
    </row>
    <row r="663" spans="1:33" ht="49.95" customHeight="1" x14ac:dyDescent="0.3">
      <c r="A663" s="203" t="s">
        <v>1637</v>
      </c>
      <c r="B663" s="1" t="s">
        <v>1638</v>
      </c>
      <c r="C663" s="216" t="s">
        <v>1639</v>
      </c>
      <c r="D663" s="1" t="s">
        <v>2013</v>
      </c>
      <c r="E663" s="1" t="s">
        <v>957</v>
      </c>
      <c r="F663" s="1" t="s">
        <v>124</v>
      </c>
      <c r="G663" s="2">
        <v>52</v>
      </c>
      <c r="H663" s="14">
        <f>SUMIF(ENTRADAS71417[CÓDIGO],PRODUCTOS31316[[#This Row],[CÓDIGO]],ENTRADAS71417[CANTIDAD])</f>
        <v>8</v>
      </c>
      <c r="I663" s="11">
        <f>SUMIF(SALIDAS111518[CÓDIGO],PRODUCTOS31316[[#This Row],[CÓDIGO]],SALIDAS111518[CANTIDAD])</f>
        <v>34</v>
      </c>
      <c r="J663" s="6">
        <f>PRODUCTOS31316[[#This Row],[EXISTENCIAS]]+PRODUCTOS31316[[#This Row],[ENTRADAS]]-PRODUCTOS31316[[#This Row],[SALIDAS]]</f>
        <v>26</v>
      </c>
      <c r="L663" s="2"/>
      <c r="M663" s="2"/>
      <c r="N663" s="2">
        <v>7919</v>
      </c>
      <c r="O663" s="300" t="s">
        <v>4151</v>
      </c>
      <c r="P663" s="16">
        <v>46074</v>
      </c>
      <c r="Q663" s="2" t="s">
        <v>2251</v>
      </c>
      <c r="R663" s="2">
        <f>VLOOKUP(SALIDAS111518[[#This Row],[CÓDIGO]],PRODUCTOS31316[],2,FALSE)</f>
        <v>7240</v>
      </c>
      <c r="S663" s="1" t="str">
        <f>VLOOKUP(SALIDAS111518[[#This Row],[CÓDIGO]],PRODUCTOS31316[],3,FALSE)</f>
        <v>PISTOLA DE TE 0,25 MARCA IMV</v>
      </c>
      <c r="T663" s="2">
        <v>1</v>
      </c>
      <c r="U663" s="2"/>
      <c r="V663" s="2"/>
      <c r="W663" s="2"/>
      <c r="X663" s="2"/>
      <c r="Y663" s="7"/>
      <c r="Z663" s="2"/>
      <c r="AA663" s="1"/>
      <c r="AC663" s="2"/>
      <c r="AE663" s="1"/>
      <c r="AG663" s="2"/>
    </row>
    <row r="664" spans="1:33" ht="49.95" customHeight="1" x14ac:dyDescent="0.3">
      <c r="A664" s="2" t="s">
        <v>1643</v>
      </c>
      <c r="B664" s="1" t="s">
        <v>1644</v>
      </c>
      <c r="C664" s="1" t="s">
        <v>1645</v>
      </c>
      <c r="D664" s="1" t="s">
        <v>1125</v>
      </c>
      <c r="E664" s="1" t="s">
        <v>957</v>
      </c>
      <c r="F664" s="1" t="s">
        <v>365</v>
      </c>
      <c r="G664" s="2">
        <v>0</v>
      </c>
      <c r="H664" s="14">
        <f>SUMIF(ENTRADAS71417[CÓDIGO],PRODUCTOS31316[[#This Row],[CÓDIGO]],ENTRADAS71417[CANTIDAD])</f>
        <v>0</v>
      </c>
      <c r="I664" s="11">
        <f>SUMIF(SALIDAS111518[CÓDIGO],PRODUCTOS31316[[#This Row],[CÓDIGO]],SALIDAS111518[CANTIDAD])</f>
        <v>0</v>
      </c>
      <c r="J664" s="6">
        <f>PRODUCTOS31316[[#This Row],[EXISTENCIAS]]+PRODUCTOS31316[[#This Row],[ENTRADAS]]-PRODUCTOS31316[[#This Row],[SALIDAS]]</f>
        <v>0</v>
      </c>
      <c r="L664" s="2"/>
      <c r="M664" s="2"/>
      <c r="N664" s="2">
        <v>7919</v>
      </c>
      <c r="O664" s="300" t="s">
        <v>4151</v>
      </c>
      <c r="P664" s="16">
        <v>46074</v>
      </c>
      <c r="Q664" s="2" t="s">
        <v>2401</v>
      </c>
      <c r="R664" s="2">
        <f>VLOOKUP(SALIDAS111518[[#This Row],[CÓDIGO]],PRODUCTOS31316[],2,FALSE)</f>
        <v>5540</v>
      </c>
      <c r="S664" s="1" t="str">
        <f>VLOOKUP(SALIDAS111518[[#This Row],[CÓDIGO]],PRODUCTOS31316[],3,FALSE)</f>
        <v xml:space="preserve">FUNDAS DE TRANSFERENCIA AZUL PUNTA METÁLICA 21"                 </v>
      </c>
      <c r="T664" s="2">
        <v>10</v>
      </c>
      <c r="U664" s="2"/>
      <c r="V664" s="2"/>
      <c r="W664" s="2"/>
      <c r="X664" s="2"/>
      <c r="Y664" s="7"/>
      <c r="Z664" s="2"/>
      <c r="AA664" s="1"/>
      <c r="AC664" s="2"/>
      <c r="AE664" s="1"/>
      <c r="AG664" s="2"/>
    </row>
    <row r="665" spans="1:33" ht="49.95" customHeight="1" x14ac:dyDescent="0.3">
      <c r="A665" s="2" t="s">
        <v>1670</v>
      </c>
      <c r="B665" s="1" t="s">
        <v>2014</v>
      </c>
      <c r="C665" s="1" t="s">
        <v>2015</v>
      </c>
      <c r="D665" s="1" t="s">
        <v>2016</v>
      </c>
      <c r="E665" s="1" t="s">
        <v>957</v>
      </c>
      <c r="F665" s="1" t="s">
        <v>30</v>
      </c>
      <c r="G665" s="2">
        <v>0</v>
      </c>
      <c r="H665" s="14">
        <f>SUMIF(ENTRADAS71417[CÓDIGO],PRODUCTOS31316[[#This Row],[CÓDIGO]],ENTRADAS71417[CANTIDAD])</f>
        <v>0</v>
      </c>
      <c r="I665" s="11">
        <f>SUMIF(SALIDAS111518[CÓDIGO],PRODUCTOS31316[[#This Row],[CÓDIGO]],SALIDAS111518[CANTIDAD])</f>
        <v>0</v>
      </c>
      <c r="J665" s="6">
        <f>PRODUCTOS31316[[#This Row],[EXISTENCIAS]]+PRODUCTOS31316[[#This Row],[ENTRADAS]]-PRODUCTOS31316[[#This Row],[SALIDAS]]</f>
        <v>0</v>
      </c>
      <c r="L665" s="2"/>
      <c r="M665" s="2"/>
      <c r="N665" s="2">
        <v>7919</v>
      </c>
      <c r="O665" s="300" t="s">
        <v>4151</v>
      </c>
      <c r="P665" s="16">
        <v>46074</v>
      </c>
      <c r="Q665" s="2" t="s">
        <v>3308</v>
      </c>
      <c r="R665" s="2">
        <f>VLOOKUP(SALIDAS111518[[#This Row],[CÓDIGO]],PRODUCTOS31316[],2,FALSE)</f>
        <v>50</v>
      </c>
      <c r="S665" s="1" t="str">
        <f>VLOOKUP(SALIDAS111518[[#This Row],[CÓDIGO]],PRODUCTOS31316[],3,FALSE)</f>
        <v>MAXI FILTRO</v>
      </c>
      <c r="T665" s="2">
        <v>5</v>
      </c>
      <c r="U665" s="2"/>
      <c r="V665" s="2"/>
      <c r="W665" s="2"/>
      <c r="X665" s="2"/>
      <c r="Y665" s="7"/>
      <c r="Z665" s="2"/>
      <c r="AA665" s="1"/>
      <c r="AC665" s="2"/>
      <c r="AE665" s="1"/>
      <c r="AG665" s="2"/>
    </row>
    <row r="666" spans="1:33" ht="49.95" customHeight="1" x14ac:dyDescent="0.3">
      <c r="A666" s="2" t="s">
        <v>1672</v>
      </c>
      <c r="B666" s="1">
        <v>44612</v>
      </c>
      <c r="C666" s="1" t="s">
        <v>1673</v>
      </c>
      <c r="E666" s="1" t="s">
        <v>1904</v>
      </c>
      <c r="F666" s="1" t="s">
        <v>30</v>
      </c>
      <c r="G666" s="2">
        <v>0</v>
      </c>
      <c r="H666" s="14">
        <f>SUMIF(ENTRADAS71417[CÓDIGO],PRODUCTOS31316[[#This Row],[CÓDIGO]],ENTRADAS71417[CANTIDAD])</f>
        <v>0</v>
      </c>
      <c r="I666" s="11">
        <f>SUMIF(SALIDAS111518[CÓDIGO],PRODUCTOS31316[[#This Row],[CÓDIGO]],SALIDAS111518[CANTIDAD])</f>
        <v>0</v>
      </c>
      <c r="J666" s="6">
        <f>PRODUCTOS31316[[#This Row],[EXISTENCIAS]]+PRODUCTOS31316[[#This Row],[ENTRADAS]]-PRODUCTOS31316[[#This Row],[SALIDAS]]</f>
        <v>0</v>
      </c>
      <c r="L666" s="2"/>
      <c r="M666" s="2"/>
      <c r="N666" s="2">
        <v>7919</v>
      </c>
      <c r="O666" s="300" t="s">
        <v>4151</v>
      </c>
      <c r="P666" s="16">
        <v>46074</v>
      </c>
      <c r="Q666" s="2" t="s">
        <v>382</v>
      </c>
      <c r="R666" s="2">
        <f>VLOOKUP(SALIDAS111518[[#This Row],[CÓDIGO]],PRODUCTOS31316[],2,FALSE)</f>
        <v>605032</v>
      </c>
      <c r="S666" s="1" t="str">
        <f>VLOOKUP(SALIDAS111518[[#This Row],[CÓDIGO]],PRODUCTOS31316[],3,FALSE)</f>
        <v>LUBRICANTE OB, NO ESPERMICIDA</v>
      </c>
      <c r="T666" s="2">
        <v>1</v>
      </c>
      <c r="U666" s="2"/>
      <c r="V666" s="2"/>
      <c r="W666" s="2"/>
      <c r="X666" s="2"/>
      <c r="Y666" s="7"/>
      <c r="Z666" s="2"/>
      <c r="AA666" s="1"/>
      <c r="AC666" s="2"/>
      <c r="AE666" s="1"/>
      <c r="AG666" s="2"/>
    </row>
    <row r="667" spans="1:33" ht="49.95" customHeight="1" x14ac:dyDescent="0.3">
      <c r="A667" s="2" t="s">
        <v>1681</v>
      </c>
      <c r="B667" s="1">
        <v>347430</v>
      </c>
      <c r="C667" s="174" t="s">
        <v>3186</v>
      </c>
      <c r="E667" s="1" t="s">
        <v>352</v>
      </c>
      <c r="F667" s="1" t="s">
        <v>41</v>
      </c>
      <c r="G667" s="2">
        <v>0</v>
      </c>
      <c r="H667" s="14">
        <f>SUMIF(ENTRADAS71417[CÓDIGO],PRODUCTOS31316[[#This Row],[CÓDIGO]],ENTRADAS71417[CANTIDAD])</f>
        <v>35</v>
      </c>
      <c r="I667" s="11">
        <f>SUMIF(SALIDAS111518[CÓDIGO],PRODUCTOS31316[[#This Row],[CÓDIGO]],SALIDAS111518[CANTIDAD])</f>
        <v>29</v>
      </c>
      <c r="J667" s="6">
        <f>PRODUCTOS31316[[#This Row],[EXISTENCIAS]]+PRODUCTOS31316[[#This Row],[ENTRADAS]]-PRODUCTOS31316[[#This Row],[SALIDAS]]</f>
        <v>6</v>
      </c>
      <c r="L667" s="2"/>
      <c r="M667" s="2"/>
      <c r="N667" s="2">
        <v>7919</v>
      </c>
      <c r="O667" s="300" t="s">
        <v>4151</v>
      </c>
      <c r="P667" s="16">
        <v>46074</v>
      </c>
      <c r="Q667" s="2" t="s">
        <v>3181</v>
      </c>
      <c r="R667" s="2">
        <f>VLOOKUP(SALIDAS111518[[#This Row],[CÓDIGO]],PRODUCTOS31316[],2,FALSE)</f>
        <v>7416</v>
      </c>
      <c r="S667" s="1" t="str">
        <f>VLOOKUP(SALIDAS111518[[#This Row],[CÓDIGO]],PRODUCTOS31316[],3,FALSE)</f>
        <v>CAJA PLÁSTICA DE 22" DE TRANSPORTE</v>
      </c>
      <c r="T667" s="2">
        <v>1</v>
      </c>
      <c r="U667" s="2"/>
      <c r="V667" s="2"/>
      <c r="W667" s="2"/>
      <c r="X667" s="2"/>
      <c r="Y667" s="7"/>
      <c r="Z667" s="2"/>
      <c r="AA667" s="1"/>
      <c r="AC667" s="2"/>
      <c r="AE667" s="1"/>
      <c r="AG667" s="2"/>
    </row>
    <row r="668" spans="1:33" ht="49.95" customHeight="1" x14ac:dyDescent="0.3">
      <c r="A668" s="2" t="s">
        <v>1704</v>
      </c>
      <c r="C668" s="1" t="s">
        <v>2017</v>
      </c>
      <c r="D668" s="1" t="s">
        <v>1707</v>
      </c>
      <c r="E668" s="1" t="s">
        <v>18</v>
      </c>
      <c r="F668" s="1" t="s">
        <v>30</v>
      </c>
      <c r="G668" s="2">
        <v>0</v>
      </c>
      <c r="H668" s="14">
        <f>SUMIF(ENTRADAS71417[CÓDIGO],PRODUCTOS31316[[#This Row],[CÓDIGO]],ENTRADAS71417[CANTIDAD])</f>
        <v>0</v>
      </c>
      <c r="I668" s="11">
        <f>SUMIF(SALIDAS111518[CÓDIGO],PRODUCTOS31316[[#This Row],[CÓDIGO]],SALIDAS111518[CANTIDAD])</f>
        <v>0</v>
      </c>
      <c r="J668" s="6">
        <f>PRODUCTOS31316[[#This Row],[EXISTENCIAS]]+PRODUCTOS31316[[#This Row],[ENTRADAS]]-PRODUCTOS31316[[#This Row],[SALIDAS]]</f>
        <v>0</v>
      </c>
      <c r="L668" s="2"/>
      <c r="M668" s="2"/>
      <c r="N668" s="2">
        <v>7919</v>
      </c>
      <c r="O668" s="300" t="s">
        <v>4151</v>
      </c>
      <c r="P668" s="16">
        <v>46074</v>
      </c>
      <c r="Q668" s="268" t="s">
        <v>153</v>
      </c>
      <c r="R668" s="2">
        <f>VLOOKUP(SALIDAS111518[[#This Row],[CÓDIGO]],PRODUCTOS31316[],2,FALSE)</f>
        <v>1132</v>
      </c>
      <c r="S668" s="1" t="str">
        <f>VLOOKUP(SALIDAS111518[[#This Row],[CÓDIGO]],PRODUCTOS31316[],3,FALSE)</f>
        <v>PISTOLA QUICKLOCK CLASIC</v>
      </c>
      <c r="T668" s="2">
        <v>1</v>
      </c>
      <c r="U668" s="2"/>
      <c r="V668" s="2"/>
      <c r="W668" s="2"/>
      <c r="X668" s="2"/>
      <c r="Y668" s="7"/>
      <c r="Z668" s="2"/>
      <c r="AA668" s="1"/>
      <c r="AC668" s="2"/>
      <c r="AE668" s="1"/>
      <c r="AG668" s="2"/>
    </row>
    <row r="669" spans="1:33" ht="49.95" customHeight="1" x14ac:dyDescent="0.3">
      <c r="A669" s="2" t="s">
        <v>1724</v>
      </c>
      <c r="B669" s="1">
        <v>1373</v>
      </c>
      <c r="C669" s="1" t="s">
        <v>1725</v>
      </c>
      <c r="D669" s="1" t="s">
        <v>103</v>
      </c>
      <c r="E669" s="1" t="s">
        <v>233</v>
      </c>
      <c r="F669" s="1" t="s">
        <v>30</v>
      </c>
      <c r="G669" s="2">
        <v>1</v>
      </c>
      <c r="H669" s="14">
        <f>SUMIF(ENTRADAS71417[CÓDIGO],PRODUCTOS31316[[#This Row],[CÓDIGO]],ENTRADAS71417[CANTIDAD])</f>
        <v>0</v>
      </c>
      <c r="I669" s="11">
        <f>SUMIF(SALIDAS111518[CÓDIGO],PRODUCTOS31316[[#This Row],[CÓDIGO]],SALIDAS111518[CANTIDAD])</f>
        <v>0</v>
      </c>
      <c r="J669" s="6">
        <f>PRODUCTOS31316[[#This Row],[EXISTENCIAS]]+PRODUCTOS31316[[#This Row],[ENTRADAS]]-PRODUCTOS31316[[#This Row],[SALIDAS]]</f>
        <v>1</v>
      </c>
      <c r="L669" s="2"/>
      <c r="M669" s="2"/>
      <c r="N669" s="2">
        <v>7919</v>
      </c>
      <c r="O669" s="300" t="s">
        <v>4151</v>
      </c>
      <c r="P669" s="16">
        <v>46074</v>
      </c>
      <c r="Q669" s="2" t="s">
        <v>658</v>
      </c>
      <c r="R669" s="2">
        <f>VLOOKUP(SALIDAS111518[[#This Row],[CÓDIGO]],PRODUCTOS31316[],2,FALSE)</f>
        <v>0</v>
      </c>
      <c r="S669" s="1" t="str">
        <f>VLOOKUP(SALIDAS111518[[#This Row],[CÓDIGO]],PRODUCTOS31316[],3,FALSE)</f>
        <v>CATETER TALADRO TRANSPARENTE 18"</v>
      </c>
      <c r="T669" s="2">
        <v>1</v>
      </c>
      <c r="U669" s="2"/>
      <c r="V669" s="2"/>
      <c r="W669" s="2"/>
      <c r="X669" s="2"/>
      <c r="Y669" s="7"/>
      <c r="Z669" s="2"/>
      <c r="AA669" s="1"/>
      <c r="AC669" s="2"/>
      <c r="AE669" s="1"/>
      <c r="AG669" s="2"/>
    </row>
    <row r="670" spans="1:33" ht="49.95" customHeight="1" x14ac:dyDescent="0.3">
      <c r="A670" s="2" t="s">
        <v>1742</v>
      </c>
      <c r="B670" s="1">
        <v>3123000080</v>
      </c>
      <c r="C670" s="1" t="s">
        <v>1743</v>
      </c>
      <c r="D670" s="1" t="s">
        <v>707</v>
      </c>
      <c r="E670" s="1" t="s">
        <v>708</v>
      </c>
      <c r="F670" s="1" t="s">
        <v>30</v>
      </c>
      <c r="G670" s="2">
        <v>0</v>
      </c>
      <c r="H670" s="14">
        <f>SUMIF(ENTRADAS71417[CÓDIGO],PRODUCTOS31316[[#This Row],[CÓDIGO]],ENTRADAS71417[CANTIDAD])</f>
        <v>0</v>
      </c>
      <c r="I670" s="11">
        <f>SUMIF(SALIDAS111518[CÓDIGO],PRODUCTOS31316[[#This Row],[CÓDIGO]],SALIDAS111518[CANTIDAD])</f>
        <v>0</v>
      </c>
      <c r="J670" s="6">
        <f>PRODUCTOS31316[[#This Row],[EXISTENCIAS]]+PRODUCTOS31316[[#This Row],[ENTRADAS]]-PRODUCTOS31316[[#This Row],[SALIDAS]]</f>
        <v>0</v>
      </c>
      <c r="L670" s="2"/>
      <c r="M670" s="2"/>
      <c r="N670" s="2">
        <v>7919</v>
      </c>
      <c r="O670" s="300" t="s">
        <v>4151</v>
      </c>
      <c r="P670" s="16">
        <v>46074</v>
      </c>
      <c r="Q670" s="2" t="s">
        <v>1779</v>
      </c>
      <c r="R670" s="2">
        <f>VLOOKUP(SALIDAS111518[[#This Row],[CÓDIGO]],PRODUCTOS31316[],2,FALSE)</f>
        <v>5563</v>
      </c>
      <c r="S670" s="1" t="str">
        <f>VLOOKUP(SALIDAS111518[[#This Row],[CÓDIGO]],PRODUCTOS31316[],3,FALSE)</f>
        <v>CAMISA SANITARIA ROLLO X 80</v>
      </c>
      <c r="T670" s="2">
        <v>1</v>
      </c>
      <c r="U670" s="2"/>
      <c r="V670" s="2"/>
      <c r="W670" s="2"/>
      <c r="X670" s="2"/>
      <c r="Y670" s="7"/>
      <c r="Z670" s="2"/>
      <c r="AA670" s="1"/>
      <c r="AC670" s="2"/>
      <c r="AE670" s="1"/>
      <c r="AG670" s="2"/>
    </row>
    <row r="671" spans="1:33" ht="49.95" customHeight="1" x14ac:dyDescent="0.3">
      <c r="A671" s="2" t="s">
        <v>1744</v>
      </c>
      <c r="B671" s="1">
        <v>3123000071</v>
      </c>
      <c r="C671" s="1" t="s">
        <v>1745</v>
      </c>
      <c r="D671" s="1" t="s">
        <v>707</v>
      </c>
      <c r="E671" s="1" t="s">
        <v>708</v>
      </c>
      <c r="F671" s="1" t="s">
        <v>30</v>
      </c>
      <c r="G671" s="2">
        <v>0</v>
      </c>
      <c r="H671" s="14">
        <f>SUMIF(ENTRADAS71417[CÓDIGO],PRODUCTOS31316[[#This Row],[CÓDIGO]],ENTRADAS71417[CANTIDAD])</f>
        <v>0</v>
      </c>
      <c r="I671" s="11">
        <f>SUMIF(SALIDAS111518[CÓDIGO],PRODUCTOS31316[[#This Row],[CÓDIGO]],SALIDAS111518[CANTIDAD])</f>
        <v>0</v>
      </c>
      <c r="J671" s="6">
        <f>PRODUCTOS31316[[#This Row],[EXISTENCIAS]]+PRODUCTOS31316[[#This Row],[ENTRADAS]]-PRODUCTOS31316[[#This Row],[SALIDAS]]</f>
        <v>0</v>
      </c>
      <c r="L671" s="2"/>
      <c r="M671" s="2"/>
      <c r="N671" s="2">
        <v>7919</v>
      </c>
      <c r="O671" s="300" t="s">
        <v>4151</v>
      </c>
      <c r="P671" s="16">
        <v>46074</v>
      </c>
      <c r="Q671" s="2" t="s">
        <v>2334</v>
      </c>
      <c r="R671" s="2">
        <f>VLOOKUP(SALIDAS111518[[#This Row],[CÓDIGO]],PRODUCTOS31316[],2,FALSE)</f>
        <v>101258</v>
      </c>
      <c r="S671" s="1" t="str">
        <f>VLOOKUP(SALIDAS111518[[#This Row],[CÓDIGO]],PRODUCTOS31316[],3,FALSE)</f>
        <v xml:space="preserve">MANGA OBSTET. DESECHABHE TIPO T SUPER SENSITIVA </v>
      </c>
      <c r="T671" s="2">
        <v>2</v>
      </c>
      <c r="U671" s="2"/>
      <c r="V671" s="2"/>
      <c r="W671" s="2"/>
      <c r="X671" s="2"/>
      <c r="Y671" s="7"/>
      <c r="Z671" s="2"/>
      <c r="AA671" s="1"/>
      <c r="AC671" s="2"/>
      <c r="AE671" s="1"/>
      <c r="AG671" s="2"/>
    </row>
    <row r="672" spans="1:33" ht="49.95" customHeight="1" x14ac:dyDescent="0.3">
      <c r="A672" s="2" t="s">
        <v>1747</v>
      </c>
      <c r="B672" s="1">
        <v>3123000055</v>
      </c>
      <c r="C672" s="1" t="s">
        <v>1748</v>
      </c>
      <c r="D672" s="1" t="s">
        <v>707</v>
      </c>
      <c r="E672" s="1" t="s">
        <v>708</v>
      </c>
      <c r="F672" s="1" t="s">
        <v>30</v>
      </c>
      <c r="G672" s="2">
        <v>0</v>
      </c>
      <c r="H672" s="14">
        <f>SUMIF(ENTRADAS71417[CÓDIGO],PRODUCTOS31316[[#This Row],[CÓDIGO]],ENTRADAS71417[CANTIDAD])</f>
        <v>0</v>
      </c>
      <c r="I672" s="11">
        <f>SUMIF(SALIDAS111518[CÓDIGO],PRODUCTOS31316[[#This Row],[CÓDIGO]],SALIDAS111518[CANTIDAD])</f>
        <v>0</v>
      </c>
      <c r="J672" s="6">
        <f>PRODUCTOS31316[[#This Row],[EXISTENCIAS]]+PRODUCTOS31316[[#This Row],[ENTRADAS]]-PRODUCTOS31316[[#This Row],[SALIDAS]]</f>
        <v>0</v>
      </c>
      <c r="L672" s="2"/>
      <c r="M672" s="2"/>
      <c r="N672" s="2">
        <v>7919</v>
      </c>
      <c r="O672" s="300" t="s">
        <v>4151</v>
      </c>
      <c r="P672" s="16">
        <v>46074</v>
      </c>
      <c r="Q672" s="2" t="s">
        <v>236</v>
      </c>
      <c r="R672" s="2">
        <f>VLOOKUP(SALIDAS111518[[#This Row],[CÓDIGO]],PRODUCTOS31316[],2,FALSE)</f>
        <v>0</v>
      </c>
      <c r="S672" s="1" t="str">
        <f>VLOOKUP(SALIDAS111518[[#This Row],[CÓDIGO]],PRODUCTOS31316[],3,FALSE)</f>
        <v>TERMO METÁLICO DESCONGELADOR</v>
      </c>
      <c r="T672" s="2">
        <v>1</v>
      </c>
      <c r="U672" s="2"/>
      <c r="V672" s="2"/>
      <c r="W672" s="2"/>
      <c r="X672" s="50"/>
      <c r="Y672" s="7"/>
      <c r="Z672" s="2"/>
      <c r="AA672" s="1"/>
      <c r="AC672" s="2"/>
      <c r="AE672" s="1"/>
      <c r="AG672" s="2"/>
    </row>
    <row r="673" spans="1:33" ht="49.95" customHeight="1" x14ac:dyDescent="0.3">
      <c r="A673" s="2" t="s">
        <v>1749</v>
      </c>
      <c r="B673" s="1">
        <v>3123000063</v>
      </c>
      <c r="C673" s="1" t="s">
        <v>1750</v>
      </c>
      <c r="D673" s="1" t="s">
        <v>707</v>
      </c>
      <c r="E673" s="1" t="s">
        <v>708</v>
      </c>
      <c r="F673" s="1" t="s">
        <v>30</v>
      </c>
      <c r="G673" s="2">
        <v>0</v>
      </c>
      <c r="H673" s="14">
        <f>SUMIF(ENTRADAS71417[CÓDIGO],PRODUCTOS31316[[#This Row],[CÓDIGO]],ENTRADAS71417[CANTIDAD])</f>
        <v>0</v>
      </c>
      <c r="I673" s="11">
        <f>SUMIF(SALIDAS111518[CÓDIGO],PRODUCTOS31316[[#This Row],[CÓDIGO]],SALIDAS111518[CANTIDAD])</f>
        <v>0</v>
      </c>
      <c r="J673" s="6">
        <f>PRODUCTOS31316[[#This Row],[EXISTENCIAS]]+PRODUCTOS31316[[#This Row],[ENTRADAS]]-PRODUCTOS31316[[#This Row],[SALIDAS]]</f>
        <v>0</v>
      </c>
      <c r="L673" s="2"/>
      <c r="M673" s="2"/>
      <c r="N673" s="2">
        <v>7919</v>
      </c>
      <c r="O673" s="300" t="s">
        <v>4151</v>
      </c>
      <c r="P673" s="16">
        <v>46074</v>
      </c>
      <c r="Q673" s="2" t="s">
        <v>581</v>
      </c>
      <c r="R673" s="2">
        <f>VLOOKUP(SALIDAS111518[[#This Row],[CÓDIGO]],PRODUCTOS31316[],2,FALSE)</f>
        <v>11571</v>
      </c>
      <c r="S673" s="1" t="str">
        <f>VLOOKUP(SALIDAS111518[[#This Row],[CÓDIGO]],PRODUCTOS31316[],3,FALSE)</f>
        <v>PINZA COGEPAJILLA</v>
      </c>
      <c r="T673" s="2">
        <v>1</v>
      </c>
      <c r="U673" s="2"/>
      <c r="V673" s="2"/>
      <c r="W673" s="2"/>
      <c r="X673" s="50"/>
      <c r="Y673" s="7"/>
      <c r="Z673" s="2"/>
      <c r="AA673" s="1"/>
      <c r="AC673" s="2"/>
      <c r="AE673" s="1"/>
      <c r="AG673" s="2"/>
    </row>
    <row r="674" spans="1:33" ht="49.95" customHeight="1" x14ac:dyDescent="0.3">
      <c r="A674" s="2" t="s">
        <v>1754</v>
      </c>
      <c r="B674" s="1">
        <v>3123000039</v>
      </c>
      <c r="C674" s="1" t="s">
        <v>1755</v>
      </c>
      <c r="D674" s="1" t="s">
        <v>707</v>
      </c>
      <c r="E674" s="1" t="s">
        <v>708</v>
      </c>
      <c r="F674" s="1" t="s">
        <v>30</v>
      </c>
      <c r="G674" s="2">
        <v>0</v>
      </c>
      <c r="H674" s="14">
        <f>SUMIF(ENTRADAS71417[CÓDIGO],PRODUCTOS31316[[#This Row],[CÓDIGO]],ENTRADAS71417[CANTIDAD])</f>
        <v>0</v>
      </c>
      <c r="I674" s="11">
        <f>SUMIF(SALIDAS111518[CÓDIGO],PRODUCTOS31316[[#This Row],[CÓDIGO]],SALIDAS111518[CANTIDAD])</f>
        <v>0</v>
      </c>
      <c r="J674" s="6">
        <f>PRODUCTOS31316[[#This Row],[EXISTENCIAS]]+PRODUCTOS31316[[#This Row],[ENTRADAS]]-PRODUCTOS31316[[#This Row],[SALIDAS]]</f>
        <v>0</v>
      </c>
      <c r="L674" s="2"/>
      <c r="M674" s="2"/>
      <c r="N674" s="2">
        <v>7919</v>
      </c>
      <c r="O674" s="300" t="s">
        <v>4151</v>
      </c>
      <c r="P674" s="16">
        <v>46074</v>
      </c>
      <c r="Q674" s="2" t="s">
        <v>2364</v>
      </c>
      <c r="R674" s="2">
        <f>VLOOKUP(SALIDAS111518[[#This Row],[CÓDIGO]],PRODUCTOS31316[],2,FALSE)</f>
        <v>0</v>
      </c>
      <c r="S674" s="1" t="str">
        <f>VLOOKUP(SALIDAS111518[[#This Row],[CÓDIGO]],PRODUCTOS31316[],3,FALSE)</f>
        <v>CORTAPAJILLAS WTA</v>
      </c>
      <c r="T674" s="2">
        <v>1</v>
      </c>
      <c r="U674" s="2"/>
      <c r="V674" s="2"/>
      <c r="W674" s="2"/>
      <c r="X674" s="50"/>
      <c r="Y674" s="7"/>
      <c r="Z674" s="2"/>
      <c r="AA674" s="1"/>
      <c r="AC674" s="2"/>
      <c r="AE674" s="1"/>
      <c r="AG674" s="2"/>
    </row>
    <row r="675" spans="1:33" ht="49.95" customHeight="1" x14ac:dyDescent="0.3">
      <c r="A675" s="2" t="s">
        <v>1762</v>
      </c>
      <c r="B675" s="1" t="s">
        <v>1763</v>
      </c>
      <c r="C675" s="1" t="s">
        <v>1764</v>
      </c>
      <c r="D675" s="1" t="s">
        <v>484</v>
      </c>
      <c r="E675" s="1" t="s">
        <v>2019</v>
      </c>
      <c r="F675" s="1" t="s">
        <v>30</v>
      </c>
      <c r="G675" s="2">
        <v>0</v>
      </c>
      <c r="H675" s="14">
        <f>SUMIF(ENTRADAS71417[CÓDIGO],PRODUCTOS31316[[#This Row],[CÓDIGO]],ENTRADAS71417[CANTIDAD])</f>
        <v>0</v>
      </c>
      <c r="I675" s="11">
        <f>SUMIF(SALIDAS111518[CÓDIGO],PRODUCTOS31316[[#This Row],[CÓDIGO]],SALIDAS111518[CANTIDAD])</f>
        <v>0</v>
      </c>
      <c r="J675" s="6">
        <f>PRODUCTOS31316[[#This Row],[EXISTENCIAS]]+PRODUCTOS31316[[#This Row],[ENTRADAS]]-PRODUCTOS31316[[#This Row],[SALIDAS]]</f>
        <v>0</v>
      </c>
      <c r="L675" s="2"/>
      <c r="M675" s="2"/>
      <c r="N675" s="2">
        <v>7919</v>
      </c>
      <c r="O675" s="300" t="s">
        <v>4151</v>
      </c>
      <c r="P675" s="16">
        <v>46074</v>
      </c>
      <c r="Q675" s="2" t="s">
        <v>382</v>
      </c>
      <c r="R675" s="2">
        <f>VLOOKUP(SALIDAS111518[[#This Row],[CÓDIGO]],PRODUCTOS31316[],2,FALSE)</f>
        <v>605032</v>
      </c>
      <c r="S675" s="1" t="str">
        <f>VLOOKUP(SALIDAS111518[[#This Row],[CÓDIGO]],PRODUCTOS31316[],3,FALSE)</f>
        <v>LUBRICANTE OB, NO ESPERMICIDA</v>
      </c>
      <c r="T675" s="2">
        <v>1</v>
      </c>
      <c r="U675" s="2"/>
      <c r="V675" s="2"/>
      <c r="W675" s="2"/>
      <c r="X675" s="50"/>
      <c r="Y675" s="7"/>
      <c r="Z675" s="2"/>
      <c r="AA675" s="1"/>
      <c r="AC675" s="2"/>
      <c r="AE675" s="1"/>
      <c r="AG675" s="2"/>
    </row>
    <row r="676" spans="1:33" ht="49.95" customHeight="1" x14ac:dyDescent="0.3">
      <c r="A676" s="203" t="s">
        <v>1779</v>
      </c>
      <c r="B676" s="1">
        <v>5563</v>
      </c>
      <c r="C676" s="216" t="s">
        <v>1780</v>
      </c>
      <c r="D676" s="1" t="s">
        <v>156</v>
      </c>
      <c r="E676" s="1" t="s">
        <v>2020</v>
      </c>
      <c r="F676" s="1" t="s">
        <v>30</v>
      </c>
      <c r="G676" s="31">
        <f>6+1+1</f>
        <v>8</v>
      </c>
      <c r="H676" s="14">
        <f>SUMIF(ENTRADAS71417[CÓDIGO],PRODUCTOS31316[[#This Row],[CÓDIGO]],ENTRADAS71417[CANTIDAD])</f>
        <v>1040</v>
      </c>
      <c r="I676" s="11">
        <f>SUMIF(SALIDAS111518[CÓDIGO],PRODUCTOS31316[[#This Row],[CÓDIGO]],SALIDAS111518[CANTIDAD])</f>
        <v>681</v>
      </c>
      <c r="J676" s="6">
        <f>PRODUCTOS31316[[#This Row],[EXISTENCIAS]]+PRODUCTOS31316[[#This Row],[ENTRADAS]]-PRODUCTOS31316[[#This Row],[SALIDAS]]</f>
        <v>367</v>
      </c>
      <c r="L676" s="2"/>
      <c r="M676" s="2"/>
      <c r="N676" s="2">
        <v>7919</v>
      </c>
      <c r="O676" s="300" t="s">
        <v>4151</v>
      </c>
      <c r="P676" s="16">
        <v>46074</v>
      </c>
      <c r="Q676" s="2" t="s">
        <v>369</v>
      </c>
      <c r="R676" s="2">
        <f>VLOOKUP(SALIDAS111518[[#This Row],[CÓDIGO]],PRODUCTOS31316[],2,FALSE)</f>
        <v>0</v>
      </c>
      <c r="S676" s="1" t="str">
        <f>VLOOKUP(SALIDAS111518[[#This Row],[CÓDIGO]],PRODUCTOS31316[],3,FALSE)</f>
        <v>FUNDA UNIVERSAL PARA I.A. RANURADA</v>
      </c>
      <c r="T676" s="2">
        <v>1</v>
      </c>
      <c r="U676" s="2"/>
      <c r="V676" s="2"/>
      <c r="W676" s="2"/>
      <c r="X676" s="2"/>
      <c r="Y676" s="7"/>
      <c r="Z676" s="2"/>
      <c r="AA676" s="1"/>
      <c r="AC676" s="2"/>
      <c r="AE676" s="1"/>
      <c r="AG676" s="2"/>
    </row>
    <row r="677" spans="1:33" ht="49.95" customHeight="1" x14ac:dyDescent="0.3">
      <c r="A677" s="2" t="s">
        <v>1782</v>
      </c>
      <c r="B677" s="1">
        <v>5575</v>
      </c>
      <c r="C677" s="216" t="s">
        <v>1783</v>
      </c>
      <c r="D677" s="1" t="s">
        <v>156</v>
      </c>
      <c r="E677" s="1" t="s">
        <v>2020</v>
      </c>
      <c r="F677" s="1" t="s">
        <v>359</v>
      </c>
      <c r="G677" s="2">
        <v>0</v>
      </c>
      <c r="H677" s="14">
        <f>SUMIF(ENTRADAS71417[CÓDIGO],PRODUCTOS31316[[#This Row],[CÓDIGO]],ENTRADAS71417[CANTIDAD])</f>
        <v>0</v>
      </c>
      <c r="I677" s="11">
        <f>SUMIF(SALIDAS111518[CÓDIGO],PRODUCTOS31316[[#This Row],[CÓDIGO]],SALIDAS111518[CANTIDAD])</f>
        <v>0</v>
      </c>
      <c r="J677" s="6">
        <f>PRODUCTOS31316[[#This Row],[EXISTENCIAS]]+PRODUCTOS31316[[#This Row],[ENTRADAS]]-PRODUCTOS31316[[#This Row],[SALIDAS]]</f>
        <v>0</v>
      </c>
      <c r="L677" s="2"/>
      <c r="M677" s="2"/>
      <c r="N677" s="2">
        <v>7919</v>
      </c>
      <c r="O677" s="300" t="s">
        <v>4151</v>
      </c>
      <c r="P677" s="16">
        <v>46074</v>
      </c>
      <c r="Q677" s="2" t="s">
        <v>2340</v>
      </c>
      <c r="R677" s="2" t="str">
        <f>VLOOKUP(SALIDAS111518[[#This Row],[CÓDIGO]],PRODUCTOS31316[],2,FALSE)</f>
        <v>SMZ-05</v>
      </c>
      <c r="S677" s="1" t="str">
        <f>VLOOKUP(SALIDAS111518[[#This Row],[CÓDIGO]],PRODUCTOS31316[],3,FALSE)</f>
        <v>ESTEREOMICROSCOPIO ZOOM</v>
      </c>
      <c r="T677" s="2">
        <v>1</v>
      </c>
      <c r="U677" s="2"/>
      <c r="V677" s="2"/>
      <c r="W677" s="2"/>
      <c r="X677" s="2"/>
      <c r="Y677" s="7"/>
      <c r="Z677" s="2"/>
      <c r="AA677" s="1"/>
      <c r="AC677" s="2"/>
      <c r="AE677" s="1"/>
      <c r="AG677" s="2"/>
    </row>
    <row r="678" spans="1:33" ht="49.95" customHeight="1" x14ac:dyDescent="0.3">
      <c r="A678" s="2" t="s">
        <v>1799</v>
      </c>
      <c r="B678" s="1">
        <v>4846</v>
      </c>
      <c r="C678" s="216" t="s">
        <v>1800</v>
      </c>
      <c r="D678" s="1" t="s">
        <v>769</v>
      </c>
      <c r="E678" s="1" t="s">
        <v>249</v>
      </c>
      <c r="F678" s="1" t="s">
        <v>365</v>
      </c>
      <c r="G678" s="2">
        <v>5</v>
      </c>
      <c r="H678" s="14">
        <f>SUMIF(ENTRADAS71417[CÓDIGO],PRODUCTOS31316[[#This Row],[CÓDIGO]],ENTRADAS71417[CANTIDAD])</f>
        <v>20</v>
      </c>
      <c r="I678" s="11">
        <f>SUMIF(SALIDAS111518[CÓDIGO],PRODUCTOS31316[[#This Row],[CÓDIGO]],SALIDAS111518[CANTIDAD])</f>
        <v>23</v>
      </c>
      <c r="J678" s="6">
        <f>PRODUCTOS31316[[#This Row],[EXISTENCIAS]]+PRODUCTOS31316[[#This Row],[ENTRADAS]]-PRODUCTOS31316[[#This Row],[SALIDAS]]</f>
        <v>2</v>
      </c>
      <c r="L678" s="2"/>
      <c r="M678" s="2"/>
      <c r="N678" s="2">
        <v>7919</v>
      </c>
      <c r="O678" s="300" t="s">
        <v>4151</v>
      </c>
      <c r="P678" s="16">
        <v>46074</v>
      </c>
      <c r="Q678" s="2" t="s">
        <v>3065</v>
      </c>
      <c r="R678" s="2">
        <f>VLOOKUP(SALIDAS111518[[#This Row],[CÓDIGO]],PRODUCTOS31316[],2,FALSE)</f>
        <v>20597559</v>
      </c>
      <c r="S678" s="1" t="str">
        <f>VLOOKUP(SALIDAS111518[[#This Row],[CÓDIGO]],PRODUCTOS31316[],3,FALSE)</f>
        <v>TERMO NITRÓGENO ET- 20</v>
      </c>
      <c r="T678" s="2">
        <v>1</v>
      </c>
      <c r="U678" s="2"/>
      <c r="V678" s="2"/>
      <c r="W678" s="2"/>
      <c r="X678" s="2"/>
      <c r="Y678" s="7"/>
      <c r="Z678" s="2"/>
      <c r="AA678" s="1"/>
      <c r="AC678" s="2"/>
      <c r="AE678" s="1"/>
      <c r="AG678" s="2"/>
    </row>
    <row r="679" spans="1:33" ht="49.95" customHeight="1" x14ac:dyDescent="0.3">
      <c r="A679" s="2" t="s">
        <v>1829</v>
      </c>
      <c r="B679" s="1" t="s">
        <v>1830</v>
      </c>
      <c r="C679" s="1" t="s">
        <v>2021</v>
      </c>
      <c r="D679" s="1" t="s">
        <v>2022</v>
      </c>
      <c r="E679" s="1" t="s">
        <v>1819</v>
      </c>
      <c r="F679" s="1" t="s">
        <v>62</v>
      </c>
      <c r="G679" s="2">
        <v>0</v>
      </c>
      <c r="H679" s="14">
        <f>SUMIF(ENTRADAS71417[CÓDIGO],PRODUCTOS31316[[#This Row],[CÓDIGO]],ENTRADAS71417[CANTIDAD])</f>
        <v>0</v>
      </c>
      <c r="I679" s="11">
        <f>SUMIF(SALIDAS111518[CÓDIGO],PRODUCTOS31316[[#This Row],[CÓDIGO]],SALIDAS111518[CANTIDAD])</f>
        <v>0</v>
      </c>
      <c r="J679" s="6">
        <f>PRODUCTOS31316[[#This Row],[EXISTENCIAS]]+PRODUCTOS31316[[#This Row],[ENTRADAS]]-PRODUCTOS31316[[#This Row],[SALIDAS]]</f>
        <v>0</v>
      </c>
      <c r="L679" s="2"/>
      <c r="M679" s="2"/>
      <c r="N679" s="2">
        <v>7919</v>
      </c>
      <c r="O679" s="300" t="s">
        <v>4151</v>
      </c>
      <c r="P679" s="16">
        <v>46074</v>
      </c>
      <c r="Q679" s="2" t="s">
        <v>1321</v>
      </c>
      <c r="R679" s="2">
        <f>VLOOKUP(SALIDAS111518[[#This Row],[CÓDIGO]],PRODUCTOS31316[],2,FALSE)</f>
        <v>438913</v>
      </c>
      <c r="S679" s="1" t="str">
        <f>VLOOKUP(SALIDAS111518[[#This Row],[CÓDIGO]],PRODUCTOS31316[],3,FALSE)</f>
        <v>CATÉTER FOLLEY DE SILICONA 20FR X 30CC, LARGO 56MM</v>
      </c>
      <c r="T679" s="2">
        <v>4</v>
      </c>
      <c r="U679" s="2"/>
      <c r="V679" s="2"/>
      <c r="W679" s="2"/>
      <c r="X679" s="2"/>
      <c r="Y679" s="7"/>
      <c r="Z679" s="2"/>
      <c r="AA679" s="1"/>
      <c r="AC679" s="2"/>
      <c r="AE679" s="1"/>
      <c r="AG679" s="2"/>
    </row>
    <row r="680" spans="1:33" ht="49.95" customHeight="1" x14ac:dyDescent="0.3">
      <c r="A680" s="2" t="s">
        <v>1833</v>
      </c>
      <c r="B680" s="1" t="s">
        <v>1834</v>
      </c>
      <c r="C680" s="1" t="s">
        <v>1835</v>
      </c>
      <c r="D680" s="1" t="s">
        <v>223</v>
      </c>
      <c r="E680" s="1" t="s">
        <v>177</v>
      </c>
      <c r="F680" s="1" t="s">
        <v>224</v>
      </c>
      <c r="G680" s="2">
        <v>0</v>
      </c>
      <c r="H680" s="14">
        <f>SUMIF(ENTRADAS71417[CÓDIGO],PRODUCTOS31316[[#This Row],[CÓDIGO]],ENTRADAS71417[CANTIDAD])</f>
        <v>0</v>
      </c>
      <c r="I680" s="11">
        <f>SUMIF(SALIDAS111518[CÓDIGO],PRODUCTOS31316[[#This Row],[CÓDIGO]],SALIDAS111518[CANTIDAD])</f>
        <v>0</v>
      </c>
      <c r="J680" s="6">
        <f>PRODUCTOS31316[[#This Row],[EXISTENCIAS]]+PRODUCTOS31316[[#This Row],[ENTRADAS]]-PRODUCTOS31316[[#This Row],[SALIDAS]]</f>
        <v>0</v>
      </c>
      <c r="L680" s="2"/>
      <c r="M680" s="2"/>
      <c r="N680" s="2">
        <v>7919</v>
      </c>
      <c r="O680" s="300" t="s">
        <v>4151</v>
      </c>
      <c r="P680" s="16">
        <v>46074</v>
      </c>
      <c r="Q680" s="2" t="s">
        <v>387</v>
      </c>
      <c r="R680" s="2">
        <f>VLOOKUP(SALIDAS111518[[#This Row],[CÓDIGO]],PRODUCTOS31316[],2,FALSE)</f>
        <v>131830</v>
      </c>
      <c r="S680" s="1" t="str">
        <f>VLOOKUP(SALIDAS111518[[#This Row],[CÓDIGO]],PRODUCTOS31316[],3,FALSE)</f>
        <v>CATÉTER FOLLEY DE SILICONA (ABT) 18FR. X 30CC X 22</v>
      </c>
      <c r="T680" s="2">
        <v>2</v>
      </c>
      <c r="U680" s="2"/>
      <c r="V680" s="2"/>
      <c r="W680" s="2"/>
      <c r="X680" s="50"/>
      <c r="Y680" s="7"/>
      <c r="Z680" s="2"/>
      <c r="AA680" s="1"/>
      <c r="AC680" s="2"/>
      <c r="AE680" s="1"/>
      <c r="AG680" s="2"/>
    </row>
    <row r="681" spans="1:33" ht="49.95" customHeight="1" x14ac:dyDescent="0.3">
      <c r="A681" s="2" t="s">
        <v>1838</v>
      </c>
      <c r="B681" s="1" t="s">
        <v>1839</v>
      </c>
      <c r="C681" s="1" t="s">
        <v>1840</v>
      </c>
      <c r="D681" s="1" t="s">
        <v>223</v>
      </c>
      <c r="E681" s="1" t="s">
        <v>177</v>
      </c>
      <c r="F681" s="1" t="s">
        <v>139</v>
      </c>
      <c r="G681" s="2">
        <v>0</v>
      </c>
      <c r="H681" s="14">
        <f>SUMIF(ENTRADAS71417[CÓDIGO],PRODUCTOS31316[[#This Row],[CÓDIGO]],ENTRADAS71417[CANTIDAD])</f>
        <v>0</v>
      </c>
      <c r="I681" s="11">
        <f>SUMIF(SALIDAS111518[CÓDIGO],PRODUCTOS31316[[#This Row],[CÓDIGO]],SALIDAS111518[CANTIDAD])</f>
        <v>0</v>
      </c>
      <c r="J681" s="6">
        <f>PRODUCTOS31316[[#This Row],[EXISTENCIAS]]+PRODUCTOS31316[[#This Row],[ENTRADAS]]-PRODUCTOS31316[[#This Row],[SALIDAS]]</f>
        <v>0</v>
      </c>
      <c r="L681" s="2"/>
      <c r="M681" s="2"/>
      <c r="N681" s="2">
        <v>7919</v>
      </c>
      <c r="O681" s="300" t="s">
        <v>4151</v>
      </c>
      <c r="P681" s="16">
        <v>46074</v>
      </c>
      <c r="Q681" s="2" t="s">
        <v>1006</v>
      </c>
      <c r="R681" s="2" t="str">
        <f>VLOOKUP(SALIDAS111518[[#This Row],[CÓDIGO]],PRODUCTOS31316[],2,FALSE)</f>
        <v>44-0200</v>
      </c>
      <c r="S681" s="1" t="str">
        <f>VLOOKUP(SALIDAS111518[[#This Row],[CÓDIGO]],PRODUCTOS31316[],3,FALSE)</f>
        <v>POLVO SELLADOR DE PAJILLAS COLOR BLANCO, 750GR</v>
      </c>
      <c r="T681" s="2">
        <v>1</v>
      </c>
      <c r="U681" s="2"/>
      <c r="V681" s="2"/>
      <c r="W681" s="2"/>
      <c r="X681" s="2"/>
      <c r="Y681" s="7"/>
      <c r="Z681" s="2"/>
      <c r="AA681" s="1"/>
      <c r="AC681" s="2"/>
      <c r="AE681" s="1"/>
      <c r="AG681" s="2"/>
    </row>
    <row r="682" spans="1:33" ht="49.95" customHeight="1" x14ac:dyDescent="0.3">
      <c r="A682" s="2" t="s">
        <v>1847</v>
      </c>
      <c r="B682" s="1">
        <v>101201015</v>
      </c>
      <c r="C682" s="1" t="s">
        <v>2023</v>
      </c>
      <c r="D682" s="1" t="s">
        <v>2024</v>
      </c>
      <c r="E682" s="1" t="s">
        <v>2024</v>
      </c>
      <c r="F682" s="1" t="s">
        <v>30</v>
      </c>
      <c r="G682" s="2">
        <v>0</v>
      </c>
      <c r="H682" s="14">
        <f>SUMIF(ENTRADAS71417[CÓDIGO],PRODUCTOS31316[[#This Row],[CÓDIGO]],ENTRADAS71417[CANTIDAD])</f>
        <v>0</v>
      </c>
      <c r="I682" s="11">
        <f>SUMIF(SALIDAS111518[CÓDIGO],PRODUCTOS31316[[#This Row],[CÓDIGO]],SALIDAS111518[CANTIDAD])</f>
        <v>0</v>
      </c>
      <c r="J682" s="6">
        <f>PRODUCTOS31316[[#This Row],[EXISTENCIAS]]+PRODUCTOS31316[[#This Row],[ENTRADAS]]-PRODUCTOS31316[[#This Row],[SALIDAS]]</f>
        <v>0</v>
      </c>
      <c r="L682" s="2"/>
      <c r="M682" s="2"/>
      <c r="N682" s="2">
        <v>7919</v>
      </c>
      <c r="O682" s="300" t="s">
        <v>4151</v>
      </c>
      <c r="P682" s="16">
        <v>46074</v>
      </c>
      <c r="Q682" s="2" t="s">
        <v>1426</v>
      </c>
      <c r="R682" s="2">
        <f>VLOOKUP(SALIDAS111518[[#This Row],[CÓDIGO]],PRODUCTOS31316[],2,FALSE)</f>
        <v>4166</v>
      </c>
      <c r="S682" s="1" t="str">
        <f>VLOOKUP(SALIDAS111518[[#This Row],[CÓDIGO]],PRODUCTOS31316[],3,FALSE)</f>
        <v>PAJILLAS 1/4 CC IRRADIADAS/ 0,25</v>
      </c>
      <c r="T682" s="2">
        <v>5</v>
      </c>
      <c r="U682" s="2"/>
      <c r="V682" s="2"/>
      <c r="W682" s="2"/>
      <c r="X682" s="2"/>
      <c r="Y682" s="7"/>
      <c r="Z682" s="2"/>
      <c r="AA682" s="1"/>
      <c r="AC682" s="2"/>
      <c r="AE682" s="1"/>
      <c r="AG682" s="2"/>
    </row>
    <row r="683" spans="1:33" ht="49.95" customHeight="1" x14ac:dyDescent="0.3">
      <c r="A683" s="2" t="s">
        <v>2222</v>
      </c>
      <c r="B683" s="1" t="s">
        <v>2455</v>
      </c>
      <c r="C683" s="1" t="s">
        <v>2456</v>
      </c>
      <c r="E683" s="1" t="s">
        <v>2221</v>
      </c>
      <c r="F683" s="1" t="s">
        <v>30</v>
      </c>
      <c r="G683" s="2">
        <v>0</v>
      </c>
      <c r="H683" s="14">
        <f>SUMIF(ENTRADAS71417[CÓDIGO],PRODUCTOS31316[[#This Row],[CÓDIGO]],ENTRADAS71417[CANTIDAD])</f>
        <v>0</v>
      </c>
      <c r="I683" s="11">
        <f>SUMIF(SALIDAS111518[CÓDIGO],PRODUCTOS31316[[#This Row],[CÓDIGO]],SALIDAS111518[CANTIDAD])</f>
        <v>0</v>
      </c>
      <c r="J683" s="6">
        <f>PRODUCTOS31316[[#This Row],[EXISTENCIAS]]+PRODUCTOS31316[[#This Row],[ENTRADAS]]-PRODUCTOS31316[[#This Row],[SALIDAS]]</f>
        <v>0</v>
      </c>
      <c r="L683" s="2"/>
      <c r="M683" s="2"/>
      <c r="N683" s="2">
        <v>7919</v>
      </c>
      <c r="O683" s="300" t="s">
        <v>4151</v>
      </c>
      <c r="P683" s="16">
        <v>46074</v>
      </c>
      <c r="Q683" s="2" t="s">
        <v>396</v>
      </c>
      <c r="R683" s="2">
        <f>VLOOKUP(SALIDAS111518[[#This Row],[CÓDIGO]],PRODUCTOS31316[],2,FALSE)</f>
        <v>4168</v>
      </c>
      <c r="S683" s="1" t="str">
        <f>VLOOKUP(SALIDAS111518[[#This Row],[CÓDIGO]],PRODUCTOS31316[],3,FALSE)</f>
        <v>PAJILLAS 1/2  IRRADIADAS CC/ ,05</v>
      </c>
      <c r="T683" s="2">
        <v>5</v>
      </c>
      <c r="U683" s="2"/>
      <c r="V683" s="2"/>
      <c r="W683" s="2"/>
      <c r="X683" s="2"/>
      <c r="Y683" s="7"/>
      <c r="Z683" s="2"/>
      <c r="AA683" s="1"/>
      <c r="AC683" s="2"/>
      <c r="AE683" s="1"/>
      <c r="AG683" s="2"/>
    </row>
    <row r="684" spans="1:33" ht="49.95" customHeight="1" x14ac:dyDescent="0.3">
      <c r="A684" s="2" t="s">
        <v>2223</v>
      </c>
      <c r="C684" s="1" t="s">
        <v>2457</v>
      </c>
      <c r="E684" s="1" t="s">
        <v>1075</v>
      </c>
      <c r="F684" s="1" t="s">
        <v>30</v>
      </c>
      <c r="G684" s="2">
        <v>0</v>
      </c>
      <c r="H684" s="14">
        <f>SUMIF(ENTRADAS71417[CÓDIGO],PRODUCTOS31316[[#This Row],[CÓDIGO]],ENTRADAS71417[CANTIDAD])</f>
        <v>0</v>
      </c>
      <c r="I684" s="11">
        <f>SUMIF(SALIDAS111518[CÓDIGO],PRODUCTOS31316[[#This Row],[CÓDIGO]],SALIDAS111518[CANTIDAD])</f>
        <v>0</v>
      </c>
      <c r="J684" s="6">
        <f>PRODUCTOS31316[[#This Row],[EXISTENCIAS]]+PRODUCTOS31316[[#This Row],[ENTRADAS]]-PRODUCTOS31316[[#This Row],[SALIDAS]]</f>
        <v>0</v>
      </c>
      <c r="L684" s="2"/>
      <c r="M684" s="2"/>
      <c r="N684" s="2">
        <v>7919</v>
      </c>
      <c r="O684" s="300" t="s">
        <v>4151</v>
      </c>
      <c r="P684" s="16">
        <v>46074</v>
      </c>
      <c r="Q684" s="2" t="s">
        <v>3309</v>
      </c>
      <c r="R684" s="2">
        <f>VLOOKUP(SALIDAS111518[[#This Row],[CÓDIGO]],PRODUCTOS31316[],2,FALSE)</f>
        <v>60</v>
      </c>
      <c r="S684" s="1" t="str">
        <f>VLOOKUP(SALIDAS111518[[#This Row],[CÓDIGO]],PRODUCTOS31316[],3,FALSE)</f>
        <v>SONDA EN "Y" CON VÁLVULA PARA BOVINOS</v>
      </c>
      <c r="T684" s="2">
        <v>2</v>
      </c>
      <c r="U684" s="2"/>
      <c r="V684" s="2"/>
      <c r="W684" s="2"/>
      <c r="X684" s="2"/>
      <c r="Y684" s="7"/>
      <c r="Z684" s="2"/>
      <c r="AA684" s="1"/>
      <c r="AC684" s="2"/>
      <c r="AE684" s="1"/>
      <c r="AG684" s="2"/>
    </row>
    <row r="685" spans="1:33" ht="49.95" customHeight="1" x14ac:dyDescent="0.3">
      <c r="A685" s="2" t="s">
        <v>2226</v>
      </c>
      <c r="B685" s="1">
        <v>9003008</v>
      </c>
      <c r="C685" s="1" t="s">
        <v>2458</v>
      </c>
      <c r="D685" s="1" t="s">
        <v>18</v>
      </c>
      <c r="E685" s="1" t="s">
        <v>18</v>
      </c>
      <c r="F685" s="1" t="s">
        <v>30</v>
      </c>
      <c r="G685" s="2">
        <v>0</v>
      </c>
      <c r="H685" s="14">
        <f>SUMIF(ENTRADAS71417[CÓDIGO],PRODUCTOS31316[[#This Row],[CÓDIGO]],ENTRADAS71417[CANTIDAD])</f>
        <v>0</v>
      </c>
      <c r="I685" s="11">
        <f>SUMIF(SALIDAS111518[CÓDIGO],PRODUCTOS31316[[#This Row],[CÓDIGO]],SALIDAS111518[CANTIDAD])</f>
        <v>0</v>
      </c>
      <c r="J685" s="6">
        <f>PRODUCTOS31316[[#This Row],[EXISTENCIAS]]+PRODUCTOS31316[[#This Row],[ENTRADAS]]-PRODUCTOS31316[[#This Row],[SALIDAS]]</f>
        <v>0</v>
      </c>
      <c r="L685" s="2"/>
      <c r="M685" s="2"/>
      <c r="N685" s="2">
        <v>7919</v>
      </c>
      <c r="O685" s="300" t="s">
        <v>4151</v>
      </c>
      <c r="P685" s="16">
        <v>46074</v>
      </c>
      <c r="Q685" s="2" t="s">
        <v>3524</v>
      </c>
      <c r="R685" s="2" t="str">
        <f>VLOOKUP(SALIDAS111518[[#This Row],[CÓDIGO]],PRODUCTOS31316[],2,FALSE)</f>
        <v>SAVF-102/25</v>
      </c>
      <c r="S685" s="1" t="str">
        <f>VLOOKUP(SALIDAS111518[[#This Row],[CÓDIGO]],PRODUCTOS31316[],3,FALSE)</f>
        <v>FILTRO DE GEL NYLON DESECHABLE, 3.5"</v>
      </c>
      <c r="T685" s="2">
        <v>1</v>
      </c>
      <c r="U685" s="2"/>
      <c r="V685" s="2"/>
      <c r="W685" s="2"/>
      <c r="X685" s="2"/>
      <c r="Y685" s="7"/>
      <c r="Z685" s="2"/>
      <c r="AA685" s="1"/>
      <c r="AC685" s="2"/>
      <c r="AE685" s="1"/>
      <c r="AG685" s="2"/>
    </row>
    <row r="686" spans="1:33" ht="49.95" customHeight="1" x14ac:dyDescent="0.3">
      <c r="A686" s="2" t="s">
        <v>2227</v>
      </c>
      <c r="C686" s="1" t="s">
        <v>2459</v>
      </c>
      <c r="D686" s="1" t="s">
        <v>2460</v>
      </c>
      <c r="E686" s="1" t="s">
        <v>2460</v>
      </c>
      <c r="F686" s="1" t="s">
        <v>30</v>
      </c>
      <c r="G686" s="2">
        <v>0</v>
      </c>
      <c r="H686" s="14">
        <f>SUMIF(ENTRADAS71417[CÓDIGO],PRODUCTOS31316[[#This Row],[CÓDIGO]],ENTRADAS71417[CANTIDAD])</f>
        <v>0</v>
      </c>
      <c r="I686" s="11">
        <f>SUMIF(SALIDAS111518[CÓDIGO],PRODUCTOS31316[[#This Row],[CÓDIGO]],SALIDAS111518[CANTIDAD])</f>
        <v>0</v>
      </c>
      <c r="J686" s="6">
        <f>PRODUCTOS31316[[#This Row],[EXISTENCIAS]]+PRODUCTOS31316[[#This Row],[ENTRADAS]]-PRODUCTOS31316[[#This Row],[SALIDAS]]</f>
        <v>0</v>
      </c>
      <c r="L686" s="2"/>
      <c r="M686" s="2"/>
      <c r="N686" s="2">
        <v>7919</v>
      </c>
      <c r="O686" s="300" t="s">
        <v>4151</v>
      </c>
      <c r="P686" s="16">
        <v>46074</v>
      </c>
      <c r="Q686" s="2" t="s">
        <v>3525</v>
      </c>
      <c r="R686" s="2" t="str">
        <f>VLOOKUP(SALIDAS111518[[#This Row],[CÓDIGO]],PRODUCTOS31316[],2,FALSE)</f>
        <v>SCB-200/100</v>
      </c>
      <c r="S686" s="1" t="str">
        <f>VLOOKUP(SALIDAS111518[[#This Row],[CÓDIGO]],PRODUCTOS31316[],3,FALSE)</f>
        <v>BOTELLA DE RECOLECCIÓN DE SEMEN EQUINO X 200 ML</v>
      </c>
      <c r="T686" s="2">
        <v>25</v>
      </c>
      <c r="U686" s="2"/>
      <c r="V686" s="2"/>
      <c r="W686" s="2"/>
      <c r="X686" s="2"/>
      <c r="Y686" s="7"/>
      <c r="Z686" s="2"/>
      <c r="AA686" s="1"/>
      <c r="AC686" s="2"/>
      <c r="AE686" s="1"/>
      <c r="AG686" s="2"/>
    </row>
    <row r="687" spans="1:33" ht="49.95" customHeight="1" x14ac:dyDescent="0.3">
      <c r="A687" s="2" t="s">
        <v>2232</v>
      </c>
      <c r="C687" s="216" t="s">
        <v>2461</v>
      </c>
      <c r="D687" s="1" t="s">
        <v>822</v>
      </c>
      <c r="E687" s="1" t="s">
        <v>1421</v>
      </c>
      <c r="F687" s="1" t="s">
        <v>2462</v>
      </c>
      <c r="G687" s="31">
        <f>20+1</f>
        <v>21</v>
      </c>
      <c r="H687" s="14">
        <f>SUMIF(ENTRADAS71417[CÓDIGO],PRODUCTOS31316[[#This Row],[CÓDIGO]],ENTRADAS71417[CANTIDAD])</f>
        <v>72</v>
      </c>
      <c r="I687" s="11">
        <f>SUMIF(SALIDAS111518[CÓDIGO],PRODUCTOS31316[[#This Row],[CÓDIGO]],SALIDAS111518[CANTIDAD])</f>
        <v>65</v>
      </c>
      <c r="J687" s="6">
        <f>PRODUCTOS31316[[#This Row],[EXISTENCIAS]]+PRODUCTOS31316[[#This Row],[ENTRADAS]]-PRODUCTOS31316[[#This Row],[SALIDAS]]</f>
        <v>28</v>
      </c>
      <c r="L687" s="2"/>
      <c r="M687" s="2"/>
      <c r="N687" s="2">
        <v>7919</v>
      </c>
      <c r="O687" s="300" t="s">
        <v>4151</v>
      </c>
      <c r="P687" s="16">
        <v>46074</v>
      </c>
      <c r="Q687" s="2" t="s">
        <v>3037</v>
      </c>
      <c r="R687" s="2">
        <f>VLOOKUP(SALIDAS111518[[#This Row],[CÓDIGO]],PRODUCTOS31316[],2,FALSE)</f>
        <v>0</v>
      </c>
      <c r="S687" s="1" t="str">
        <f>VLOOKUP(SALIDAS111518[[#This Row],[CÓDIGO]],PRODUCTOS31316[],3,FALSE)</f>
        <v>FUNDA CON BOLSA DE COLECTA PARA EQUINOS</v>
      </c>
      <c r="T687" s="2">
        <v>1</v>
      </c>
      <c r="U687" s="2"/>
      <c r="V687" s="2"/>
      <c r="W687" s="2"/>
      <c r="X687" s="2"/>
      <c r="Y687" s="7"/>
      <c r="Z687" s="2"/>
      <c r="AA687" s="1"/>
      <c r="AC687" s="2"/>
      <c r="AE687" s="1"/>
      <c r="AG687" s="2"/>
    </row>
    <row r="688" spans="1:33" ht="49.95" customHeight="1" x14ac:dyDescent="0.3">
      <c r="A688" s="2" t="s">
        <v>2233</v>
      </c>
      <c r="C688" s="1" t="s">
        <v>2463</v>
      </c>
      <c r="D688" s="1" t="s">
        <v>156</v>
      </c>
      <c r="E688" s="1" t="s">
        <v>2020</v>
      </c>
      <c r="F688" s="1" t="s">
        <v>1918</v>
      </c>
      <c r="G688" s="2">
        <v>0</v>
      </c>
      <c r="H688" s="14">
        <f>SUMIF(ENTRADAS71417[CÓDIGO],PRODUCTOS31316[[#This Row],[CÓDIGO]],ENTRADAS71417[CANTIDAD])</f>
        <v>0</v>
      </c>
      <c r="I688" s="11">
        <f>SUMIF(SALIDAS111518[CÓDIGO],PRODUCTOS31316[[#This Row],[CÓDIGO]],SALIDAS111518[CANTIDAD])</f>
        <v>0</v>
      </c>
      <c r="J688" s="6">
        <f>PRODUCTOS31316[[#This Row],[EXISTENCIAS]]+PRODUCTOS31316[[#This Row],[ENTRADAS]]-PRODUCTOS31316[[#This Row],[SALIDAS]]</f>
        <v>0</v>
      </c>
      <c r="L688" s="2"/>
      <c r="M688" s="2"/>
      <c r="N688" s="2">
        <v>7919</v>
      </c>
      <c r="O688" s="300" t="s">
        <v>4151</v>
      </c>
      <c r="P688" s="16">
        <v>46074</v>
      </c>
      <c r="Q688" s="266" t="s">
        <v>741</v>
      </c>
      <c r="R688" s="2" t="str">
        <f>VLOOKUP(SALIDAS111518[[#This Row],[CÓDIGO]],PRODUCTOS31316[],2,FALSE)</f>
        <v>17209/1165</v>
      </c>
      <c r="S688" s="1" t="str">
        <f>VLOOKUP(SALIDAS111518[[#This Row],[CÓDIGO]],PRODUCTOS31316[],3,FALSE)</f>
        <v>PIPETA EQUINA 65CM</v>
      </c>
      <c r="T688" s="2">
        <v>2</v>
      </c>
      <c r="U688" s="2"/>
      <c r="V688" s="2"/>
      <c r="W688" s="2"/>
      <c r="X688" s="2"/>
      <c r="Y688" s="7"/>
      <c r="Z688" s="2"/>
      <c r="AA688" s="1"/>
      <c r="AC688" s="2"/>
      <c r="AE688" s="1"/>
      <c r="AG688" s="2"/>
    </row>
    <row r="689" spans="1:33" ht="49.95" customHeight="1" x14ac:dyDescent="0.3">
      <c r="A689" s="2" t="s">
        <v>2234</v>
      </c>
      <c r="B689" s="1" t="s">
        <v>2464</v>
      </c>
      <c r="C689" s="1" t="s">
        <v>2465</v>
      </c>
      <c r="D689" s="1" t="s">
        <v>2466</v>
      </c>
      <c r="E689" s="1" t="s">
        <v>177</v>
      </c>
      <c r="F689" s="1" t="s">
        <v>139</v>
      </c>
      <c r="G689" s="2">
        <v>0</v>
      </c>
      <c r="H689" s="14">
        <f>SUMIF(ENTRADAS71417[CÓDIGO],PRODUCTOS31316[[#This Row],[CÓDIGO]],ENTRADAS71417[CANTIDAD])</f>
        <v>0</v>
      </c>
      <c r="I689" s="11">
        <f>SUMIF(SALIDAS111518[CÓDIGO],PRODUCTOS31316[[#This Row],[CÓDIGO]],SALIDAS111518[CANTIDAD])</f>
        <v>0</v>
      </c>
      <c r="J689" s="6">
        <f>PRODUCTOS31316[[#This Row],[EXISTENCIAS]]+PRODUCTOS31316[[#This Row],[ENTRADAS]]-PRODUCTOS31316[[#This Row],[SALIDAS]]</f>
        <v>0</v>
      </c>
      <c r="L689" s="2"/>
      <c r="M689" s="2"/>
      <c r="N689" s="2">
        <v>7919</v>
      </c>
      <c r="O689" s="300" t="s">
        <v>4151</v>
      </c>
      <c r="P689" s="16">
        <v>46074</v>
      </c>
      <c r="Q689" s="301" t="s">
        <v>3376</v>
      </c>
      <c r="R689" s="2">
        <f>VLOOKUP(SALIDAS111518[[#This Row],[CÓDIGO]],PRODUCTOS31316[],2,FALSE)</f>
        <v>0</v>
      </c>
      <c r="S689" s="1" t="str">
        <f>VLOOKUP(SALIDAS111518[[#This Row],[CÓDIGO]],PRODUCTOS31316[],3,FALSE)</f>
        <v>TERMO DE 380 ML MAS CAMPO</v>
      </c>
      <c r="T689" s="2">
        <v>1</v>
      </c>
      <c r="U689" s="2"/>
      <c r="V689" s="2"/>
      <c r="W689" s="2"/>
      <c r="X689" s="2"/>
      <c r="Y689" s="7"/>
      <c r="Z689" s="2"/>
      <c r="AA689" s="1"/>
      <c r="AC689" s="2"/>
      <c r="AE689" s="1"/>
      <c r="AG689" s="2"/>
    </row>
    <row r="690" spans="1:33" ht="49.95" customHeight="1" x14ac:dyDescent="0.3">
      <c r="A690" s="2" t="s">
        <v>2235</v>
      </c>
      <c r="B690" s="1">
        <v>1868703</v>
      </c>
      <c r="C690" s="216" t="s">
        <v>1619</v>
      </c>
      <c r="D690" s="1" t="s">
        <v>1805</v>
      </c>
      <c r="E690" s="1" t="s">
        <v>1592</v>
      </c>
      <c r="F690" s="1" t="s">
        <v>2467</v>
      </c>
      <c r="G690" s="2">
        <v>4</v>
      </c>
      <c r="H690" s="14">
        <f>SUMIF(ENTRADAS71417[CÓDIGO],PRODUCTOS31316[[#This Row],[CÓDIGO]],ENTRADAS71417[CANTIDAD])</f>
        <v>6</v>
      </c>
      <c r="I690" s="11">
        <f>SUMIF(SALIDAS111518[CÓDIGO],PRODUCTOS31316[[#This Row],[CÓDIGO]],SALIDAS111518[CANTIDAD])</f>
        <v>5</v>
      </c>
      <c r="J690" s="6">
        <f>PRODUCTOS31316[[#This Row],[EXISTENCIAS]]+PRODUCTOS31316[[#This Row],[ENTRADAS]]-PRODUCTOS31316[[#This Row],[SALIDAS]]</f>
        <v>5</v>
      </c>
      <c r="L690" s="2"/>
      <c r="M690" s="2"/>
      <c r="N690" s="2">
        <v>7919</v>
      </c>
      <c r="O690" s="300" t="s">
        <v>4151</v>
      </c>
      <c r="P690" s="16">
        <v>46074</v>
      </c>
      <c r="Q690" s="301" t="s">
        <v>25</v>
      </c>
      <c r="R690" s="2">
        <f>VLOOKUP(SALIDAS111518[[#This Row],[CÓDIGO]],PRODUCTOS31316[],2,FALSE)</f>
        <v>0</v>
      </c>
      <c r="S690" s="1" t="str">
        <f>VLOOKUP(SALIDAS111518[[#This Row],[CÓDIGO]],PRODUCTOS31316[],3,FALSE)</f>
        <v>BOLSA TELA MAS CAMPO</v>
      </c>
      <c r="T690" s="2">
        <v>1</v>
      </c>
      <c r="U690" s="2"/>
      <c r="V690" s="2"/>
      <c r="W690" s="2"/>
      <c r="X690" s="2"/>
      <c r="Y690" s="7"/>
      <c r="Z690" s="2"/>
      <c r="AA690" s="1"/>
      <c r="AC690" s="2"/>
      <c r="AE690" s="1"/>
      <c r="AG690" s="2"/>
    </row>
    <row r="691" spans="1:33" ht="49.95" customHeight="1" x14ac:dyDescent="0.3">
      <c r="A691" s="2" t="s">
        <v>2236</v>
      </c>
      <c r="B691" s="1" t="s">
        <v>2468</v>
      </c>
      <c r="C691" s="1" t="s">
        <v>2469</v>
      </c>
      <c r="D691" s="1" t="s">
        <v>1125</v>
      </c>
      <c r="E691" s="1" t="s">
        <v>957</v>
      </c>
      <c r="F691" s="1" t="s">
        <v>30</v>
      </c>
      <c r="G691" s="2">
        <v>0</v>
      </c>
      <c r="H691" s="14">
        <f>SUMIF(ENTRADAS71417[CÓDIGO],PRODUCTOS31316[[#This Row],[CÓDIGO]],ENTRADAS71417[CANTIDAD])</f>
        <v>0</v>
      </c>
      <c r="I691" s="11">
        <f>SUMIF(SALIDAS111518[CÓDIGO],PRODUCTOS31316[[#This Row],[CÓDIGO]],SALIDAS111518[CANTIDAD])</f>
        <v>0</v>
      </c>
      <c r="J691" s="6">
        <f>PRODUCTOS31316[[#This Row],[EXISTENCIAS]]+PRODUCTOS31316[[#This Row],[ENTRADAS]]-PRODUCTOS31316[[#This Row],[SALIDAS]]</f>
        <v>0</v>
      </c>
      <c r="L691" s="2"/>
      <c r="M691" s="2"/>
      <c r="N691" s="2">
        <v>7919</v>
      </c>
      <c r="O691" s="300" t="s">
        <v>4151</v>
      </c>
      <c r="P691" s="16">
        <v>46074</v>
      </c>
      <c r="Q691" s="301" t="s">
        <v>3095</v>
      </c>
      <c r="R691" s="2">
        <f>VLOOKUP(SALIDAS111518[[#This Row],[CÓDIGO]],PRODUCTOS31316[],2,FALSE)</f>
        <v>0</v>
      </c>
      <c r="S691" s="1" t="str">
        <f>VLOOKUP(SALIDAS111518[[#This Row],[CÓDIGO]],PRODUCTOS31316[],3,FALSE)</f>
        <v>GORRA MAS CAMPO</v>
      </c>
      <c r="T691" s="2">
        <v>1</v>
      </c>
      <c r="U691" s="2"/>
      <c r="V691" s="2"/>
      <c r="W691" s="2"/>
      <c r="X691" s="2"/>
      <c r="Y691" s="7"/>
      <c r="Z691" s="2"/>
      <c r="AA691" s="1"/>
      <c r="AC691" s="2"/>
      <c r="AE691" s="1"/>
      <c r="AG691" s="2"/>
    </row>
    <row r="692" spans="1:33" ht="49.95" customHeight="1" x14ac:dyDescent="0.3">
      <c r="A692" s="2" t="s">
        <v>2240</v>
      </c>
      <c r="C692" s="1" t="s">
        <v>2470</v>
      </c>
      <c r="D692" s="1" t="s">
        <v>822</v>
      </c>
      <c r="E692" s="1" t="s">
        <v>1283</v>
      </c>
      <c r="F692" s="1" t="s">
        <v>306</v>
      </c>
      <c r="G692" s="2">
        <v>0</v>
      </c>
      <c r="H692" s="14">
        <f>SUMIF(ENTRADAS71417[CÓDIGO],PRODUCTOS31316[[#This Row],[CÓDIGO]],ENTRADAS71417[CANTIDAD])</f>
        <v>0</v>
      </c>
      <c r="I692" s="11">
        <f>SUMIF(SALIDAS111518[CÓDIGO],PRODUCTOS31316[[#This Row],[CÓDIGO]],SALIDAS111518[CANTIDAD])</f>
        <v>0</v>
      </c>
      <c r="J692" s="6">
        <f>PRODUCTOS31316[[#This Row],[EXISTENCIAS]]+PRODUCTOS31316[[#This Row],[ENTRADAS]]-PRODUCTOS31316[[#This Row],[SALIDAS]]</f>
        <v>0</v>
      </c>
      <c r="L692" s="2"/>
      <c r="M692" s="2"/>
      <c r="N692" s="2">
        <v>7919</v>
      </c>
      <c r="O692" s="300" t="s">
        <v>4151</v>
      </c>
      <c r="P692" s="16">
        <v>46074</v>
      </c>
      <c r="Q692" s="301" t="s">
        <v>3645</v>
      </c>
      <c r="R692" s="2">
        <f>VLOOKUP(SALIDAS111518[[#This Row],[CÓDIGO]],PRODUCTOS31316[],2,FALSE)</f>
        <v>0</v>
      </c>
      <c r="S692" s="1" t="str">
        <f>VLOOKUP(SALIDAS111518[[#This Row],[CÓDIGO]],PRODUCTOS31316[],3,FALSE)</f>
        <v>AGENDA MAS CAMPO</v>
      </c>
      <c r="T692" s="2">
        <v>1</v>
      </c>
      <c r="U692" s="2"/>
      <c r="V692" s="2"/>
      <c r="W692" s="2"/>
      <c r="X692" s="2"/>
      <c r="Y692" s="7"/>
      <c r="Z692" s="2"/>
      <c r="AA692" s="1"/>
      <c r="AC692" s="2"/>
      <c r="AE692" s="1"/>
      <c r="AG692" s="2"/>
    </row>
    <row r="693" spans="1:33" ht="49.95" customHeight="1" x14ac:dyDescent="0.3">
      <c r="A693" s="2" t="s">
        <v>2239</v>
      </c>
      <c r="B693" s="1" t="s">
        <v>2471</v>
      </c>
      <c r="C693" s="1" t="s">
        <v>2472</v>
      </c>
      <c r="D693" s="1" t="s">
        <v>1019</v>
      </c>
      <c r="E693" s="1" t="s">
        <v>177</v>
      </c>
      <c r="F693" s="1" t="s">
        <v>62</v>
      </c>
      <c r="G693" s="2">
        <v>0</v>
      </c>
      <c r="H693" s="14">
        <f>SUMIF(ENTRADAS71417[CÓDIGO],PRODUCTOS31316[[#This Row],[CÓDIGO]],ENTRADAS71417[CANTIDAD])</f>
        <v>0</v>
      </c>
      <c r="I693" s="11">
        <f>SUMIF(SALIDAS111518[CÓDIGO],PRODUCTOS31316[[#This Row],[CÓDIGO]],SALIDAS111518[CANTIDAD])</f>
        <v>0</v>
      </c>
      <c r="J693" s="6">
        <f>PRODUCTOS31316[[#This Row],[EXISTENCIAS]]+PRODUCTOS31316[[#This Row],[ENTRADAS]]-PRODUCTOS31316[[#This Row],[SALIDAS]]</f>
        <v>0</v>
      </c>
      <c r="L693" s="2"/>
      <c r="M693" s="2"/>
      <c r="N693" s="2">
        <v>7919</v>
      </c>
      <c r="O693" s="300" t="s">
        <v>4151</v>
      </c>
      <c r="P693" s="16">
        <v>46074</v>
      </c>
      <c r="Q693" s="301" t="s">
        <v>3649</v>
      </c>
      <c r="R693" s="2">
        <f>VLOOKUP(SALIDAS111518[[#This Row],[CÓDIGO]],PRODUCTOS31316[],2,FALSE)</f>
        <v>0</v>
      </c>
      <c r="S693" s="1" t="str">
        <f>VLOOKUP(SALIDAS111518[[#This Row],[CÓDIGO]],PRODUCTOS31316[],3,FALSE)</f>
        <v>ESFEROS MAS CAMPO</v>
      </c>
      <c r="T693" s="2">
        <v>1</v>
      </c>
      <c r="U693" s="2"/>
      <c r="V693" s="2"/>
      <c r="W693" s="2"/>
      <c r="X693" s="2"/>
      <c r="Y693" s="7"/>
      <c r="Z693" s="2"/>
      <c r="AA693" s="1"/>
      <c r="AC693" s="2"/>
      <c r="AE693" s="1"/>
      <c r="AG693" s="2"/>
    </row>
    <row r="694" spans="1:33" ht="49.95" customHeight="1" x14ac:dyDescent="0.3">
      <c r="A694" s="2" t="s">
        <v>2244</v>
      </c>
      <c r="C694" s="1" t="s">
        <v>2473</v>
      </c>
      <c r="D694" s="1" t="s">
        <v>467</v>
      </c>
      <c r="E694" s="1" t="s">
        <v>467</v>
      </c>
      <c r="F694" s="1" t="s">
        <v>30</v>
      </c>
      <c r="G694" s="2">
        <v>0</v>
      </c>
      <c r="H694" s="14">
        <f>SUMIF(ENTRADAS71417[CÓDIGO],PRODUCTOS31316[[#This Row],[CÓDIGO]],ENTRADAS71417[CANTIDAD])</f>
        <v>0</v>
      </c>
      <c r="I694" s="11">
        <f>SUMIF(SALIDAS111518[CÓDIGO],PRODUCTOS31316[[#This Row],[CÓDIGO]],SALIDAS111518[CANTIDAD])</f>
        <v>0</v>
      </c>
      <c r="J694" s="6">
        <f>PRODUCTOS31316[[#This Row],[EXISTENCIAS]]+PRODUCTOS31316[[#This Row],[ENTRADAS]]-PRODUCTOS31316[[#This Row],[SALIDAS]]</f>
        <v>0</v>
      </c>
      <c r="L694" s="276" t="s">
        <v>3520</v>
      </c>
      <c r="M694" s="276" t="s">
        <v>3653</v>
      </c>
      <c r="N694" s="344" t="s">
        <v>4786</v>
      </c>
      <c r="O694" s="2" t="s">
        <v>3518</v>
      </c>
      <c r="P694" s="16">
        <v>46128</v>
      </c>
      <c r="Q694" s="276" t="s">
        <v>397</v>
      </c>
      <c r="R694" s="2">
        <f>VLOOKUP(SALIDAS111518[[#This Row],[CÓDIGO]],PRODUCTOS31316[],2,FALSE)</f>
        <v>509013</v>
      </c>
      <c r="S694" s="1" t="str">
        <f>VLOOKUP(SALIDAS111518[[#This Row],[CÓDIGO]],PRODUCTOS31316[],3,FALSE)</f>
        <v>CAMISA SANITARIA PARA PROBE RECTAL</v>
      </c>
      <c r="T694" s="2">
        <v>4</v>
      </c>
      <c r="U694" s="2">
        <v>69</v>
      </c>
      <c r="V694" s="2"/>
      <c r="W694" s="276" t="s">
        <v>3412</v>
      </c>
      <c r="X694" s="2"/>
      <c r="Y694" s="7"/>
      <c r="Z694" s="2"/>
      <c r="AA694" s="1"/>
      <c r="AC694" s="2"/>
      <c r="AE694" s="1"/>
      <c r="AG694" s="2"/>
    </row>
    <row r="695" spans="1:33" ht="49.95" customHeight="1" x14ac:dyDescent="0.3">
      <c r="A695" s="2" t="s">
        <v>2245</v>
      </c>
      <c r="C695" s="1" t="s">
        <v>2474</v>
      </c>
      <c r="D695" s="1" t="s">
        <v>467</v>
      </c>
      <c r="E695" s="1" t="s">
        <v>467</v>
      </c>
      <c r="F695" s="1" t="s">
        <v>30</v>
      </c>
      <c r="G695" s="2">
        <v>0</v>
      </c>
      <c r="H695" s="14">
        <f>SUMIF(ENTRADAS71417[CÓDIGO],PRODUCTOS31316[[#This Row],[CÓDIGO]],ENTRADAS71417[CANTIDAD])</f>
        <v>0</v>
      </c>
      <c r="I695" s="11">
        <f>SUMIF(SALIDAS111518[CÓDIGO],PRODUCTOS31316[[#This Row],[CÓDIGO]],SALIDAS111518[CANTIDAD])</f>
        <v>0</v>
      </c>
      <c r="J695" s="6">
        <f>PRODUCTOS31316[[#This Row],[EXISTENCIAS]]+PRODUCTOS31316[[#This Row],[ENTRADAS]]-PRODUCTOS31316[[#This Row],[SALIDAS]]</f>
        <v>0</v>
      </c>
      <c r="L695" s="2" t="s">
        <v>3520</v>
      </c>
      <c r="M695" s="2" t="s">
        <v>3653</v>
      </c>
      <c r="N695" s="290" t="s">
        <v>4025</v>
      </c>
      <c r="O695" s="2" t="s">
        <v>2256</v>
      </c>
      <c r="P695" s="16">
        <v>46049</v>
      </c>
      <c r="Q695" s="2" t="s">
        <v>648</v>
      </c>
      <c r="R695" s="2" t="str">
        <f>VLOOKUP(SALIDAS111518[[#This Row],[CÓDIGO]],PRODUCTOS31316[],2,FALSE)</f>
        <v>S5</v>
      </c>
      <c r="S695" s="1" t="str">
        <f>VLOOKUP(SALIDAS111518[[#This Row],[CÓDIGO]],PRODUCTOS31316[],3,FALSE)</f>
        <v>SONDA S5 UNIDAD PRINCIPAL CON SONDA LINEAL RECTAL</v>
      </c>
      <c r="T695" s="2">
        <v>1</v>
      </c>
      <c r="U695" s="290" t="s">
        <v>4026</v>
      </c>
      <c r="V695" s="2"/>
      <c r="W695" s="2"/>
      <c r="X695" s="2"/>
      <c r="Y695" s="7"/>
      <c r="Z695" s="2"/>
      <c r="AA695" s="1"/>
      <c r="AC695" s="2"/>
      <c r="AE695" s="1"/>
      <c r="AG695" s="2"/>
    </row>
    <row r="696" spans="1:33" ht="49.95" customHeight="1" x14ac:dyDescent="0.3">
      <c r="A696" s="2" t="s">
        <v>2246</v>
      </c>
      <c r="B696" s="1" t="s">
        <v>2475</v>
      </c>
      <c r="C696" s="216" t="s">
        <v>2476</v>
      </c>
      <c r="D696" s="1" t="s">
        <v>677</v>
      </c>
      <c r="E696" s="1" t="s">
        <v>677</v>
      </c>
      <c r="F696" s="1" t="s">
        <v>678</v>
      </c>
      <c r="G696" s="31">
        <v>64</v>
      </c>
      <c r="H696" s="14">
        <f>SUMIF(ENTRADAS71417[CÓDIGO],PRODUCTOS31316[[#This Row],[CÓDIGO]],ENTRADAS71417[CANTIDAD])</f>
        <v>420</v>
      </c>
      <c r="I696" s="11">
        <f>SUMIF(SALIDAS111518[CÓDIGO],PRODUCTOS31316[[#This Row],[CÓDIGO]],SALIDAS111518[CANTIDAD])</f>
        <v>503</v>
      </c>
      <c r="J696" s="6">
        <f>PRODUCTOS31316[[#This Row],[EXISTENCIAS]]+PRODUCTOS31316[[#This Row],[ENTRADAS]]-PRODUCTOS31316[[#This Row],[SALIDAS]]</f>
        <v>-19</v>
      </c>
      <c r="L696" s="2"/>
      <c r="M696" s="2"/>
      <c r="N696" s="2">
        <v>7791</v>
      </c>
      <c r="O696" s="2" t="s">
        <v>2256</v>
      </c>
      <c r="P696" s="16">
        <v>46049</v>
      </c>
      <c r="Q696" s="2" t="s">
        <v>3791</v>
      </c>
      <c r="R696" s="2">
        <f>VLOOKUP(SALIDAS111518[[#This Row],[CÓDIGO]],PRODUCTOS31316[],2,FALSE)</f>
        <v>6936520864546</v>
      </c>
      <c r="S696" s="1" t="str">
        <f>VLOOKUP(SALIDAS111518[[#This Row],[CÓDIGO]],PRODUCTOS31316[],3,FALSE)</f>
        <v>TABLET 11" HONOR PAD X8A 128 GB</v>
      </c>
      <c r="T696" s="2">
        <v>1</v>
      </c>
      <c r="U696" s="2"/>
      <c r="V696" s="2"/>
      <c r="W696" s="2"/>
      <c r="X696" s="2"/>
      <c r="Y696" s="7"/>
      <c r="Z696" s="2"/>
      <c r="AA696" s="1"/>
      <c r="AC696" s="2"/>
      <c r="AE696" s="1"/>
      <c r="AG696" s="2"/>
    </row>
    <row r="697" spans="1:33" ht="49.95" customHeight="1" x14ac:dyDescent="0.3">
      <c r="A697" s="2" t="s">
        <v>2248</v>
      </c>
      <c r="B697" s="1">
        <v>43300024</v>
      </c>
      <c r="C697" s="1" t="s">
        <v>2477</v>
      </c>
      <c r="D697" s="1" t="s">
        <v>1424</v>
      </c>
      <c r="E697" s="1" t="s">
        <v>2247</v>
      </c>
      <c r="F697" s="1" t="s">
        <v>365</v>
      </c>
      <c r="G697" s="2">
        <v>0</v>
      </c>
      <c r="H697" s="14">
        <f>SUMIF(ENTRADAS71417[CÓDIGO],PRODUCTOS31316[[#This Row],[CÓDIGO]],ENTRADAS71417[CANTIDAD])</f>
        <v>0</v>
      </c>
      <c r="I697" s="11">
        <f>SUMIF(SALIDAS111518[CÓDIGO],PRODUCTOS31316[[#This Row],[CÓDIGO]],SALIDAS111518[CANTIDAD])</f>
        <v>0</v>
      </c>
      <c r="J697" s="6">
        <f>PRODUCTOS31316[[#This Row],[EXISTENCIAS]]+PRODUCTOS31316[[#This Row],[ENTRADAS]]-PRODUCTOS31316[[#This Row],[SALIDAS]]</f>
        <v>0</v>
      </c>
      <c r="L697" s="2"/>
      <c r="M697" s="2"/>
      <c r="N697" s="2">
        <v>7791</v>
      </c>
      <c r="O697" s="2" t="s">
        <v>2256</v>
      </c>
      <c r="P697" s="16">
        <v>46049</v>
      </c>
      <c r="Q697" s="2" t="s">
        <v>3286</v>
      </c>
      <c r="R697" s="2">
        <f>VLOOKUP(SALIDAS111518[[#This Row],[CÓDIGO]],PRODUCTOS31316[],2,FALSE)</f>
        <v>0</v>
      </c>
      <c r="S697" s="1" t="str">
        <f>VLOOKUP(SALIDAS111518[[#This Row],[CÓDIGO]],PRODUCTOS31316[],3,FALSE)</f>
        <v>CARCASA TABLET BMV</v>
      </c>
      <c r="T697" s="2">
        <v>1</v>
      </c>
      <c r="U697" s="2"/>
      <c r="V697" s="2"/>
      <c r="W697" s="2"/>
      <c r="X697" s="2"/>
      <c r="Y697" s="7"/>
      <c r="Z697" s="2"/>
      <c r="AA697" s="1"/>
      <c r="AC697" s="2"/>
      <c r="AE697" s="1"/>
      <c r="AG697" s="2"/>
    </row>
    <row r="698" spans="1:33" ht="49.95" customHeight="1" x14ac:dyDescent="0.3">
      <c r="A698" s="2" t="s">
        <v>2304</v>
      </c>
      <c r="C698" s="1" t="s">
        <v>2478</v>
      </c>
      <c r="D698" s="1" t="s">
        <v>442</v>
      </c>
      <c r="E698" s="1" t="s">
        <v>442</v>
      </c>
      <c r="F698" s="1" t="s">
        <v>30</v>
      </c>
      <c r="G698" s="2">
        <v>0</v>
      </c>
      <c r="H698" s="14">
        <f>SUMIF(ENTRADAS71417[CÓDIGO],PRODUCTOS31316[[#This Row],[CÓDIGO]],ENTRADAS71417[CANTIDAD])</f>
        <v>0</v>
      </c>
      <c r="I698" s="11">
        <f>SUMIF(SALIDAS111518[CÓDIGO],PRODUCTOS31316[[#This Row],[CÓDIGO]],SALIDAS111518[CANTIDAD])</f>
        <v>0</v>
      </c>
      <c r="J698" s="6">
        <f>PRODUCTOS31316[[#This Row],[EXISTENCIAS]]+PRODUCTOS31316[[#This Row],[ENTRADAS]]-PRODUCTOS31316[[#This Row],[SALIDAS]]</f>
        <v>0</v>
      </c>
      <c r="L698" s="2"/>
      <c r="M698" s="2"/>
      <c r="N698" s="2">
        <v>7791</v>
      </c>
      <c r="O698" s="2" t="s">
        <v>2256</v>
      </c>
      <c r="P698" s="16">
        <v>46044</v>
      </c>
      <c r="Q698" s="2" t="s">
        <v>63</v>
      </c>
      <c r="R698" s="2">
        <f>VLOOKUP(SALIDAS111518[[#This Row],[CÓDIGO]],PRODUCTOS31316[],2,FALSE)</f>
        <v>25458</v>
      </c>
      <c r="S698" s="1" t="str">
        <f>VLOOKUP(SALIDAS111518[[#This Row],[CÓDIGO]],PRODUCTOS31316[],3,FALSE)</f>
        <v>FILTROS PARA OPU 100 UL</v>
      </c>
      <c r="T698" s="2">
        <v>1</v>
      </c>
      <c r="U698" s="2"/>
      <c r="V698" s="2"/>
      <c r="W698" s="2"/>
      <c r="X698" s="2"/>
      <c r="Y698" s="7"/>
      <c r="Z698" s="2"/>
      <c r="AA698" s="1"/>
      <c r="AC698" s="2"/>
      <c r="AE698" s="1"/>
      <c r="AG698" s="2"/>
    </row>
    <row r="699" spans="1:33" ht="49.95" customHeight="1" x14ac:dyDescent="0.3">
      <c r="A699" s="2" t="s">
        <v>2250</v>
      </c>
      <c r="B699" s="1">
        <v>181550</v>
      </c>
      <c r="C699" s="182" t="s">
        <v>2479</v>
      </c>
      <c r="D699" s="126" t="s">
        <v>1125</v>
      </c>
      <c r="E699" s="1" t="s">
        <v>957</v>
      </c>
      <c r="F699" s="1" t="s">
        <v>30</v>
      </c>
      <c r="G699" s="2">
        <v>0</v>
      </c>
      <c r="H699" s="14">
        <f>SUMIF(ENTRADAS71417[CÓDIGO],PRODUCTOS31316[[#This Row],[CÓDIGO]],ENTRADAS71417[CANTIDAD])</f>
        <v>0</v>
      </c>
      <c r="I699" s="11">
        <f>SUMIF(SALIDAS111518[CÓDIGO],PRODUCTOS31316[[#This Row],[CÓDIGO]],SALIDAS111518[CANTIDAD])</f>
        <v>0</v>
      </c>
      <c r="J699" s="6">
        <f>PRODUCTOS31316[[#This Row],[EXISTENCIAS]]+PRODUCTOS31316[[#This Row],[ENTRADAS]]-PRODUCTOS31316[[#This Row],[SALIDAS]]</f>
        <v>0</v>
      </c>
      <c r="L699" s="2"/>
      <c r="M699" s="2"/>
      <c r="N699" s="2">
        <v>7791</v>
      </c>
      <c r="O699" s="2" t="s">
        <v>2256</v>
      </c>
      <c r="P699" s="16">
        <v>46044</v>
      </c>
      <c r="Q699" s="2" t="s">
        <v>969</v>
      </c>
      <c r="R699" s="2">
        <f>VLOOKUP(SALIDAS111518[[#This Row],[CÓDIGO]],PRODUCTOS31316[],2,FALSE)</f>
        <v>13316</v>
      </c>
      <c r="S699" s="1" t="str">
        <f>VLOOKUP(SALIDAS111518[[#This Row],[CÓDIGO]],PRODUCTOS31316[],3,FALSE)</f>
        <v>AGUJA PARA ASPIRACIÓN 20G</v>
      </c>
      <c r="T699" s="2">
        <v>40</v>
      </c>
      <c r="U699" s="2"/>
      <c r="V699" s="2"/>
      <c r="W699" s="2"/>
      <c r="X699" s="2"/>
      <c r="Y699" s="7"/>
      <c r="Z699" s="2"/>
      <c r="AA699" s="1"/>
      <c r="AC699" s="2"/>
      <c r="AE699" s="1"/>
      <c r="AG699" s="2"/>
    </row>
    <row r="700" spans="1:33" ht="49.95" customHeight="1" x14ac:dyDescent="0.3">
      <c r="A700" s="2" t="s">
        <v>2251</v>
      </c>
      <c r="B700" s="1">
        <v>7240</v>
      </c>
      <c r="C700" s="216" t="s">
        <v>2480</v>
      </c>
      <c r="D700" s="1" t="s">
        <v>156</v>
      </c>
      <c r="E700" s="1" t="s">
        <v>2020</v>
      </c>
      <c r="F700" s="1" t="s">
        <v>30</v>
      </c>
      <c r="G700" s="31">
        <f>1+1</f>
        <v>2</v>
      </c>
      <c r="H700" s="14">
        <f>SUMIF(ENTRADAS71417[CÓDIGO],PRODUCTOS31316[[#This Row],[CÓDIGO]],ENTRADAS71417[CANTIDAD])</f>
        <v>21</v>
      </c>
      <c r="I700" s="11">
        <f>SUMIF(SALIDAS111518[CÓDIGO],PRODUCTOS31316[[#This Row],[CÓDIGO]],SALIDAS111518[CANTIDAD])</f>
        <v>23</v>
      </c>
      <c r="J700" s="6">
        <f>PRODUCTOS31316[[#This Row],[EXISTENCIAS]]+PRODUCTOS31316[[#This Row],[ENTRADAS]]-PRODUCTOS31316[[#This Row],[SALIDAS]]</f>
        <v>0</v>
      </c>
      <c r="L700" s="2"/>
      <c r="M700" s="2"/>
      <c r="N700" s="2">
        <v>7791</v>
      </c>
      <c r="O700" s="2" t="s">
        <v>2256</v>
      </c>
      <c r="P700" s="16">
        <v>46044</v>
      </c>
      <c r="Q700" s="2" t="s">
        <v>33</v>
      </c>
      <c r="R700" s="2" t="str">
        <f>VLOOKUP(SALIDAS111518[[#This Row],[CÓDIGO]],PRODUCTOS31316[],2,FALSE)</f>
        <v>LA-120 /506003</v>
      </c>
      <c r="S700" s="1" t="str">
        <f>VLOOKUP(SALIDAS111518[[#This Row],[CÓDIGO]],PRODUCTOS31316[],3,FALSE)</f>
        <v>LíNEA PARA OPU 1,2 METROS</v>
      </c>
      <c r="T700" s="15">
        <v>1</v>
      </c>
      <c r="U700" s="2"/>
      <c r="V700" s="2"/>
      <c r="W700" s="2"/>
      <c r="X700" s="2"/>
      <c r="Y700" s="7"/>
      <c r="Z700" s="2"/>
      <c r="AA700" s="1"/>
      <c r="AC700" s="2"/>
      <c r="AE700" s="1"/>
      <c r="AG700" s="2"/>
    </row>
    <row r="701" spans="1:33" ht="49.95" customHeight="1" x14ac:dyDescent="0.3">
      <c r="A701" s="2" t="s">
        <v>2252</v>
      </c>
      <c r="B701" s="1">
        <v>24857</v>
      </c>
      <c r="C701" s="1" t="s">
        <v>2481</v>
      </c>
      <c r="D701" s="1" t="s">
        <v>156</v>
      </c>
      <c r="E701" s="1" t="s">
        <v>2020</v>
      </c>
      <c r="F701" s="1" t="s">
        <v>30</v>
      </c>
      <c r="G701" s="31">
        <f>3+1</f>
        <v>4</v>
      </c>
      <c r="H701" s="14">
        <f>SUMIF(ENTRADAS71417[CÓDIGO],PRODUCTOS31316[[#This Row],[CÓDIGO]],ENTRADAS71417[CANTIDAD])</f>
        <v>2</v>
      </c>
      <c r="I701" s="11">
        <f>SUMIF(SALIDAS111518[CÓDIGO],PRODUCTOS31316[[#This Row],[CÓDIGO]],SALIDAS111518[CANTIDAD])</f>
        <v>3</v>
      </c>
      <c r="J701" s="6">
        <f>PRODUCTOS31316[[#This Row],[EXISTENCIAS]]+PRODUCTOS31316[[#This Row],[ENTRADAS]]-PRODUCTOS31316[[#This Row],[SALIDAS]]</f>
        <v>3</v>
      </c>
      <c r="L701" s="2" t="s">
        <v>3520</v>
      </c>
      <c r="M701" s="2" t="s">
        <v>3653</v>
      </c>
      <c r="N701" s="283" t="s">
        <v>3882</v>
      </c>
      <c r="O701" s="283" t="s">
        <v>3846</v>
      </c>
      <c r="P701" s="16">
        <v>46049</v>
      </c>
      <c r="Q701" s="2" t="s">
        <v>153</v>
      </c>
      <c r="R701" s="2">
        <f>VLOOKUP(SALIDAS111518[[#This Row],[CÓDIGO]],PRODUCTOS31316[],2,FALSE)</f>
        <v>1132</v>
      </c>
      <c r="S701" s="1" t="str">
        <f>VLOOKUP(SALIDAS111518[[#This Row],[CÓDIGO]],PRODUCTOS31316[],3,FALSE)</f>
        <v>PISTOLA QUICKLOCK CLASIC</v>
      </c>
      <c r="T701" s="2">
        <v>1</v>
      </c>
      <c r="U701" s="2">
        <v>133</v>
      </c>
      <c r="V701" s="2"/>
      <c r="W701" s="2"/>
      <c r="X701" s="2"/>
      <c r="Y701" s="7"/>
      <c r="Z701" s="2"/>
      <c r="AA701" s="1"/>
      <c r="AC701" s="2"/>
      <c r="AE701" s="1"/>
      <c r="AG701" s="2"/>
    </row>
    <row r="702" spans="1:33" ht="49.95" customHeight="1" x14ac:dyDescent="0.3">
      <c r="A702" s="2" t="s">
        <v>2253</v>
      </c>
      <c r="B702" s="1">
        <v>26218</v>
      </c>
      <c r="C702" s="216" t="s">
        <v>2482</v>
      </c>
      <c r="D702" s="1" t="s">
        <v>156</v>
      </c>
      <c r="E702" s="1" t="s">
        <v>2020</v>
      </c>
      <c r="F702" s="1" t="s">
        <v>731</v>
      </c>
      <c r="G702" s="2">
        <v>0</v>
      </c>
      <c r="H702" s="14">
        <f>SUMIF(ENTRADAS71417[CÓDIGO],PRODUCTOS31316[[#This Row],[CÓDIGO]],ENTRADAS71417[CANTIDAD])</f>
        <v>15</v>
      </c>
      <c r="I702" s="11">
        <f>SUMIF(SALIDAS111518[CÓDIGO],PRODUCTOS31316[[#This Row],[CÓDIGO]],SALIDAS111518[CANTIDAD])</f>
        <v>16</v>
      </c>
      <c r="J702" s="6">
        <f>PRODUCTOS31316[[#This Row],[EXISTENCIAS]]+PRODUCTOS31316[[#This Row],[ENTRADAS]]-PRODUCTOS31316[[#This Row],[SALIDAS]]</f>
        <v>-1</v>
      </c>
      <c r="L702" s="2"/>
      <c r="M702" s="2"/>
      <c r="N702" s="2">
        <v>7776</v>
      </c>
      <c r="O702" s="283" t="s">
        <v>3846</v>
      </c>
      <c r="P702" s="16">
        <v>46049</v>
      </c>
      <c r="Q702" s="2" t="s">
        <v>438</v>
      </c>
      <c r="R702" s="2">
        <f>VLOOKUP(SALIDAS111518[[#This Row],[CÓDIGO]],PRODUCTOS31316[],2,FALSE)</f>
        <v>18421</v>
      </c>
      <c r="S702" s="1" t="str">
        <f>VLOOKUP(SALIDAS111518[[#This Row],[CÓDIGO]],PRODUCTOS31316[],3,FALSE)</f>
        <v xml:space="preserve">PISTOLA DE TRANSFERENCIA DE EMBRIONES 0,25 / BLOQUEO AUTOMÁTICO </v>
      </c>
      <c r="T702" s="2">
        <v>1</v>
      </c>
      <c r="U702" s="2"/>
      <c r="V702" s="2"/>
      <c r="W702" s="2"/>
      <c r="X702" s="2"/>
      <c r="Y702" s="7"/>
      <c r="Z702" s="2"/>
      <c r="AA702" s="1"/>
      <c r="AC702" s="2"/>
      <c r="AE702" s="1"/>
      <c r="AG702" s="2"/>
    </row>
    <row r="703" spans="1:33" ht="49.95" customHeight="1" x14ac:dyDescent="0.3">
      <c r="A703" s="2" t="s">
        <v>2254</v>
      </c>
      <c r="B703" s="1">
        <v>6935</v>
      </c>
      <c r="C703" s="100" t="s">
        <v>2952</v>
      </c>
      <c r="D703" s="1" t="s">
        <v>156</v>
      </c>
      <c r="E703" s="1" t="s">
        <v>2020</v>
      </c>
      <c r="F703" s="1" t="s">
        <v>30</v>
      </c>
      <c r="G703" s="2">
        <v>2</v>
      </c>
      <c r="H703" s="14">
        <f>SUMIF(ENTRADAS71417[CÓDIGO],PRODUCTOS31316[[#This Row],[CÓDIGO]],ENTRADAS71417[CANTIDAD])</f>
        <v>3</v>
      </c>
      <c r="I703" s="11">
        <f>SUMIF(SALIDAS111518[CÓDIGO],PRODUCTOS31316[[#This Row],[CÓDIGO]],SALIDAS111518[CANTIDAD])</f>
        <v>4</v>
      </c>
      <c r="J703" s="6">
        <f>PRODUCTOS31316[[#This Row],[EXISTENCIAS]]+PRODUCTOS31316[[#This Row],[ENTRADAS]]-PRODUCTOS31316[[#This Row],[SALIDAS]]</f>
        <v>1</v>
      </c>
      <c r="L703" s="2"/>
      <c r="M703" s="2"/>
      <c r="N703" s="2">
        <v>7776</v>
      </c>
      <c r="O703" s="283" t="s">
        <v>3846</v>
      </c>
      <c r="P703" s="16">
        <v>46049</v>
      </c>
      <c r="Q703" s="2" t="s">
        <v>2364</v>
      </c>
      <c r="R703" s="2">
        <f>VLOOKUP(SALIDAS111518[[#This Row],[CÓDIGO]],PRODUCTOS31316[],2,FALSE)</f>
        <v>0</v>
      </c>
      <c r="S703" s="1" t="str">
        <f>VLOOKUP(SALIDAS111518[[#This Row],[CÓDIGO]],PRODUCTOS31316[],3,FALSE)</f>
        <v>CORTAPAJILLAS WTA</v>
      </c>
      <c r="T703" s="2">
        <v>1</v>
      </c>
      <c r="U703" s="2"/>
      <c r="V703" s="2"/>
      <c r="W703" s="2"/>
      <c r="X703" s="2"/>
      <c r="Y703" s="7"/>
      <c r="Z703" s="2"/>
      <c r="AA703" s="1"/>
      <c r="AC703" s="2"/>
      <c r="AE703" s="1"/>
      <c r="AG703" s="2"/>
    </row>
    <row r="704" spans="1:33" ht="49.95" customHeight="1" x14ac:dyDescent="0.3">
      <c r="A704" s="2" t="s">
        <v>2255</v>
      </c>
      <c r="B704" s="1">
        <v>6459</v>
      </c>
      <c r="C704" s="1" t="s">
        <v>2483</v>
      </c>
      <c r="D704" s="1" t="s">
        <v>156</v>
      </c>
      <c r="E704" s="1" t="s">
        <v>2020</v>
      </c>
      <c r="F704" s="1" t="s">
        <v>30</v>
      </c>
      <c r="G704" s="2">
        <v>0</v>
      </c>
      <c r="H704" s="14">
        <f>SUMIF(ENTRADAS71417[CÓDIGO],PRODUCTOS31316[[#This Row],[CÓDIGO]],ENTRADAS71417[CANTIDAD])</f>
        <v>80</v>
      </c>
      <c r="I704" s="11">
        <f>SUMIF(SALIDAS111518[CÓDIGO],PRODUCTOS31316[[#This Row],[CÓDIGO]],SALIDAS111518[CANTIDAD])</f>
        <v>0</v>
      </c>
      <c r="J704" s="6">
        <f>PRODUCTOS31316[[#This Row],[EXISTENCIAS]]+PRODUCTOS31316[[#This Row],[ENTRADAS]]-PRODUCTOS31316[[#This Row],[SALIDAS]]</f>
        <v>80</v>
      </c>
      <c r="L704" s="2"/>
      <c r="M704" s="2"/>
      <c r="N704" s="2">
        <v>7776</v>
      </c>
      <c r="O704" s="283" t="s">
        <v>3846</v>
      </c>
      <c r="P704" s="16">
        <v>46049</v>
      </c>
      <c r="Q704" s="2" t="s">
        <v>2755</v>
      </c>
      <c r="R704" s="2" t="str">
        <f>VLOOKUP(SALIDAS111518[[#This Row],[CÓDIGO]],PRODUCTOS31316[],2,FALSE)</f>
        <v>MSLDO05</v>
      </c>
      <c r="S704" s="1" t="str">
        <f>VLOOKUP(SALIDAS111518[[#This Row],[CÓDIGO]],PRODUCTOS31316[],3,FALSE)</f>
        <v>TERMO DE RECOLECCIÓN DE SEMEN/ USO VETERINARIO</v>
      </c>
      <c r="T704" s="2">
        <v>1</v>
      </c>
      <c r="U704" s="2"/>
      <c r="V704" s="2"/>
      <c r="W704" s="2"/>
      <c r="X704" s="2"/>
      <c r="Y704" s="7"/>
      <c r="Z704" s="2"/>
      <c r="AA704" s="1"/>
      <c r="AC704" s="2"/>
      <c r="AE704" s="1"/>
      <c r="AG704" s="2"/>
    </row>
    <row r="705" spans="1:33" ht="49.95" customHeight="1" x14ac:dyDescent="0.3">
      <c r="A705" s="2" t="s">
        <v>2242</v>
      </c>
      <c r="C705" s="1" t="s">
        <v>2484</v>
      </c>
      <c r="D705" s="1" t="s">
        <v>467</v>
      </c>
      <c r="E705" s="1" t="s">
        <v>467</v>
      </c>
      <c r="F705" s="1" t="s">
        <v>30</v>
      </c>
      <c r="G705" s="2">
        <v>0</v>
      </c>
      <c r="H705" s="14">
        <f>SUMIF(ENTRADAS71417[CÓDIGO],PRODUCTOS31316[[#This Row],[CÓDIGO]],ENTRADAS71417[CANTIDAD])</f>
        <v>0</v>
      </c>
      <c r="I705" s="11">
        <f>SUMIF(SALIDAS111518[CÓDIGO],PRODUCTOS31316[[#This Row],[CÓDIGO]],SALIDAS111518[CANTIDAD])</f>
        <v>0</v>
      </c>
      <c r="J705" s="6">
        <f>PRODUCTOS31316[[#This Row],[EXISTENCIAS]]+PRODUCTOS31316[[#This Row],[ENTRADAS]]-PRODUCTOS31316[[#This Row],[SALIDAS]]</f>
        <v>0</v>
      </c>
      <c r="L705" s="2"/>
      <c r="M705" s="2"/>
      <c r="N705" s="2">
        <v>7776</v>
      </c>
      <c r="O705" s="283" t="s">
        <v>3846</v>
      </c>
      <c r="P705" s="16">
        <v>46049</v>
      </c>
      <c r="Q705" s="2" t="s">
        <v>1779</v>
      </c>
      <c r="R705" s="2">
        <f>VLOOKUP(SALIDAS111518[[#This Row],[CÓDIGO]],PRODUCTOS31316[],2,FALSE)</f>
        <v>5563</v>
      </c>
      <c r="S705" s="1" t="str">
        <f>VLOOKUP(SALIDAS111518[[#This Row],[CÓDIGO]],PRODUCTOS31316[],3,FALSE)</f>
        <v>CAMISA SANITARIA ROLLO X 80</v>
      </c>
      <c r="T705" s="2">
        <v>1</v>
      </c>
      <c r="U705" s="2"/>
      <c r="V705" s="2"/>
      <c r="W705" s="2"/>
      <c r="X705" s="2"/>
      <c r="Y705" s="7"/>
      <c r="Z705" s="2"/>
      <c r="AA705" s="1"/>
      <c r="AC705" s="2"/>
      <c r="AE705" s="1"/>
      <c r="AG705" s="2"/>
    </row>
    <row r="706" spans="1:33" ht="49.95" customHeight="1" x14ac:dyDescent="0.3">
      <c r="A706" s="203" t="s">
        <v>2257</v>
      </c>
      <c r="B706" s="1">
        <v>9014001</v>
      </c>
      <c r="C706" s="216" t="s">
        <v>2485</v>
      </c>
      <c r="D706" s="1" t="s">
        <v>18</v>
      </c>
      <c r="E706" s="1" t="s">
        <v>18</v>
      </c>
      <c r="F706" s="1" t="s">
        <v>2486</v>
      </c>
      <c r="G706" s="2">
        <v>0</v>
      </c>
      <c r="H706" s="14">
        <f>SUMIF(ENTRADAS71417[CÓDIGO],PRODUCTOS31316[[#This Row],[CÓDIGO]],ENTRADAS71417[CANTIDAD])</f>
        <v>9</v>
      </c>
      <c r="I706" s="11">
        <f>SUMIF(SALIDAS111518[CÓDIGO],PRODUCTOS31316[[#This Row],[CÓDIGO]],SALIDAS111518[CANTIDAD])</f>
        <v>9</v>
      </c>
      <c r="J706" s="6">
        <f>PRODUCTOS31316[[#This Row],[EXISTENCIAS]]+PRODUCTOS31316[[#This Row],[ENTRADAS]]-PRODUCTOS31316[[#This Row],[SALIDAS]]</f>
        <v>0</v>
      </c>
      <c r="L706" s="2"/>
      <c r="M706" s="2"/>
      <c r="N706" s="2">
        <v>7776</v>
      </c>
      <c r="O706" s="283" t="s">
        <v>3846</v>
      </c>
      <c r="P706" s="16">
        <v>46049</v>
      </c>
      <c r="Q706" s="2" t="s">
        <v>15</v>
      </c>
      <c r="R706" s="2" t="str">
        <f>VLOOKUP(SALIDAS111518[[#This Row],[CÓDIGO]],PRODUCTOS31316[],2,FALSE)</f>
        <v>BTE-025PT/ 504002</v>
      </c>
      <c r="S706" s="1" t="str">
        <f>VLOOKUP(SALIDAS111518[[#This Row],[CÓDIGO]],PRODUCTOS31316[],3,FALSE)</f>
        <v>FUNDAS PARA TRANSFERENCIA DE EMBRIONES</v>
      </c>
      <c r="T706" s="2">
        <v>5</v>
      </c>
      <c r="U706" s="2"/>
      <c r="V706" s="2"/>
      <c r="W706" s="2"/>
      <c r="X706" s="2"/>
      <c r="Y706" s="7"/>
      <c r="Z706" s="2"/>
      <c r="AA706" s="1"/>
      <c r="AC706" s="2"/>
      <c r="AE706" s="1"/>
      <c r="AG706" s="2"/>
    </row>
    <row r="707" spans="1:33" ht="49.95" customHeight="1" x14ac:dyDescent="0.3">
      <c r="A707" s="203" t="s">
        <v>2258</v>
      </c>
      <c r="B707" s="1">
        <v>9014001</v>
      </c>
      <c r="C707" s="1" t="s">
        <v>2485</v>
      </c>
      <c r="D707" s="1" t="s">
        <v>18</v>
      </c>
      <c r="E707" s="1" t="s">
        <v>18</v>
      </c>
      <c r="F707" s="1" t="s">
        <v>30</v>
      </c>
      <c r="G707" s="2">
        <v>29</v>
      </c>
      <c r="H707" s="14">
        <f>SUMIF(ENTRADAS71417[CÓDIGO],PRODUCTOS31316[[#This Row],[CÓDIGO]],ENTRADAS71417[CANTIDAD])</f>
        <v>20</v>
      </c>
      <c r="I707" s="11">
        <f>SUMIF(SALIDAS111518[CÓDIGO],PRODUCTOS31316[[#This Row],[CÓDIGO]],SALIDAS111518[CANTIDAD])</f>
        <v>45</v>
      </c>
      <c r="J707" s="6">
        <f>PRODUCTOS31316[[#This Row],[EXISTENCIAS]]+PRODUCTOS31316[[#This Row],[ENTRADAS]]-PRODUCTOS31316[[#This Row],[SALIDAS]]</f>
        <v>4</v>
      </c>
      <c r="L707" s="2" t="s">
        <v>3520</v>
      </c>
      <c r="M707" s="2" t="s">
        <v>3651</v>
      </c>
      <c r="N707" s="290" t="s">
        <v>4027</v>
      </c>
      <c r="O707" s="308" t="s">
        <v>3611</v>
      </c>
      <c r="P707" s="16">
        <v>46008</v>
      </c>
      <c r="Q707" s="2" t="s">
        <v>1381</v>
      </c>
      <c r="R707" s="2" t="str">
        <f>VLOOKUP(SALIDAS111518[[#This Row],[CÓDIGO]],PRODUCTOS31316[],2,FALSE)</f>
        <v>6906-25</v>
      </c>
      <c r="S707" s="1" t="str">
        <f>VLOOKUP(SALIDAS111518[[#This Row],[CÓDIGO]],PRODUCTOS31316[],3,FALSE)</f>
        <v>ELECTROJAC COMPLETE W/2,5" PROBE</v>
      </c>
      <c r="T707" s="2">
        <v>1</v>
      </c>
      <c r="U707" s="2">
        <v>149</v>
      </c>
      <c r="V707" s="2"/>
      <c r="W707" s="2"/>
      <c r="X707" s="2"/>
      <c r="Y707" s="7"/>
      <c r="Z707" s="2"/>
      <c r="AA707" s="1"/>
      <c r="AC707" s="2"/>
      <c r="AE707" s="1"/>
      <c r="AG707" s="2"/>
    </row>
    <row r="708" spans="1:33" ht="49.95" customHeight="1" x14ac:dyDescent="0.3">
      <c r="A708" s="2" t="s">
        <v>2259</v>
      </c>
      <c r="B708" s="1" t="s">
        <v>2487</v>
      </c>
      <c r="C708" s="1" t="s">
        <v>2488</v>
      </c>
      <c r="E708" s="1" t="s">
        <v>1075</v>
      </c>
      <c r="F708" s="1" t="s">
        <v>30</v>
      </c>
      <c r="G708" s="2">
        <v>0</v>
      </c>
      <c r="H708" s="14">
        <f>SUMIF(ENTRADAS71417[CÓDIGO],PRODUCTOS31316[[#This Row],[CÓDIGO]],ENTRADAS71417[CANTIDAD])</f>
        <v>0</v>
      </c>
      <c r="I708" s="11">
        <f>SUMIF(SALIDAS111518[CÓDIGO],PRODUCTOS31316[[#This Row],[CÓDIGO]],SALIDAS111518[CANTIDAD])</f>
        <v>0</v>
      </c>
      <c r="J708" s="6">
        <f>PRODUCTOS31316[[#This Row],[EXISTENCIAS]]+PRODUCTOS31316[[#This Row],[ENTRADAS]]-PRODUCTOS31316[[#This Row],[SALIDAS]]</f>
        <v>0</v>
      </c>
      <c r="L708" s="2" t="s">
        <v>3520</v>
      </c>
      <c r="M708" s="2" t="s">
        <v>3820</v>
      </c>
      <c r="N708" s="1" t="s">
        <v>4374</v>
      </c>
      <c r="O708" s="1" t="s">
        <v>4371</v>
      </c>
      <c r="P708" s="16">
        <v>45923</v>
      </c>
      <c r="Q708" s="2" t="s">
        <v>2881</v>
      </c>
      <c r="R708" s="2">
        <f>VLOOKUP(SALIDAS111518[[#This Row],[CÓDIGO]],PRODUCTOS31316[],2,FALSE)</f>
        <v>5205</v>
      </c>
      <c r="S708" s="1" t="str">
        <f>VLOOKUP(SALIDAS111518[[#This Row],[CÓDIGO]],PRODUCTOS31316[],3,FALSE)</f>
        <v>CONO ESPECIAL VAGINA OVINO</v>
      </c>
      <c r="T708" s="2">
        <v>1</v>
      </c>
      <c r="U708" s="2">
        <v>150</v>
      </c>
      <c r="V708" s="2"/>
      <c r="W708" s="2"/>
      <c r="X708" s="2"/>
      <c r="Y708" s="7"/>
      <c r="Z708" s="2"/>
      <c r="AA708" s="1"/>
      <c r="AC708" s="2"/>
      <c r="AE708" s="1"/>
      <c r="AG708" s="2"/>
    </row>
    <row r="709" spans="1:33" ht="49.95" customHeight="1" x14ac:dyDescent="0.3">
      <c r="A709" s="2" t="s">
        <v>2260</v>
      </c>
      <c r="B709" s="1" t="s">
        <v>2489</v>
      </c>
      <c r="C709" s="1" t="s">
        <v>2490</v>
      </c>
      <c r="E709" s="1" t="s">
        <v>1075</v>
      </c>
      <c r="F709" s="1" t="s">
        <v>30</v>
      </c>
      <c r="G709" s="2">
        <v>0</v>
      </c>
      <c r="H709" s="14">
        <f>SUMIF(ENTRADAS71417[CÓDIGO],PRODUCTOS31316[[#This Row],[CÓDIGO]],ENTRADAS71417[CANTIDAD])</f>
        <v>0</v>
      </c>
      <c r="I709" s="11">
        <f>SUMIF(SALIDAS111518[CÓDIGO],PRODUCTOS31316[[#This Row],[CÓDIGO]],SALIDAS111518[CANTIDAD])</f>
        <v>0</v>
      </c>
      <c r="J709" s="6">
        <f>PRODUCTOS31316[[#This Row],[EXISTENCIAS]]+PRODUCTOS31316[[#This Row],[ENTRADAS]]-PRODUCTOS31316[[#This Row],[SALIDAS]]</f>
        <v>0</v>
      </c>
      <c r="L709" s="2"/>
      <c r="M709" s="2"/>
      <c r="N709" s="2">
        <v>8035</v>
      </c>
      <c r="O709" s="1" t="s">
        <v>3460</v>
      </c>
      <c r="P709" s="16">
        <v>45923</v>
      </c>
      <c r="Q709" s="2" t="s">
        <v>722</v>
      </c>
      <c r="R709" s="2">
        <f>VLOOKUP(SALIDAS111518[[#This Row],[CÓDIGO]],PRODUCTOS31316[],2,FALSE)</f>
        <v>0</v>
      </c>
      <c r="S709" s="1" t="str">
        <f>VLOOKUP(SALIDAS111518[[#This Row],[CÓDIGO]],PRODUCTOS31316[],3,FALSE)</f>
        <v>LINER LISO PARA VAGINA ARTIFICIAL PEQUEÑOS RUMIANTES</v>
      </c>
      <c r="T709" s="2">
        <v>1</v>
      </c>
      <c r="U709" s="2"/>
      <c r="V709" s="2"/>
      <c r="W709" s="2"/>
      <c r="X709" s="2"/>
      <c r="Y709" s="7"/>
      <c r="Z709" s="2"/>
      <c r="AA709" s="1"/>
      <c r="AC709" s="2"/>
      <c r="AE709" s="1"/>
      <c r="AG709" s="2"/>
    </row>
    <row r="710" spans="1:33" ht="49.95" customHeight="1" x14ac:dyDescent="0.3">
      <c r="A710" s="2" t="s">
        <v>2249</v>
      </c>
      <c r="C710" s="1" t="s">
        <v>2491</v>
      </c>
      <c r="D710" s="1" t="s">
        <v>1886</v>
      </c>
      <c r="E710" s="1" t="s">
        <v>1886</v>
      </c>
      <c r="F710" s="1" t="s">
        <v>30</v>
      </c>
      <c r="G710" s="2">
        <v>0</v>
      </c>
      <c r="H710" s="14">
        <f>SUMIF(ENTRADAS71417[CÓDIGO],PRODUCTOS31316[[#This Row],[CÓDIGO]],ENTRADAS71417[CANTIDAD])</f>
        <v>0</v>
      </c>
      <c r="I710" s="11">
        <f>SUMIF(SALIDAS111518[CÓDIGO],PRODUCTOS31316[[#This Row],[CÓDIGO]],SALIDAS111518[CANTIDAD])</f>
        <v>0</v>
      </c>
      <c r="J710" s="6">
        <f>PRODUCTOS31316[[#This Row],[EXISTENCIAS]]+PRODUCTOS31316[[#This Row],[ENTRADAS]]-PRODUCTOS31316[[#This Row],[SALIDAS]]</f>
        <v>0</v>
      </c>
      <c r="L710" s="2"/>
      <c r="M710" s="2"/>
      <c r="N710" s="2">
        <v>8035</v>
      </c>
      <c r="O710" s="1" t="s">
        <v>3460</v>
      </c>
      <c r="P710" s="16">
        <v>45923</v>
      </c>
      <c r="Q710" s="2" t="s">
        <v>33</v>
      </c>
      <c r="R710" s="2" t="str">
        <f>VLOOKUP(SALIDAS111518[[#This Row],[CÓDIGO]],PRODUCTOS31316[],2,FALSE)</f>
        <v>LA-120 /506003</v>
      </c>
      <c r="S710" s="1" t="str">
        <f>VLOOKUP(SALIDAS111518[[#This Row],[CÓDIGO]],PRODUCTOS31316[],3,FALSE)</f>
        <v>LíNEA PARA OPU 1,2 METROS</v>
      </c>
      <c r="T710" s="2">
        <v>15</v>
      </c>
      <c r="U710" s="2"/>
      <c r="V710" s="2"/>
      <c r="W710" s="2"/>
      <c r="X710" s="2"/>
      <c r="Y710" s="7"/>
      <c r="Z710" s="2"/>
      <c r="AA710" s="1"/>
      <c r="AC710" s="2"/>
      <c r="AE710" s="1"/>
      <c r="AG710" s="2"/>
    </row>
    <row r="711" spans="1:33" ht="49.95" customHeight="1" x14ac:dyDescent="0.3">
      <c r="A711" s="2" t="s">
        <v>2288</v>
      </c>
      <c r="B711" s="1">
        <v>4612</v>
      </c>
      <c r="C711" s="74" t="s">
        <v>2492</v>
      </c>
      <c r="D711" s="1" t="s">
        <v>2493</v>
      </c>
      <c r="E711" s="1" t="s">
        <v>1949</v>
      </c>
      <c r="F711" s="1" t="s">
        <v>1069</v>
      </c>
      <c r="G711" s="2">
        <v>0</v>
      </c>
      <c r="H711" s="14">
        <f>SUMIF(ENTRADAS71417[CÓDIGO],PRODUCTOS31316[[#This Row],[CÓDIGO]],ENTRADAS71417[CANTIDAD])</f>
        <v>0</v>
      </c>
      <c r="I711" s="11">
        <f>SUMIF(SALIDAS111518[CÓDIGO],PRODUCTOS31316[[#This Row],[CÓDIGO]],SALIDAS111518[CANTIDAD])</f>
        <v>0</v>
      </c>
      <c r="J711" s="6">
        <f>PRODUCTOS31316[[#This Row],[EXISTENCIAS]]+PRODUCTOS31316[[#This Row],[ENTRADAS]]-PRODUCTOS31316[[#This Row],[SALIDAS]]</f>
        <v>0</v>
      </c>
      <c r="L711" s="2"/>
      <c r="M711" s="2"/>
      <c r="N711" s="2">
        <v>8035</v>
      </c>
      <c r="O711" s="1" t="s">
        <v>3460</v>
      </c>
      <c r="P711" s="16">
        <v>45923</v>
      </c>
      <c r="Q711" s="2" t="s">
        <v>969</v>
      </c>
      <c r="R711" s="2">
        <f>VLOOKUP(SALIDAS111518[[#This Row],[CÓDIGO]],PRODUCTOS31316[],2,FALSE)</f>
        <v>13316</v>
      </c>
      <c r="S711" s="1" t="str">
        <f>VLOOKUP(SALIDAS111518[[#This Row],[CÓDIGO]],PRODUCTOS31316[],3,FALSE)</f>
        <v>AGUJA PARA ASPIRACIÓN 20G</v>
      </c>
      <c r="T711" s="2">
        <v>15</v>
      </c>
      <c r="U711" s="2"/>
      <c r="V711" s="2"/>
      <c r="W711" s="2"/>
      <c r="X711" s="2"/>
      <c r="Y711" s="7"/>
      <c r="Z711" s="2"/>
      <c r="AA711" s="1"/>
      <c r="AC711" s="2"/>
      <c r="AE711" s="1"/>
      <c r="AG711" s="2"/>
    </row>
    <row r="712" spans="1:33" ht="49.95" customHeight="1" x14ac:dyDescent="0.3">
      <c r="A712" s="2" t="s">
        <v>2289</v>
      </c>
      <c r="B712" s="1">
        <v>4614</v>
      </c>
      <c r="C712" s="1" t="s">
        <v>2494</v>
      </c>
      <c r="D712" s="1" t="s">
        <v>2493</v>
      </c>
      <c r="E712" s="1" t="s">
        <v>1949</v>
      </c>
      <c r="F712" s="1" t="s">
        <v>1069</v>
      </c>
      <c r="G712" s="2">
        <v>0</v>
      </c>
      <c r="H712" s="14">
        <f>SUMIF(ENTRADAS71417[CÓDIGO],PRODUCTOS31316[[#This Row],[CÓDIGO]],ENTRADAS71417[CANTIDAD])</f>
        <v>0</v>
      </c>
      <c r="I712" s="11">
        <f>SUMIF(SALIDAS111518[CÓDIGO],PRODUCTOS31316[[#This Row],[CÓDIGO]],SALIDAS111518[CANTIDAD])</f>
        <v>0</v>
      </c>
      <c r="J712" s="6">
        <f>PRODUCTOS31316[[#This Row],[EXISTENCIAS]]+PRODUCTOS31316[[#This Row],[ENTRADAS]]-PRODUCTOS31316[[#This Row],[SALIDAS]]</f>
        <v>0</v>
      </c>
      <c r="L712" s="2"/>
      <c r="M712" s="2"/>
      <c r="N712" s="2">
        <v>8035</v>
      </c>
      <c r="O712" s="1" t="s">
        <v>3460</v>
      </c>
      <c r="P712" s="16">
        <v>45923</v>
      </c>
      <c r="Q712" s="2" t="s">
        <v>2232</v>
      </c>
      <c r="R712" s="2">
        <f>VLOOKUP(SALIDAS111518[[#This Row],[CÓDIGO]],PRODUCTOS31316[],2,FALSE)</f>
        <v>0</v>
      </c>
      <c r="S712" s="1" t="str">
        <f>VLOOKUP(SALIDAS111518[[#This Row],[CÓDIGO]],PRODUCTOS31316[],3,FALSE)</f>
        <v>CONO RECOLECTOR</v>
      </c>
      <c r="T712" s="2">
        <v>1</v>
      </c>
      <c r="U712" s="2"/>
      <c r="V712" s="2"/>
      <c r="W712" s="2"/>
      <c r="X712" s="2"/>
      <c r="Y712" s="7"/>
      <c r="Z712" s="2"/>
      <c r="AA712" s="1"/>
      <c r="AC712" s="2"/>
      <c r="AE712" s="1"/>
      <c r="AG712" s="2"/>
    </row>
    <row r="713" spans="1:33" ht="49.95" customHeight="1" x14ac:dyDescent="0.3">
      <c r="A713" s="2" t="s">
        <v>2290</v>
      </c>
      <c r="B713" s="1" t="s">
        <v>371</v>
      </c>
      <c r="C713" s="1" t="s">
        <v>372</v>
      </c>
      <c r="D713" s="1" t="s">
        <v>364</v>
      </c>
      <c r="E713" s="1" t="s">
        <v>249</v>
      </c>
      <c r="F713" s="1" t="s">
        <v>365</v>
      </c>
      <c r="G713" s="2">
        <v>0</v>
      </c>
      <c r="H713" s="14">
        <f>SUMIF(ENTRADAS71417[CÓDIGO],PRODUCTOS31316[[#This Row],[CÓDIGO]],ENTRADAS71417[CANTIDAD])</f>
        <v>0</v>
      </c>
      <c r="I713" s="11">
        <f>SUMIF(SALIDAS111518[CÓDIGO],PRODUCTOS31316[[#This Row],[CÓDIGO]],SALIDAS111518[CANTIDAD])</f>
        <v>0</v>
      </c>
      <c r="J713" s="6">
        <f>PRODUCTOS31316[[#This Row],[EXISTENCIAS]]+PRODUCTOS31316[[#This Row],[ENTRADAS]]-PRODUCTOS31316[[#This Row],[SALIDAS]]</f>
        <v>0</v>
      </c>
      <c r="L713" s="2"/>
      <c r="M713" s="2"/>
      <c r="N713" s="2">
        <v>8035</v>
      </c>
      <c r="O713" s="1" t="s">
        <v>3460</v>
      </c>
      <c r="P713" s="16">
        <v>45923</v>
      </c>
      <c r="Q713" s="2" t="s">
        <v>159</v>
      </c>
      <c r="R713" s="2" t="str">
        <f>VLOOKUP(SALIDAS111518[[#This Row],[CÓDIGO]],PRODUCTOS31316[],2,FALSE)</f>
        <v>13400010/ 1124</v>
      </c>
      <c r="S713" s="1" t="str">
        <f>VLOOKUP(SALIDAS111518[[#This Row],[CÓDIGO]],PRODUCTOS31316[],3,FALSE)</f>
        <v>MINIPAJILLA 0,25 ML TRANSPARENTES</v>
      </c>
      <c r="T713" s="2">
        <v>1</v>
      </c>
      <c r="U713" s="2"/>
      <c r="V713" s="2"/>
      <c r="W713" s="2"/>
      <c r="X713" s="2"/>
      <c r="Y713" s="7"/>
      <c r="Z713" s="2"/>
      <c r="AA713" s="1"/>
      <c r="AC713" s="2"/>
      <c r="AE713" s="1"/>
      <c r="AG713" s="2"/>
    </row>
    <row r="714" spans="1:33" ht="49.95" customHeight="1" x14ac:dyDescent="0.3">
      <c r="A714" s="2" t="s">
        <v>2292</v>
      </c>
      <c r="C714" s="1" t="s">
        <v>2495</v>
      </c>
      <c r="D714" s="1" t="s">
        <v>2496</v>
      </c>
      <c r="E714" s="1" t="s">
        <v>2497</v>
      </c>
      <c r="F714" s="1" t="s">
        <v>30</v>
      </c>
      <c r="G714" s="2">
        <v>0</v>
      </c>
      <c r="H714" s="14">
        <f>SUMIF(ENTRADAS71417[CÓDIGO],PRODUCTOS31316[[#This Row],[CÓDIGO]],ENTRADAS71417[CANTIDAD])</f>
        <v>0</v>
      </c>
      <c r="I714" s="11">
        <f>SUMIF(SALIDAS111518[CÓDIGO],PRODUCTOS31316[[#This Row],[CÓDIGO]],SALIDAS111518[CANTIDAD])</f>
        <v>0</v>
      </c>
      <c r="J714" s="6">
        <f>PRODUCTOS31316[[#This Row],[EXISTENCIAS]]+PRODUCTOS31316[[#This Row],[ENTRADAS]]-PRODUCTOS31316[[#This Row],[SALIDAS]]</f>
        <v>0</v>
      </c>
      <c r="L714" s="301" t="s">
        <v>3520</v>
      </c>
      <c r="M714" s="301" t="s">
        <v>3931</v>
      </c>
      <c r="N714" s="303" t="s">
        <v>4166</v>
      </c>
      <c r="O714" s="301" t="s">
        <v>3582</v>
      </c>
      <c r="P714" s="16">
        <v>46076</v>
      </c>
      <c r="Q714" s="301" t="s">
        <v>2876</v>
      </c>
      <c r="R714" s="2">
        <f>VLOOKUP(SALIDAS111518[[#This Row],[CÓDIGO]],PRODUCTOS31316[],2,FALSE)</f>
        <v>0</v>
      </c>
      <c r="S714" s="1" t="str">
        <f>VLOOKUP(SALIDAS111518[[#This Row],[CÓDIGO]],PRODUCTOS31316[],3,FALSE)</f>
        <v>PISTOLA DE TRANSFERENCIA DE EMBRIONES 0,25 / BLOQUEO AUTOMÁTICO EN ALUMINIO</v>
      </c>
      <c r="T714" s="2">
        <v>1</v>
      </c>
      <c r="U714" s="2">
        <v>314</v>
      </c>
      <c r="V714" s="2"/>
      <c r="W714" s="2"/>
      <c r="X714" s="2"/>
      <c r="Y714" s="7"/>
      <c r="Z714" s="2"/>
      <c r="AA714" s="1"/>
      <c r="AC714" s="2"/>
      <c r="AE714" s="1"/>
      <c r="AG714" s="2"/>
    </row>
    <row r="715" spans="1:33" ht="49.95" customHeight="1" x14ac:dyDescent="0.3">
      <c r="A715" s="2" t="s">
        <v>2293</v>
      </c>
      <c r="B715" s="1">
        <v>3120000802</v>
      </c>
      <c r="C715" s="1" t="s">
        <v>2498</v>
      </c>
      <c r="D715" s="1" t="s">
        <v>707</v>
      </c>
      <c r="E715" s="1" t="s">
        <v>177</v>
      </c>
      <c r="F715" s="1" t="s">
        <v>30</v>
      </c>
      <c r="G715" s="2">
        <v>0</v>
      </c>
      <c r="H715" s="14">
        <f>SUMIF(ENTRADAS71417[CÓDIGO],PRODUCTOS31316[[#This Row],[CÓDIGO]],ENTRADAS71417[CANTIDAD])</f>
        <v>0</v>
      </c>
      <c r="I715" s="11">
        <f>SUMIF(SALIDAS111518[CÓDIGO],PRODUCTOS31316[[#This Row],[CÓDIGO]],SALIDAS111518[CANTIDAD])</f>
        <v>0</v>
      </c>
      <c r="J715" s="6">
        <f>PRODUCTOS31316[[#This Row],[EXISTENCIAS]]+PRODUCTOS31316[[#This Row],[ENTRADAS]]-PRODUCTOS31316[[#This Row],[SALIDAS]]</f>
        <v>0</v>
      </c>
      <c r="L715" s="2"/>
      <c r="M715" s="2"/>
      <c r="N715" s="2">
        <v>7923</v>
      </c>
      <c r="O715" s="301" t="s">
        <v>3582</v>
      </c>
      <c r="P715" s="16">
        <v>46076</v>
      </c>
      <c r="Q715" s="301" t="s">
        <v>15</v>
      </c>
      <c r="R715" s="2" t="str">
        <f>VLOOKUP(SALIDAS111518[[#This Row],[CÓDIGO]],PRODUCTOS31316[],2,FALSE)</f>
        <v>BTE-025PT/ 504002</v>
      </c>
      <c r="S715" s="1" t="str">
        <f>VLOOKUP(SALIDAS111518[[#This Row],[CÓDIGO]],PRODUCTOS31316[],3,FALSE)</f>
        <v>FUNDAS PARA TRANSFERENCIA DE EMBRIONES</v>
      </c>
      <c r="T715" s="2">
        <v>1</v>
      </c>
      <c r="U715" s="2"/>
      <c r="V715" s="2"/>
      <c r="W715" s="2"/>
      <c r="X715" s="2"/>
      <c r="Y715" s="7"/>
      <c r="Z715" s="2"/>
      <c r="AA715" s="1"/>
      <c r="AC715" s="2"/>
      <c r="AE715" s="1"/>
      <c r="AG715" s="2"/>
    </row>
    <row r="716" spans="1:33" ht="49.95" customHeight="1" x14ac:dyDescent="0.3">
      <c r="A716" s="2" t="s">
        <v>2306</v>
      </c>
      <c r="C716" s="1" t="s">
        <v>2499</v>
      </c>
      <c r="E716" s="1" t="s">
        <v>352</v>
      </c>
      <c r="F716" s="1" t="s">
        <v>41</v>
      </c>
      <c r="G716" s="2">
        <v>6</v>
      </c>
      <c r="H716" s="14">
        <f>SUMIF(ENTRADAS71417[CÓDIGO],PRODUCTOS31316[[#This Row],[CÓDIGO]],ENTRADAS71417[CANTIDAD])</f>
        <v>28</v>
      </c>
      <c r="I716" s="11">
        <f>SUMIF(SALIDAS111518[CÓDIGO],PRODUCTOS31316[[#This Row],[CÓDIGO]],SALIDAS111518[CANTIDAD])</f>
        <v>24</v>
      </c>
      <c r="J716" s="6">
        <f>PRODUCTOS31316[[#This Row],[EXISTENCIAS]]+PRODUCTOS31316[[#This Row],[ENTRADAS]]-PRODUCTOS31316[[#This Row],[SALIDAS]]</f>
        <v>10</v>
      </c>
      <c r="L716" s="301" t="s">
        <v>3520</v>
      </c>
      <c r="M716" s="301" t="s">
        <v>3931</v>
      </c>
      <c r="N716" s="303" t="s">
        <v>4175</v>
      </c>
      <c r="O716" s="303" t="s">
        <v>4174</v>
      </c>
      <c r="P716" s="16">
        <v>46076</v>
      </c>
      <c r="Q716" s="301" t="s">
        <v>4031</v>
      </c>
      <c r="R716" s="2" t="str">
        <f>VLOOKUP(SALIDAS111518[[#This Row],[CÓDIGO]],PRODUCTOS31316[],2,FALSE)</f>
        <v>SPERMLIDE420</v>
      </c>
      <c r="S716" s="1" t="str">
        <f>VLOOKUP(SALIDAS111518[[#This Row],[CÓDIGO]],PRODUCTOS31316[],3,FALSE)</f>
        <v>CÁMARA DE RECUENTO CELULAR SPERMLIDE420/ 4 cámaras de recuento por porta, 20 micras de profundidad.</v>
      </c>
      <c r="T716" s="2">
        <v>2</v>
      </c>
      <c r="U716" s="2">
        <v>316</v>
      </c>
      <c r="V716" s="2"/>
      <c r="W716" s="2"/>
      <c r="X716" s="2"/>
      <c r="Y716" s="7"/>
      <c r="Z716" s="2"/>
      <c r="AA716" s="1"/>
      <c r="AC716" s="2"/>
      <c r="AE716" s="1"/>
      <c r="AG716" s="2"/>
    </row>
    <row r="717" spans="1:33" ht="49.95" customHeight="1" x14ac:dyDescent="0.3">
      <c r="A717" s="2" t="s">
        <v>2305</v>
      </c>
      <c r="C717" s="74" t="s">
        <v>2500</v>
      </c>
      <c r="D717" s="1" t="s">
        <v>1323</v>
      </c>
      <c r="E717" s="1" t="s">
        <v>352</v>
      </c>
      <c r="F717" s="1" t="s">
        <v>30</v>
      </c>
      <c r="G717" s="2">
        <v>3</v>
      </c>
      <c r="H717" s="14">
        <f>SUMIF(ENTRADAS71417[CÓDIGO],PRODUCTOS31316[[#This Row],[CÓDIGO]],ENTRADAS71417[CANTIDAD])</f>
        <v>0</v>
      </c>
      <c r="I717" s="11">
        <f>SUMIF(SALIDAS111518[CÓDIGO],PRODUCTOS31316[[#This Row],[CÓDIGO]],SALIDAS111518[CANTIDAD])</f>
        <v>1</v>
      </c>
      <c r="J717" s="6">
        <f>PRODUCTOS31316[[#This Row],[EXISTENCIAS]]+PRODUCTOS31316[[#This Row],[ENTRADAS]]-PRODUCTOS31316[[#This Row],[SALIDAS]]</f>
        <v>2</v>
      </c>
      <c r="L717" s="301" t="s">
        <v>3521</v>
      </c>
      <c r="M717" s="301" t="s">
        <v>3931</v>
      </c>
      <c r="N717" s="312" t="s">
        <v>4332</v>
      </c>
      <c r="O717" s="303" t="s">
        <v>4174</v>
      </c>
      <c r="P717" s="16">
        <v>46076</v>
      </c>
      <c r="Q717" s="301" t="s">
        <v>2755</v>
      </c>
      <c r="R717" s="2" t="str">
        <f>VLOOKUP(SALIDAS111518[[#This Row],[CÓDIGO]],PRODUCTOS31316[],2,FALSE)</f>
        <v>MSLDO05</v>
      </c>
      <c r="S717" s="1" t="str">
        <f>VLOOKUP(SALIDAS111518[[#This Row],[CÓDIGO]],PRODUCTOS31316[],3,FALSE)</f>
        <v>TERMO DE RECOLECCIÓN DE SEMEN/ USO VETERINARIO</v>
      </c>
      <c r="T717" s="2">
        <v>1</v>
      </c>
      <c r="U717" s="2">
        <v>318</v>
      </c>
      <c r="V717" s="2"/>
      <c r="W717" s="2"/>
      <c r="X717" s="2"/>
      <c r="Y717" s="7"/>
      <c r="Z717" s="2"/>
      <c r="AA717" s="1"/>
      <c r="AC717" s="2"/>
      <c r="AE717" s="1"/>
      <c r="AG717" s="2"/>
    </row>
    <row r="718" spans="1:33" ht="49.95" customHeight="1" x14ac:dyDescent="0.3">
      <c r="A718" s="2" t="s">
        <v>2295</v>
      </c>
      <c r="B718" s="1" t="s">
        <v>2501</v>
      </c>
      <c r="C718" s="1" t="s">
        <v>2502</v>
      </c>
      <c r="D718" s="1" t="s">
        <v>118</v>
      </c>
      <c r="E718" s="1" t="s">
        <v>352</v>
      </c>
      <c r="F718" s="1" t="s">
        <v>30</v>
      </c>
      <c r="G718" s="2">
        <v>450</v>
      </c>
      <c r="H718" s="14">
        <f>SUMIF(ENTRADAS71417[CÓDIGO],PRODUCTOS31316[[#This Row],[CÓDIGO]],ENTRADAS71417[CANTIDAD])</f>
        <v>1000</v>
      </c>
      <c r="I718" s="11">
        <f>SUMIF(SALIDAS111518[CÓDIGO],PRODUCTOS31316[[#This Row],[CÓDIGO]],SALIDAS111518[CANTIDAD])</f>
        <v>615</v>
      </c>
      <c r="J718" s="6">
        <f>PRODUCTOS31316[[#This Row],[EXISTENCIAS]]+PRODUCTOS31316[[#This Row],[ENTRADAS]]-PRODUCTOS31316[[#This Row],[SALIDAS]]</f>
        <v>835</v>
      </c>
      <c r="L718" s="2"/>
      <c r="M718" s="2"/>
      <c r="N718" s="2">
        <v>7931</v>
      </c>
      <c r="O718" s="303" t="s">
        <v>4174</v>
      </c>
      <c r="P718" s="16">
        <v>46076</v>
      </c>
      <c r="Q718" s="301" t="s">
        <v>581</v>
      </c>
      <c r="R718" s="2">
        <f>VLOOKUP(SALIDAS111518[[#This Row],[CÓDIGO]],PRODUCTOS31316[],2,FALSE)</f>
        <v>11571</v>
      </c>
      <c r="S718" s="1" t="str">
        <f>VLOOKUP(SALIDAS111518[[#This Row],[CÓDIGO]],PRODUCTOS31316[],3,FALSE)</f>
        <v>PINZA COGEPAJILLA</v>
      </c>
      <c r="T718" s="2">
        <v>1</v>
      </c>
      <c r="U718" s="2"/>
      <c r="V718" s="2"/>
      <c r="W718" s="2"/>
      <c r="X718" s="2"/>
      <c r="Y718" s="7"/>
      <c r="Z718" s="2"/>
      <c r="AA718" s="1"/>
      <c r="AC718" s="2"/>
      <c r="AE718" s="1"/>
      <c r="AG718" s="2"/>
    </row>
    <row r="719" spans="1:33" ht="49.95" customHeight="1" x14ac:dyDescent="0.3">
      <c r="A719" s="2" t="s">
        <v>2296</v>
      </c>
      <c r="B719" s="1">
        <v>3123000012</v>
      </c>
      <c r="C719" s="1" t="s">
        <v>2503</v>
      </c>
      <c r="D719" s="1" t="s">
        <v>707</v>
      </c>
      <c r="E719" s="1" t="s">
        <v>708</v>
      </c>
      <c r="F719" s="1" t="s">
        <v>30</v>
      </c>
      <c r="G719" s="2">
        <v>0</v>
      </c>
      <c r="H719" s="14">
        <f>SUMIF(ENTRADAS71417[CÓDIGO],PRODUCTOS31316[[#This Row],[CÓDIGO]],ENTRADAS71417[CANTIDAD])</f>
        <v>0</v>
      </c>
      <c r="I719" s="11">
        <f>SUMIF(SALIDAS111518[CÓDIGO],PRODUCTOS31316[[#This Row],[CÓDIGO]],SALIDAS111518[CANTIDAD])</f>
        <v>0</v>
      </c>
      <c r="J719" s="6">
        <f>PRODUCTOS31316[[#This Row],[EXISTENCIAS]]+PRODUCTOS31316[[#This Row],[ENTRADAS]]-PRODUCTOS31316[[#This Row],[SALIDAS]]</f>
        <v>0</v>
      </c>
      <c r="L719" s="2"/>
      <c r="M719" s="2"/>
      <c r="N719" s="2">
        <v>7931</v>
      </c>
      <c r="O719" s="303" t="s">
        <v>4174</v>
      </c>
      <c r="P719" s="16">
        <v>46076</v>
      </c>
      <c r="Q719" s="301" t="s">
        <v>2364</v>
      </c>
      <c r="R719" s="2">
        <f>VLOOKUP(SALIDAS111518[[#This Row],[CÓDIGO]],PRODUCTOS31316[],2,FALSE)</f>
        <v>0</v>
      </c>
      <c r="S719" s="1" t="str">
        <f>VLOOKUP(SALIDAS111518[[#This Row],[CÓDIGO]],PRODUCTOS31316[],3,FALSE)</f>
        <v>CORTAPAJILLAS WTA</v>
      </c>
      <c r="T719" s="2">
        <v>1</v>
      </c>
      <c r="U719" s="2"/>
      <c r="V719" s="2"/>
      <c r="W719" s="2"/>
      <c r="X719" s="2"/>
      <c r="Y719" s="7"/>
      <c r="Z719" s="2"/>
      <c r="AA719" s="1"/>
      <c r="AC719" s="2"/>
      <c r="AE719" s="1"/>
      <c r="AG719" s="2"/>
    </row>
    <row r="720" spans="1:33" ht="49.95" customHeight="1" x14ac:dyDescent="0.3">
      <c r="A720" s="2" t="s">
        <v>2297</v>
      </c>
      <c r="B720" s="1" t="s">
        <v>2504</v>
      </c>
      <c r="C720" s="1" t="s">
        <v>2505</v>
      </c>
      <c r="E720" s="1" t="s">
        <v>708</v>
      </c>
      <c r="F720" s="1" t="s">
        <v>537</v>
      </c>
      <c r="G720" s="2">
        <v>0</v>
      </c>
      <c r="H720" s="14">
        <f>SUMIF(ENTRADAS71417[CÓDIGO],PRODUCTOS31316[[#This Row],[CÓDIGO]],ENTRADAS71417[CANTIDAD])</f>
        <v>0</v>
      </c>
      <c r="I720" s="11">
        <f>SUMIF(SALIDAS111518[CÓDIGO],PRODUCTOS31316[[#This Row],[CÓDIGO]],SALIDAS111518[CANTIDAD])</f>
        <v>0</v>
      </c>
      <c r="J720" s="6">
        <f>PRODUCTOS31316[[#This Row],[EXISTENCIAS]]+PRODUCTOS31316[[#This Row],[ENTRADAS]]-PRODUCTOS31316[[#This Row],[SALIDAS]]</f>
        <v>0</v>
      </c>
      <c r="L720" s="2"/>
      <c r="M720" s="2"/>
      <c r="N720" s="2">
        <v>7931</v>
      </c>
      <c r="O720" s="303" t="s">
        <v>4174</v>
      </c>
      <c r="P720" s="16">
        <v>46076</v>
      </c>
      <c r="Q720" s="301" t="s">
        <v>369</v>
      </c>
      <c r="R720" s="2">
        <f>VLOOKUP(SALIDAS111518[[#This Row],[CÓDIGO]],PRODUCTOS31316[],2,FALSE)</f>
        <v>0</v>
      </c>
      <c r="S720" s="1" t="str">
        <f>VLOOKUP(SALIDAS111518[[#This Row],[CÓDIGO]],PRODUCTOS31316[],3,FALSE)</f>
        <v>FUNDA UNIVERSAL PARA I.A. RANURADA</v>
      </c>
      <c r="T720" s="2">
        <v>1</v>
      </c>
      <c r="U720" s="2"/>
      <c r="V720" s="2"/>
      <c r="W720" s="2"/>
      <c r="X720" s="2"/>
      <c r="Y720" s="7"/>
      <c r="Z720" s="2"/>
      <c r="AA720" s="1"/>
      <c r="AC720" s="2"/>
      <c r="AE720" s="1"/>
      <c r="AG720" s="2"/>
    </row>
    <row r="721" spans="1:33" ht="49.95" customHeight="1" x14ac:dyDescent="0.3">
      <c r="A721" s="2" t="s">
        <v>2300</v>
      </c>
      <c r="B721" s="1">
        <v>26043</v>
      </c>
      <c r="C721" s="216" t="s">
        <v>2870</v>
      </c>
      <c r="D721" s="1" t="s">
        <v>442</v>
      </c>
      <c r="E721" s="1" t="s">
        <v>442</v>
      </c>
      <c r="F721" s="1" t="s">
        <v>62</v>
      </c>
      <c r="G721" s="2">
        <v>31</v>
      </c>
      <c r="H721" s="14">
        <f>SUMIF(ENTRADAS71417[CÓDIGO],PRODUCTOS31316[[#This Row],[CÓDIGO]],ENTRADAS71417[CANTIDAD])</f>
        <v>0</v>
      </c>
      <c r="I721" s="11">
        <f>SUMIF(SALIDAS111518[CÓDIGO],PRODUCTOS31316[[#This Row],[CÓDIGO]],SALIDAS111518[CANTIDAD])</f>
        <v>4</v>
      </c>
      <c r="J721" s="6">
        <f>PRODUCTOS31316[[#This Row],[EXISTENCIAS]]+PRODUCTOS31316[[#This Row],[ENTRADAS]]-PRODUCTOS31316[[#This Row],[SALIDAS]]</f>
        <v>27</v>
      </c>
      <c r="L721" s="2"/>
      <c r="M721" s="2"/>
      <c r="N721" s="2">
        <v>7931</v>
      </c>
      <c r="O721" s="303" t="s">
        <v>4174</v>
      </c>
      <c r="P721" s="16">
        <v>46076</v>
      </c>
      <c r="Q721" s="301" t="s">
        <v>15</v>
      </c>
      <c r="R721" s="2" t="str">
        <f>VLOOKUP(SALIDAS111518[[#This Row],[CÓDIGO]],PRODUCTOS31316[],2,FALSE)</f>
        <v>BTE-025PT/ 504002</v>
      </c>
      <c r="S721" s="1" t="str">
        <f>VLOOKUP(SALIDAS111518[[#This Row],[CÓDIGO]],PRODUCTOS31316[],3,FALSE)</f>
        <v>FUNDAS PARA TRANSFERENCIA DE EMBRIONES</v>
      </c>
      <c r="T721" s="2">
        <v>2</v>
      </c>
      <c r="U721" s="2"/>
      <c r="V721" s="2"/>
      <c r="W721" s="2"/>
      <c r="X721" s="2"/>
      <c r="Y721" s="7"/>
      <c r="Z721" s="2"/>
      <c r="AA721" s="1"/>
      <c r="AC721" s="2"/>
      <c r="AE721" s="1"/>
      <c r="AG721" s="2"/>
    </row>
    <row r="722" spans="1:33" ht="49.95" customHeight="1" x14ac:dyDescent="0.3">
      <c r="A722" s="2" t="s">
        <v>2303</v>
      </c>
      <c r="B722" s="1">
        <v>28804</v>
      </c>
      <c r="C722" s="283" t="s">
        <v>3829</v>
      </c>
      <c r="D722" s="1" t="s">
        <v>442</v>
      </c>
      <c r="E722" s="1" t="s">
        <v>442</v>
      </c>
      <c r="F722" s="1" t="s">
        <v>30</v>
      </c>
      <c r="G722" s="2">
        <v>3</v>
      </c>
      <c r="H722" s="14">
        <f>SUMIF(ENTRADAS71417[CÓDIGO],PRODUCTOS31316[[#This Row],[CÓDIGO]],ENTRADAS71417[CANTIDAD])</f>
        <v>4</v>
      </c>
      <c r="I722" s="11">
        <f>SUMIF(SALIDAS111518[CÓDIGO],PRODUCTOS31316[[#This Row],[CÓDIGO]],SALIDAS111518[CANTIDAD])</f>
        <v>4</v>
      </c>
      <c r="J722" s="6">
        <f>PRODUCTOS31316[[#This Row],[EXISTENCIAS]]+PRODUCTOS31316[[#This Row],[ENTRADAS]]-PRODUCTOS31316[[#This Row],[SALIDAS]]</f>
        <v>3</v>
      </c>
      <c r="L722" s="2"/>
      <c r="M722" s="2"/>
      <c r="N722" s="2">
        <v>7931</v>
      </c>
      <c r="O722" s="303" t="s">
        <v>4174</v>
      </c>
      <c r="P722" s="16">
        <v>46076</v>
      </c>
      <c r="Q722" s="301" t="s">
        <v>1779</v>
      </c>
      <c r="R722" s="2">
        <f>VLOOKUP(SALIDAS111518[[#This Row],[CÓDIGO]],PRODUCTOS31316[],2,FALSE)</f>
        <v>5563</v>
      </c>
      <c r="S722" s="1" t="str">
        <f>VLOOKUP(SALIDAS111518[[#This Row],[CÓDIGO]],PRODUCTOS31316[],3,FALSE)</f>
        <v>CAMISA SANITARIA ROLLO X 80</v>
      </c>
      <c r="T722" s="2">
        <v>2</v>
      </c>
      <c r="U722" s="2"/>
      <c r="V722" s="2"/>
      <c r="W722" s="2"/>
      <c r="X722" s="2"/>
      <c r="Y722" s="7"/>
      <c r="Z722" s="2"/>
      <c r="AA722" s="1"/>
      <c r="AC722" s="2"/>
      <c r="AE722" s="1"/>
      <c r="AG722" s="2"/>
    </row>
    <row r="723" spans="1:33" ht="49.95" customHeight="1" x14ac:dyDescent="0.3">
      <c r="A723" s="2" t="s">
        <v>2308</v>
      </c>
      <c r="C723" s="1" t="s">
        <v>2506</v>
      </c>
      <c r="D723" s="1" t="s">
        <v>2507</v>
      </c>
      <c r="E723" s="1" t="s">
        <v>352</v>
      </c>
      <c r="F723" s="1" t="s">
        <v>731</v>
      </c>
      <c r="G723" s="2">
        <v>0</v>
      </c>
      <c r="H723" s="14">
        <f>SUMIF(ENTRADAS71417[CÓDIGO],PRODUCTOS31316[[#This Row],[CÓDIGO]],ENTRADAS71417[CANTIDAD])</f>
        <v>0</v>
      </c>
      <c r="I723" s="11">
        <f>SUMIF(SALIDAS111518[CÓDIGO],PRODUCTOS31316[[#This Row],[CÓDIGO]],SALIDAS111518[CANTIDAD])</f>
        <v>0</v>
      </c>
      <c r="J723" s="6">
        <f>PRODUCTOS31316[[#This Row],[EXISTENCIAS]]+PRODUCTOS31316[[#This Row],[ENTRADAS]]-PRODUCTOS31316[[#This Row],[SALIDAS]]</f>
        <v>0</v>
      </c>
      <c r="L723" s="2"/>
      <c r="M723" s="2"/>
      <c r="N723" s="2">
        <v>7931</v>
      </c>
      <c r="O723" s="303" t="s">
        <v>4174</v>
      </c>
      <c r="P723" s="16">
        <v>46076</v>
      </c>
      <c r="Q723" s="301" t="s">
        <v>658</v>
      </c>
      <c r="R723" s="2">
        <f>VLOOKUP(SALIDAS111518[[#This Row],[CÓDIGO]],PRODUCTOS31316[],2,FALSE)</f>
        <v>0</v>
      </c>
      <c r="S723" s="1" t="str">
        <f>VLOOKUP(SALIDAS111518[[#This Row],[CÓDIGO]],PRODUCTOS31316[],3,FALSE)</f>
        <v>CATETER TALADRO TRANSPARENTE 18"</v>
      </c>
      <c r="T723" s="2">
        <v>2</v>
      </c>
      <c r="U723" s="2"/>
      <c r="V723" s="2"/>
      <c r="W723" s="2"/>
      <c r="X723" s="2"/>
      <c r="Y723" s="7"/>
      <c r="Z723" s="2"/>
      <c r="AA723" s="1"/>
      <c r="AC723" s="2"/>
      <c r="AE723" s="1"/>
      <c r="AG723" s="2"/>
    </row>
    <row r="724" spans="1:33" ht="49.95" customHeight="1" x14ac:dyDescent="0.3">
      <c r="A724" s="203" t="s">
        <v>2309</v>
      </c>
      <c r="C724" s="1" t="s">
        <v>2508</v>
      </c>
      <c r="E724" s="1" t="s">
        <v>2238</v>
      </c>
      <c r="F724" s="1" t="s">
        <v>62</v>
      </c>
      <c r="G724" s="2">
        <v>0</v>
      </c>
      <c r="H724" s="14">
        <f>SUMIF(ENTRADAS71417[CÓDIGO],PRODUCTOS31316[[#This Row],[CÓDIGO]],ENTRADAS71417[CANTIDAD])</f>
        <v>0</v>
      </c>
      <c r="I724" s="11">
        <f>SUMIF(SALIDAS111518[CÓDIGO],PRODUCTOS31316[[#This Row],[CÓDIGO]],SALIDAS111518[CANTIDAD])</f>
        <v>0</v>
      </c>
      <c r="J724" s="6">
        <f>PRODUCTOS31316[[#This Row],[EXISTENCIAS]]+PRODUCTOS31316[[#This Row],[ENTRADAS]]-PRODUCTOS31316[[#This Row],[SALIDAS]]</f>
        <v>0</v>
      </c>
      <c r="L724" s="2"/>
      <c r="M724" s="2"/>
      <c r="N724" s="2">
        <v>7931</v>
      </c>
      <c r="O724" s="303" t="s">
        <v>4174</v>
      </c>
      <c r="P724" s="16">
        <v>46076</v>
      </c>
      <c r="Q724" s="301" t="s">
        <v>3393</v>
      </c>
      <c r="R724" s="2">
        <f>VLOOKUP(SALIDAS111518[[#This Row],[CÓDIGO]],PRODUCTOS31316[],2,FALSE)</f>
        <v>17026</v>
      </c>
      <c r="S724" s="1" t="str">
        <f>VLOOKUP(SALIDAS111518[[#This Row],[CÓDIGO]],PRODUCTOS31316[],3,FALSE)</f>
        <v>PISTOLA DE INSEMINACION QUICKLOCK 2000 MINITUBE</v>
      </c>
      <c r="T724" s="2">
        <v>1</v>
      </c>
      <c r="U724" s="2"/>
      <c r="V724" s="2"/>
      <c r="W724" s="2"/>
      <c r="X724" s="2"/>
      <c r="Y724" s="7"/>
      <c r="Z724" s="2"/>
      <c r="AA724" s="1"/>
      <c r="AC724" s="2"/>
      <c r="AE724" s="1"/>
      <c r="AG724" s="2"/>
    </row>
    <row r="725" spans="1:33" ht="49.95" customHeight="1" x14ac:dyDescent="0.3">
      <c r="A725" s="2" t="s">
        <v>2310</v>
      </c>
      <c r="B725" s="1" t="s">
        <v>2509</v>
      </c>
      <c r="C725" s="1" t="s">
        <v>2510</v>
      </c>
      <c r="E725" s="1" t="s">
        <v>449</v>
      </c>
      <c r="F725" s="1" t="s">
        <v>2511</v>
      </c>
      <c r="G725" s="2">
        <v>0</v>
      </c>
      <c r="H725" s="14">
        <f>SUMIF(ENTRADAS71417[CÓDIGO],PRODUCTOS31316[[#This Row],[CÓDIGO]],ENTRADAS71417[CANTIDAD])</f>
        <v>0</v>
      </c>
      <c r="I725" s="11">
        <f>SUMIF(SALIDAS111518[CÓDIGO],PRODUCTOS31316[[#This Row],[CÓDIGO]],SALIDAS111518[CANTIDAD])</f>
        <v>0</v>
      </c>
      <c r="J725" s="6">
        <f>PRODUCTOS31316[[#This Row],[EXISTENCIAS]]+PRODUCTOS31316[[#This Row],[ENTRADAS]]-PRODUCTOS31316[[#This Row],[SALIDAS]]</f>
        <v>0</v>
      </c>
      <c r="L725" s="2"/>
      <c r="M725" s="2"/>
      <c r="N725" s="2">
        <v>7931</v>
      </c>
      <c r="O725" s="303" t="s">
        <v>4174</v>
      </c>
      <c r="P725" s="16">
        <v>46076</v>
      </c>
      <c r="Q725" s="301" t="s">
        <v>3142</v>
      </c>
      <c r="R725" s="2">
        <f>VLOOKUP(SALIDAS111518[[#This Row],[CÓDIGO]],PRODUCTOS31316[],2,FALSE)</f>
        <v>16301</v>
      </c>
      <c r="S725" s="1" t="str">
        <f>VLOOKUP(SALIDAS111518[[#This Row],[CÓDIGO]],PRODUCTOS31316[],3,FALSE)</f>
        <v>PISTOLA DE TRANSFERENCIA DE EMBRIONES 0,25 DE MANGO DE ALUMINIO</v>
      </c>
      <c r="T725" s="2">
        <v>1</v>
      </c>
      <c r="U725" s="2"/>
      <c r="V725" s="2"/>
      <c r="W725" s="2"/>
      <c r="X725" s="2"/>
      <c r="Y725" s="7"/>
      <c r="Z725" s="2"/>
      <c r="AA725" s="1"/>
      <c r="AC725" s="2"/>
      <c r="AE725" s="1"/>
      <c r="AG725" s="2"/>
    </row>
    <row r="726" spans="1:33" ht="49.95" customHeight="1" x14ac:dyDescent="0.3">
      <c r="A726" s="2" t="s">
        <v>2312</v>
      </c>
      <c r="B726" s="1" t="s">
        <v>2512</v>
      </c>
      <c r="C726" s="1" t="s">
        <v>2513</v>
      </c>
      <c r="E726" s="1" t="s">
        <v>449</v>
      </c>
      <c r="F726" s="1" t="s">
        <v>678</v>
      </c>
      <c r="G726" s="2">
        <v>0</v>
      </c>
      <c r="H726" s="14">
        <f>SUMIF(ENTRADAS71417[CÓDIGO],PRODUCTOS31316[[#This Row],[CÓDIGO]],ENTRADAS71417[CANTIDAD])</f>
        <v>0</v>
      </c>
      <c r="I726" s="11">
        <f>SUMIF(SALIDAS111518[CÓDIGO],PRODUCTOS31316[[#This Row],[CÓDIGO]],SALIDAS111518[CANTIDAD])</f>
        <v>0</v>
      </c>
      <c r="J726" s="6">
        <f>PRODUCTOS31316[[#This Row],[EXISTENCIAS]]+PRODUCTOS31316[[#This Row],[ENTRADAS]]-PRODUCTOS31316[[#This Row],[SALIDAS]]</f>
        <v>0</v>
      </c>
      <c r="L726" s="2"/>
      <c r="M726" s="2"/>
      <c r="N726" s="2">
        <v>7931</v>
      </c>
      <c r="O726" s="303" t="s">
        <v>4174</v>
      </c>
      <c r="P726" s="16">
        <v>46076</v>
      </c>
      <c r="Q726" s="301" t="s">
        <v>3181</v>
      </c>
      <c r="R726" s="2">
        <f>VLOOKUP(SALIDAS111518[[#This Row],[CÓDIGO]],PRODUCTOS31316[],2,FALSE)</f>
        <v>7416</v>
      </c>
      <c r="S726" s="1" t="str">
        <f>VLOOKUP(SALIDAS111518[[#This Row],[CÓDIGO]],PRODUCTOS31316[],3,FALSE)</f>
        <v>CAJA PLÁSTICA DE 22" DE TRANSPORTE</v>
      </c>
      <c r="T726" s="2">
        <v>1</v>
      </c>
      <c r="U726" s="2"/>
      <c r="V726" s="2"/>
      <c r="W726" s="2"/>
      <c r="X726" s="2"/>
      <c r="Y726" s="7"/>
      <c r="Z726" s="2"/>
      <c r="AA726" s="1"/>
      <c r="AC726" s="2"/>
      <c r="AE726" s="1"/>
      <c r="AG726" s="2"/>
    </row>
    <row r="727" spans="1:33" ht="49.95" customHeight="1" x14ac:dyDescent="0.3">
      <c r="A727" s="2" t="s">
        <v>2313</v>
      </c>
      <c r="B727" s="1" t="s">
        <v>2514</v>
      </c>
      <c r="C727" s="1" t="s">
        <v>2515</v>
      </c>
      <c r="E727" s="1" t="s">
        <v>449</v>
      </c>
      <c r="F727" s="1" t="s">
        <v>686</v>
      </c>
      <c r="G727" s="2">
        <v>0</v>
      </c>
      <c r="H727" s="14">
        <f>SUMIF(ENTRADAS71417[CÓDIGO],PRODUCTOS31316[[#This Row],[CÓDIGO]],ENTRADAS71417[CANTIDAD])</f>
        <v>0</v>
      </c>
      <c r="I727" s="11">
        <f>SUMIF(SALIDAS111518[CÓDIGO],PRODUCTOS31316[[#This Row],[CÓDIGO]],SALIDAS111518[CANTIDAD])</f>
        <v>0</v>
      </c>
      <c r="J727" s="6">
        <f>PRODUCTOS31316[[#This Row],[EXISTENCIAS]]+PRODUCTOS31316[[#This Row],[ENTRADAS]]-PRODUCTOS31316[[#This Row],[SALIDAS]]</f>
        <v>0</v>
      </c>
      <c r="L727" s="2"/>
      <c r="M727" s="2"/>
      <c r="N727" s="2">
        <v>7931</v>
      </c>
      <c r="O727" s="303" t="s">
        <v>4174</v>
      </c>
      <c r="P727" s="16">
        <v>46076</v>
      </c>
      <c r="Q727" s="301" t="s">
        <v>2336</v>
      </c>
      <c r="R727" s="2">
        <f>VLOOKUP(SALIDAS111518[[#This Row],[CÓDIGO]],PRODUCTOS31316[],2,FALSE)</f>
        <v>4451</v>
      </c>
      <c r="S727" s="1" t="str">
        <f>VLOOKUP(SALIDAS111518[[#This Row],[CÓDIGO]],PRODUCTOS31316[],3,FALSE)</f>
        <v>TERMO NITRÓGEN ET-3</v>
      </c>
      <c r="T727" s="2">
        <v>1</v>
      </c>
      <c r="U727" s="2"/>
      <c r="V727" s="2"/>
      <c r="W727" s="2"/>
      <c r="X727" s="2"/>
      <c r="Y727" s="7"/>
      <c r="Z727" s="2"/>
      <c r="AA727" s="1"/>
      <c r="AC727" s="2"/>
      <c r="AE727" s="1"/>
      <c r="AG727" s="2"/>
    </row>
    <row r="728" spans="1:33" ht="49.95" customHeight="1" x14ac:dyDescent="0.3">
      <c r="A728" s="2" t="s">
        <v>2326</v>
      </c>
      <c r="C728" s="1" t="s">
        <v>2516</v>
      </c>
      <c r="D728" s="1" t="s">
        <v>467</v>
      </c>
      <c r="E728" s="1" t="s">
        <v>467</v>
      </c>
      <c r="F728" s="1" t="s">
        <v>30</v>
      </c>
      <c r="G728" s="2">
        <v>0</v>
      </c>
      <c r="H728" s="14">
        <f>SUMIF(ENTRADAS71417[CÓDIGO],PRODUCTOS31316[[#This Row],[CÓDIGO]],ENTRADAS71417[CANTIDAD])</f>
        <v>1</v>
      </c>
      <c r="I728" s="11">
        <f>SUMIF(SALIDAS111518[CÓDIGO],PRODUCTOS31316[[#This Row],[CÓDIGO]],SALIDAS111518[CANTIDAD])</f>
        <v>0</v>
      </c>
      <c r="J728" s="6">
        <f>PRODUCTOS31316[[#This Row],[EXISTENCIAS]]+PRODUCTOS31316[[#This Row],[ENTRADAS]]-PRODUCTOS31316[[#This Row],[SALIDAS]]</f>
        <v>1</v>
      </c>
      <c r="L728" s="301" t="s">
        <v>3520</v>
      </c>
      <c r="M728" s="301" t="s">
        <v>3931</v>
      </c>
      <c r="N728" s="303" t="s">
        <v>4168</v>
      </c>
      <c r="O728" s="301" t="s">
        <v>4154</v>
      </c>
      <c r="P728" s="16">
        <v>46076</v>
      </c>
      <c r="Q728" s="301" t="s">
        <v>2401</v>
      </c>
      <c r="R728" s="2">
        <f>VLOOKUP(SALIDAS111518[[#This Row],[CÓDIGO]],PRODUCTOS31316[],2,FALSE)</f>
        <v>5540</v>
      </c>
      <c r="S728" s="1" t="str">
        <f>VLOOKUP(SALIDAS111518[[#This Row],[CÓDIGO]],PRODUCTOS31316[],3,FALSE)</f>
        <v xml:space="preserve">FUNDAS DE TRANSFERENCIA AZUL PUNTA METÁLICA 21"                 </v>
      </c>
      <c r="T728" s="2">
        <v>2</v>
      </c>
      <c r="U728" s="2">
        <v>319</v>
      </c>
      <c r="V728" s="2"/>
      <c r="W728" s="2"/>
      <c r="X728" s="2"/>
      <c r="Y728" s="7"/>
      <c r="Z728" s="2"/>
      <c r="AA728" s="1"/>
      <c r="AC728" s="2"/>
      <c r="AE728" s="1"/>
      <c r="AG728" s="2"/>
    </row>
    <row r="729" spans="1:33" ht="49.95" customHeight="1" x14ac:dyDescent="0.3">
      <c r="A729" s="2" t="s">
        <v>2315</v>
      </c>
      <c r="B729" s="1" t="s">
        <v>2517</v>
      </c>
      <c r="C729" s="1" t="s">
        <v>2518</v>
      </c>
      <c r="D729" s="1" t="s">
        <v>1931</v>
      </c>
      <c r="E729" s="1" t="s">
        <v>1931</v>
      </c>
      <c r="F729" s="1" t="s">
        <v>30</v>
      </c>
      <c r="G729" s="2">
        <v>0</v>
      </c>
      <c r="H729" s="14">
        <f>SUMIF(ENTRADAS71417[CÓDIGO],PRODUCTOS31316[[#This Row],[CÓDIGO]],ENTRADAS71417[CANTIDAD])</f>
        <v>0</v>
      </c>
      <c r="I729" s="11">
        <f>SUMIF(SALIDAS111518[CÓDIGO],PRODUCTOS31316[[#This Row],[CÓDIGO]],SALIDAS111518[CANTIDAD])</f>
        <v>0</v>
      </c>
      <c r="J729" s="6">
        <f>PRODUCTOS31316[[#This Row],[EXISTENCIAS]]+PRODUCTOS31316[[#This Row],[ENTRADAS]]-PRODUCTOS31316[[#This Row],[SALIDAS]]</f>
        <v>0</v>
      </c>
      <c r="L729" s="301" t="s">
        <v>3520</v>
      </c>
      <c r="M729" s="301" t="s">
        <v>3931</v>
      </c>
      <c r="N729" s="303" t="s">
        <v>4169</v>
      </c>
      <c r="O729" s="303" t="s">
        <v>2445</v>
      </c>
      <c r="P729" s="16">
        <v>46076</v>
      </c>
      <c r="Q729" s="301" t="s">
        <v>3714</v>
      </c>
      <c r="R729" s="2" t="str">
        <f>VLOOKUP(SALIDAS111518[[#This Row],[CÓDIGO]],PRODUCTOS31316[],2,FALSE)</f>
        <v>13408-094</v>
      </c>
      <c r="S729" s="1" t="str">
        <f>VLOOKUP(SALIDAS111518[[#This Row],[CÓDIGO]],PRODUCTOS31316[],3,FALSE)</f>
        <v>PAJUELA AMARILLA 0.50/ PAQ. X 2500 MARCA MINITUBE</v>
      </c>
      <c r="T729" s="2">
        <v>1</v>
      </c>
      <c r="U729" s="2">
        <v>320</v>
      </c>
      <c r="V729" s="2"/>
      <c r="W729" s="2"/>
      <c r="X729" s="2"/>
      <c r="Y729" s="7"/>
      <c r="Z729" s="2"/>
      <c r="AA729" s="1"/>
      <c r="AC729" s="2"/>
      <c r="AE729" s="1"/>
      <c r="AG729" s="2"/>
    </row>
    <row r="730" spans="1:33" ht="49.95" customHeight="1" x14ac:dyDescent="0.3">
      <c r="A730" s="2" t="s">
        <v>2318</v>
      </c>
      <c r="B730" s="1" t="s">
        <v>2519</v>
      </c>
      <c r="C730" s="216" t="s">
        <v>2520</v>
      </c>
      <c r="D730" s="1" t="s">
        <v>1931</v>
      </c>
      <c r="E730" s="1" t="s">
        <v>1931</v>
      </c>
      <c r="F730" s="1" t="s">
        <v>30</v>
      </c>
      <c r="G730" s="2">
        <v>1</v>
      </c>
      <c r="H730" s="14">
        <f>SUMIF(ENTRADAS71417[CÓDIGO],PRODUCTOS31316[[#This Row],[CÓDIGO]],ENTRADAS71417[CANTIDAD])</f>
        <v>0</v>
      </c>
      <c r="I730" s="11">
        <f>SUMIF(SALIDAS111518[CÓDIGO],PRODUCTOS31316[[#This Row],[CÓDIGO]],SALIDAS111518[CANTIDAD])</f>
        <v>0</v>
      </c>
      <c r="J730" s="6">
        <f>PRODUCTOS31316[[#This Row],[EXISTENCIAS]]+PRODUCTOS31316[[#This Row],[ENTRADAS]]-PRODUCTOS31316[[#This Row],[SALIDAS]]</f>
        <v>1</v>
      </c>
      <c r="L730" s="2"/>
      <c r="M730" s="2"/>
      <c r="N730" s="2">
        <v>7927</v>
      </c>
      <c r="O730" s="303" t="s">
        <v>2445</v>
      </c>
      <c r="P730" s="16">
        <v>46076</v>
      </c>
      <c r="Q730" s="301" t="s">
        <v>3709</v>
      </c>
      <c r="R730" s="2" t="str">
        <f>VLOOKUP(SALIDAS111518[[#This Row],[CÓDIGO]],PRODUCTOS31316[],2,FALSE)</f>
        <v>13408-010</v>
      </c>
      <c r="S730" s="1" t="str">
        <f>VLOOKUP(SALIDAS111518[[#This Row],[CÓDIGO]],PRODUCTOS31316[],3,FALSE)</f>
        <v>PAJUELA TRANSPARENTE 0.50/ PAQ. X 2500 MARCA MINITUBE</v>
      </c>
      <c r="T730" s="2">
        <v>1</v>
      </c>
      <c r="U730" s="2"/>
      <c r="V730" s="2"/>
      <c r="W730" s="2"/>
      <c r="X730" s="52"/>
      <c r="Y730" s="7"/>
      <c r="Z730" s="2"/>
      <c r="AA730" s="1"/>
      <c r="AC730" s="2"/>
      <c r="AE730" s="1"/>
      <c r="AG730" s="2"/>
    </row>
    <row r="731" spans="1:33" ht="49.95" customHeight="1" x14ac:dyDescent="0.3">
      <c r="A731" s="2" t="s">
        <v>2314</v>
      </c>
      <c r="B731" s="1" t="s">
        <v>2521</v>
      </c>
      <c r="C731" s="1" t="s">
        <v>2522</v>
      </c>
      <c r="D731" s="1" t="s">
        <v>1931</v>
      </c>
      <c r="E731" s="1" t="s">
        <v>1931</v>
      </c>
      <c r="F731" s="1" t="s">
        <v>30</v>
      </c>
      <c r="G731" s="2">
        <v>0</v>
      </c>
      <c r="H731" s="14">
        <f>SUMIF(ENTRADAS71417[CÓDIGO],PRODUCTOS31316[[#This Row],[CÓDIGO]],ENTRADAS71417[CANTIDAD])</f>
        <v>0</v>
      </c>
      <c r="I731" s="11">
        <f>SUMIF(SALIDAS111518[CÓDIGO],PRODUCTOS31316[[#This Row],[CÓDIGO]],SALIDAS111518[CANTIDAD])</f>
        <v>0</v>
      </c>
      <c r="J731" s="6">
        <f>PRODUCTOS31316[[#This Row],[EXISTENCIAS]]+PRODUCTOS31316[[#This Row],[ENTRADAS]]-PRODUCTOS31316[[#This Row],[SALIDAS]]</f>
        <v>0</v>
      </c>
      <c r="L731" s="301" t="s">
        <v>3521</v>
      </c>
      <c r="M731" s="301" t="s">
        <v>3931</v>
      </c>
      <c r="N731" s="303" t="s">
        <v>4170</v>
      </c>
      <c r="O731" s="303" t="s">
        <v>2854</v>
      </c>
      <c r="P731" s="16">
        <v>46076</v>
      </c>
      <c r="Q731" s="301" t="s">
        <v>3142</v>
      </c>
      <c r="R731" s="2">
        <f>VLOOKUP(SALIDAS111518[[#This Row],[CÓDIGO]],PRODUCTOS31316[],2,FALSE)</f>
        <v>16301</v>
      </c>
      <c r="S731" s="1" t="str">
        <f>VLOOKUP(SALIDAS111518[[#This Row],[CÓDIGO]],PRODUCTOS31316[],3,FALSE)</f>
        <v>PISTOLA DE TRANSFERENCIA DE EMBRIONES 0,25 DE MANGO DE ALUMINIO</v>
      </c>
      <c r="T731" s="2">
        <v>1</v>
      </c>
      <c r="U731" s="2">
        <v>321</v>
      </c>
      <c r="V731" s="2"/>
      <c r="W731" s="2"/>
      <c r="X731" s="2"/>
      <c r="Y731" s="7"/>
      <c r="Z731" s="2"/>
      <c r="AA731" s="1"/>
      <c r="AC731" s="2"/>
      <c r="AE731" s="1"/>
      <c r="AG731" s="2"/>
    </row>
    <row r="732" spans="1:33" ht="49.95" customHeight="1" x14ac:dyDescent="0.3">
      <c r="A732" s="2" t="s">
        <v>2319</v>
      </c>
      <c r="B732" s="1" t="s">
        <v>2524</v>
      </c>
      <c r="C732" s="1" t="s">
        <v>2525</v>
      </c>
      <c r="D732" s="1" t="s">
        <v>1931</v>
      </c>
      <c r="E732" s="1" t="s">
        <v>1931</v>
      </c>
      <c r="F732" s="1" t="s">
        <v>30</v>
      </c>
      <c r="G732" s="2">
        <v>1</v>
      </c>
      <c r="H732" s="14">
        <f>SUMIF(ENTRADAS71417[CÓDIGO],PRODUCTOS31316[[#This Row],[CÓDIGO]],ENTRADAS71417[CANTIDAD])</f>
        <v>0</v>
      </c>
      <c r="I732" s="11">
        <f>SUMIF(SALIDAS111518[CÓDIGO],PRODUCTOS31316[[#This Row],[CÓDIGO]],SALIDAS111518[CANTIDAD])</f>
        <v>0</v>
      </c>
      <c r="J732" s="6">
        <f>PRODUCTOS31316[[#This Row],[EXISTENCIAS]]+PRODUCTOS31316[[#This Row],[ENTRADAS]]-PRODUCTOS31316[[#This Row],[SALIDAS]]</f>
        <v>1</v>
      </c>
      <c r="L732" s="301" t="s">
        <v>3520</v>
      </c>
      <c r="M732" s="301" t="s">
        <v>3931</v>
      </c>
      <c r="N732" s="303" t="s">
        <v>4171</v>
      </c>
      <c r="O732" s="301" t="s">
        <v>4160</v>
      </c>
      <c r="P732" s="16">
        <v>46076</v>
      </c>
      <c r="Q732" s="301" t="s">
        <v>44</v>
      </c>
      <c r="R732" s="2" t="str">
        <f>VLOOKUP(SALIDAS111518[[#This Row],[CÓDIGO]],PRODUCTOS31316[],2,FALSE)</f>
        <v>RS-01</v>
      </c>
      <c r="S732" s="1" t="str">
        <f>VLOOKUP(SALIDAS111518[[#This Row],[CÓDIGO]],PRODUCTOS31316[],3,FALSE)</f>
        <v>TAPON DE SILICONA PARA OPU</v>
      </c>
      <c r="T732" s="2">
        <v>1</v>
      </c>
      <c r="U732" s="2">
        <v>322</v>
      </c>
      <c r="V732" s="2"/>
      <c r="W732" s="2"/>
      <c r="X732" s="2"/>
      <c r="Y732" s="7"/>
      <c r="Z732" s="2"/>
      <c r="AA732" s="1"/>
      <c r="AC732" s="2"/>
      <c r="AE732" s="1"/>
      <c r="AG732" s="2"/>
    </row>
    <row r="733" spans="1:33" ht="49.95" customHeight="1" x14ac:dyDescent="0.3">
      <c r="A733" s="2" t="s">
        <v>2320</v>
      </c>
      <c r="B733" s="1">
        <v>3090.0010000000002</v>
      </c>
      <c r="C733" s="1" t="s">
        <v>2526</v>
      </c>
      <c r="D733" s="1" t="s">
        <v>2527</v>
      </c>
      <c r="E733" s="1" t="s">
        <v>2528</v>
      </c>
      <c r="F733" s="1" t="s">
        <v>139</v>
      </c>
      <c r="G733" s="2">
        <v>0</v>
      </c>
      <c r="H733" s="14">
        <f>SUMIF(ENTRADAS71417[CÓDIGO],PRODUCTOS31316[[#This Row],[CÓDIGO]],ENTRADAS71417[CANTIDAD])</f>
        <v>0</v>
      </c>
      <c r="I733" s="11">
        <f>SUMIF(SALIDAS111518[CÓDIGO],PRODUCTOS31316[[#This Row],[CÓDIGO]],SALIDAS111518[CANTIDAD])</f>
        <v>0</v>
      </c>
      <c r="J733" s="6">
        <f>PRODUCTOS31316[[#This Row],[EXISTENCIAS]]+PRODUCTOS31316[[#This Row],[ENTRADAS]]-PRODUCTOS31316[[#This Row],[SALIDAS]]</f>
        <v>0</v>
      </c>
      <c r="L733" s="301" t="s">
        <v>3520</v>
      </c>
      <c r="M733" s="301" t="s">
        <v>3931</v>
      </c>
      <c r="N733" s="303" t="s">
        <v>4172</v>
      </c>
      <c r="O733" s="303" t="s">
        <v>2445</v>
      </c>
      <c r="P733" s="16">
        <v>46076</v>
      </c>
      <c r="Q733" s="301" t="s">
        <v>47</v>
      </c>
      <c r="R733" s="2">
        <f>VLOOKUP(SALIDAS111518[[#This Row],[CÓDIGO]],PRODUCTOS31316[],2,FALSE)</f>
        <v>1135</v>
      </c>
      <c r="S733" s="1" t="str">
        <f>VLOOKUP(SALIDAS111518[[#This Row],[CÓDIGO]],PRODUCTOS31316[],3,FALSE)</f>
        <v>TRILADYL</v>
      </c>
      <c r="T733" s="2">
        <v>2</v>
      </c>
      <c r="U733" s="2">
        <v>232</v>
      </c>
      <c r="V733" s="2"/>
      <c r="W733" s="2"/>
      <c r="X733" s="2"/>
      <c r="Y733" s="7"/>
      <c r="Z733" s="2"/>
      <c r="AA733" s="1"/>
      <c r="AC733" s="2"/>
      <c r="AE733" s="1"/>
      <c r="AG733" s="2"/>
    </row>
    <row r="734" spans="1:33" ht="49.95" customHeight="1" x14ac:dyDescent="0.3">
      <c r="A734" s="2" t="s">
        <v>2321</v>
      </c>
      <c r="B734" s="1" t="s">
        <v>2529</v>
      </c>
      <c r="C734" s="1" t="s">
        <v>2530</v>
      </c>
      <c r="D734" s="1" t="s">
        <v>2531</v>
      </c>
      <c r="E734" s="1" t="s">
        <v>2528</v>
      </c>
      <c r="F734" s="1" t="s">
        <v>139</v>
      </c>
      <c r="G734" s="2">
        <v>0</v>
      </c>
      <c r="H734" s="14">
        <f>SUMIF(ENTRADAS71417[CÓDIGO],PRODUCTOS31316[[#This Row],[CÓDIGO]],ENTRADAS71417[CANTIDAD])</f>
        <v>0</v>
      </c>
      <c r="I734" s="11">
        <f>SUMIF(SALIDAS111518[CÓDIGO],PRODUCTOS31316[[#This Row],[CÓDIGO]],SALIDAS111518[CANTIDAD])</f>
        <v>0</v>
      </c>
      <c r="J734" s="6">
        <f>PRODUCTOS31316[[#This Row],[EXISTENCIAS]]+PRODUCTOS31316[[#This Row],[ENTRADAS]]-PRODUCTOS31316[[#This Row],[SALIDAS]]</f>
        <v>0</v>
      </c>
      <c r="L734" s="301" t="s">
        <v>3520</v>
      </c>
      <c r="M734" s="301" t="s">
        <v>3931</v>
      </c>
      <c r="N734" s="15"/>
      <c r="O734" s="302" t="s">
        <v>4177</v>
      </c>
      <c r="P734" s="15"/>
      <c r="Q734" s="303" t="s">
        <v>4178</v>
      </c>
      <c r="R734" s="2" t="e">
        <f>VLOOKUP(SALIDAS111518[[#This Row],[CÓDIGO]],PRODUCTOS31316[],2,FALSE)</f>
        <v>#N/A</v>
      </c>
      <c r="S734" s="1" t="e">
        <f>VLOOKUP(SALIDAS111518[[#This Row],[CÓDIGO]],PRODUCTOS31316[],3,FALSE)</f>
        <v>#N/A</v>
      </c>
      <c r="T734" s="2">
        <v>1</v>
      </c>
      <c r="U734" s="2"/>
      <c r="V734" s="2"/>
      <c r="W734" s="2"/>
      <c r="X734" s="2"/>
      <c r="Y734" s="7"/>
      <c r="Z734" s="2"/>
      <c r="AA734" s="1"/>
      <c r="AC734" s="2"/>
      <c r="AE734" s="1"/>
      <c r="AG734" s="2"/>
    </row>
    <row r="735" spans="1:33" ht="49.95" customHeight="1" x14ac:dyDescent="0.3">
      <c r="A735" s="2" t="s">
        <v>2323</v>
      </c>
      <c r="B735" s="1" t="s">
        <v>2532</v>
      </c>
      <c r="C735" s="1" t="s">
        <v>2533</v>
      </c>
      <c r="D735" s="1" t="s">
        <v>2534</v>
      </c>
      <c r="E735" s="1" t="s">
        <v>957</v>
      </c>
      <c r="F735" s="1" t="s">
        <v>172</v>
      </c>
      <c r="G735" s="2">
        <v>1</v>
      </c>
      <c r="H735" s="14">
        <f>SUMIF(ENTRADAS71417[CÓDIGO],PRODUCTOS31316[[#This Row],[CÓDIGO]],ENTRADAS71417[CANTIDAD])</f>
        <v>0</v>
      </c>
      <c r="I735" s="11">
        <f>SUMIF(SALIDAS111518[CÓDIGO],PRODUCTOS31316[[#This Row],[CÓDIGO]],SALIDAS111518[CANTIDAD])</f>
        <v>1</v>
      </c>
      <c r="J735" s="6">
        <f>PRODUCTOS31316[[#This Row],[EXISTENCIAS]]+PRODUCTOS31316[[#This Row],[ENTRADAS]]-PRODUCTOS31316[[#This Row],[SALIDAS]]</f>
        <v>0</v>
      </c>
      <c r="L735" s="301" t="s">
        <v>3520</v>
      </c>
      <c r="M735" s="301" t="s">
        <v>3931</v>
      </c>
      <c r="N735" s="303" t="s">
        <v>4182</v>
      </c>
      <c r="O735" s="301" t="s">
        <v>1358</v>
      </c>
      <c r="P735" s="16">
        <v>46077</v>
      </c>
      <c r="Q735" s="301" t="s">
        <v>2818</v>
      </c>
      <c r="R735" s="2">
        <f>VLOOKUP(SALIDAS111518[[#This Row],[CÓDIGO]],PRODUCTOS31316[],2,FALSE)</f>
        <v>0</v>
      </c>
      <c r="S735" s="1" t="str">
        <f>VLOOKUP(SALIDAS111518[[#This Row],[CÓDIGO]],PRODUCTOS31316[],3,FALSE)</f>
        <v>CARCASA ISPERM</v>
      </c>
      <c r="T735" s="2">
        <v>1</v>
      </c>
      <c r="U735" s="2">
        <v>325</v>
      </c>
      <c r="V735" s="2"/>
      <c r="W735" s="2"/>
      <c r="X735" s="52"/>
      <c r="Y735" s="7"/>
      <c r="Z735" s="2"/>
      <c r="AA735" s="1"/>
      <c r="AC735" s="2"/>
      <c r="AE735" s="1"/>
      <c r="AG735" s="2"/>
    </row>
    <row r="736" spans="1:33" ht="49.95" customHeight="1" x14ac:dyDescent="0.3">
      <c r="A736" s="2" t="s">
        <v>2324</v>
      </c>
      <c r="B736" s="1" t="s">
        <v>2535</v>
      </c>
      <c r="C736" s="1" t="s">
        <v>2536</v>
      </c>
      <c r="D736" s="1" t="s">
        <v>2537</v>
      </c>
      <c r="E736" s="1" t="s">
        <v>177</v>
      </c>
      <c r="F736" s="1" t="s">
        <v>224</v>
      </c>
      <c r="G736" s="2">
        <v>0</v>
      </c>
      <c r="H736" s="14">
        <f>SUMIF(ENTRADAS71417[CÓDIGO],PRODUCTOS31316[[#This Row],[CÓDIGO]],ENTRADAS71417[CANTIDAD])</f>
        <v>0</v>
      </c>
      <c r="I736" s="11">
        <f>SUMIF(SALIDAS111518[CÓDIGO],PRODUCTOS31316[[#This Row],[CÓDIGO]],SALIDAS111518[CANTIDAD])</f>
        <v>0</v>
      </c>
      <c r="J736" s="6">
        <f>PRODUCTOS31316[[#This Row],[EXISTENCIAS]]+PRODUCTOS31316[[#This Row],[ENTRADAS]]-PRODUCTOS31316[[#This Row],[SALIDAS]]</f>
        <v>0</v>
      </c>
      <c r="L736" s="301" t="s">
        <v>3520</v>
      </c>
      <c r="M736" s="301" t="s">
        <v>3931</v>
      </c>
      <c r="N736" s="303" t="s">
        <v>4183</v>
      </c>
      <c r="O736" s="301" t="s">
        <v>2344</v>
      </c>
      <c r="P736" s="16">
        <v>46077</v>
      </c>
      <c r="Q736" s="301" t="s">
        <v>2755</v>
      </c>
      <c r="R736" s="2" t="str">
        <f>VLOOKUP(SALIDAS111518[[#This Row],[CÓDIGO]],PRODUCTOS31316[],2,FALSE)</f>
        <v>MSLDO05</v>
      </c>
      <c r="S736" s="1" t="str">
        <f>VLOOKUP(SALIDAS111518[[#This Row],[CÓDIGO]],PRODUCTOS31316[],3,FALSE)</f>
        <v>TERMO DE RECOLECCIÓN DE SEMEN/ USO VETERINARIO</v>
      </c>
      <c r="T736" s="2">
        <v>4</v>
      </c>
      <c r="U736" s="2">
        <v>326</v>
      </c>
      <c r="V736" s="2"/>
      <c r="W736" s="2"/>
      <c r="X736" s="151"/>
      <c r="Y736" s="7"/>
      <c r="Z736" s="2"/>
      <c r="AA736" s="1"/>
      <c r="AC736" s="2"/>
      <c r="AE736" s="1"/>
      <c r="AG736" s="2"/>
    </row>
    <row r="737" spans="1:33" ht="49.95" customHeight="1" x14ac:dyDescent="0.3">
      <c r="A737" s="2" t="s">
        <v>2325</v>
      </c>
      <c r="B737" s="1" t="s">
        <v>2538</v>
      </c>
      <c r="C737" s="1" t="s">
        <v>2539</v>
      </c>
      <c r="D737" s="1" t="s">
        <v>2540</v>
      </c>
      <c r="E737" s="1" t="s">
        <v>1115</v>
      </c>
      <c r="F737" s="1" t="s">
        <v>30</v>
      </c>
      <c r="G737" s="2">
        <v>0</v>
      </c>
      <c r="H737" s="14">
        <f>SUMIF(ENTRADAS71417[CÓDIGO],PRODUCTOS31316[[#This Row],[CÓDIGO]],ENTRADAS71417[CANTIDAD])</f>
        <v>0</v>
      </c>
      <c r="I737" s="11">
        <f>SUMIF(SALIDAS111518[CÓDIGO],PRODUCTOS31316[[#This Row],[CÓDIGO]],SALIDAS111518[CANTIDAD])</f>
        <v>0</v>
      </c>
      <c r="J737" s="6">
        <f>PRODUCTOS31316[[#This Row],[EXISTENCIAS]]+PRODUCTOS31316[[#This Row],[ENTRADAS]]-PRODUCTOS31316[[#This Row],[SALIDAS]]</f>
        <v>0</v>
      </c>
      <c r="L737" s="2"/>
      <c r="M737" s="2"/>
      <c r="N737" s="2">
        <v>7933</v>
      </c>
      <c r="O737" s="301" t="s">
        <v>2344</v>
      </c>
      <c r="P737" s="16">
        <v>46077</v>
      </c>
      <c r="Q737" s="301" t="s">
        <v>2251</v>
      </c>
      <c r="R737" s="2">
        <f>VLOOKUP(SALIDAS111518[[#This Row],[CÓDIGO]],PRODUCTOS31316[],2,FALSE)</f>
        <v>7240</v>
      </c>
      <c r="S737" s="1" t="str">
        <f>VLOOKUP(SALIDAS111518[[#This Row],[CÓDIGO]],PRODUCTOS31316[],3,FALSE)</f>
        <v>PISTOLA DE TE 0,25 MARCA IMV</v>
      </c>
      <c r="T737" s="2">
        <v>2</v>
      </c>
      <c r="U737" s="2"/>
      <c r="V737" s="2"/>
      <c r="W737" s="2"/>
      <c r="X737" s="52"/>
      <c r="Y737" s="7"/>
      <c r="Z737" s="2"/>
      <c r="AA737" s="1"/>
      <c r="AC737" s="2"/>
      <c r="AE737" s="1"/>
      <c r="AG737" s="2"/>
    </row>
    <row r="738" spans="1:33" ht="49.95" customHeight="1" x14ac:dyDescent="0.3">
      <c r="A738" s="2" t="s">
        <v>2374</v>
      </c>
      <c r="B738" s="1" t="s">
        <v>2541</v>
      </c>
      <c r="C738" s="1" t="s">
        <v>2542</v>
      </c>
      <c r="D738" s="1" t="s">
        <v>639</v>
      </c>
      <c r="E738" s="1" t="s">
        <v>639</v>
      </c>
      <c r="F738" s="1" t="s">
        <v>1854</v>
      </c>
      <c r="G738" s="2">
        <v>0</v>
      </c>
      <c r="H738" s="14">
        <f>SUMIF(ENTRADAS71417[CÓDIGO],PRODUCTOS31316[[#This Row],[CÓDIGO]],ENTRADAS71417[CANTIDAD])</f>
        <v>0</v>
      </c>
      <c r="I738" s="11">
        <f>SUMIF(SALIDAS111518[CÓDIGO],PRODUCTOS31316[[#This Row],[CÓDIGO]],SALIDAS111518[CANTIDAD])</f>
        <v>0</v>
      </c>
      <c r="J738" s="6">
        <f>PRODUCTOS31316[[#This Row],[EXISTENCIAS]]+PRODUCTOS31316[[#This Row],[ENTRADAS]]-PRODUCTOS31316[[#This Row],[SALIDAS]]</f>
        <v>0</v>
      </c>
      <c r="L738" s="301" t="s">
        <v>3520</v>
      </c>
      <c r="M738" s="301" t="s">
        <v>3931</v>
      </c>
      <c r="N738" s="303" t="s">
        <v>4184</v>
      </c>
      <c r="O738" s="301" t="s">
        <v>2695</v>
      </c>
      <c r="P738" s="16">
        <v>46077</v>
      </c>
      <c r="Q738" s="301" t="s">
        <v>913</v>
      </c>
      <c r="R738" s="2" t="str">
        <f>VLOOKUP(SALIDAS111518[[#This Row],[CÓDIGO]],PRODUCTOS31316[],2,FALSE)</f>
        <v>HC-R069</v>
      </c>
      <c r="S738" s="1" t="str">
        <f>VLOOKUP(SALIDAS111518[[#This Row],[CÓDIGO]],PRODUCTOS31316[],3,FALSE)</f>
        <v>MICROSCOPIO CON PLATINA Y PANTALLA 7"</v>
      </c>
      <c r="T738" s="2">
        <v>1</v>
      </c>
      <c r="U738" s="301">
        <v>327</v>
      </c>
      <c r="V738" s="2"/>
      <c r="W738" s="2"/>
      <c r="X738" s="52"/>
      <c r="Y738" s="7"/>
      <c r="Z738" s="2"/>
      <c r="AA738" s="1"/>
      <c r="AC738" s="2"/>
      <c r="AE738" s="1"/>
      <c r="AG738" s="2"/>
    </row>
    <row r="739" spans="1:33" ht="49.95" customHeight="1" x14ac:dyDescent="0.3">
      <c r="A739" s="2" t="s">
        <v>2329</v>
      </c>
      <c r="B739" s="1">
        <v>1505</v>
      </c>
      <c r="C739" s="1" t="s">
        <v>2543</v>
      </c>
      <c r="D739" s="1" t="s">
        <v>1967</v>
      </c>
      <c r="E739" s="1" t="s">
        <v>2328</v>
      </c>
      <c r="F739" s="1" t="s">
        <v>30</v>
      </c>
      <c r="G739" s="31">
        <v>0</v>
      </c>
      <c r="H739" s="14">
        <f>SUMIF(ENTRADAS71417[CÓDIGO],PRODUCTOS31316[[#This Row],[CÓDIGO]],ENTRADAS71417[CANTIDAD])</f>
        <v>2</v>
      </c>
      <c r="I739" s="11">
        <f>SUMIF(SALIDAS111518[CÓDIGO],PRODUCTOS31316[[#This Row],[CÓDIGO]],SALIDAS111518[CANTIDAD])</f>
        <v>2</v>
      </c>
      <c r="J739" s="6">
        <f>PRODUCTOS31316[[#This Row],[EXISTENCIAS]]+PRODUCTOS31316[[#This Row],[ENTRADAS]]-PRODUCTOS31316[[#This Row],[SALIDAS]]</f>
        <v>0</v>
      </c>
      <c r="L739" s="301" t="s">
        <v>3520</v>
      </c>
      <c r="M739" s="301" t="s">
        <v>3931</v>
      </c>
      <c r="N739" s="303" t="s">
        <v>4185</v>
      </c>
      <c r="O739" s="303" t="s">
        <v>4179</v>
      </c>
      <c r="P739" s="16">
        <v>46077</v>
      </c>
      <c r="Q739" s="301" t="s">
        <v>2257</v>
      </c>
      <c r="R739" s="2">
        <f>VLOOKUP(SALIDAS111518[[#This Row],[CÓDIGO]],PRODUCTOS31316[],2,FALSE)</f>
        <v>9014001</v>
      </c>
      <c r="S739" s="1" t="str">
        <f>VLOOKUP(SALIDAS111518[[#This Row],[CÓDIGO]],PRODUCTOS31316[],3,FALSE)</f>
        <v>FILTROS OPU 100 UM/ MARCA TED</v>
      </c>
      <c r="T739" s="2">
        <v>1</v>
      </c>
      <c r="U739" s="2">
        <v>328</v>
      </c>
      <c r="V739" s="2"/>
      <c r="W739" s="2"/>
      <c r="X739" s="52"/>
      <c r="Y739" s="7"/>
      <c r="Z739" s="2"/>
      <c r="AA739" s="1"/>
      <c r="AC739" s="2"/>
      <c r="AE739" s="1"/>
      <c r="AG739" s="2"/>
    </row>
    <row r="740" spans="1:33" ht="49.95" customHeight="1" x14ac:dyDescent="0.3">
      <c r="A740" s="2" t="s">
        <v>2331</v>
      </c>
      <c r="B740" s="1" t="s">
        <v>2544</v>
      </c>
      <c r="C740" s="1" t="s">
        <v>2545</v>
      </c>
      <c r="D740" s="1" t="s">
        <v>1929</v>
      </c>
      <c r="E740" s="1" t="s">
        <v>1929</v>
      </c>
      <c r="F740" s="1" t="s">
        <v>30</v>
      </c>
      <c r="G740" s="2">
        <v>2</v>
      </c>
      <c r="H740" s="14">
        <f>SUMIF(ENTRADAS71417[CÓDIGO],PRODUCTOS31316[[#This Row],[CÓDIGO]],ENTRADAS71417[CANTIDAD])</f>
        <v>0</v>
      </c>
      <c r="I740" s="11">
        <f>SUMIF(SALIDAS111518[CÓDIGO],PRODUCTOS31316[[#This Row],[CÓDIGO]],SALIDAS111518[CANTIDAD])</f>
        <v>1</v>
      </c>
      <c r="J740" s="6">
        <f>PRODUCTOS31316[[#This Row],[EXISTENCIAS]]+PRODUCTOS31316[[#This Row],[ENTRADAS]]-PRODUCTOS31316[[#This Row],[SALIDAS]]</f>
        <v>1</v>
      </c>
      <c r="L740" s="2"/>
      <c r="M740" s="2"/>
      <c r="N740" s="2">
        <v>7935</v>
      </c>
      <c r="O740" s="303" t="s">
        <v>4179</v>
      </c>
      <c r="P740" s="16">
        <v>46077</v>
      </c>
      <c r="Q740" s="301" t="s">
        <v>168</v>
      </c>
      <c r="R740" s="2">
        <f>VLOOKUP(SALIDAS111518[[#This Row],[CÓDIGO]],PRODUCTOS31316[],2,FALSE)</f>
        <v>4840</v>
      </c>
      <c r="S740" s="1" t="str">
        <f>VLOOKUP(SALIDAS111518[[#This Row],[CÓDIGO]],PRODUCTOS31316[],3,FALSE)</f>
        <v>PUNTAS BLANCAS UNIVERSALES, PLÁSTICAS, LIBRES DE DNASAS, RNASA Y PIROGENOS, RANGO DE 0.1 A 10UL. (CORTAS).</v>
      </c>
      <c r="T740" s="2">
        <v>1</v>
      </c>
      <c r="U740" s="2"/>
      <c r="V740" s="2"/>
      <c r="W740" s="2"/>
      <c r="X740" s="52"/>
      <c r="Y740" s="7"/>
      <c r="Z740" s="2"/>
      <c r="AA740" s="1"/>
      <c r="AC740" s="2"/>
      <c r="AE740" s="1"/>
      <c r="AG740" s="2"/>
    </row>
    <row r="741" spans="1:33" ht="49.95" customHeight="1" x14ac:dyDescent="0.3">
      <c r="A741" s="2" t="s">
        <v>2333</v>
      </c>
      <c r="B741" s="1">
        <v>30004101900</v>
      </c>
      <c r="C741" s="1" t="s">
        <v>2546</v>
      </c>
      <c r="E741" s="1" t="s">
        <v>2547</v>
      </c>
      <c r="F741" s="1" t="s">
        <v>1171</v>
      </c>
      <c r="G741" s="2">
        <v>0</v>
      </c>
      <c r="H741" s="14">
        <f>SUMIF(ENTRADAS71417[CÓDIGO],PRODUCTOS31316[[#This Row],[CÓDIGO]],ENTRADAS71417[CANTIDAD])</f>
        <v>1</v>
      </c>
      <c r="I741" s="11">
        <f>SUMIF(SALIDAS111518[CÓDIGO],PRODUCTOS31316[[#This Row],[CÓDIGO]],SALIDAS111518[CANTIDAD])</f>
        <v>1</v>
      </c>
      <c r="J741" s="6">
        <f>PRODUCTOS31316[[#This Row],[EXISTENCIAS]]+PRODUCTOS31316[[#This Row],[ENTRADAS]]-PRODUCTOS31316[[#This Row],[SALIDAS]]</f>
        <v>0</v>
      </c>
      <c r="L741" s="301" t="s">
        <v>3520</v>
      </c>
      <c r="M741" s="301" t="s">
        <v>3931</v>
      </c>
      <c r="N741" s="303" t="s">
        <v>4186</v>
      </c>
      <c r="O741" s="301" t="s">
        <v>3199</v>
      </c>
      <c r="P741" s="16">
        <v>46077</v>
      </c>
      <c r="Q741" s="301" t="s">
        <v>913</v>
      </c>
      <c r="R741" s="2" t="str">
        <f>VLOOKUP(SALIDAS111518[[#This Row],[CÓDIGO]],PRODUCTOS31316[],2,FALSE)</f>
        <v>HC-R069</v>
      </c>
      <c r="S741" s="1" t="str">
        <f>VLOOKUP(SALIDAS111518[[#This Row],[CÓDIGO]],PRODUCTOS31316[],3,FALSE)</f>
        <v>MICROSCOPIO CON PLATINA Y PANTALLA 7"</v>
      </c>
      <c r="T741" s="2">
        <v>1</v>
      </c>
      <c r="U741" s="2">
        <v>324</v>
      </c>
      <c r="V741" s="2"/>
      <c r="W741" s="301" t="s">
        <v>2823</v>
      </c>
      <c r="X741" s="2"/>
      <c r="Y741" s="7"/>
      <c r="Z741" s="2"/>
      <c r="AA741" s="1"/>
      <c r="AC741" s="2"/>
      <c r="AE741" s="1"/>
      <c r="AG741" s="2"/>
    </row>
    <row r="742" spans="1:33" ht="49.95" customHeight="1" x14ac:dyDescent="0.3">
      <c r="A742" s="2" t="s">
        <v>2334</v>
      </c>
      <c r="B742" s="1">
        <v>101258</v>
      </c>
      <c r="C742" s="1" t="s">
        <v>2548</v>
      </c>
      <c r="D742" s="1" t="s">
        <v>2549</v>
      </c>
      <c r="E742" s="1" t="s">
        <v>2549</v>
      </c>
      <c r="F742" s="1" t="s">
        <v>537</v>
      </c>
      <c r="G742" s="2">
        <f>19+2</f>
        <v>21</v>
      </c>
      <c r="H742" s="14">
        <f>SUMIF(ENTRADAS71417[CÓDIGO],PRODUCTOS31316[[#This Row],[CÓDIGO]],ENTRADAS71417[CANTIDAD])</f>
        <v>0</v>
      </c>
      <c r="I742" s="11">
        <f>SUMIF(SALIDAS111518[CÓDIGO],PRODUCTOS31316[[#This Row],[CÓDIGO]],SALIDAS111518[CANTIDAD])</f>
        <v>2</v>
      </c>
      <c r="J742" s="6">
        <f>PRODUCTOS31316[[#This Row],[EXISTENCIAS]]+PRODUCTOS31316[[#This Row],[ENTRADAS]]-PRODUCTOS31316[[#This Row],[SALIDAS]]</f>
        <v>19</v>
      </c>
      <c r="L742" s="2"/>
      <c r="M742" s="2"/>
      <c r="N742" s="2">
        <v>7936</v>
      </c>
      <c r="O742" s="301" t="s">
        <v>3199</v>
      </c>
      <c r="P742" s="16">
        <v>46077</v>
      </c>
      <c r="Q742" s="301" t="s">
        <v>3233</v>
      </c>
      <c r="R742" s="2" t="str">
        <f>VLOOKUP(SALIDAS111518[[#This Row],[CÓDIGO]],PRODUCTOS31316[],2,FALSE)</f>
        <v>JA3022</v>
      </c>
      <c r="S742" s="1" t="str">
        <f>VLOOKUP(SALIDAS111518[[#This Row],[CÓDIGO]],PRODUCTOS31316[],3,FALSE)</f>
        <v>PIPETA AUTOMÁTICA VOLUMEN DE 0.5A 10UL</v>
      </c>
      <c r="T742" s="2">
        <v>1</v>
      </c>
      <c r="U742" s="2"/>
      <c r="V742" s="2"/>
      <c r="W742" s="2"/>
      <c r="X742" s="2"/>
      <c r="Y742" s="7"/>
      <c r="Z742" s="2"/>
      <c r="AA742" s="1"/>
      <c r="AC742" s="2"/>
      <c r="AE742" s="1"/>
      <c r="AG742" s="2"/>
    </row>
    <row r="743" spans="1:33" ht="49.95" customHeight="1" x14ac:dyDescent="0.3">
      <c r="A743" s="2" t="s">
        <v>2327</v>
      </c>
      <c r="B743" s="1">
        <v>1154</v>
      </c>
      <c r="C743" s="1" t="s">
        <v>2550</v>
      </c>
      <c r="E743" s="1" t="s">
        <v>1075</v>
      </c>
      <c r="F743" s="1" t="s">
        <v>30</v>
      </c>
      <c r="G743" s="2">
        <v>0</v>
      </c>
      <c r="H743" s="14">
        <f>SUMIF(ENTRADAS71417[CÓDIGO],PRODUCTOS31316[[#This Row],[CÓDIGO]],ENTRADAS71417[CANTIDAD])</f>
        <v>0</v>
      </c>
      <c r="I743" s="11">
        <f>SUMIF(SALIDAS111518[CÓDIGO],PRODUCTOS31316[[#This Row],[CÓDIGO]],SALIDAS111518[CANTIDAD])</f>
        <v>0</v>
      </c>
      <c r="J743" s="6">
        <f>PRODUCTOS31316[[#This Row],[EXISTENCIAS]]+PRODUCTOS31316[[#This Row],[ENTRADAS]]-PRODUCTOS31316[[#This Row],[SALIDAS]]</f>
        <v>0</v>
      </c>
      <c r="L743" s="2"/>
      <c r="M743" s="2"/>
      <c r="N743" s="2">
        <v>7936</v>
      </c>
      <c r="O743" s="301" t="s">
        <v>3199</v>
      </c>
      <c r="P743" s="16">
        <v>46077</v>
      </c>
      <c r="Q743" s="301" t="s">
        <v>3237</v>
      </c>
      <c r="R743" s="2" t="str">
        <f>VLOOKUP(SALIDAS111518[[#This Row],[CÓDIGO]],PRODUCTOS31316[],2,FALSE)</f>
        <v>1111-3800</v>
      </c>
      <c r="S743" s="1" t="str">
        <f>VLOOKUP(SALIDAS111518[[#This Row],[CÓDIGO]],PRODUCTOS31316[],3,FALSE)</f>
        <v>RACK DE PUNTAS 10 UL NO ESTERIL/ LT N1394910O/ N139103M</v>
      </c>
      <c r="T743" s="2">
        <v>1</v>
      </c>
      <c r="U743" s="2"/>
      <c r="V743" s="2"/>
      <c r="W743" s="2"/>
      <c r="X743" s="50"/>
      <c r="Y743" s="7"/>
      <c r="Z743" s="2"/>
      <c r="AA743" s="1"/>
      <c r="AC743" s="2"/>
      <c r="AE743" s="1"/>
      <c r="AG743" s="2"/>
    </row>
    <row r="744" spans="1:33" ht="49.95" customHeight="1" x14ac:dyDescent="0.3">
      <c r="A744" s="2" t="s">
        <v>2335</v>
      </c>
      <c r="B744" s="1">
        <v>1004992</v>
      </c>
      <c r="C744" s="1" t="s">
        <v>2551</v>
      </c>
      <c r="D744" s="1" t="s">
        <v>2552</v>
      </c>
      <c r="E744" s="1" t="s">
        <v>1115</v>
      </c>
      <c r="F744" s="1" t="s">
        <v>30</v>
      </c>
      <c r="G744" s="2">
        <v>0</v>
      </c>
      <c r="H744" s="14">
        <f>SUMIF(ENTRADAS71417[CÓDIGO],PRODUCTOS31316[[#This Row],[CÓDIGO]],ENTRADAS71417[CANTIDAD])</f>
        <v>0</v>
      </c>
      <c r="I744" s="11">
        <f>SUMIF(SALIDAS111518[CÓDIGO],PRODUCTOS31316[[#This Row],[CÓDIGO]],SALIDAS111518[CANTIDAD])</f>
        <v>0</v>
      </c>
      <c r="J744" s="6">
        <f>PRODUCTOS31316[[#This Row],[EXISTENCIAS]]+PRODUCTOS31316[[#This Row],[ENTRADAS]]-PRODUCTOS31316[[#This Row],[SALIDAS]]</f>
        <v>0</v>
      </c>
      <c r="L744" s="2"/>
      <c r="M744" s="2"/>
      <c r="N744" s="2">
        <v>7936</v>
      </c>
      <c r="O744" s="301" t="s">
        <v>3199</v>
      </c>
      <c r="P744" s="16">
        <v>46077</v>
      </c>
      <c r="Q744" s="301" t="s">
        <v>273</v>
      </c>
      <c r="R744" s="2">
        <f>VLOOKUP(SALIDAS111518[[#This Row],[CÓDIGO]],PRODUCTOS31316[],2,FALSE)</f>
        <v>1003514</v>
      </c>
      <c r="S744" s="1" t="str">
        <f>VLOOKUP(SALIDAS111518[[#This Row],[CÓDIGO]],PRODUCTOS31316[],3,FALSE)</f>
        <v>JALEA CONDUCTIVA (GEL ULTRASONICO) GALON X 3785 ML AZUL</v>
      </c>
      <c r="T744" s="2">
        <v>1</v>
      </c>
      <c r="U744" s="2"/>
      <c r="V744" s="2"/>
      <c r="W744" s="2"/>
      <c r="X744" s="2"/>
      <c r="Y744" s="7"/>
      <c r="Z744" s="2"/>
      <c r="AA744" s="1"/>
      <c r="AC744" s="2"/>
      <c r="AE744" s="1"/>
      <c r="AG744" s="2"/>
    </row>
    <row r="745" spans="1:33" ht="49.95" customHeight="1" x14ac:dyDescent="0.3">
      <c r="A745" s="2" t="s">
        <v>2336</v>
      </c>
      <c r="B745" s="1">
        <v>4451</v>
      </c>
      <c r="C745" s="216" t="s">
        <v>2553</v>
      </c>
      <c r="D745" s="1" t="s">
        <v>2554</v>
      </c>
      <c r="E745" s="1" t="s">
        <v>410</v>
      </c>
      <c r="F745" s="1" t="s">
        <v>30</v>
      </c>
      <c r="G745" s="2">
        <v>0</v>
      </c>
      <c r="H745" s="14">
        <f>SUMIF(ENTRADAS71417[CÓDIGO],PRODUCTOS31316[[#This Row],[CÓDIGO]],ENTRADAS71417[CANTIDAD])</f>
        <v>2</v>
      </c>
      <c r="I745" s="11">
        <f>SUMIF(SALIDAS111518[CÓDIGO],PRODUCTOS31316[[#This Row],[CÓDIGO]],SALIDAS111518[CANTIDAD])</f>
        <v>2</v>
      </c>
      <c r="J745" s="6">
        <f>PRODUCTOS31316[[#This Row],[EXISTENCIAS]]+PRODUCTOS31316[[#This Row],[ENTRADAS]]-PRODUCTOS31316[[#This Row],[SALIDAS]]</f>
        <v>0</v>
      </c>
      <c r="L745" s="2"/>
      <c r="M745" s="2"/>
      <c r="N745" s="2">
        <v>7936</v>
      </c>
      <c r="O745" s="301" t="s">
        <v>3199</v>
      </c>
      <c r="P745" s="16">
        <v>46077</v>
      </c>
      <c r="Q745" s="301" t="s">
        <v>210</v>
      </c>
      <c r="R745" s="2">
        <f>VLOOKUP(SALIDAS111518[[#This Row],[CÓDIGO]],PRODUCTOS31316[],2,FALSE)</f>
        <v>101257</v>
      </c>
      <c r="S745" s="1" t="str">
        <f>VLOOKUP(SALIDAS111518[[#This Row],[CÓDIGO]],PRODUCTOS31316[],3,FALSE)</f>
        <v>MANGA DESECHABLE SUPER SENSITIVA</v>
      </c>
      <c r="T745" s="2">
        <v>1</v>
      </c>
      <c r="U745" s="2"/>
      <c r="V745" s="2"/>
      <c r="W745" s="2"/>
      <c r="X745" s="2"/>
      <c r="Y745" s="7"/>
      <c r="Z745" s="2"/>
      <c r="AA745" s="1"/>
      <c r="AC745" s="2"/>
      <c r="AE745" s="1"/>
      <c r="AG745" s="2"/>
    </row>
    <row r="746" spans="1:33" ht="49.95" customHeight="1" x14ac:dyDescent="0.3">
      <c r="A746" s="2" t="s">
        <v>2337</v>
      </c>
      <c r="B746" s="1" t="s">
        <v>2555</v>
      </c>
      <c r="C746" s="1" t="s">
        <v>2556</v>
      </c>
      <c r="E746" s="1" t="s">
        <v>2557</v>
      </c>
      <c r="F746" s="1" t="s">
        <v>30</v>
      </c>
      <c r="G746" s="2">
        <v>0</v>
      </c>
      <c r="H746" s="14">
        <f>SUMIF(ENTRADAS71417[CÓDIGO],PRODUCTOS31316[[#This Row],[CÓDIGO]],ENTRADAS71417[CANTIDAD])</f>
        <v>0</v>
      </c>
      <c r="I746" s="11">
        <f>SUMIF(SALIDAS111518[CÓDIGO],PRODUCTOS31316[[#This Row],[CÓDIGO]],SALIDAS111518[CANTIDAD])</f>
        <v>0</v>
      </c>
      <c r="J746" s="6">
        <f>PRODUCTOS31316[[#This Row],[EXISTENCIAS]]+PRODUCTOS31316[[#This Row],[ENTRADAS]]-PRODUCTOS31316[[#This Row],[SALIDAS]]</f>
        <v>0</v>
      </c>
      <c r="L746" s="2"/>
      <c r="M746" s="2"/>
      <c r="N746" s="2">
        <v>7936</v>
      </c>
      <c r="O746" s="301" t="s">
        <v>3199</v>
      </c>
      <c r="P746" s="16">
        <v>46077</v>
      </c>
      <c r="Q746" s="301" t="s">
        <v>3168</v>
      </c>
      <c r="R746" s="2" t="str">
        <f>VLOOKUP(SALIDAS111518[[#This Row],[CÓDIGO]],PRODUCTOS31316[],2,FALSE)</f>
        <v>MCTB015</v>
      </c>
      <c r="S746" s="1" t="str">
        <f>VLOOKUP(SALIDAS111518[[#This Row],[CÓDIGO]],PRODUCTOS31316[],3,FALSE)</f>
        <v>TUBO CONICO DE 1,5ml PRE ESTERILIZADO LIBRE DE Rnasa y Dnasa No pirogenico No DNA Humano Tapa a Presion</v>
      </c>
      <c r="T746" s="2">
        <v>1</v>
      </c>
      <c r="U746" s="2"/>
      <c r="V746" s="2"/>
      <c r="W746" s="2"/>
      <c r="X746" s="2"/>
      <c r="Y746" s="7"/>
      <c r="Z746" s="2"/>
      <c r="AA746" s="1"/>
      <c r="AC746" s="2"/>
      <c r="AE746" s="1"/>
      <c r="AG746" s="2"/>
    </row>
    <row r="747" spans="1:33" ht="49.95" customHeight="1" x14ac:dyDescent="0.3">
      <c r="A747" s="2" t="s">
        <v>2338</v>
      </c>
      <c r="B747" s="1" t="s">
        <v>2558</v>
      </c>
      <c r="C747" s="184" t="s">
        <v>2559</v>
      </c>
      <c r="D747" s="184" t="s">
        <v>3200</v>
      </c>
      <c r="E747" s="1" t="s">
        <v>2557</v>
      </c>
      <c r="F747" s="1" t="s">
        <v>30</v>
      </c>
      <c r="G747" s="31">
        <f>1+1</f>
        <v>2</v>
      </c>
      <c r="H747" s="14">
        <f>SUMIF(ENTRADAS71417[CÓDIGO],PRODUCTOS31316[[#This Row],[CÓDIGO]],ENTRADAS71417[CANTIDAD])</f>
        <v>0</v>
      </c>
      <c r="I747" s="11">
        <f>SUMIF(SALIDAS111518[CÓDIGO],PRODUCTOS31316[[#This Row],[CÓDIGO]],SALIDAS111518[CANTIDAD])</f>
        <v>2</v>
      </c>
      <c r="J747" s="6">
        <f>PRODUCTOS31316[[#This Row],[EXISTENCIAS]]+PRODUCTOS31316[[#This Row],[ENTRADAS]]-PRODUCTOS31316[[#This Row],[SALIDAS]]</f>
        <v>0</v>
      </c>
      <c r="L747" s="301" t="s">
        <v>3520</v>
      </c>
      <c r="M747" s="301" t="s">
        <v>3931</v>
      </c>
      <c r="N747" s="303" t="s">
        <v>4187</v>
      </c>
      <c r="O747" s="303" t="s">
        <v>2667</v>
      </c>
      <c r="P747" s="16">
        <v>46077</v>
      </c>
      <c r="Q747" s="301" t="s">
        <v>969</v>
      </c>
      <c r="R747" s="2">
        <f>VLOOKUP(SALIDAS111518[[#This Row],[CÓDIGO]],PRODUCTOS31316[],2,FALSE)</f>
        <v>13316</v>
      </c>
      <c r="S747" s="1" t="str">
        <f>VLOOKUP(SALIDAS111518[[#This Row],[CÓDIGO]],PRODUCTOS31316[],3,FALSE)</f>
        <v>AGUJA PARA ASPIRACIÓN 20G</v>
      </c>
      <c r="T747" s="2">
        <v>300</v>
      </c>
      <c r="U747" s="2">
        <v>329</v>
      </c>
      <c r="V747" s="2"/>
      <c r="W747" s="2"/>
      <c r="X747" s="2"/>
      <c r="Y747" s="7"/>
      <c r="Z747" s="2"/>
      <c r="AA747" s="1"/>
      <c r="AC747" s="2"/>
      <c r="AE747" s="1"/>
      <c r="AG747" s="2"/>
    </row>
    <row r="748" spans="1:33" ht="49.95" customHeight="1" x14ac:dyDescent="0.3">
      <c r="A748" s="203" t="s">
        <v>2339</v>
      </c>
      <c r="B748" s="1" t="s">
        <v>2560</v>
      </c>
      <c r="C748" s="216" t="s">
        <v>2561</v>
      </c>
      <c r="E748" s="1" t="s">
        <v>2557</v>
      </c>
      <c r="F748" s="1" t="s">
        <v>30</v>
      </c>
      <c r="G748" s="2">
        <v>4</v>
      </c>
      <c r="H748" s="14">
        <f>SUMIF(ENTRADAS71417[CÓDIGO],PRODUCTOS31316[[#This Row],[CÓDIGO]],ENTRADAS71417[CANTIDAD])</f>
        <v>0</v>
      </c>
      <c r="I748" s="11">
        <f>SUMIF(SALIDAS111518[CÓDIGO],PRODUCTOS31316[[#This Row],[CÓDIGO]],SALIDAS111518[CANTIDAD])</f>
        <v>2</v>
      </c>
      <c r="J748" s="6">
        <f>PRODUCTOS31316[[#This Row],[EXISTENCIAS]]+PRODUCTOS31316[[#This Row],[ENTRADAS]]-PRODUCTOS31316[[#This Row],[SALIDAS]]</f>
        <v>2</v>
      </c>
      <c r="L748" s="301" t="s">
        <v>3521</v>
      </c>
      <c r="M748" s="301" t="s">
        <v>3931</v>
      </c>
      <c r="N748" s="304" t="s">
        <v>4200</v>
      </c>
      <c r="O748" s="301" t="s">
        <v>3486</v>
      </c>
      <c r="P748" s="16">
        <v>46077</v>
      </c>
      <c r="Q748" s="301" t="s">
        <v>3477</v>
      </c>
      <c r="R748" s="2" t="str">
        <f>VLOOKUP(SALIDAS111518[[#This Row],[CÓDIGO]],PRODUCTOS31316[],2,FALSE)</f>
        <v>MX5A</v>
      </c>
      <c r="S748" s="1" t="str">
        <f>VLOOKUP(SALIDAS111518[[#This Row],[CÓDIGO]],PRODUCTOS31316[],3,FALSE)</f>
        <v>ECOGRAFO MX5C CON SONDA LINEAL RECTAL/ BLANCO Y NEGRO</v>
      </c>
      <c r="T748" s="2">
        <v>1</v>
      </c>
      <c r="U748" s="2">
        <v>339</v>
      </c>
      <c r="V748" s="2"/>
      <c r="W748" s="301" t="s">
        <v>3412</v>
      </c>
      <c r="X748" s="2"/>
      <c r="Y748" s="7"/>
      <c r="Z748" s="2"/>
      <c r="AA748" s="1"/>
      <c r="AC748" s="2"/>
      <c r="AE748" s="1"/>
      <c r="AG748" s="2"/>
    </row>
    <row r="749" spans="1:33" ht="49.95" customHeight="1" x14ac:dyDescent="0.3">
      <c r="A749" s="203" t="s">
        <v>2340</v>
      </c>
      <c r="B749" s="1" t="s">
        <v>2562</v>
      </c>
      <c r="C749" s="216" t="s">
        <v>2563</v>
      </c>
      <c r="E749" s="385" t="s">
        <v>2557</v>
      </c>
      <c r="F749" s="1" t="s">
        <v>30</v>
      </c>
      <c r="G749" s="31">
        <v>1</v>
      </c>
      <c r="H749" s="14">
        <f>SUMIF(ENTRADAS71417[CÓDIGO],PRODUCTOS31316[[#This Row],[CÓDIGO]],ENTRADAS71417[CANTIDAD])</f>
        <v>3</v>
      </c>
      <c r="I749" s="11">
        <f>SUMIF(SALIDAS111518[CÓDIGO],PRODUCTOS31316[[#This Row],[CÓDIGO]],SALIDAS111518[CANTIDAD])</f>
        <v>2</v>
      </c>
      <c r="J749" s="6">
        <f>PRODUCTOS31316[[#This Row],[EXISTENCIAS]]+PRODUCTOS31316[[#This Row],[ENTRADAS]]-PRODUCTOS31316[[#This Row],[SALIDAS]]</f>
        <v>2</v>
      </c>
      <c r="L749" s="2"/>
      <c r="M749" s="2"/>
      <c r="N749" s="2">
        <v>7938</v>
      </c>
      <c r="O749" s="301" t="s">
        <v>3486</v>
      </c>
      <c r="P749" s="16">
        <v>46077</v>
      </c>
      <c r="Q749" s="301" t="s">
        <v>3791</v>
      </c>
      <c r="R749" s="2">
        <f>VLOOKUP(SALIDAS111518[[#This Row],[CÓDIGO]],PRODUCTOS31316[],2,FALSE)</f>
        <v>6936520864546</v>
      </c>
      <c r="S749" s="1" t="str">
        <f>VLOOKUP(SALIDAS111518[[#This Row],[CÓDIGO]],PRODUCTOS31316[],3,FALSE)</f>
        <v>TABLET 11" HONOR PAD X8A 128 GB</v>
      </c>
      <c r="T749" s="2">
        <v>1</v>
      </c>
      <c r="U749" s="2"/>
      <c r="V749" s="2"/>
      <c r="W749" s="2"/>
      <c r="X749" s="2"/>
      <c r="Y749" s="7"/>
      <c r="Z749" s="2"/>
      <c r="AA749" s="1"/>
      <c r="AC749" s="2"/>
      <c r="AE749" s="1"/>
      <c r="AG749" s="2"/>
    </row>
    <row r="750" spans="1:33" ht="49.95" customHeight="1" x14ac:dyDescent="0.3">
      <c r="A750" s="2" t="s">
        <v>2341</v>
      </c>
      <c r="B750" s="1" t="s">
        <v>2564</v>
      </c>
      <c r="C750" s="1" t="s">
        <v>2565</v>
      </c>
      <c r="E750" s="1" t="s">
        <v>2557</v>
      </c>
      <c r="F750" s="1" t="s">
        <v>30</v>
      </c>
      <c r="G750" s="2">
        <v>0</v>
      </c>
      <c r="H750" s="14">
        <f>SUMIF(ENTRADAS71417[CÓDIGO],PRODUCTOS31316[[#This Row],[CÓDIGO]],ENTRADAS71417[CANTIDAD])</f>
        <v>0</v>
      </c>
      <c r="I750" s="11">
        <f>SUMIF(SALIDAS111518[CÓDIGO],PRODUCTOS31316[[#This Row],[CÓDIGO]],SALIDAS111518[CANTIDAD])</f>
        <v>0</v>
      </c>
      <c r="J750" s="6">
        <f>PRODUCTOS31316[[#This Row],[EXISTENCIAS]]+PRODUCTOS31316[[#This Row],[ENTRADAS]]-PRODUCTOS31316[[#This Row],[SALIDAS]]</f>
        <v>0</v>
      </c>
      <c r="L750" s="2"/>
      <c r="M750" s="2"/>
      <c r="N750" s="2">
        <v>7938</v>
      </c>
      <c r="O750" s="301" t="s">
        <v>3486</v>
      </c>
      <c r="P750" s="16">
        <v>46077</v>
      </c>
      <c r="Q750" s="301" t="s">
        <v>3286</v>
      </c>
      <c r="R750" s="2">
        <f>VLOOKUP(SALIDAS111518[[#This Row],[CÓDIGO]],PRODUCTOS31316[],2,FALSE)</f>
        <v>0</v>
      </c>
      <c r="S750" s="1" t="str">
        <f>VLOOKUP(SALIDAS111518[[#This Row],[CÓDIGO]],PRODUCTOS31316[],3,FALSE)</f>
        <v>CARCASA TABLET BMV</v>
      </c>
      <c r="T750" s="2">
        <v>1</v>
      </c>
      <c r="U750" s="2"/>
      <c r="V750" s="2"/>
      <c r="W750" s="2"/>
      <c r="X750" s="2"/>
      <c r="Y750" s="7"/>
      <c r="Z750" s="2"/>
      <c r="AA750" s="1"/>
      <c r="AC750" s="2"/>
      <c r="AE750" s="1"/>
      <c r="AG750" s="2"/>
    </row>
    <row r="751" spans="1:33" ht="49.95" customHeight="1" x14ac:dyDescent="0.3">
      <c r="A751" s="2" t="s">
        <v>2342</v>
      </c>
      <c r="B751" s="1" t="s">
        <v>2566</v>
      </c>
      <c r="C751" s="1" t="s">
        <v>2567</v>
      </c>
      <c r="E751" s="1" t="s">
        <v>2557</v>
      </c>
      <c r="F751" s="1" t="s">
        <v>30</v>
      </c>
      <c r="G751" s="2">
        <v>0</v>
      </c>
      <c r="H751" s="14">
        <f>SUMIF(ENTRADAS71417[CÓDIGO],PRODUCTOS31316[[#This Row],[CÓDIGO]],ENTRADAS71417[CANTIDAD])</f>
        <v>0</v>
      </c>
      <c r="I751" s="11">
        <f>SUMIF(SALIDAS111518[CÓDIGO],PRODUCTOS31316[[#This Row],[CÓDIGO]],SALIDAS111518[CANTIDAD])</f>
        <v>0</v>
      </c>
      <c r="J751" s="6">
        <f>PRODUCTOS31316[[#This Row],[EXISTENCIAS]]+PRODUCTOS31316[[#This Row],[ENTRADAS]]-PRODUCTOS31316[[#This Row],[SALIDAS]]</f>
        <v>0</v>
      </c>
      <c r="L751" s="2"/>
      <c r="M751" s="2"/>
      <c r="N751" s="2">
        <v>7938</v>
      </c>
      <c r="O751" s="301" t="s">
        <v>3486</v>
      </c>
      <c r="P751" s="16">
        <v>46077</v>
      </c>
      <c r="Q751" s="301" t="s">
        <v>3181</v>
      </c>
      <c r="R751" s="2">
        <f>VLOOKUP(SALIDAS111518[[#This Row],[CÓDIGO]],PRODUCTOS31316[],2,FALSE)</f>
        <v>7416</v>
      </c>
      <c r="S751" s="1" t="str">
        <f>VLOOKUP(SALIDAS111518[[#This Row],[CÓDIGO]],PRODUCTOS31316[],3,FALSE)</f>
        <v>CAJA PLÁSTICA DE 22" DE TRANSPORTE</v>
      </c>
      <c r="T751" s="2">
        <v>1</v>
      </c>
      <c r="U751" s="2"/>
      <c r="V751" s="2"/>
      <c r="W751" s="2"/>
      <c r="X751" s="2"/>
      <c r="Y751" s="7"/>
      <c r="Z751" s="2"/>
      <c r="AA751" s="1"/>
      <c r="AC751" s="2"/>
      <c r="AE751" s="1"/>
      <c r="AG751" s="2"/>
    </row>
    <row r="752" spans="1:33" ht="49.95" customHeight="1" x14ac:dyDescent="0.3">
      <c r="A752" s="2" t="s">
        <v>2568</v>
      </c>
      <c r="B752" s="1" t="s">
        <v>2569</v>
      </c>
      <c r="C752" s="66" t="s">
        <v>2570</v>
      </c>
      <c r="D752" s="1" t="s">
        <v>639</v>
      </c>
      <c r="E752" s="1" t="s">
        <v>640</v>
      </c>
      <c r="F752" s="1" t="s">
        <v>2571</v>
      </c>
      <c r="G752" s="2">
        <v>0</v>
      </c>
      <c r="H752" s="14">
        <f>SUMIF(ENTRADAS71417[CÓDIGO],PRODUCTOS31316[[#This Row],[CÓDIGO]],ENTRADAS71417[CANTIDAD])</f>
        <v>0</v>
      </c>
      <c r="I752" s="11">
        <f>SUMIF(SALIDAS111518[CÓDIGO],PRODUCTOS31316[[#This Row],[CÓDIGO]],SALIDAS111518[CANTIDAD])</f>
        <v>0</v>
      </c>
      <c r="J752" s="6">
        <f>PRODUCTOS31316[[#This Row],[EXISTENCIAS]]+PRODUCTOS31316[[#This Row],[ENTRADAS]]-PRODUCTOS31316[[#This Row],[SALIDAS]]</f>
        <v>0</v>
      </c>
      <c r="L752" s="2"/>
      <c r="M752" s="2"/>
      <c r="N752" s="2">
        <v>7938</v>
      </c>
      <c r="O752" s="301" t="s">
        <v>3486</v>
      </c>
      <c r="P752" s="16">
        <v>46077</v>
      </c>
      <c r="Q752" s="301" t="s">
        <v>2364</v>
      </c>
      <c r="R752" s="2">
        <f>VLOOKUP(SALIDAS111518[[#This Row],[CÓDIGO]],PRODUCTOS31316[],2,FALSE)</f>
        <v>0</v>
      </c>
      <c r="S752" s="1" t="str">
        <f>VLOOKUP(SALIDAS111518[[#This Row],[CÓDIGO]],PRODUCTOS31316[],3,FALSE)</f>
        <v>CORTAPAJILLAS WTA</v>
      </c>
      <c r="T752" s="2">
        <v>1</v>
      </c>
      <c r="U752" s="2"/>
      <c r="V752" s="2"/>
      <c r="W752" s="2"/>
      <c r="X752" s="2"/>
      <c r="Y752" s="7"/>
      <c r="Z752" s="2"/>
      <c r="AA752" s="1"/>
      <c r="AC752" s="2"/>
      <c r="AE752" s="1"/>
      <c r="AG752" s="2"/>
    </row>
    <row r="753" spans="1:33" ht="49.95" customHeight="1" x14ac:dyDescent="0.3">
      <c r="A753" s="2" t="s">
        <v>2357</v>
      </c>
      <c r="C753" s="1" t="s">
        <v>2572</v>
      </c>
      <c r="E753" s="1" t="s">
        <v>1283</v>
      </c>
      <c r="F753" s="1" t="s">
        <v>30</v>
      </c>
      <c r="G753" s="2">
        <v>0</v>
      </c>
      <c r="H753" s="14">
        <f>SUMIF(ENTRADAS71417[CÓDIGO],PRODUCTOS31316[[#This Row],[CÓDIGO]],ENTRADAS71417[CANTIDAD])</f>
        <v>0</v>
      </c>
      <c r="I753" s="11">
        <f>SUMIF(SALIDAS111518[CÓDIGO],PRODUCTOS31316[[#This Row],[CÓDIGO]],SALIDAS111518[CANTIDAD])</f>
        <v>0</v>
      </c>
      <c r="J753" s="6">
        <f>PRODUCTOS31316[[#This Row],[EXISTENCIAS]]+PRODUCTOS31316[[#This Row],[ENTRADAS]]-PRODUCTOS31316[[#This Row],[SALIDAS]]</f>
        <v>0</v>
      </c>
      <c r="L753" s="2"/>
      <c r="M753" s="2"/>
      <c r="N753" s="2">
        <v>7938</v>
      </c>
      <c r="O753" s="301" t="s">
        <v>3486</v>
      </c>
      <c r="P753" s="16">
        <v>46077</v>
      </c>
      <c r="Q753" s="301" t="s">
        <v>2755</v>
      </c>
      <c r="R753" s="2" t="str">
        <f>VLOOKUP(SALIDAS111518[[#This Row],[CÓDIGO]],PRODUCTOS31316[],2,FALSE)</f>
        <v>MSLDO05</v>
      </c>
      <c r="S753" s="1" t="str">
        <f>VLOOKUP(SALIDAS111518[[#This Row],[CÓDIGO]],PRODUCTOS31316[],3,FALSE)</f>
        <v>TERMO DE RECOLECCIÓN DE SEMEN/ USO VETERINARIO</v>
      </c>
      <c r="T753" s="2">
        <v>1</v>
      </c>
      <c r="U753" s="2"/>
      <c r="V753" s="2"/>
      <c r="W753" s="2"/>
      <c r="X753" s="2"/>
      <c r="Y753" s="7"/>
      <c r="Z753" s="2"/>
      <c r="AA753" s="1"/>
      <c r="AC753" s="2"/>
      <c r="AE753" s="1"/>
      <c r="AG753" s="2"/>
    </row>
    <row r="754" spans="1:33" ht="49.95" customHeight="1" x14ac:dyDescent="0.3">
      <c r="A754" s="2" t="s">
        <v>2359</v>
      </c>
      <c r="B754" s="1" t="s">
        <v>2573</v>
      </c>
      <c r="C754" s="1" t="s">
        <v>2574</v>
      </c>
      <c r="E754" s="1" t="s">
        <v>1929</v>
      </c>
      <c r="F754" s="1" t="s">
        <v>30</v>
      </c>
      <c r="G754" s="2">
        <v>2</v>
      </c>
      <c r="H754" s="14">
        <f>SUMIF(ENTRADAS71417[CÓDIGO],PRODUCTOS31316[[#This Row],[CÓDIGO]],ENTRADAS71417[CANTIDAD])</f>
        <v>0</v>
      </c>
      <c r="I754" s="11">
        <f>SUMIF(SALIDAS111518[CÓDIGO],PRODUCTOS31316[[#This Row],[CÓDIGO]],SALIDAS111518[CANTIDAD])</f>
        <v>0</v>
      </c>
      <c r="J754" s="6">
        <f>PRODUCTOS31316[[#This Row],[EXISTENCIAS]]+PRODUCTOS31316[[#This Row],[ENTRADAS]]-PRODUCTOS31316[[#This Row],[SALIDAS]]</f>
        <v>2</v>
      </c>
      <c r="L754" s="2"/>
      <c r="M754" s="2"/>
      <c r="N754" s="2">
        <v>7938</v>
      </c>
      <c r="O754" s="301" t="s">
        <v>3486</v>
      </c>
      <c r="P754" s="16">
        <v>46077</v>
      </c>
      <c r="Q754" s="301" t="s">
        <v>153</v>
      </c>
      <c r="R754" s="2">
        <f>VLOOKUP(SALIDAS111518[[#This Row],[CÓDIGO]],PRODUCTOS31316[],2,FALSE)</f>
        <v>1132</v>
      </c>
      <c r="S754" s="1" t="str">
        <f>VLOOKUP(SALIDAS111518[[#This Row],[CÓDIGO]],PRODUCTOS31316[],3,FALSE)</f>
        <v>PISTOLA QUICKLOCK CLASIC</v>
      </c>
      <c r="T754" s="2">
        <v>1</v>
      </c>
      <c r="U754" s="2"/>
      <c r="V754" s="2"/>
      <c r="W754" s="2"/>
      <c r="X754" s="2"/>
      <c r="Y754" s="7"/>
      <c r="Z754" s="2"/>
      <c r="AA754" s="1"/>
      <c r="AC754" s="2"/>
      <c r="AE754" s="1"/>
      <c r="AG754" s="2"/>
    </row>
    <row r="755" spans="1:33" ht="49.95" customHeight="1" x14ac:dyDescent="0.3">
      <c r="A755" s="2" t="s">
        <v>2360</v>
      </c>
      <c r="C755" s="216" t="s">
        <v>2575</v>
      </c>
      <c r="E755" s="1" t="s">
        <v>1929</v>
      </c>
      <c r="F755" s="1" t="s">
        <v>30</v>
      </c>
      <c r="G755" s="2">
        <v>11</v>
      </c>
      <c r="H755" s="14">
        <f>SUMIF(ENTRADAS71417[CÓDIGO],PRODUCTOS31316[[#This Row],[CÓDIGO]],ENTRADAS71417[CANTIDAD])</f>
        <v>0</v>
      </c>
      <c r="I755" s="11">
        <f>SUMIF(SALIDAS111518[CÓDIGO],PRODUCTOS31316[[#This Row],[CÓDIGO]],SALIDAS111518[CANTIDAD])</f>
        <v>6</v>
      </c>
      <c r="J755" s="6">
        <f>PRODUCTOS31316[[#This Row],[EXISTENCIAS]]+PRODUCTOS31316[[#This Row],[ENTRADAS]]-PRODUCTOS31316[[#This Row],[SALIDAS]]</f>
        <v>5</v>
      </c>
      <c r="L755" s="2"/>
      <c r="M755" s="2"/>
      <c r="N755" s="2">
        <v>7938</v>
      </c>
      <c r="O755" s="301" t="s">
        <v>3486</v>
      </c>
      <c r="P755" s="16">
        <v>46077</v>
      </c>
      <c r="Q755" s="301" t="s">
        <v>369</v>
      </c>
      <c r="R755" s="2">
        <f>VLOOKUP(SALIDAS111518[[#This Row],[CÓDIGO]],PRODUCTOS31316[],2,FALSE)</f>
        <v>0</v>
      </c>
      <c r="S755" s="1" t="str">
        <f>VLOOKUP(SALIDAS111518[[#This Row],[CÓDIGO]],PRODUCTOS31316[],3,FALSE)</f>
        <v>FUNDA UNIVERSAL PARA I.A. RANURADA</v>
      </c>
      <c r="T755" s="2">
        <v>1</v>
      </c>
      <c r="U755" s="2"/>
      <c r="V755" s="2"/>
      <c r="W755" s="2"/>
      <c r="X755" s="2"/>
      <c r="Y755" s="7"/>
      <c r="Z755" s="2"/>
      <c r="AA755" s="1"/>
      <c r="AC755" s="2"/>
      <c r="AE755" s="1"/>
      <c r="AG755" s="2"/>
    </row>
    <row r="756" spans="1:33" ht="49.95" customHeight="1" x14ac:dyDescent="0.3">
      <c r="A756" s="2" t="s">
        <v>2361</v>
      </c>
      <c r="B756" s="1" t="s">
        <v>2576</v>
      </c>
      <c r="C756" s="1" t="s">
        <v>2577</v>
      </c>
      <c r="D756" s="1" t="s">
        <v>2578</v>
      </c>
      <c r="E756" s="1" t="s">
        <v>352</v>
      </c>
      <c r="F756" s="1" t="s">
        <v>30</v>
      </c>
      <c r="G756" s="2">
        <v>0</v>
      </c>
      <c r="H756" s="14">
        <f>SUMIF(ENTRADAS71417[CÓDIGO],PRODUCTOS31316[[#This Row],[CÓDIGO]],ENTRADAS71417[CANTIDAD])</f>
        <v>0</v>
      </c>
      <c r="I756" s="11">
        <f>SUMIF(SALIDAS111518[CÓDIGO],PRODUCTOS31316[[#This Row],[CÓDIGO]],SALIDAS111518[CANTIDAD])</f>
        <v>0</v>
      </c>
      <c r="J756" s="6">
        <f>PRODUCTOS31316[[#This Row],[EXISTENCIAS]]+PRODUCTOS31316[[#This Row],[ENTRADAS]]-PRODUCTOS31316[[#This Row],[SALIDAS]]</f>
        <v>0</v>
      </c>
      <c r="L756" s="2"/>
      <c r="M756" s="2"/>
      <c r="N756" s="2">
        <v>7938</v>
      </c>
      <c r="O756" s="301" t="s">
        <v>3486</v>
      </c>
      <c r="P756" s="16">
        <v>46077</v>
      </c>
      <c r="Q756" s="301" t="s">
        <v>581</v>
      </c>
      <c r="R756" s="2">
        <f>VLOOKUP(SALIDAS111518[[#This Row],[CÓDIGO]],PRODUCTOS31316[],2,FALSE)</f>
        <v>11571</v>
      </c>
      <c r="S756" s="1" t="str">
        <f>VLOOKUP(SALIDAS111518[[#This Row],[CÓDIGO]],PRODUCTOS31316[],3,FALSE)</f>
        <v>PINZA COGEPAJILLA</v>
      </c>
      <c r="T756" s="2">
        <v>1</v>
      </c>
      <c r="U756" s="2"/>
      <c r="V756" s="2"/>
      <c r="W756" s="2"/>
      <c r="X756" s="2"/>
      <c r="Y756" s="7"/>
      <c r="Z756" s="2"/>
      <c r="AA756" s="1"/>
      <c r="AC756" s="2"/>
      <c r="AE756" s="1"/>
      <c r="AG756" s="2"/>
    </row>
    <row r="757" spans="1:33" ht="49.95" customHeight="1" x14ac:dyDescent="0.3">
      <c r="A757" s="2" t="s">
        <v>2362</v>
      </c>
      <c r="B757" s="1">
        <v>13700</v>
      </c>
      <c r="C757" s="1" t="s">
        <v>2579</v>
      </c>
      <c r="D757" s="1" t="s">
        <v>2580</v>
      </c>
      <c r="E757" s="1" t="s">
        <v>352</v>
      </c>
      <c r="F757" s="1" t="s">
        <v>30</v>
      </c>
      <c r="G757" s="2">
        <v>0</v>
      </c>
      <c r="H757" s="14">
        <f>SUMIF(ENTRADAS71417[CÓDIGO],PRODUCTOS31316[[#This Row],[CÓDIGO]],ENTRADAS71417[CANTIDAD])</f>
        <v>0</v>
      </c>
      <c r="I757" s="11">
        <f>SUMIF(SALIDAS111518[CÓDIGO],PRODUCTOS31316[[#This Row],[CÓDIGO]],SALIDAS111518[CANTIDAD])</f>
        <v>0</v>
      </c>
      <c r="J757" s="6">
        <f>PRODUCTOS31316[[#This Row],[EXISTENCIAS]]+PRODUCTOS31316[[#This Row],[ENTRADAS]]-PRODUCTOS31316[[#This Row],[SALIDAS]]</f>
        <v>0</v>
      </c>
      <c r="L757" s="2"/>
      <c r="M757" s="2"/>
      <c r="N757" s="2">
        <v>7938</v>
      </c>
      <c r="O757" s="301" t="s">
        <v>3486</v>
      </c>
      <c r="P757" s="16">
        <v>46077</v>
      </c>
      <c r="Q757" s="301" t="s">
        <v>2382</v>
      </c>
      <c r="R757" s="2">
        <f>VLOOKUP(SALIDAS111518[[#This Row],[CÓDIGO]],PRODUCTOS31316[],2,FALSE)</f>
        <v>1</v>
      </c>
      <c r="S757" s="1" t="str">
        <f>VLOOKUP(SALIDAS111518[[#This Row],[CÓDIGO]],PRODUCTOS31316[],3,FALSE)</f>
        <v>TERMO DE TRANSPORTE 1 LITRO</v>
      </c>
      <c r="T757" s="2">
        <v>1</v>
      </c>
      <c r="U757" s="2"/>
      <c r="V757" s="2"/>
      <c r="W757" s="2"/>
      <c r="X757" s="2"/>
      <c r="Y757" s="7"/>
      <c r="Z757" s="2"/>
      <c r="AA757" s="1"/>
      <c r="AC757" s="2"/>
      <c r="AE757" s="1"/>
      <c r="AG757" s="2"/>
    </row>
    <row r="758" spans="1:33" ht="49.95" customHeight="1" x14ac:dyDescent="0.3">
      <c r="A758" s="2" t="s">
        <v>2581</v>
      </c>
      <c r="B758" s="1" t="s">
        <v>2582</v>
      </c>
      <c r="C758" s="1" t="s">
        <v>2583</v>
      </c>
      <c r="D758" s="1" t="s">
        <v>156</v>
      </c>
      <c r="E758" s="1" t="s">
        <v>2020</v>
      </c>
      <c r="F758" s="1" t="s">
        <v>30</v>
      </c>
      <c r="G758" s="2">
        <v>0</v>
      </c>
      <c r="H758" s="14">
        <f>SUMIF(ENTRADAS71417[CÓDIGO],PRODUCTOS31316[[#This Row],[CÓDIGO]],ENTRADAS71417[CANTIDAD])</f>
        <v>0</v>
      </c>
      <c r="I758" s="11">
        <f>SUMIF(SALIDAS111518[CÓDIGO],PRODUCTOS31316[[#This Row],[CÓDIGO]],SALIDAS111518[CANTIDAD])</f>
        <v>0</v>
      </c>
      <c r="J758" s="6">
        <f>PRODUCTOS31316[[#This Row],[EXISTENCIAS]]+PRODUCTOS31316[[#This Row],[ENTRADAS]]-PRODUCTOS31316[[#This Row],[SALIDAS]]</f>
        <v>0</v>
      </c>
      <c r="L758" s="2"/>
      <c r="M758" s="2"/>
      <c r="N758" s="2">
        <v>7938</v>
      </c>
      <c r="O758" s="301" t="s">
        <v>3486</v>
      </c>
      <c r="P758" s="16">
        <v>46077</v>
      </c>
      <c r="Q758" s="301" t="s">
        <v>236</v>
      </c>
      <c r="R758" s="2">
        <f>VLOOKUP(SALIDAS111518[[#This Row],[CÓDIGO]],PRODUCTOS31316[],2,FALSE)</f>
        <v>0</v>
      </c>
      <c r="S758" s="1" t="str">
        <f>VLOOKUP(SALIDAS111518[[#This Row],[CÓDIGO]],PRODUCTOS31316[],3,FALSE)</f>
        <v>TERMO METÁLICO DESCONGELADOR</v>
      </c>
      <c r="T758" s="2">
        <v>1</v>
      </c>
      <c r="U758" s="2"/>
      <c r="V758" s="2"/>
      <c r="W758" s="2"/>
      <c r="X758" s="2"/>
      <c r="Y758" s="7"/>
      <c r="Z758" s="2"/>
      <c r="AA758" s="1"/>
      <c r="AC758" s="2"/>
      <c r="AE758" s="1"/>
      <c r="AG758" s="2"/>
    </row>
    <row r="759" spans="1:33" ht="49.95" customHeight="1" x14ac:dyDescent="0.3">
      <c r="A759" s="2" t="s">
        <v>2584</v>
      </c>
      <c r="B759" s="1" t="s">
        <v>2585</v>
      </c>
      <c r="C759" s="1" t="s">
        <v>2586</v>
      </c>
      <c r="D759" s="1" t="s">
        <v>156</v>
      </c>
      <c r="E759" s="1" t="s">
        <v>2020</v>
      </c>
      <c r="F759" s="1" t="s">
        <v>30</v>
      </c>
      <c r="G759" s="2">
        <v>0</v>
      </c>
      <c r="H759" s="14">
        <f>SUMIF(ENTRADAS71417[CÓDIGO],PRODUCTOS31316[[#This Row],[CÓDIGO]],ENTRADAS71417[CANTIDAD])</f>
        <v>0</v>
      </c>
      <c r="I759" s="11">
        <f>SUMIF(SALIDAS111518[CÓDIGO],PRODUCTOS31316[[#This Row],[CÓDIGO]],SALIDAS111518[CANTIDAD])</f>
        <v>0</v>
      </c>
      <c r="J759" s="6">
        <f>PRODUCTOS31316[[#This Row],[EXISTENCIAS]]+PRODUCTOS31316[[#This Row],[ENTRADAS]]-PRODUCTOS31316[[#This Row],[SALIDAS]]</f>
        <v>0</v>
      </c>
      <c r="L759" s="2"/>
      <c r="M759" s="2"/>
      <c r="N759" s="2">
        <v>7938</v>
      </c>
      <c r="O759" s="305" t="s">
        <v>3486</v>
      </c>
      <c r="P759" s="16">
        <v>46077</v>
      </c>
      <c r="Q759" s="301" t="s">
        <v>445</v>
      </c>
      <c r="R759" s="2">
        <f>VLOOKUP(SALIDAS111518[[#This Row],[CÓDIGO]],PRODUCTOS31316[],2,FALSE)</f>
        <v>0</v>
      </c>
      <c r="S759" s="1" t="str">
        <f>VLOOKUP(SALIDAS111518[[#This Row],[CÓDIGO]],PRODUCTOS31316[],3,FALSE)</f>
        <v>MANGA DE PALPACIÓN NARANJA</v>
      </c>
      <c r="T759" s="2">
        <v>1</v>
      </c>
      <c r="U759" s="2"/>
      <c r="V759" s="2"/>
      <c r="W759" s="2"/>
      <c r="X759" s="2"/>
      <c r="Y759" s="7"/>
      <c r="Z759" s="2"/>
      <c r="AA759" s="1"/>
      <c r="AC759" s="2"/>
      <c r="AE759" s="1"/>
      <c r="AG759" s="2"/>
    </row>
    <row r="760" spans="1:33" ht="49.95" customHeight="1" x14ac:dyDescent="0.3">
      <c r="A760" s="2" t="s">
        <v>2364</v>
      </c>
      <c r="C760" s="216" t="s">
        <v>2587</v>
      </c>
      <c r="D760" s="1" t="s">
        <v>442</v>
      </c>
      <c r="E760" s="1" t="s">
        <v>442</v>
      </c>
      <c r="F760" s="1" t="s">
        <v>30</v>
      </c>
      <c r="G760" s="31">
        <f>81+1+1</f>
        <v>83</v>
      </c>
      <c r="H760" s="14">
        <f>SUMIF(ENTRADAS71417[CÓDIGO],PRODUCTOS31316[[#This Row],[CÓDIGO]],ENTRADAS71417[CANTIDAD])</f>
        <v>0</v>
      </c>
      <c r="I760" s="11">
        <f>SUMIF(SALIDAS111518[CÓDIGO],PRODUCTOS31316[[#This Row],[CÓDIGO]],SALIDAS111518[CANTIDAD])</f>
        <v>48</v>
      </c>
      <c r="J760" s="6">
        <f>PRODUCTOS31316[[#This Row],[EXISTENCIAS]]+PRODUCTOS31316[[#This Row],[ENTRADAS]]-PRODUCTOS31316[[#This Row],[SALIDAS]]</f>
        <v>35</v>
      </c>
      <c r="L760" s="2"/>
      <c r="M760" s="2"/>
      <c r="N760" s="2">
        <v>7938</v>
      </c>
      <c r="O760" s="301" t="s">
        <v>3486</v>
      </c>
      <c r="P760" s="16">
        <v>46077</v>
      </c>
      <c r="Q760" s="301" t="s">
        <v>273</v>
      </c>
      <c r="R760" s="2">
        <f>VLOOKUP(SALIDAS111518[[#This Row],[CÓDIGO]],PRODUCTOS31316[],2,FALSE)</f>
        <v>1003514</v>
      </c>
      <c r="S760" s="1" t="str">
        <f>VLOOKUP(SALIDAS111518[[#This Row],[CÓDIGO]],PRODUCTOS31316[],3,FALSE)</f>
        <v>JALEA CONDUCTIVA (GEL ULTRASONICO) GALON X 3785 ML AZUL</v>
      </c>
      <c r="T760" s="2">
        <v>1</v>
      </c>
      <c r="U760" s="2"/>
      <c r="V760" s="2"/>
      <c r="W760" s="2"/>
      <c r="X760" s="2"/>
      <c r="Y760" s="7"/>
      <c r="Z760" s="2"/>
      <c r="AA760" s="1"/>
      <c r="AC760" s="2"/>
      <c r="AE760" s="1"/>
      <c r="AG760" s="2"/>
    </row>
    <row r="761" spans="1:33" ht="49.95" customHeight="1" x14ac:dyDescent="0.3">
      <c r="A761" s="2" t="s">
        <v>2371</v>
      </c>
      <c r="B761" s="1">
        <v>312300217</v>
      </c>
      <c r="C761" s="1" t="s">
        <v>2588</v>
      </c>
      <c r="D761" s="1" t="s">
        <v>707</v>
      </c>
      <c r="E761" s="1" t="s">
        <v>177</v>
      </c>
      <c r="F761" s="1" t="s">
        <v>30</v>
      </c>
      <c r="G761" s="2">
        <v>0</v>
      </c>
      <c r="H761" s="14">
        <f>SUMIF(ENTRADAS71417[CÓDIGO],PRODUCTOS31316[[#This Row],[CÓDIGO]],ENTRADAS71417[CANTIDAD])</f>
        <v>0</v>
      </c>
      <c r="I761" s="11">
        <f>SUMIF(SALIDAS111518[CÓDIGO],PRODUCTOS31316[[#This Row],[CÓDIGO]],SALIDAS111518[CANTIDAD])</f>
        <v>0</v>
      </c>
      <c r="J761" s="6">
        <f>PRODUCTOS31316[[#This Row],[EXISTENCIAS]]+PRODUCTOS31316[[#This Row],[ENTRADAS]]-PRODUCTOS31316[[#This Row],[SALIDAS]]</f>
        <v>0</v>
      </c>
      <c r="L761" s="2"/>
      <c r="M761" s="2"/>
      <c r="N761" s="2">
        <v>7938</v>
      </c>
      <c r="O761" s="301" t="s">
        <v>3486</v>
      </c>
      <c r="P761" s="16">
        <v>46077</v>
      </c>
      <c r="Q761" s="301" t="s">
        <v>3095</v>
      </c>
      <c r="R761" s="2">
        <f>VLOOKUP(SALIDAS111518[[#This Row],[CÓDIGO]],PRODUCTOS31316[],2,FALSE)</f>
        <v>0</v>
      </c>
      <c r="S761" s="1" t="str">
        <f>VLOOKUP(SALIDAS111518[[#This Row],[CÓDIGO]],PRODUCTOS31316[],3,FALSE)</f>
        <v>GORRA MAS CAMPO</v>
      </c>
      <c r="T761" s="2">
        <v>1</v>
      </c>
      <c r="U761" s="2"/>
      <c r="V761" s="2"/>
      <c r="W761" s="2"/>
      <c r="X761" s="2"/>
      <c r="Y761" s="7"/>
      <c r="Z761" s="2"/>
      <c r="AA761" s="1"/>
      <c r="AC761" s="2"/>
      <c r="AE761" s="1"/>
      <c r="AG761" s="2"/>
    </row>
    <row r="762" spans="1:33" ht="49.95" customHeight="1" x14ac:dyDescent="0.3">
      <c r="A762" s="2" t="s">
        <v>2355</v>
      </c>
      <c r="B762" s="1" t="s">
        <v>2589</v>
      </c>
      <c r="C762" s="1" t="s">
        <v>775</v>
      </c>
      <c r="D762" s="1" t="s">
        <v>103</v>
      </c>
      <c r="E762" s="1" t="s">
        <v>233</v>
      </c>
      <c r="F762" s="1" t="s">
        <v>2590</v>
      </c>
      <c r="G762" s="2">
        <v>0</v>
      </c>
      <c r="H762" s="14">
        <f>SUMIF(ENTRADAS71417[CÓDIGO],PRODUCTOS31316[[#This Row],[CÓDIGO]],ENTRADAS71417[CANTIDAD])</f>
        <v>0</v>
      </c>
      <c r="I762" s="11">
        <f>SUMIF(SALIDAS111518[CÓDIGO],PRODUCTOS31316[[#This Row],[CÓDIGO]],SALIDAS111518[CANTIDAD])</f>
        <v>0</v>
      </c>
      <c r="J762" s="6">
        <f>PRODUCTOS31316[[#This Row],[EXISTENCIAS]]+PRODUCTOS31316[[#This Row],[ENTRADAS]]-PRODUCTOS31316[[#This Row],[SALIDAS]]</f>
        <v>0</v>
      </c>
      <c r="L762" s="301" t="s">
        <v>3520</v>
      </c>
      <c r="M762" s="301" t="s">
        <v>3931</v>
      </c>
      <c r="N762" s="303" t="s">
        <v>4188</v>
      </c>
      <c r="O762" s="303" t="s">
        <v>2705</v>
      </c>
      <c r="P762" s="16">
        <v>46077</v>
      </c>
      <c r="Q762" s="301" t="s">
        <v>104</v>
      </c>
      <c r="R762" s="2">
        <f>VLOOKUP(SALIDAS111518[[#This Row],[CÓDIGO]],PRODUCTOS31316[],2,FALSE)</f>
        <v>0</v>
      </c>
      <c r="S762" s="1" t="str">
        <f>VLOOKUP(SALIDAS111518[[#This Row],[CÓDIGO]],PRODUCTOS31316[],3,FALSE)</f>
        <v>ISPERM CHIPS (500 TESTS PER BOX) PAQ. X 50 UND</v>
      </c>
      <c r="T762" s="2">
        <v>3</v>
      </c>
      <c r="U762" s="2">
        <v>330</v>
      </c>
      <c r="V762" s="2"/>
      <c r="W762" s="2"/>
      <c r="X762" s="2"/>
      <c r="Y762" s="7"/>
      <c r="Z762" s="2"/>
      <c r="AA762" s="1"/>
      <c r="AC762" s="2"/>
      <c r="AE762" s="1"/>
      <c r="AG762" s="2"/>
    </row>
    <row r="763" spans="1:33" ht="49.95" customHeight="1" x14ac:dyDescent="0.3">
      <c r="A763" s="203" t="s">
        <v>2373</v>
      </c>
      <c r="B763" s="1">
        <v>1107</v>
      </c>
      <c r="C763" s="1" t="s">
        <v>2930</v>
      </c>
      <c r="D763" s="1" t="s">
        <v>103</v>
      </c>
      <c r="E763" s="1" t="s">
        <v>233</v>
      </c>
      <c r="F763" s="1" t="s">
        <v>1602</v>
      </c>
      <c r="G763" s="2">
        <v>0</v>
      </c>
      <c r="H763" s="14">
        <f>SUMIF(ENTRADAS71417[CÓDIGO],PRODUCTOS31316[[#This Row],[CÓDIGO]],ENTRADAS71417[CANTIDAD])</f>
        <v>0</v>
      </c>
      <c r="I763" s="11">
        <f>SUMIF(SALIDAS111518[CÓDIGO],PRODUCTOS31316[[#This Row],[CÓDIGO]],SALIDAS111518[CANTIDAD])</f>
        <v>0</v>
      </c>
      <c r="J763" s="6">
        <f>PRODUCTOS31316[[#This Row],[EXISTENCIAS]]+PRODUCTOS31316[[#This Row],[ENTRADAS]]-PRODUCTOS31316[[#This Row],[SALIDAS]]</f>
        <v>0</v>
      </c>
      <c r="L763" s="301" t="s">
        <v>3520</v>
      </c>
      <c r="M763" s="301" t="s">
        <v>3931</v>
      </c>
      <c r="N763" s="303" t="s">
        <v>4189</v>
      </c>
      <c r="O763" s="303" t="s">
        <v>2237</v>
      </c>
      <c r="P763" s="16">
        <v>46077</v>
      </c>
      <c r="Q763" s="301" t="s">
        <v>2402</v>
      </c>
      <c r="R763" s="2">
        <f>VLOOKUP(SALIDAS111518[[#This Row],[CÓDIGO]],PRODUCTOS31316[],2,FALSE)</f>
        <v>17532</v>
      </c>
      <c r="S763" s="1" t="str">
        <f>VLOOKUP(SALIDAS111518[[#This Row],[CÓDIGO]],PRODUCTOS31316[],3,FALSE)</f>
        <v xml:space="preserve"> FUNDAS DE TRANSFERENCAI DE 0,5 PARA EQUINOS        IMV
</v>
      </c>
      <c r="T763" s="2">
        <v>5</v>
      </c>
      <c r="U763" s="2">
        <v>331</v>
      </c>
      <c r="V763" s="2"/>
      <c r="W763" s="2"/>
      <c r="X763" s="2"/>
      <c r="Y763" s="7"/>
      <c r="Z763" s="2"/>
      <c r="AA763" s="1"/>
      <c r="AC763" s="2"/>
      <c r="AE763" s="1"/>
      <c r="AG763" s="2"/>
    </row>
    <row r="764" spans="1:33" ht="49.95" customHeight="1" x14ac:dyDescent="0.3">
      <c r="A764" s="2" t="s">
        <v>2375</v>
      </c>
      <c r="B764" s="1">
        <v>1127</v>
      </c>
      <c r="C764" s="1" t="s">
        <v>2592</v>
      </c>
      <c r="D764" s="1" t="s">
        <v>103</v>
      </c>
      <c r="E764" s="1" t="s">
        <v>233</v>
      </c>
      <c r="F764" s="1" t="s">
        <v>1607</v>
      </c>
      <c r="G764" s="2">
        <v>0</v>
      </c>
      <c r="H764" s="14">
        <f>SUMIF(ENTRADAS71417[CÓDIGO],PRODUCTOS31316[[#This Row],[CÓDIGO]],ENTRADAS71417[CANTIDAD])</f>
        <v>0</v>
      </c>
      <c r="I764" s="11">
        <f>SUMIF(SALIDAS111518[CÓDIGO],PRODUCTOS31316[[#This Row],[CÓDIGO]],SALIDAS111518[CANTIDAD])</f>
        <v>0</v>
      </c>
      <c r="J764" s="6">
        <f>PRODUCTOS31316[[#This Row],[EXISTENCIAS]]+PRODUCTOS31316[[#This Row],[ENTRADAS]]-PRODUCTOS31316[[#This Row],[SALIDAS]]</f>
        <v>0</v>
      </c>
      <c r="L764" s="2"/>
      <c r="M764" s="2"/>
      <c r="N764" s="2">
        <v>7940</v>
      </c>
      <c r="O764" s="303" t="s">
        <v>2237</v>
      </c>
      <c r="P764" s="16">
        <v>46077</v>
      </c>
      <c r="Q764" s="301" t="s">
        <v>3307</v>
      </c>
      <c r="R764" s="2">
        <f>VLOOKUP(SALIDAS111518[[#This Row],[CÓDIGO]],PRODUCTOS31316[],2,FALSE)</f>
        <v>25</v>
      </c>
      <c r="S764" s="1" t="str">
        <f>VLOOKUP(SALIDAS111518[[#This Row],[CÓDIGO]],PRODUCTOS31316[],3,FALSE)</f>
        <v>FILTRO EZ</v>
      </c>
      <c r="T764" s="2">
        <v>1</v>
      </c>
      <c r="U764" s="2"/>
      <c r="V764" s="2"/>
      <c r="W764" s="2"/>
      <c r="X764" s="2"/>
      <c r="Y764" s="7"/>
      <c r="Z764" s="2"/>
      <c r="AA764" s="1"/>
      <c r="AC764" s="2"/>
      <c r="AE764" s="1"/>
      <c r="AG764" s="2"/>
    </row>
    <row r="765" spans="1:33" ht="49.95" customHeight="1" x14ac:dyDescent="0.3">
      <c r="A765" s="2" t="s">
        <v>2376</v>
      </c>
      <c r="C765" s="1" t="s">
        <v>2593</v>
      </c>
      <c r="D765" s="1" t="s">
        <v>380</v>
      </c>
      <c r="E765" s="1" t="s">
        <v>380</v>
      </c>
      <c r="F765" s="1" t="s">
        <v>30</v>
      </c>
      <c r="G765" s="2">
        <v>0</v>
      </c>
      <c r="H765" s="14">
        <f>SUMIF(ENTRADAS71417[CÓDIGO],PRODUCTOS31316[[#This Row],[CÓDIGO]],ENTRADAS71417[CANTIDAD])</f>
        <v>0</v>
      </c>
      <c r="I765" s="11">
        <f>SUMIF(SALIDAS111518[CÓDIGO],PRODUCTOS31316[[#This Row],[CÓDIGO]],SALIDAS111518[CANTIDAD])</f>
        <v>0</v>
      </c>
      <c r="J765" s="6">
        <f>PRODUCTOS31316[[#This Row],[EXISTENCIAS]]+PRODUCTOS31316[[#This Row],[ENTRADAS]]-PRODUCTOS31316[[#This Row],[SALIDAS]]</f>
        <v>0</v>
      </c>
      <c r="L765" s="2"/>
      <c r="M765" s="2"/>
      <c r="N765" s="2">
        <v>7940</v>
      </c>
      <c r="O765" s="303" t="s">
        <v>2237</v>
      </c>
      <c r="P765" s="16">
        <v>46077</v>
      </c>
      <c r="Q765" s="301" t="s">
        <v>2284</v>
      </c>
      <c r="R765" s="2">
        <f>VLOOKUP(SALIDAS111518[[#This Row],[CÓDIGO]],PRODUCTOS31316[],2,FALSE)</f>
        <v>0</v>
      </c>
      <c r="S765" s="1" t="str">
        <f>VLOOKUP(SALIDAS111518[[#This Row],[CÓDIGO]],PRODUCTOS31316[],3,FALSE)</f>
        <v>CATÉTER FOLLEY DE SILICONA 20FR X 30CC</v>
      </c>
      <c r="T765" s="2">
        <v>1</v>
      </c>
      <c r="U765" s="2"/>
      <c r="V765" s="2"/>
      <c r="W765" s="2"/>
      <c r="X765" s="2"/>
      <c r="Y765" s="7"/>
      <c r="Z765" s="2"/>
      <c r="AA765" s="1"/>
      <c r="AC765" s="2"/>
      <c r="AE765" s="1"/>
      <c r="AG765" s="2"/>
    </row>
    <row r="766" spans="1:33" ht="49.95" customHeight="1" x14ac:dyDescent="0.3">
      <c r="A766" s="2" t="s">
        <v>2377</v>
      </c>
      <c r="B766" s="1">
        <v>347439</v>
      </c>
      <c r="C766" s="1" t="s">
        <v>2594</v>
      </c>
      <c r="D766" s="1" t="s">
        <v>2595</v>
      </c>
      <c r="E766" s="1" t="s">
        <v>352</v>
      </c>
      <c r="F766" s="1" t="s">
        <v>30</v>
      </c>
      <c r="G766" s="2">
        <v>12</v>
      </c>
      <c r="H766" s="14">
        <f>SUMIF(ENTRADAS71417[CÓDIGO],PRODUCTOS31316[[#This Row],[CÓDIGO]],ENTRADAS71417[CANTIDAD])</f>
        <v>0</v>
      </c>
      <c r="I766" s="11">
        <f>SUMIF(SALIDAS111518[CÓDIGO],PRODUCTOS31316[[#This Row],[CÓDIGO]],SALIDAS111518[CANTIDAD])</f>
        <v>13</v>
      </c>
      <c r="J766" s="6">
        <f>PRODUCTOS31316[[#This Row],[EXISTENCIAS]]+PRODUCTOS31316[[#This Row],[ENTRADAS]]-PRODUCTOS31316[[#This Row],[SALIDAS]]</f>
        <v>-1</v>
      </c>
      <c r="L766" s="301" t="s">
        <v>3521</v>
      </c>
      <c r="M766" s="301" t="s">
        <v>3931</v>
      </c>
      <c r="N766" s="303" t="s">
        <v>4190</v>
      </c>
      <c r="O766" s="301" t="s">
        <v>4181</v>
      </c>
      <c r="P766" s="16">
        <v>46077</v>
      </c>
      <c r="Q766" s="301" t="s">
        <v>2382</v>
      </c>
      <c r="R766" s="2">
        <f>VLOOKUP(SALIDAS111518[[#This Row],[CÓDIGO]],PRODUCTOS31316[],2,FALSE)</f>
        <v>1</v>
      </c>
      <c r="S766" s="1" t="str">
        <f>VLOOKUP(SALIDAS111518[[#This Row],[CÓDIGO]],PRODUCTOS31316[],3,FALSE)</f>
        <v>TERMO DE TRANSPORTE 1 LITRO</v>
      </c>
      <c r="T766" s="2">
        <v>1</v>
      </c>
      <c r="U766" s="2">
        <v>332</v>
      </c>
      <c r="V766" s="2"/>
      <c r="W766" s="2"/>
      <c r="X766" s="2"/>
      <c r="Y766" s="7"/>
      <c r="Z766" s="2"/>
      <c r="AA766" s="1"/>
      <c r="AC766" s="2"/>
      <c r="AE766" s="1"/>
      <c r="AG766" s="2"/>
    </row>
    <row r="767" spans="1:33" ht="49.95" customHeight="1" x14ac:dyDescent="0.3">
      <c r="A767" s="2" t="s">
        <v>2378</v>
      </c>
      <c r="C767" s="1" t="s">
        <v>600</v>
      </c>
      <c r="E767" s="1" t="s">
        <v>1592</v>
      </c>
      <c r="F767" s="1" t="s">
        <v>30</v>
      </c>
      <c r="G767" s="2">
        <v>1</v>
      </c>
      <c r="H767" s="14">
        <f>SUMIF(ENTRADAS71417[CÓDIGO],PRODUCTOS31316[[#This Row],[CÓDIGO]],ENTRADAS71417[CANTIDAD])</f>
        <v>0</v>
      </c>
      <c r="I767" s="11">
        <f>SUMIF(SALIDAS111518[CÓDIGO],PRODUCTOS31316[[#This Row],[CÓDIGO]],SALIDAS111518[CANTIDAD])</f>
        <v>3</v>
      </c>
      <c r="J767" s="6">
        <f>PRODUCTOS31316[[#This Row],[EXISTENCIAS]]+PRODUCTOS31316[[#This Row],[ENTRADAS]]-PRODUCTOS31316[[#This Row],[SALIDAS]]</f>
        <v>-2</v>
      </c>
      <c r="L767" s="301" t="s">
        <v>3520</v>
      </c>
      <c r="M767" s="301" t="s">
        <v>3931</v>
      </c>
      <c r="N767" s="303" t="s">
        <v>4191</v>
      </c>
      <c r="O767" s="303" t="s">
        <v>2201</v>
      </c>
      <c r="P767" s="16">
        <v>46077</v>
      </c>
      <c r="Q767" s="301" t="s">
        <v>15</v>
      </c>
      <c r="R767" s="2" t="str">
        <f>VLOOKUP(SALIDAS111518[[#This Row],[CÓDIGO]],PRODUCTOS31316[],2,FALSE)</f>
        <v>BTE-025PT/ 504002</v>
      </c>
      <c r="S767" s="1" t="str">
        <f>VLOOKUP(SALIDAS111518[[#This Row],[CÓDIGO]],PRODUCTOS31316[],3,FALSE)</f>
        <v>FUNDAS PARA TRANSFERENCIA DE EMBRIONES</v>
      </c>
      <c r="T767" s="2">
        <v>10</v>
      </c>
      <c r="U767" s="2">
        <v>333</v>
      </c>
      <c r="V767" s="2"/>
      <c r="W767" s="2"/>
      <c r="X767" s="2"/>
      <c r="Y767" s="7"/>
      <c r="Z767" s="2"/>
      <c r="AA767" s="1"/>
      <c r="AC767" s="2"/>
      <c r="AE767" s="1"/>
      <c r="AG767" s="2"/>
    </row>
    <row r="768" spans="1:33" ht="49.95" customHeight="1" x14ac:dyDescent="0.3">
      <c r="A768" s="2" t="s">
        <v>2380</v>
      </c>
      <c r="B768" s="1" t="s">
        <v>2596</v>
      </c>
      <c r="C768" s="1" t="s">
        <v>2597</v>
      </c>
      <c r="D768" s="1" t="s">
        <v>2598</v>
      </c>
      <c r="E768" s="1" t="s">
        <v>2528</v>
      </c>
      <c r="F768" s="1" t="s">
        <v>2599</v>
      </c>
      <c r="G768" s="2">
        <v>0</v>
      </c>
      <c r="H768" s="14">
        <f>SUMIF(ENTRADAS71417[CÓDIGO],PRODUCTOS31316[[#This Row],[CÓDIGO]],ENTRADAS71417[CANTIDAD])</f>
        <v>0</v>
      </c>
      <c r="I768" s="11">
        <f>SUMIF(SALIDAS111518[CÓDIGO],PRODUCTOS31316[[#This Row],[CÓDIGO]],SALIDAS111518[CANTIDAD])</f>
        <v>0</v>
      </c>
      <c r="J768" s="6">
        <f>PRODUCTOS31316[[#This Row],[EXISTENCIAS]]+PRODUCTOS31316[[#This Row],[ENTRADAS]]-PRODUCTOS31316[[#This Row],[SALIDAS]]</f>
        <v>0</v>
      </c>
      <c r="L768" s="2"/>
      <c r="M768" s="2"/>
      <c r="N768" s="2">
        <v>7942</v>
      </c>
      <c r="O768" s="303" t="s">
        <v>2201</v>
      </c>
      <c r="P768" s="16">
        <v>46077</v>
      </c>
      <c r="Q768" s="301" t="s">
        <v>36</v>
      </c>
      <c r="R768" s="2">
        <f>VLOOKUP(SALIDAS111518[[#This Row],[CÓDIGO]],PRODUCTOS31316[],2,FALSE)</f>
        <v>1</v>
      </c>
      <c r="S768" s="1" t="str">
        <f>VLOOKUP(SALIDAS111518[[#This Row],[CÓDIGO]],PRODUCTOS31316[],3,FALSE)</f>
        <v xml:space="preserve">PARCHE ESTROTECT </v>
      </c>
      <c r="T768" s="2">
        <v>1</v>
      </c>
      <c r="U768" s="2"/>
      <c r="V768" s="2"/>
      <c r="W768" s="2"/>
      <c r="X768" s="2"/>
      <c r="Y768" s="7"/>
      <c r="Z768" s="2"/>
      <c r="AA768" s="1"/>
      <c r="AC768" s="2"/>
      <c r="AE768" s="1"/>
      <c r="AG768" s="2"/>
    </row>
    <row r="769" spans="1:33" ht="49.95" customHeight="1" x14ac:dyDescent="0.3">
      <c r="A769" s="203" t="s">
        <v>2381</v>
      </c>
      <c r="B769" s="1">
        <v>21532</v>
      </c>
      <c r="C769" s="216" t="s">
        <v>2600</v>
      </c>
      <c r="D769" s="1" t="s">
        <v>442</v>
      </c>
      <c r="E769" s="1" t="s">
        <v>442</v>
      </c>
      <c r="F769" s="1" t="s">
        <v>30</v>
      </c>
      <c r="G769" s="2">
        <v>921</v>
      </c>
      <c r="H769" s="14">
        <f>SUMIF(ENTRADAS71417[CÓDIGO],PRODUCTOS31316[[#This Row],[CÓDIGO]],ENTRADAS71417[CANTIDAD])</f>
        <v>9</v>
      </c>
      <c r="I769" s="11">
        <f>SUMIF(SALIDAS111518[CÓDIGO],PRODUCTOS31316[[#This Row],[CÓDIGO]],SALIDAS111518[CANTIDAD])</f>
        <v>64</v>
      </c>
      <c r="J769" s="6">
        <f>PRODUCTOS31316[[#This Row],[EXISTENCIAS]]+PRODUCTOS31316[[#This Row],[ENTRADAS]]-PRODUCTOS31316[[#This Row],[SALIDAS]]</f>
        <v>866</v>
      </c>
      <c r="L769" s="301" t="s">
        <v>3521</v>
      </c>
      <c r="M769" s="301" t="s">
        <v>3931</v>
      </c>
      <c r="N769" s="304" t="s">
        <v>4201</v>
      </c>
      <c r="O769" s="301" t="s">
        <v>3410</v>
      </c>
      <c r="P769" s="16">
        <v>46077</v>
      </c>
      <c r="Q769" s="301" t="s">
        <v>153</v>
      </c>
      <c r="R769" s="2">
        <f>VLOOKUP(SALIDAS111518[[#This Row],[CÓDIGO]],PRODUCTOS31316[],2,FALSE)</f>
        <v>1132</v>
      </c>
      <c r="S769" s="1" t="str">
        <f>VLOOKUP(SALIDAS111518[[#This Row],[CÓDIGO]],PRODUCTOS31316[],3,FALSE)</f>
        <v>PISTOLA QUICKLOCK CLASIC</v>
      </c>
      <c r="T769" s="2">
        <v>1</v>
      </c>
      <c r="U769" s="2">
        <v>340</v>
      </c>
      <c r="V769" s="2"/>
      <c r="W769" s="301" t="s">
        <v>3412</v>
      </c>
      <c r="X769" s="2"/>
      <c r="Y769" s="7"/>
      <c r="Z769" s="2"/>
      <c r="AA769" s="1"/>
      <c r="AC769" s="2"/>
      <c r="AE769" s="1"/>
      <c r="AG769" s="2"/>
    </row>
    <row r="770" spans="1:33" ht="49.95" customHeight="1" x14ac:dyDescent="0.3">
      <c r="A770" s="2" t="s">
        <v>2382</v>
      </c>
      <c r="B770" s="1">
        <v>1</v>
      </c>
      <c r="C770" s="216" t="s">
        <v>2601</v>
      </c>
      <c r="D770" s="1" t="s">
        <v>822</v>
      </c>
      <c r="E770" s="1" t="s">
        <v>1421</v>
      </c>
      <c r="F770" s="1" t="s">
        <v>30</v>
      </c>
      <c r="G770" s="2">
        <v>7</v>
      </c>
      <c r="H770" s="14">
        <f>SUMIF(ENTRADAS71417[CÓDIGO],PRODUCTOS31316[[#This Row],[CÓDIGO]],ENTRADAS71417[CANTIDAD])</f>
        <v>29</v>
      </c>
      <c r="I770" s="11">
        <f>SUMIF(SALIDAS111518[CÓDIGO],PRODUCTOS31316[[#This Row],[CÓDIGO]],SALIDAS111518[CANTIDAD])</f>
        <v>32</v>
      </c>
      <c r="J770" s="6">
        <f>PRODUCTOS31316[[#This Row],[EXISTENCIAS]]+PRODUCTOS31316[[#This Row],[ENTRADAS]]-PRODUCTOS31316[[#This Row],[SALIDAS]]</f>
        <v>4</v>
      </c>
      <c r="L770" s="2"/>
      <c r="M770" s="2"/>
      <c r="N770" s="2">
        <v>7943</v>
      </c>
      <c r="O770" s="301" t="s">
        <v>3410</v>
      </c>
      <c r="P770" s="16">
        <v>46077</v>
      </c>
      <c r="Q770" s="301" t="s">
        <v>3365</v>
      </c>
      <c r="R770" s="2">
        <f>VLOOKUP(SALIDAS111518[[#This Row],[CÓDIGO]],PRODUCTOS31316[],2,FALSE)</f>
        <v>0</v>
      </c>
      <c r="S770" s="1" t="str">
        <f>VLOOKUP(SALIDAS111518[[#This Row],[CÓDIGO]],PRODUCTOS31316[],3,FALSE)</f>
        <v>MANGA DE PROTECCIÓN PALPACIÓN MAS CAMPO</v>
      </c>
      <c r="T770" s="2">
        <v>1</v>
      </c>
      <c r="U770" s="2"/>
      <c r="V770" s="2"/>
      <c r="W770" s="2"/>
      <c r="X770" s="2"/>
      <c r="Y770" s="7"/>
      <c r="Z770" s="2"/>
      <c r="AA770" s="1"/>
      <c r="AC770" s="2"/>
      <c r="AE770" s="1"/>
      <c r="AG770" s="2"/>
    </row>
    <row r="771" spans="1:33" ht="49.95" customHeight="1" x14ac:dyDescent="0.3">
      <c r="A771" s="2" t="s">
        <v>2385</v>
      </c>
      <c r="B771" s="1">
        <v>9011008</v>
      </c>
      <c r="C771" s="1" t="s">
        <v>2602</v>
      </c>
      <c r="D771" s="1" t="s">
        <v>18</v>
      </c>
      <c r="E771" s="1" t="s">
        <v>18</v>
      </c>
      <c r="F771" s="1" t="s">
        <v>30</v>
      </c>
      <c r="G771" s="2">
        <v>2</v>
      </c>
      <c r="H771" s="14">
        <f>SUMIF(ENTRADAS71417[CÓDIGO],PRODUCTOS31316[[#This Row],[CÓDIGO]],ENTRADAS71417[CANTIDAD])</f>
        <v>0</v>
      </c>
      <c r="I771" s="11">
        <f>SUMIF(SALIDAS111518[CÓDIGO],PRODUCTOS31316[[#This Row],[CÓDIGO]],SALIDAS111518[CANTIDAD])</f>
        <v>0</v>
      </c>
      <c r="J771" s="6">
        <f>PRODUCTOS31316[[#This Row],[EXISTENCIAS]]+PRODUCTOS31316[[#This Row],[ENTRADAS]]-PRODUCTOS31316[[#This Row],[SALIDAS]]</f>
        <v>2</v>
      </c>
      <c r="L771" s="301" t="s">
        <v>3520</v>
      </c>
      <c r="M771" s="301" t="s">
        <v>3931</v>
      </c>
      <c r="N771" s="303" t="s">
        <v>4192</v>
      </c>
      <c r="O771" s="301" t="s">
        <v>3171</v>
      </c>
      <c r="P771" s="16">
        <v>46077</v>
      </c>
      <c r="Q771" s="301" t="s">
        <v>2755</v>
      </c>
      <c r="R771" s="2" t="str">
        <f>VLOOKUP(SALIDAS111518[[#This Row],[CÓDIGO]],PRODUCTOS31316[],2,FALSE)</f>
        <v>MSLDO05</v>
      </c>
      <c r="S771" s="1" t="str">
        <f>VLOOKUP(SALIDAS111518[[#This Row],[CÓDIGO]],PRODUCTOS31316[],3,FALSE)</f>
        <v>TERMO DE RECOLECCIÓN DE SEMEN/ USO VETERINARIO</v>
      </c>
      <c r="T771" s="2">
        <v>1</v>
      </c>
      <c r="U771" s="2">
        <v>334</v>
      </c>
      <c r="V771" s="2"/>
      <c r="W771" s="2"/>
      <c r="X771" s="2"/>
      <c r="Y771" s="7"/>
      <c r="Z771" s="2"/>
      <c r="AA771" s="1"/>
      <c r="AC771" s="2"/>
      <c r="AE771" s="1"/>
      <c r="AG771" s="2"/>
    </row>
    <row r="772" spans="1:33" ht="49.95" customHeight="1" x14ac:dyDescent="0.3">
      <c r="A772" s="2" t="s">
        <v>2603</v>
      </c>
      <c r="B772" s="1" t="s">
        <v>2604</v>
      </c>
      <c r="C772" s="1" t="s">
        <v>2605</v>
      </c>
      <c r="D772" s="1" t="s">
        <v>2606</v>
      </c>
      <c r="E772" s="1" t="s">
        <v>2606</v>
      </c>
      <c r="F772" s="1" t="s">
        <v>30</v>
      </c>
      <c r="G772" s="2">
        <v>0</v>
      </c>
      <c r="H772" s="14">
        <f>SUMIF(ENTRADAS71417[CÓDIGO],PRODUCTOS31316[[#This Row],[CÓDIGO]],ENTRADAS71417[CANTIDAD])</f>
        <v>0</v>
      </c>
      <c r="I772" s="11">
        <f>SUMIF(SALIDAS111518[CÓDIGO],PRODUCTOS31316[[#This Row],[CÓDIGO]],SALIDAS111518[CANTIDAD])</f>
        <v>0</v>
      </c>
      <c r="J772" s="6">
        <f>PRODUCTOS31316[[#This Row],[EXISTENCIAS]]+PRODUCTOS31316[[#This Row],[ENTRADAS]]-PRODUCTOS31316[[#This Row],[SALIDAS]]</f>
        <v>0</v>
      </c>
      <c r="L772" s="301" t="s">
        <v>3521</v>
      </c>
      <c r="M772" s="301" t="s">
        <v>3931</v>
      </c>
      <c r="N772" s="1" t="s">
        <v>4196</v>
      </c>
      <c r="O772" s="1" t="s">
        <v>3209</v>
      </c>
      <c r="P772" s="16">
        <v>45713</v>
      </c>
      <c r="Q772" s="2" t="s">
        <v>2401</v>
      </c>
      <c r="R772" s="2">
        <f>VLOOKUP(SALIDAS111518[[#This Row],[CÓDIGO]],PRODUCTOS31316[],2,FALSE)</f>
        <v>5540</v>
      </c>
      <c r="S772" s="1" t="str">
        <f>VLOOKUP(SALIDAS111518[[#This Row],[CÓDIGO]],PRODUCTOS31316[],3,FALSE)</f>
        <v xml:space="preserve">FUNDAS DE TRANSFERENCIA AZUL PUNTA METÁLICA 21"                 </v>
      </c>
      <c r="T772" s="2">
        <v>8</v>
      </c>
      <c r="U772" s="2">
        <v>335</v>
      </c>
      <c r="V772" s="2"/>
      <c r="W772" s="2"/>
      <c r="X772" s="2"/>
      <c r="Y772" s="7"/>
      <c r="Z772" s="2"/>
      <c r="AA772" s="1"/>
      <c r="AC772" s="2"/>
      <c r="AE772" s="1"/>
      <c r="AG772" s="2"/>
    </row>
    <row r="773" spans="1:33" ht="49.95" customHeight="1" x14ac:dyDescent="0.3">
      <c r="A773" s="2" t="s">
        <v>2386</v>
      </c>
      <c r="B773" s="1" t="s">
        <v>2607</v>
      </c>
      <c r="C773" s="1" t="s">
        <v>2608</v>
      </c>
      <c r="D773" s="1" t="s">
        <v>1904</v>
      </c>
      <c r="E773" s="1" t="s">
        <v>352</v>
      </c>
      <c r="F773" s="1" t="s">
        <v>30</v>
      </c>
      <c r="G773" s="2">
        <v>0</v>
      </c>
      <c r="H773" s="14">
        <f>SUMIF(ENTRADAS71417[CÓDIGO],PRODUCTOS31316[[#This Row],[CÓDIGO]],ENTRADAS71417[CANTIDAD])</f>
        <v>0</v>
      </c>
      <c r="I773" s="11">
        <f>SUMIF(SALIDAS111518[CÓDIGO],PRODUCTOS31316[[#This Row],[CÓDIGO]],SALIDAS111518[CANTIDAD])</f>
        <v>0</v>
      </c>
      <c r="J773" s="6">
        <f>PRODUCTOS31316[[#This Row],[EXISTENCIAS]]+PRODUCTOS31316[[#This Row],[ENTRADAS]]-PRODUCTOS31316[[#This Row],[SALIDAS]]</f>
        <v>0</v>
      </c>
      <c r="L773" s="2" t="s">
        <v>3520</v>
      </c>
      <c r="M773" s="2" t="s">
        <v>3931</v>
      </c>
      <c r="N773" s="1" t="s">
        <v>4197</v>
      </c>
      <c r="O773" s="2" t="s">
        <v>1358</v>
      </c>
      <c r="P773" s="16">
        <v>45713</v>
      </c>
      <c r="Q773" s="2" t="s">
        <v>438</v>
      </c>
      <c r="R773" s="2">
        <f>VLOOKUP(SALIDAS111518[[#This Row],[CÓDIGO]],PRODUCTOS31316[],2,FALSE)</f>
        <v>18421</v>
      </c>
      <c r="S773" s="1" t="str">
        <f>VLOOKUP(SALIDAS111518[[#This Row],[CÓDIGO]],PRODUCTOS31316[],3,FALSE)</f>
        <v xml:space="preserve">PISTOLA DE TRANSFERENCIA DE EMBRIONES 0,25 / BLOQUEO AUTOMÁTICO </v>
      </c>
      <c r="T773" s="2">
        <v>1</v>
      </c>
      <c r="U773" s="2">
        <v>336</v>
      </c>
      <c r="V773" s="2"/>
      <c r="W773" s="2"/>
      <c r="X773" s="2"/>
      <c r="Y773" s="7"/>
      <c r="Z773" s="2"/>
      <c r="AA773" s="1"/>
      <c r="AC773" s="2"/>
      <c r="AE773" s="1"/>
      <c r="AG773" s="2"/>
    </row>
    <row r="774" spans="1:33" ht="49.95" customHeight="1" x14ac:dyDescent="0.3">
      <c r="A774" s="2" t="s">
        <v>2387</v>
      </c>
      <c r="B774" s="1" t="s">
        <v>2609</v>
      </c>
      <c r="C774" s="1" t="s">
        <v>2610</v>
      </c>
      <c r="D774" s="1" t="s">
        <v>1904</v>
      </c>
      <c r="E774" s="1" t="s">
        <v>352</v>
      </c>
      <c r="F774" s="1" t="s">
        <v>30</v>
      </c>
      <c r="G774" s="2">
        <v>0</v>
      </c>
      <c r="H774" s="14">
        <f>SUMIF(ENTRADAS71417[CÓDIGO],PRODUCTOS31316[[#This Row],[CÓDIGO]],ENTRADAS71417[CANTIDAD])</f>
        <v>1</v>
      </c>
      <c r="I774" s="11">
        <f>SUMIF(SALIDAS111518[CÓDIGO],PRODUCTOS31316[[#This Row],[CÓDIGO]],SALIDAS111518[CANTIDAD])</f>
        <v>1</v>
      </c>
      <c r="J774" s="6">
        <f>PRODUCTOS31316[[#This Row],[EXISTENCIAS]]+PRODUCTOS31316[[#This Row],[ENTRADAS]]-PRODUCTOS31316[[#This Row],[SALIDAS]]</f>
        <v>0</v>
      </c>
      <c r="L774" s="2"/>
      <c r="M774" s="2"/>
      <c r="N774" s="2">
        <v>7946</v>
      </c>
      <c r="O774" s="2" t="s">
        <v>1358</v>
      </c>
      <c r="P774" s="16">
        <v>45713</v>
      </c>
      <c r="Q774" s="2" t="s">
        <v>153</v>
      </c>
      <c r="R774" s="2">
        <f>VLOOKUP(SALIDAS111518[[#This Row],[CÓDIGO]],PRODUCTOS31316[],2,FALSE)</f>
        <v>1132</v>
      </c>
      <c r="S774" s="1" t="str">
        <f>VLOOKUP(SALIDAS111518[[#This Row],[CÓDIGO]],PRODUCTOS31316[],3,FALSE)</f>
        <v>PISTOLA QUICKLOCK CLASIC</v>
      </c>
      <c r="T774" s="2">
        <v>1</v>
      </c>
      <c r="U774" s="2"/>
      <c r="V774" s="2"/>
      <c r="W774" s="2"/>
      <c r="X774" s="2"/>
      <c r="Y774" s="7"/>
      <c r="Z774" s="2"/>
      <c r="AA774" s="1"/>
      <c r="AC774" s="2"/>
      <c r="AE774" s="1"/>
      <c r="AG774" s="2"/>
    </row>
    <row r="775" spans="1:33" ht="49.95" customHeight="1" x14ac:dyDescent="0.3">
      <c r="A775" s="2" t="s">
        <v>2388</v>
      </c>
      <c r="B775" s="1">
        <v>45038</v>
      </c>
      <c r="C775" s="1" t="s">
        <v>2611</v>
      </c>
      <c r="D775" s="1" t="s">
        <v>1904</v>
      </c>
      <c r="E775" s="1" t="s">
        <v>352</v>
      </c>
      <c r="F775" s="1" t="s">
        <v>30</v>
      </c>
      <c r="G775" s="2">
        <v>1</v>
      </c>
      <c r="H775" s="14">
        <f>SUMIF(ENTRADAS71417[CÓDIGO],PRODUCTOS31316[[#This Row],[CÓDIGO]],ENTRADAS71417[CANTIDAD])</f>
        <v>0</v>
      </c>
      <c r="I775" s="11">
        <f>SUMIF(SALIDAS111518[CÓDIGO],PRODUCTOS31316[[#This Row],[CÓDIGO]],SALIDAS111518[CANTIDAD])</f>
        <v>0</v>
      </c>
      <c r="J775" s="6">
        <f>PRODUCTOS31316[[#This Row],[EXISTENCIAS]]+PRODUCTOS31316[[#This Row],[ENTRADAS]]-PRODUCTOS31316[[#This Row],[SALIDAS]]</f>
        <v>1</v>
      </c>
      <c r="L775" s="2" t="s">
        <v>3521</v>
      </c>
      <c r="M775" s="2" t="s">
        <v>3931</v>
      </c>
      <c r="N775" s="1" t="s">
        <v>4202</v>
      </c>
      <c r="O775" s="1" t="s">
        <v>4195</v>
      </c>
      <c r="P775" s="16">
        <v>45713</v>
      </c>
      <c r="Q775" s="2" t="s">
        <v>3319</v>
      </c>
      <c r="R775" s="2">
        <f>VLOOKUP(SALIDAS111518[[#This Row],[CÓDIGO]],PRODUCTOS31316[],2,FALSE)</f>
        <v>9013002</v>
      </c>
      <c r="S775" s="1" t="str">
        <f>VLOOKUP(SALIDAS111518[[#This Row],[CÓDIGO]],PRODUCTOS31316[],3,FALSE)</f>
        <v>TERMO DESCONGELADOR DE SEMEN Y EMBRIONES DSE-480 CON BATERÍA BLUE/GRAY</v>
      </c>
      <c r="T775" s="2">
        <v>1</v>
      </c>
      <c r="U775" s="2">
        <v>341</v>
      </c>
      <c r="V775" s="2"/>
      <c r="W775" s="2" t="s">
        <v>3412</v>
      </c>
      <c r="X775" s="2"/>
      <c r="Y775" s="7"/>
      <c r="Z775" s="2"/>
      <c r="AA775" s="1"/>
      <c r="AC775" s="2"/>
      <c r="AE775" s="1"/>
      <c r="AG775" s="2"/>
    </row>
    <row r="776" spans="1:33" ht="49.95" customHeight="1" x14ac:dyDescent="0.3">
      <c r="A776" s="2" t="s">
        <v>2390</v>
      </c>
      <c r="B776" s="1">
        <v>4401050</v>
      </c>
      <c r="C776" s="1" t="s">
        <v>2612</v>
      </c>
      <c r="E776" s="1" t="s">
        <v>2389</v>
      </c>
      <c r="F776" s="1" t="s">
        <v>30</v>
      </c>
      <c r="G776" s="2">
        <v>0</v>
      </c>
      <c r="H776" s="14">
        <f>SUMIF(ENTRADAS71417[CÓDIGO],PRODUCTOS31316[[#This Row],[CÓDIGO]],ENTRADAS71417[CANTIDAD])</f>
        <v>0</v>
      </c>
      <c r="I776" s="11">
        <f>SUMIF(SALIDAS111518[CÓDIGO],PRODUCTOS31316[[#This Row],[CÓDIGO]],SALIDAS111518[CANTIDAD])</f>
        <v>0</v>
      </c>
      <c r="J776" s="6">
        <f>PRODUCTOS31316[[#This Row],[EXISTENCIAS]]+PRODUCTOS31316[[#This Row],[ENTRADAS]]-PRODUCTOS31316[[#This Row],[SALIDAS]]</f>
        <v>0</v>
      </c>
      <c r="L776" s="2" t="s">
        <v>3520</v>
      </c>
      <c r="M776" s="2" t="s">
        <v>3931</v>
      </c>
      <c r="N776" s="1" t="s">
        <v>4198</v>
      </c>
      <c r="O776" s="1" t="s">
        <v>2725</v>
      </c>
      <c r="P776" s="16">
        <v>46078</v>
      </c>
      <c r="Q776" s="2" t="s">
        <v>1779</v>
      </c>
      <c r="R776" s="2">
        <f>VLOOKUP(SALIDAS111518[[#This Row],[CÓDIGO]],PRODUCTOS31316[],2,FALSE)</f>
        <v>5563</v>
      </c>
      <c r="S776" s="1" t="str">
        <f>VLOOKUP(SALIDAS111518[[#This Row],[CÓDIGO]],PRODUCTOS31316[],3,FALSE)</f>
        <v>CAMISA SANITARIA ROLLO X 80</v>
      </c>
      <c r="T776" s="2">
        <v>10</v>
      </c>
      <c r="U776" s="2">
        <v>337</v>
      </c>
      <c r="V776" s="2"/>
      <c r="W776" s="2"/>
      <c r="X776" s="2"/>
      <c r="Y776" s="7"/>
      <c r="Z776" s="2"/>
      <c r="AA776" s="1"/>
      <c r="AC776" s="2"/>
      <c r="AE776" s="1"/>
      <c r="AG776" s="2"/>
    </row>
    <row r="777" spans="1:33" ht="49.95" customHeight="1" x14ac:dyDescent="0.3">
      <c r="A777" s="2" t="s">
        <v>2391</v>
      </c>
      <c r="B777" s="1">
        <v>9605</v>
      </c>
      <c r="C777" s="1" t="s">
        <v>2613</v>
      </c>
      <c r="D777" s="1" t="s">
        <v>2598</v>
      </c>
      <c r="E777" s="1" t="s">
        <v>2389</v>
      </c>
      <c r="F777" s="1" t="s">
        <v>139</v>
      </c>
      <c r="G777" s="2">
        <v>0</v>
      </c>
      <c r="H777" s="14">
        <f>SUMIF(ENTRADAS71417[CÓDIGO],PRODUCTOS31316[[#This Row],[CÓDIGO]],ENTRADAS71417[CANTIDAD])</f>
        <v>0</v>
      </c>
      <c r="I777" s="11">
        <f>SUMIF(SALIDAS111518[CÓDIGO],PRODUCTOS31316[[#This Row],[CÓDIGO]],SALIDAS111518[CANTIDAD])</f>
        <v>0</v>
      </c>
      <c r="J777" s="6">
        <f>PRODUCTOS31316[[#This Row],[EXISTENCIAS]]+PRODUCTOS31316[[#This Row],[ENTRADAS]]-PRODUCTOS31316[[#This Row],[SALIDAS]]</f>
        <v>0</v>
      </c>
      <c r="L777" s="2" t="s">
        <v>3520</v>
      </c>
      <c r="M777" s="2" t="s">
        <v>3931</v>
      </c>
      <c r="N777" s="1" t="s">
        <v>4199</v>
      </c>
      <c r="O777" s="2" t="s">
        <v>2667</v>
      </c>
      <c r="P777" s="16">
        <v>45713</v>
      </c>
      <c r="Q777" s="2" t="s">
        <v>58</v>
      </c>
      <c r="R777" s="2" t="str">
        <f>VLOOKUP(SALIDAS111518[[#This Row],[CÓDIGO]],PRODUCTOS31316[],2,FALSE)</f>
        <v>TNB-0001-16</v>
      </c>
      <c r="S777" s="1" t="str">
        <f>VLOOKUP(SALIDAS111518[[#This Row],[CÓDIGO]],PRODUCTOS31316[],3,FALSE)</f>
        <v>CAMISA SANITARIA PARA OPU ASPIRACIÓN FOLICULAR</v>
      </c>
      <c r="T777" s="2">
        <v>4</v>
      </c>
      <c r="U777" s="2">
        <v>338</v>
      </c>
      <c r="V777" s="2"/>
      <c r="W777" s="2"/>
      <c r="X777" s="2"/>
      <c r="Y777" s="7"/>
      <c r="Z777" s="2"/>
      <c r="AA777" s="1"/>
      <c r="AC777" s="2"/>
      <c r="AE777" s="1"/>
      <c r="AG777" s="2"/>
    </row>
    <row r="778" spans="1:33" ht="49.95" customHeight="1" x14ac:dyDescent="0.3">
      <c r="A778" s="2" t="s">
        <v>2614</v>
      </c>
      <c r="B778" s="1" t="s">
        <v>2615</v>
      </c>
      <c r="C778" s="1" t="s">
        <v>2616</v>
      </c>
      <c r="D778" s="1" t="s">
        <v>1904</v>
      </c>
      <c r="E778" s="1" t="s">
        <v>1904</v>
      </c>
      <c r="F778" s="1" t="s">
        <v>30</v>
      </c>
      <c r="G778" s="2">
        <v>0</v>
      </c>
      <c r="H778" s="14">
        <f>SUMIF(ENTRADAS71417[CÓDIGO],PRODUCTOS31316[[#This Row],[CÓDIGO]],ENTRADAS71417[CANTIDAD])</f>
        <v>0</v>
      </c>
      <c r="I778" s="11">
        <f>SUMIF(SALIDAS111518[CÓDIGO],PRODUCTOS31316[[#This Row],[CÓDIGO]],SALIDAS111518[CANTIDAD])</f>
        <v>0</v>
      </c>
      <c r="J778" s="6">
        <f>PRODUCTOS31316[[#This Row],[EXISTENCIAS]]+PRODUCTOS31316[[#This Row],[ENTRADAS]]-PRODUCTOS31316[[#This Row],[SALIDAS]]</f>
        <v>0</v>
      </c>
      <c r="L778" s="2" t="s">
        <v>3520</v>
      </c>
      <c r="M778" s="2" t="s">
        <v>3931</v>
      </c>
      <c r="N778" s="2" t="s">
        <v>4203</v>
      </c>
      <c r="O778" s="2" t="s">
        <v>3486</v>
      </c>
      <c r="P778" s="16">
        <v>45713</v>
      </c>
      <c r="Q778" s="2" t="s">
        <v>2910</v>
      </c>
      <c r="R778" s="2" t="e">
        <f>VLOOKUP(SALIDAS111518[[#This Row],[CÓDIGO]],PRODUCTOS31316[],2,FALSE)</f>
        <v>#N/A</v>
      </c>
      <c r="S778" s="1" t="e">
        <f>VLOOKUP(SALIDAS111518[[#This Row],[CÓDIGO]],PRODUCTOS31316[],3,FALSE)</f>
        <v>#N/A</v>
      </c>
      <c r="T778" s="2">
        <v>1</v>
      </c>
      <c r="U778" s="2"/>
      <c r="V778" s="2"/>
      <c r="W778" s="2"/>
      <c r="X778" s="2"/>
      <c r="Y778" s="7"/>
      <c r="Z778" s="2"/>
      <c r="AA778" s="1"/>
      <c r="AC778" s="2"/>
      <c r="AE778" s="1"/>
      <c r="AG778" s="2"/>
    </row>
    <row r="779" spans="1:33" ht="49.95" customHeight="1" x14ac:dyDescent="0.3">
      <c r="A779" s="2" t="s">
        <v>2412</v>
      </c>
      <c r="B779" s="1" t="s">
        <v>2617</v>
      </c>
      <c r="C779" s="216" t="s">
        <v>2618</v>
      </c>
      <c r="D779" s="1" t="s">
        <v>467</v>
      </c>
      <c r="E779" s="1" t="s">
        <v>467</v>
      </c>
      <c r="F779" s="1" t="s">
        <v>30</v>
      </c>
      <c r="G779" s="2">
        <v>2</v>
      </c>
      <c r="H779" s="14">
        <f>SUMIF(ENTRADAS71417[CÓDIGO],PRODUCTOS31316[[#This Row],[CÓDIGO]],ENTRADAS71417[CANTIDAD])</f>
        <v>2</v>
      </c>
      <c r="I779" s="11">
        <f>SUMIF(SALIDAS111518[CÓDIGO],PRODUCTOS31316[[#This Row],[CÓDIGO]],SALIDAS111518[CANTIDAD])</f>
        <v>6</v>
      </c>
      <c r="J779" s="6">
        <f>PRODUCTOS31316[[#This Row],[EXISTENCIAS]]+PRODUCTOS31316[[#This Row],[ENTRADAS]]-PRODUCTOS31316[[#This Row],[SALIDAS]]</f>
        <v>-2</v>
      </c>
      <c r="L779" s="2" t="s">
        <v>3521</v>
      </c>
      <c r="M779" s="2" t="s">
        <v>3931</v>
      </c>
      <c r="N779" s="1" t="s">
        <v>4205</v>
      </c>
      <c r="O779" s="2" t="s">
        <v>499</v>
      </c>
      <c r="P779" s="16">
        <v>45713</v>
      </c>
      <c r="Q779" s="2" t="s">
        <v>1637</v>
      </c>
      <c r="R779" s="2" t="str">
        <f>VLOOKUP(SALIDAS111518[[#This Row],[CÓDIGO]],PRODUCTOS31316[],2,FALSE)</f>
        <v>P22X22</v>
      </c>
      <c r="S779" s="1" t="str">
        <f>VLOOKUP(SALIDAS111518[[#This Row],[CÓDIGO]],PRODUCTOS31316[],3,FALSE)</f>
        <v>LAMINA CUBRE OBJETO EN VIDRIO 22X22</v>
      </c>
      <c r="T779" s="2">
        <v>1</v>
      </c>
      <c r="U779" s="2" t="s">
        <v>4204</v>
      </c>
      <c r="V779" s="2"/>
      <c r="W779" s="2"/>
      <c r="X779" s="2"/>
      <c r="Y779" s="7"/>
      <c r="Z779" s="2"/>
      <c r="AA779" s="1"/>
      <c r="AC779" s="2"/>
      <c r="AE779" s="1"/>
      <c r="AG779" s="2"/>
    </row>
    <row r="780" spans="1:33" ht="49.95" customHeight="1" x14ac:dyDescent="0.3">
      <c r="A780" s="2" t="s">
        <v>2394</v>
      </c>
      <c r="C780" s="1" t="s">
        <v>2008</v>
      </c>
      <c r="D780" s="1" t="s">
        <v>1752</v>
      </c>
      <c r="E780" s="1" t="s">
        <v>2393</v>
      </c>
      <c r="F780" s="1" t="s">
        <v>30</v>
      </c>
      <c r="G780" s="2">
        <v>0</v>
      </c>
      <c r="H780" s="14">
        <f>SUMIF(ENTRADAS71417[CÓDIGO],PRODUCTOS31316[[#This Row],[CÓDIGO]],ENTRADAS71417[CANTIDAD])</f>
        <v>0</v>
      </c>
      <c r="I780" s="11">
        <f>SUMIF(SALIDAS111518[CÓDIGO],PRODUCTOS31316[[#This Row],[CÓDIGO]],SALIDAS111518[CANTIDAD])</f>
        <v>0</v>
      </c>
      <c r="J780" s="6">
        <f>PRODUCTOS31316[[#This Row],[EXISTENCIAS]]+PRODUCTOS31316[[#This Row],[ENTRADAS]]-PRODUCTOS31316[[#This Row],[SALIDAS]]</f>
        <v>0</v>
      </c>
      <c r="L780" s="2"/>
      <c r="M780" s="2"/>
      <c r="N780" s="2">
        <v>7951</v>
      </c>
      <c r="O780" s="2" t="s">
        <v>499</v>
      </c>
      <c r="P780" s="16">
        <v>45713</v>
      </c>
      <c r="Q780" s="2" t="s">
        <v>1631</v>
      </c>
      <c r="R780" s="2" t="str">
        <f>VLOOKUP(SALIDAS111518[[#This Row],[CÓDIGO]],PRODUCTOS31316[],2,FALSE)</f>
        <v>7101-CRAL</v>
      </c>
      <c r="S780" s="1" t="str">
        <f>VLOOKUP(SALIDAS111518[[#This Row],[CÓDIGO]],PRODUCTOS31316[],3,FALSE)</f>
        <v>LAMINA PORTA OBJETOS LISA EN VIDRIO 26X76MM, BORDE ESMERILADO</v>
      </c>
      <c r="T780" s="2">
        <v>1</v>
      </c>
      <c r="U780" s="2"/>
      <c r="V780" s="2"/>
      <c r="W780" s="2"/>
      <c r="X780" s="2"/>
      <c r="Y780" s="7"/>
      <c r="Z780" s="2"/>
      <c r="AA780" s="1"/>
      <c r="AC780" s="2"/>
      <c r="AE780" s="1"/>
      <c r="AG780" s="2"/>
    </row>
    <row r="781" spans="1:33" ht="49.95" customHeight="1" x14ac:dyDescent="0.3">
      <c r="A781" s="2" t="s">
        <v>2407</v>
      </c>
      <c r="B781" s="1" t="s">
        <v>2619</v>
      </c>
      <c r="C781" s="1" t="s">
        <v>2620</v>
      </c>
      <c r="D781" s="1" t="s">
        <v>2621</v>
      </c>
      <c r="E781" s="1" t="s">
        <v>634</v>
      </c>
      <c r="F781" s="1" t="s">
        <v>30</v>
      </c>
      <c r="G781" s="2">
        <v>1</v>
      </c>
      <c r="H781" s="14">
        <f>SUMIF(ENTRADAS71417[CÓDIGO],PRODUCTOS31316[[#This Row],[CÓDIGO]],ENTRADAS71417[CANTIDAD])</f>
        <v>0</v>
      </c>
      <c r="I781" s="11">
        <f>SUMIF(SALIDAS111518[CÓDIGO],PRODUCTOS31316[[#This Row],[CÓDIGO]],SALIDAS111518[CANTIDAD])</f>
        <v>1</v>
      </c>
      <c r="J781" s="6">
        <f>PRODUCTOS31316[[#This Row],[EXISTENCIAS]]+PRODUCTOS31316[[#This Row],[ENTRADAS]]-PRODUCTOS31316[[#This Row],[SALIDAS]]</f>
        <v>0</v>
      </c>
      <c r="L781" s="2"/>
      <c r="M781" s="2"/>
      <c r="N781" s="2">
        <v>7951</v>
      </c>
      <c r="O781" s="2" t="s">
        <v>499</v>
      </c>
      <c r="P781" s="16">
        <v>45713</v>
      </c>
      <c r="Q781" s="2" t="s">
        <v>168</v>
      </c>
      <c r="R781" s="2">
        <f>VLOOKUP(SALIDAS111518[[#This Row],[CÓDIGO]],PRODUCTOS31316[],2,FALSE)</f>
        <v>4840</v>
      </c>
      <c r="S781" s="1" t="str">
        <f>VLOOKUP(SALIDAS111518[[#This Row],[CÓDIGO]],PRODUCTOS31316[],3,FALSE)</f>
        <v>PUNTAS BLANCAS UNIVERSALES, PLÁSTICAS, LIBRES DE DNASAS, RNASA Y PIROGENOS, RANGO DE 0.1 A 10UL. (CORTAS).</v>
      </c>
      <c r="T781" s="2">
        <v>1</v>
      </c>
      <c r="U781" s="2"/>
      <c r="V781" s="2"/>
      <c r="W781" s="2"/>
      <c r="X781" s="2"/>
      <c r="Y781" s="7"/>
      <c r="Z781" s="2"/>
      <c r="AA781" s="1"/>
      <c r="AC781" s="2"/>
      <c r="AE781" s="1"/>
      <c r="AG781" s="2"/>
    </row>
    <row r="782" spans="1:33" ht="49.95" customHeight="1" x14ac:dyDescent="0.3">
      <c r="A782" s="2" t="s">
        <v>2396</v>
      </c>
      <c r="B782" s="1" t="s">
        <v>2622</v>
      </c>
      <c r="C782" s="1" t="s">
        <v>2623</v>
      </c>
      <c r="D782" s="1" t="s">
        <v>2624</v>
      </c>
      <c r="E782" s="1" t="s">
        <v>410</v>
      </c>
      <c r="F782" s="1" t="s">
        <v>30</v>
      </c>
      <c r="G782" s="2">
        <v>0</v>
      </c>
      <c r="H782" s="14">
        <f>SUMIF(ENTRADAS71417[CÓDIGO],PRODUCTOS31316[[#This Row],[CÓDIGO]],ENTRADAS71417[CANTIDAD])</f>
        <v>0</v>
      </c>
      <c r="I782" s="11">
        <f>SUMIF(SALIDAS111518[CÓDIGO],PRODUCTOS31316[[#This Row],[CÓDIGO]],SALIDAS111518[CANTIDAD])</f>
        <v>0</v>
      </c>
      <c r="J782" s="6">
        <f>PRODUCTOS31316[[#This Row],[EXISTENCIAS]]+PRODUCTOS31316[[#This Row],[ENTRADAS]]-PRODUCTOS31316[[#This Row],[SALIDAS]]</f>
        <v>0</v>
      </c>
      <c r="L782" s="2"/>
      <c r="M782" s="2"/>
      <c r="N782" s="2">
        <v>7951</v>
      </c>
      <c r="O782" s="2" t="s">
        <v>499</v>
      </c>
      <c r="P782" s="16">
        <v>45713</v>
      </c>
      <c r="Q782" s="2" t="s">
        <v>3233</v>
      </c>
      <c r="R782" s="2" t="str">
        <f>VLOOKUP(SALIDAS111518[[#This Row],[CÓDIGO]],PRODUCTOS31316[],2,FALSE)</f>
        <v>JA3022</v>
      </c>
      <c r="S782" s="1" t="str">
        <f>VLOOKUP(SALIDAS111518[[#This Row],[CÓDIGO]],PRODUCTOS31316[],3,FALSE)</f>
        <v>PIPETA AUTOMÁTICA VOLUMEN DE 0.5A 10UL</v>
      </c>
      <c r="T782" s="2">
        <v>1</v>
      </c>
      <c r="U782" s="2"/>
      <c r="V782" s="2"/>
      <c r="W782" s="2"/>
      <c r="X782" s="2"/>
      <c r="Y782" s="7"/>
      <c r="Z782" s="2"/>
      <c r="AA782" s="1"/>
      <c r="AC782" s="2"/>
      <c r="AE782" s="1"/>
      <c r="AG782" s="2"/>
    </row>
    <row r="783" spans="1:33" ht="49.95" customHeight="1" x14ac:dyDescent="0.3">
      <c r="A783" s="2" t="s">
        <v>2397</v>
      </c>
      <c r="B783" s="1" t="s">
        <v>2625</v>
      </c>
      <c r="C783" s="1" t="s">
        <v>2626</v>
      </c>
      <c r="D783" s="1" t="s">
        <v>1904</v>
      </c>
      <c r="E783" s="1" t="s">
        <v>1904</v>
      </c>
      <c r="F783" s="1" t="s">
        <v>30</v>
      </c>
      <c r="G783" s="2">
        <v>0</v>
      </c>
      <c r="H783" s="14">
        <f>SUMIF(ENTRADAS71417[CÓDIGO],PRODUCTOS31316[[#This Row],[CÓDIGO]],ENTRADAS71417[CANTIDAD])</f>
        <v>0</v>
      </c>
      <c r="I783" s="11">
        <f>SUMIF(SALIDAS111518[CÓDIGO],PRODUCTOS31316[[#This Row],[CÓDIGO]],SALIDAS111518[CANTIDAD])</f>
        <v>0</v>
      </c>
      <c r="J783" s="6">
        <f>PRODUCTOS31316[[#This Row],[EXISTENCIAS]]+PRODUCTOS31316[[#This Row],[ENTRADAS]]-PRODUCTOS31316[[#This Row],[SALIDAS]]</f>
        <v>0</v>
      </c>
      <c r="L783" s="2"/>
      <c r="M783" s="2"/>
      <c r="N783" s="2">
        <v>7951</v>
      </c>
      <c r="O783" s="2" t="s">
        <v>499</v>
      </c>
      <c r="P783" s="16">
        <v>45713</v>
      </c>
      <c r="Q783" s="2" t="s">
        <v>683</v>
      </c>
      <c r="R783" s="2">
        <f>VLOOKUP(SALIDAS111518[[#This Row],[CÓDIGO]],PRODUCTOS31316[],2,FALSE)</f>
        <v>109304</v>
      </c>
      <c r="S783" s="1" t="str">
        <f>VLOOKUP(SALIDAS111518[[#This Row],[CÓDIGO]],PRODUCTOS31316[],3,FALSE)</f>
        <v>EOSINA- NIGROSINA</v>
      </c>
      <c r="T783" s="2">
        <v>1</v>
      </c>
      <c r="U783" s="2"/>
      <c r="V783" s="2"/>
      <c r="W783" s="2"/>
      <c r="X783" s="2"/>
      <c r="Y783" s="7"/>
      <c r="Z783" s="2"/>
      <c r="AA783" s="1"/>
      <c r="AC783" s="2"/>
      <c r="AE783" s="1"/>
      <c r="AG783" s="2"/>
    </row>
    <row r="784" spans="1:33" ht="49.95" customHeight="1" x14ac:dyDescent="0.3">
      <c r="A784" s="2" t="s">
        <v>2398</v>
      </c>
      <c r="B784" s="1" t="s">
        <v>1925</v>
      </c>
      <c r="C784" s="1" t="s">
        <v>2627</v>
      </c>
      <c r="D784" s="1" t="s">
        <v>1904</v>
      </c>
      <c r="E784" s="1" t="s">
        <v>1904</v>
      </c>
      <c r="F784" s="1" t="s">
        <v>30</v>
      </c>
      <c r="G784" s="2">
        <v>0</v>
      </c>
      <c r="H784" s="14">
        <f>SUMIF(ENTRADAS71417[CÓDIGO],PRODUCTOS31316[[#This Row],[CÓDIGO]],ENTRADAS71417[CANTIDAD])</f>
        <v>0</v>
      </c>
      <c r="I784" s="11">
        <f>SUMIF(SALIDAS111518[CÓDIGO],PRODUCTOS31316[[#This Row],[CÓDIGO]],SALIDAS111518[CANTIDAD])</f>
        <v>0</v>
      </c>
      <c r="J784" s="6">
        <f>PRODUCTOS31316[[#This Row],[EXISTENCIAS]]+PRODUCTOS31316[[#This Row],[ENTRADAS]]-PRODUCTOS31316[[#This Row],[SALIDAS]]</f>
        <v>0</v>
      </c>
      <c r="L784" s="2"/>
      <c r="M784" s="2"/>
      <c r="N784" s="2">
        <v>7951</v>
      </c>
      <c r="O784" s="2" t="s">
        <v>499</v>
      </c>
      <c r="P784" s="16">
        <v>45713</v>
      </c>
      <c r="Q784" s="2" t="s">
        <v>2232</v>
      </c>
      <c r="R784" s="2">
        <f>VLOOKUP(SALIDAS111518[[#This Row],[CÓDIGO]],PRODUCTOS31316[],2,FALSE)</f>
        <v>0</v>
      </c>
      <c r="S784" s="1" t="str">
        <f>VLOOKUP(SALIDAS111518[[#This Row],[CÓDIGO]],PRODUCTOS31316[],3,FALSE)</f>
        <v>CONO RECOLECTOR</v>
      </c>
      <c r="T784" s="2">
        <v>1</v>
      </c>
      <c r="U784" s="2"/>
      <c r="V784" s="2"/>
      <c r="W784" s="2"/>
      <c r="X784" s="2"/>
      <c r="Y784" s="7"/>
      <c r="Z784" s="2"/>
      <c r="AA784" s="1"/>
      <c r="AC784" s="2"/>
      <c r="AE784" s="1"/>
      <c r="AG784" s="2"/>
    </row>
    <row r="785" spans="1:33" ht="49.95" customHeight="1" x14ac:dyDescent="0.3">
      <c r="A785" s="2" t="s">
        <v>2395</v>
      </c>
      <c r="C785" s="1" t="s">
        <v>2628</v>
      </c>
      <c r="D785" s="1" t="s">
        <v>380</v>
      </c>
      <c r="E785" s="1" t="s">
        <v>380</v>
      </c>
      <c r="F785" s="1" t="s">
        <v>30</v>
      </c>
      <c r="G785" s="2">
        <v>0</v>
      </c>
      <c r="H785" s="14">
        <f>SUMIF(ENTRADAS71417[CÓDIGO],PRODUCTOS31316[[#This Row],[CÓDIGO]],ENTRADAS71417[CANTIDAD])</f>
        <v>0</v>
      </c>
      <c r="I785" s="11">
        <f>SUMIF(SALIDAS111518[CÓDIGO],PRODUCTOS31316[[#This Row],[CÓDIGO]],SALIDAS111518[CANTIDAD])</f>
        <v>0</v>
      </c>
      <c r="J785" s="6">
        <f>PRODUCTOS31316[[#This Row],[EXISTENCIAS]]+PRODUCTOS31316[[#This Row],[ENTRADAS]]-PRODUCTOS31316[[#This Row],[SALIDAS]]</f>
        <v>0</v>
      </c>
      <c r="L785" s="2"/>
      <c r="M785" s="2"/>
      <c r="N785" s="2">
        <v>7951</v>
      </c>
      <c r="O785" s="2" t="s">
        <v>499</v>
      </c>
      <c r="P785" s="16">
        <v>45713</v>
      </c>
      <c r="Q785" s="2" t="s">
        <v>3709</v>
      </c>
      <c r="R785" s="2" t="str">
        <f>VLOOKUP(SALIDAS111518[[#This Row],[CÓDIGO]],PRODUCTOS31316[],2,FALSE)</f>
        <v>13408-010</v>
      </c>
      <c r="S785" s="1" t="str">
        <f>VLOOKUP(SALIDAS111518[[#This Row],[CÓDIGO]],PRODUCTOS31316[],3,FALSE)</f>
        <v>PAJUELA TRANSPARENTE 0.50/ PAQ. X 2500 MARCA MINITUBE</v>
      </c>
      <c r="T785" s="2">
        <v>1</v>
      </c>
      <c r="U785" s="2"/>
      <c r="V785" s="2"/>
      <c r="W785" s="2"/>
      <c r="X785" s="2"/>
      <c r="Y785" s="7"/>
      <c r="Z785" s="2"/>
      <c r="AA785" s="1"/>
      <c r="AC785" s="2"/>
      <c r="AE785" s="1"/>
      <c r="AG785" s="2"/>
    </row>
    <row r="786" spans="1:33" ht="49.95" customHeight="1" x14ac:dyDescent="0.3">
      <c r="A786" s="2" t="s">
        <v>2401</v>
      </c>
      <c r="B786" s="1">
        <v>5540</v>
      </c>
      <c r="C786" s="216" t="s">
        <v>2629</v>
      </c>
      <c r="D786" s="1" t="s">
        <v>156</v>
      </c>
      <c r="E786" s="1" t="s">
        <v>2020</v>
      </c>
      <c r="F786" s="1" t="s">
        <v>2630</v>
      </c>
      <c r="G786" s="31">
        <f>118+10</f>
        <v>128</v>
      </c>
      <c r="H786" s="14">
        <f>SUMIF(ENTRADAS71417[CÓDIGO],PRODUCTOS31316[[#This Row],[CÓDIGO]],ENTRADAS71417[CANTIDAD])</f>
        <v>140</v>
      </c>
      <c r="I786" s="11">
        <f>SUMIF(SALIDAS111518[CÓDIGO],PRODUCTOS31316[[#This Row],[CÓDIGO]],SALIDAS111518[CANTIDAD])</f>
        <v>169</v>
      </c>
      <c r="J786" s="6">
        <f>PRODUCTOS31316[[#This Row],[EXISTENCIAS]]+PRODUCTOS31316[[#This Row],[ENTRADAS]]-PRODUCTOS31316[[#This Row],[SALIDAS]]</f>
        <v>99</v>
      </c>
      <c r="L786" s="2"/>
      <c r="M786" s="2"/>
      <c r="N786" s="2">
        <v>7951</v>
      </c>
      <c r="O786" s="2" t="s">
        <v>499</v>
      </c>
      <c r="P786" s="16">
        <v>45713</v>
      </c>
      <c r="Q786" s="2" t="s">
        <v>2254</v>
      </c>
      <c r="R786" s="2">
        <f>VLOOKUP(SALIDAS111518[[#This Row],[CÓDIGO]],PRODUCTOS31316[],2,FALSE)</f>
        <v>6935</v>
      </c>
      <c r="S786" s="1" t="str">
        <f>VLOOKUP(SALIDAS111518[[#This Row],[CÓDIGO]],PRODUCTOS31316[],3,FALSE)</f>
        <v>CUBETA PLÁSTICA MEDIANA PARA 0,50 P/25</v>
      </c>
      <c r="T786" s="2">
        <v>1</v>
      </c>
      <c r="U786" s="2"/>
      <c r="V786" s="2"/>
      <c r="W786" s="2"/>
      <c r="X786" s="2"/>
      <c r="Y786" s="7"/>
      <c r="Z786" s="2"/>
      <c r="AA786" s="1"/>
      <c r="AC786" s="2"/>
      <c r="AE786" s="1"/>
      <c r="AG786" s="2"/>
    </row>
    <row r="787" spans="1:33" ht="49.95" customHeight="1" x14ac:dyDescent="0.3">
      <c r="A787" s="2" t="s">
        <v>2402</v>
      </c>
      <c r="B787" s="1">
        <v>17532</v>
      </c>
      <c r="C787" s="1" t="s">
        <v>2631</v>
      </c>
      <c r="D787" s="1" t="s">
        <v>156</v>
      </c>
      <c r="E787" s="1" t="s">
        <v>2020</v>
      </c>
      <c r="F787" s="1" t="s">
        <v>30</v>
      </c>
      <c r="G787" s="31">
        <f>65+10</f>
        <v>75</v>
      </c>
      <c r="H787" s="14">
        <f>SUMIF(ENTRADAS71417[CÓDIGO],PRODUCTOS31316[[#This Row],[CÓDIGO]],ENTRADAS71417[CANTIDAD])</f>
        <v>120</v>
      </c>
      <c r="I787" s="11">
        <f>SUMIF(SALIDAS111518[CÓDIGO],PRODUCTOS31316[[#This Row],[CÓDIGO]],SALIDAS111518[CANTIDAD])</f>
        <v>52</v>
      </c>
      <c r="J787" s="6">
        <f>PRODUCTOS31316[[#This Row],[EXISTENCIAS]]+PRODUCTOS31316[[#This Row],[ENTRADAS]]-PRODUCTOS31316[[#This Row],[SALIDAS]]</f>
        <v>143</v>
      </c>
      <c r="L787" s="2"/>
      <c r="M787" s="2"/>
      <c r="N787" s="2">
        <v>7951</v>
      </c>
      <c r="O787" s="2" t="s">
        <v>499</v>
      </c>
      <c r="P787" s="16">
        <v>45713</v>
      </c>
      <c r="Q787" s="2" t="s">
        <v>341</v>
      </c>
      <c r="R787" s="2" t="str">
        <f>VLOOKUP(SALIDAS111518[[#This Row],[CÓDIGO]],PRODUCTOS31316[],2,FALSE)</f>
        <v>CTB50</v>
      </c>
      <c r="S787" s="1" t="str">
        <f>VLOOKUP(SALIDAS111518[[#This Row],[CÓDIGO]],PRODUCTOS31316[],3,FALSE)</f>
        <v>TUBO CÓNICO DE 50 mL, TAPA ROSCA, PRE ESTERILIZADO. RCF MAX: 10000xg, graduados, PCR puro.</v>
      </c>
      <c r="T787" s="2">
        <v>1</v>
      </c>
      <c r="U787" s="2"/>
      <c r="V787" s="2"/>
      <c r="W787" s="2"/>
      <c r="X787" s="2"/>
      <c r="Y787" s="7"/>
      <c r="Z787" s="2"/>
      <c r="AA787" s="1"/>
      <c r="AC787" s="2"/>
      <c r="AE787" s="1"/>
      <c r="AG787" s="2"/>
    </row>
    <row r="788" spans="1:33" ht="49.95" customHeight="1" x14ac:dyDescent="0.3">
      <c r="A788" s="2" t="s">
        <v>2403</v>
      </c>
      <c r="B788" s="1">
        <v>5546</v>
      </c>
      <c r="C788" s="216" t="s">
        <v>1074</v>
      </c>
      <c r="D788" s="1" t="s">
        <v>156</v>
      </c>
      <c r="E788" s="1" t="s">
        <v>2020</v>
      </c>
      <c r="F788" s="1" t="s">
        <v>68</v>
      </c>
      <c r="G788" s="2">
        <v>6</v>
      </c>
      <c r="H788" s="14">
        <f>SUMIF(ENTRADAS71417[CÓDIGO],PRODUCTOS31316[[#This Row],[CÓDIGO]],ENTRADAS71417[CANTIDAD])</f>
        <v>0</v>
      </c>
      <c r="I788" s="11">
        <f>SUMIF(SALIDAS111518[CÓDIGO],PRODUCTOS31316[[#This Row],[CÓDIGO]],SALIDAS111518[CANTIDAD])</f>
        <v>0</v>
      </c>
      <c r="J788" s="6">
        <f>PRODUCTOS31316[[#This Row],[EXISTENCIAS]]+PRODUCTOS31316[[#This Row],[ENTRADAS]]-PRODUCTOS31316[[#This Row],[SALIDAS]]</f>
        <v>6</v>
      </c>
      <c r="L788" s="2"/>
      <c r="M788" s="2"/>
      <c r="N788" s="2">
        <v>7951</v>
      </c>
      <c r="O788" s="2" t="s">
        <v>499</v>
      </c>
      <c r="P788" s="16">
        <v>45713</v>
      </c>
      <c r="Q788" s="2" t="s">
        <v>2253</v>
      </c>
      <c r="R788" s="2">
        <f>VLOOKUP(SALIDAS111518[[#This Row],[CÓDIGO]],PRODUCTOS31316[],2,FALSE)</f>
        <v>26218</v>
      </c>
      <c r="S788" s="1" t="str">
        <f>VLOOKUP(SALIDAS111518[[#This Row],[CÓDIGO]],PRODUCTOS31316[],3,FALSE)</f>
        <v>OPTIXCELL 250 ML</v>
      </c>
      <c r="T788" s="2">
        <v>1</v>
      </c>
      <c r="U788" s="2"/>
      <c r="V788" s="2"/>
      <c r="W788" s="2"/>
      <c r="X788" s="2"/>
      <c r="Y788" s="7"/>
      <c r="Z788" s="2"/>
      <c r="AA788" s="1"/>
      <c r="AC788" s="2"/>
      <c r="AE788" s="1"/>
      <c r="AG788" s="2"/>
    </row>
    <row r="789" spans="1:33" ht="49.95" customHeight="1" x14ac:dyDescent="0.3">
      <c r="A789" s="2" t="s">
        <v>2405</v>
      </c>
      <c r="B789" s="1">
        <v>20898</v>
      </c>
      <c r="C789" s="1" t="s">
        <v>2632</v>
      </c>
      <c r="D789" s="1" t="s">
        <v>442</v>
      </c>
      <c r="E789" s="1" t="s">
        <v>442</v>
      </c>
      <c r="F789" s="1" t="s">
        <v>30</v>
      </c>
      <c r="G789" s="2">
        <v>2</v>
      </c>
      <c r="H789" s="14">
        <f>SUMIF(ENTRADAS71417[CÓDIGO],PRODUCTOS31316[[#This Row],[CÓDIGO]],ENTRADAS71417[CANTIDAD])</f>
        <v>0</v>
      </c>
      <c r="I789" s="11">
        <f>SUMIF(SALIDAS111518[CÓDIGO],PRODUCTOS31316[[#This Row],[CÓDIGO]],SALIDAS111518[CANTIDAD])</f>
        <v>2</v>
      </c>
      <c r="J789" s="6">
        <f>PRODUCTOS31316[[#This Row],[EXISTENCIAS]]+PRODUCTOS31316[[#This Row],[ENTRADAS]]-PRODUCTOS31316[[#This Row],[SALIDAS]]</f>
        <v>0</v>
      </c>
      <c r="L789" s="2"/>
      <c r="M789" s="2"/>
      <c r="N789" s="2">
        <v>7951</v>
      </c>
      <c r="O789" s="2" t="s">
        <v>499</v>
      </c>
      <c r="P789" s="16">
        <v>45713</v>
      </c>
      <c r="Q789" s="2" t="s">
        <v>3095</v>
      </c>
      <c r="R789" s="2">
        <f>VLOOKUP(SALIDAS111518[[#This Row],[CÓDIGO]],PRODUCTOS31316[],2,FALSE)</f>
        <v>0</v>
      </c>
      <c r="S789" s="1" t="str">
        <f>VLOOKUP(SALIDAS111518[[#This Row],[CÓDIGO]],PRODUCTOS31316[],3,FALSE)</f>
        <v>GORRA MAS CAMPO</v>
      </c>
      <c r="T789" s="2">
        <v>1</v>
      </c>
      <c r="U789" s="2"/>
      <c r="V789" s="2"/>
      <c r="W789" s="2"/>
      <c r="X789" s="2"/>
      <c r="Y789" s="7"/>
      <c r="Z789" s="2"/>
      <c r="AA789" s="1"/>
      <c r="AC789" s="2"/>
      <c r="AE789" s="1"/>
      <c r="AG789" s="2"/>
    </row>
    <row r="790" spans="1:33" ht="49.95" customHeight="1" x14ac:dyDescent="0.3">
      <c r="A790" s="2" t="s">
        <v>2406</v>
      </c>
      <c r="B790" s="1">
        <v>28801</v>
      </c>
      <c r="C790" s="257" t="s">
        <v>3529</v>
      </c>
      <c r="D790" s="1" t="s">
        <v>442</v>
      </c>
      <c r="E790" s="1" t="s">
        <v>442</v>
      </c>
      <c r="F790" s="1" t="s">
        <v>62</v>
      </c>
      <c r="G790" s="2">
        <v>20</v>
      </c>
      <c r="H790" s="14">
        <f>SUMIF(ENTRADAS71417[CÓDIGO],PRODUCTOS31316[[#This Row],[CÓDIGO]],ENTRADAS71417[CANTIDAD])</f>
        <v>5</v>
      </c>
      <c r="I790" s="11">
        <f>SUMIF(SALIDAS111518[CÓDIGO],PRODUCTOS31316[[#This Row],[CÓDIGO]],SALIDAS111518[CANTIDAD])</f>
        <v>9</v>
      </c>
      <c r="J790" s="6">
        <f>PRODUCTOS31316[[#This Row],[EXISTENCIAS]]+PRODUCTOS31316[[#This Row],[ENTRADAS]]-PRODUCTOS31316[[#This Row],[SALIDAS]]</f>
        <v>16</v>
      </c>
      <c r="L790" s="2" t="s">
        <v>3520</v>
      </c>
      <c r="M790" s="2" t="s">
        <v>3931</v>
      </c>
      <c r="N790" s="1" t="s">
        <v>4207</v>
      </c>
      <c r="O790" s="2" t="s">
        <v>2982</v>
      </c>
      <c r="P790" s="16">
        <v>46079</v>
      </c>
      <c r="Q790" s="2" t="s">
        <v>3173</v>
      </c>
      <c r="R790" s="2">
        <f>VLOOKUP(SALIDAS111518[[#This Row],[CÓDIGO]],PRODUCTOS31316[],2,FALSE)</f>
        <v>0</v>
      </c>
      <c r="S790" s="1" t="str">
        <f>VLOOKUP(SALIDAS111518[[#This Row],[CÓDIGO]],PRODUCTOS31316[],3,FALSE)</f>
        <v>PLACA CALENTADORA/ INCLUYE CABLE</v>
      </c>
      <c r="T790" s="2">
        <v>1</v>
      </c>
      <c r="U790" s="2">
        <v>343</v>
      </c>
      <c r="V790" s="2"/>
      <c r="W790" s="2"/>
      <c r="X790" s="2"/>
      <c r="Y790" s="7"/>
      <c r="Z790" s="2"/>
      <c r="AA790" s="1"/>
      <c r="AC790" s="2"/>
      <c r="AE790" s="1"/>
      <c r="AG790" s="2"/>
    </row>
    <row r="791" spans="1:33" ht="49.95" customHeight="1" x14ac:dyDescent="0.3">
      <c r="A791" s="2" t="s">
        <v>2409</v>
      </c>
      <c r="B791" s="1">
        <v>6986</v>
      </c>
      <c r="C791" s="216" t="s">
        <v>2633</v>
      </c>
      <c r="D791" s="1" t="s">
        <v>1385</v>
      </c>
      <c r="E791" s="1" t="s">
        <v>1385</v>
      </c>
      <c r="F791" s="1" t="s">
        <v>30</v>
      </c>
      <c r="G791" s="2">
        <v>5</v>
      </c>
      <c r="H791" s="14">
        <f>SUMIF(ENTRADAS71417[CÓDIGO],PRODUCTOS31316[[#This Row],[CÓDIGO]],ENTRADAS71417[CANTIDAD])</f>
        <v>15</v>
      </c>
      <c r="I791" s="11">
        <f>SUMIF(SALIDAS111518[CÓDIGO],PRODUCTOS31316[[#This Row],[CÓDIGO]],SALIDAS111518[CANTIDAD])</f>
        <v>7</v>
      </c>
      <c r="J791" s="6">
        <f>PRODUCTOS31316[[#This Row],[EXISTENCIAS]]+PRODUCTOS31316[[#This Row],[ENTRADAS]]-PRODUCTOS31316[[#This Row],[SALIDAS]]</f>
        <v>13</v>
      </c>
      <c r="L791" s="2" t="s">
        <v>3520</v>
      </c>
      <c r="M791" s="2" t="s">
        <v>3931</v>
      </c>
      <c r="N791" s="1" t="s">
        <v>4215</v>
      </c>
      <c r="O791" s="326" t="s">
        <v>4208</v>
      </c>
      <c r="P791" s="16">
        <v>46079</v>
      </c>
      <c r="Q791" s="2" t="s">
        <v>36</v>
      </c>
      <c r="R791" s="2">
        <f>VLOOKUP(SALIDAS111518[[#This Row],[CÓDIGO]],PRODUCTOS31316[],2,FALSE)</f>
        <v>1</v>
      </c>
      <c r="S791" s="1" t="str">
        <f>VLOOKUP(SALIDAS111518[[#This Row],[CÓDIGO]],PRODUCTOS31316[],3,FALSE)</f>
        <v xml:space="preserve">PARCHE ESTROTECT </v>
      </c>
      <c r="T791" s="2">
        <v>50</v>
      </c>
      <c r="U791" s="1" t="s">
        <v>4209</v>
      </c>
      <c r="V791" s="2"/>
      <c r="W791" s="2"/>
      <c r="X791" s="2"/>
      <c r="Y791" s="7"/>
      <c r="Z791" s="2"/>
      <c r="AA791" s="1"/>
      <c r="AC791" s="2"/>
      <c r="AE791" s="1"/>
      <c r="AG791" s="2"/>
    </row>
    <row r="792" spans="1:33" ht="49.95" customHeight="1" x14ac:dyDescent="0.3">
      <c r="A792" s="2" t="s">
        <v>2410</v>
      </c>
      <c r="B792" s="1">
        <v>101147</v>
      </c>
      <c r="C792" s="1" t="s">
        <v>2634</v>
      </c>
      <c r="D792" s="1" t="s">
        <v>2549</v>
      </c>
      <c r="E792" s="1" t="s">
        <v>2549</v>
      </c>
      <c r="F792" s="1" t="s">
        <v>30</v>
      </c>
      <c r="G792" s="2">
        <v>0</v>
      </c>
      <c r="H792" s="14">
        <f>SUMIF(ENTRADAS71417[CÓDIGO],PRODUCTOS31316[[#This Row],[CÓDIGO]],ENTRADAS71417[CANTIDAD])</f>
        <v>0</v>
      </c>
      <c r="I792" s="11">
        <f>SUMIF(SALIDAS111518[CÓDIGO],PRODUCTOS31316[[#This Row],[CÓDIGO]],SALIDAS111518[CANTIDAD])</f>
        <v>0</v>
      </c>
      <c r="J792" s="6">
        <f>PRODUCTOS31316[[#This Row],[EXISTENCIAS]]+PRODUCTOS31316[[#This Row],[ENTRADAS]]-PRODUCTOS31316[[#This Row],[SALIDAS]]</f>
        <v>0</v>
      </c>
      <c r="L792" s="2" t="s">
        <v>3521</v>
      </c>
      <c r="M792" s="2" t="s">
        <v>3931</v>
      </c>
      <c r="N792" s="1" t="s">
        <v>4214</v>
      </c>
      <c r="O792" s="2" t="s">
        <v>4213</v>
      </c>
      <c r="P792" s="16">
        <v>46079</v>
      </c>
      <c r="Q792" s="2" t="s">
        <v>2755</v>
      </c>
      <c r="R792" s="2" t="str">
        <f>VLOOKUP(SALIDAS111518[[#This Row],[CÓDIGO]],PRODUCTOS31316[],2,FALSE)</f>
        <v>MSLDO05</v>
      </c>
      <c r="S792" s="1" t="str">
        <f>VLOOKUP(SALIDAS111518[[#This Row],[CÓDIGO]],PRODUCTOS31316[],3,FALSE)</f>
        <v>TERMO DE RECOLECCIÓN DE SEMEN/ USO VETERINARIO</v>
      </c>
      <c r="T792" s="2">
        <v>1</v>
      </c>
      <c r="U792" s="2">
        <v>345</v>
      </c>
      <c r="V792" s="2"/>
      <c r="W792" s="2"/>
      <c r="X792" s="2"/>
      <c r="Y792" s="7"/>
      <c r="Z792" s="2"/>
      <c r="AA792" s="1"/>
      <c r="AC792" s="2"/>
      <c r="AE792" s="1"/>
      <c r="AG792" s="2"/>
    </row>
    <row r="793" spans="1:33" ht="49.95" customHeight="1" x14ac:dyDescent="0.3">
      <c r="A793" s="2" t="s">
        <v>2414</v>
      </c>
      <c r="C793" s="1" t="s">
        <v>2635</v>
      </c>
      <c r="D793" s="1" t="s">
        <v>2413</v>
      </c>
      <c r="E793" s="1" t="s">
        <v>2413</v>
      </c>
      <c r="F793" s="1" t="s">
        <v>30</v>
      </c>
      <c r="G793" s="2">
        <v>0</v>
      </c>
      <c r="H793" s="14">
        <f>SUMIF(ENTRADAS71417[CÓDIGO],PRODUCTOS31316[[#This Row],[CÓDIGO]],ENTRADAS71417[CANTIDAD])</f>
        <v>0</v>
      </c>
      <c r="I793" s="11">
        <f>SUMIF(SALIDAS111518[CÓDIGO],PRODUCTOS31316[[#This Row],[CÓDIGO]],SALIDAS111518[CANTIDAD])</f>
        <v>0</v>
      </c>
      <c r="J793" s="6">
        <f>PRODUCTOS31316[[#This Row],[EXISTENCIAS]]+PRODUCTOS31316[[#This Row],[ENTRADAS]]-PRODUCTOS31316[[#This Row],[SALIDAS]]</f>
        <v>0</v>
      </c>
      <c r="L793" s="2" t="s">
        <v>3520</v>
      </c>
      <c r="M793" s="2" t="s">
        <v>3931</v>
      </c>
      <c r="N793" s="1" t="s">
        <v>4229</v>
      </c>
      <c r="O793" s="2" t="s">
        <v>4154</v>
      </c>
      <c r="P793" s="16">
        <v>46079</v>
      </c>
      <c r="Q793" s="2" t="s">
        <v>15</v>
      </c>
      <c r="R793" s="2" t="str">
        <f>VLOOKUP(SALIDAS111518[[#This Row],[CÓDIGO]],PRODUCTOS31316[],2,FALSE)</f>
        <v>BTE-025PT/ 504002</v>
      </c>
      <c r="S793" s="1" t="str">
        <f>VLOOKUP(SALIDAS111518[[#This Row],[CÓDIGO]],PRODUCTOS31316[],3,FALSE)</f>
        <v>FUNDAS PARA TRANSFERENCIA DE EMBRIONES</v>
      </c>
      <c r="T793" s="2">
        <v>5</v>
      </c>
      <c r="U793" s="2">
        <v>347</v>
      </c>
      <c r="V793" s="2"/>
      <c r="W793" s="2"/>
      <c r="X793" s="2"/>
      <c r="Y793" s="7"/>
      <c r="Z793" s="2"/>
      <c r="AA793" s="1"/>
      <c r="AC793" s="2"/>
      <c r="AE793" s="1"/>
      <c r="AG793" s="2"/>
    </row>
    <row r="794" spans="1:33" ht="49.95" customHeight="1" x14ac:dyDescent="0.3">
      <c r="A794" s="2" t="s">
        <v>2416</v>
      </c>
      <c r="B794" s="1">
        <v>181620</v>
      </c>
      <c r="C794" s="1" t="s">
        <v>2636</v>
      </c>
      <c r="D794" s="1" t="s">
        <v>1125</v>
      </c>
      <c r="E794" s="1" t="s">
        <v>957</v>
      </c>
      <c r="F794" s="1" t="s">
        <v>365</v>
      </c>
      <c r="G794" s="2">
        <v>0</v>
      </c>
      <c r="H794" s="14">
        <f>SUMIF(ENTRADAS71417[CÓDIGO],PRODUCTOS31316[[#This Row],[CÓDIGO]],ENTRADAS71417[CANTIDAD])</f>
        <v>0</v>
      </c>
      <c r="I794" s="11">
        <f>SUMIF(SALIDAS111518[CÓDIGO],PRODUCTOS31316[[#This Row],[CÓDIGO]],SALIDAS111518[CANTIDAD])</f>
        <v>0</v>
      </c>
      <c r="J794" s="6">
        <f>PRODUCTOS31316[[#This Row],[EXISTENCIAS]]+PRODUCTOS31316[[#This Row],[ENTRADAS]]-PRODUCTOS31316[[#This Row],[SALIDAS]]</f>
        <v>0</v>
      </c>
      <c r="L794" s="2"/>
      <c r="M794" s="2"/>
      <c r="N794" s="2">
        <v>7956</v>
      </c>
      <c r="O794" s="2" t="s">
        <v>4154</v>
      </c>
      <c r="P794" s="16">
        <v>46079</v>
      </c>
      <c r="Q794" s="2" t="s">
        <v>1779</v>
      </c>
      <c r="R794" s="2">
        <f>VLOOKUP(SALIDAS111518[[#This Row],[CÓDIGO]],PRODUCTOS31316[],2,FALSE)</f>
        <v>5563</v>
      </c>
      <c r="S794" s="1" t="str">
        <f>VLOOKUP(SALIDAS111518[[#This Row],[CÓDIGO]],PRODUCTOS31316[],3,FALSE)</f>
        <v>CAMISA SANITARIA ROLLO X 80</v>
      </c>
      <c r="T794" s="2">
        <v>1</v>
      </c>
      <c r="U794" s="2"/>
      <c r="V794" s="2"/>
      <c r="W794" s="2"/>
      <c r="X794" s="2"/>
      <c r="Y794" s="7"/>
      <c r="Z794" s="2"/>
      <c r="AA794" s="1"/>
      <c r="AC794" s="2"/>
      <c r="AE794" s="1"/>
      <c r="AG794" s="2"/>
    </row>
    <row r="795" spans="1:33" ht="49.95" customHeight="1" x14ac:dyDescent="0.3">
      <c r="A795" s="2" t="s">
        <v>2418</v>
      </c>
      <c r="B795" s="1">
        <v>181645</v>
      </c>
      <c r="C795" s="119" t="s">
        <v>2637</v>
      </c>
      <c r="D795" s="1" t="s">
        <v>1125</v>
      </c>
      <c r="E795" s="1" t="s">
        <v>957</v>
      </c>
      <c r="F795" s="1" t="s">
        <v>365</v>
      </c>
      <c r="G795" s="2">
        <v>0</v>
      </c>
      <c r="H795" s="14">
        <f>SUMIF(ENTRADAS71417[CÓDIGO],PRODUCTOS31316[[#This Row],[CÓDIGO]],ENTRADAS71417[CANTIDAD])</f>
        <v>0</v>
      </c>
      <c r="I795" s="11">
        <f>SUMIF(SALIDAS111518[CÓDIGO],PRODUCTOS31316[[#This Row],[CÓDIGO]],SALIDAS111518[CANTIDAD])</f>
        <v>0</v>
      </c>
      <c r="J795" s="6">
        <f>PRODUCTOS31316[[#This Row],[EXISTENCIAS]]+PRODUCTOS31316[[#This Row],[ENTRADAS]]-PRODUCTOS31316[[#This Row],[SALIDAS]]</f>
        <v>0</v>
      </c>
      <c r="L795" s="2" t="s">
        <v>3520</v>
      </c>
      <c r="M795" s="2" t="s">
        <v>3931</v>
      </c>
      <c r="N795" s="1" t="s">
        <v>4230</v>
      </c>
      <c r="O795" s="1" t="s">
        <v>2702</v>
      </c>
      <c r="P795" s="16">
        <v>46079</v>
      </c>
      <c r="Q795" s="2" t="s">
        <v>272</v>
      </c>
      <c r="R795" s="2">
        <f>VLOOKUP(SALIDAS111518[[#This Row],[CÓDIGO]],PRODUCTOS31316[],2,FALSE)</f>
        <v>627161</v>
      </c>
      <c r="S795" s="1" t="str">
        <f>VLOOKUP(SALIDAS111518[[#This Row],[CÓDIGO]],PRODUCTOS31316[],3,FALSE)</f>
        <v xml:space="preserve">CAJA PETRI 35X10 ESTERIL </v>
      </c>
      <c r="T795" s="2">
        <v>30</v>
      </c>
      <c r="U795" s="2">
        <v>348</v>
      </c>
      <c r="V795" s="2"/>
      <c r="W795" s="2"/>
      <c r="X795" s="2"/>
      <c r="Y795" s="7"/>
      <c r="Z795" s="2"/>
      <c r="AA795" s="1"/>
      <c r="AC795" s="2"/>
      <c r="AE795" s="1"/>
      <c r="AG795" s="2"/>
    </row>
    <row r="796" spans="1:33" ht="49.95" customHeight="1" x14ac:dyDescent="0.3">
      <c r="A796" s="2" t="s">
        <v>2419</v>
      </c>
      <c r="C796" s="216" t="s">
        <v>2638</v>
      </c>
      <c r="D796" s="1" t="s">
        <v>467</v>
      </c>
      <c r="E796" s="1" t="s">
        <v>467</v>
      </c>
      <c r="F796" s="27" t="s">
        <v>68</v>
      </c>
      <c r="G796" s="2">
        <v>27</v>
      </c>
      <c r="H796" s="14">
        <f>SUMIF(ENTRADAS71417[CÓDIGO],PRODUCTOS31316[[#This Row],[CÓDIGO]],ENTRADAS71417[CANTIDAD])</f>
        <v>0</v>
      </c>
      <c r="I796" s="11">
        <f>SUMIF(SALIDAS111518[CÓDIGO],PRODUCTOS31316[[#This Row],[CÓDIGO]],SALIDAS111518[CANTIDAD])</f>
        <v>6</v>
      </c>
      <c r="J796" s="6">
        <f>PRODUCTOS31316[[#This Row],[EXISTENCIAS]]+PRODUCTOS31316[[#This Row],[ENTRADAS]]-PRODUCTOS31316[[#This Row],[SALIDAS]]</f>
        <v>21</v>
      </c>
      <c r="L796" s="2"/>
      <c r="M796" s="2"/>
      <c r="N796" s="2">
        <v>7957</v>
      </c>
      <c r="O796" s="1" t="s">
        <v>2702</v>
      </c>
      <c r="P796" s="16">
        <v>46079</v>
      </c>
      <c r="Q796" s="2" t="s">
        <v>3165</v>
      </c>
      <c r="R796" s="2">
        <f>VLOOKUP(SALIDAS111518[[#This Row],[CÓDIGO]],PRODUCTOS31316[],2,FALSE)</f>
        <v>30943</v>
      </c>
      <c r="S796" s="1" t="str">
        <f>VLOOKUP(SALIDAS111518[[#This Row],[CÓDIGO]],PRODUCTOS31316[],3,FALSE)</f>
        <v xml:space="preserve">CAJA PETRI DESECHABLE ESTERIL 90X 15 </v>
      </c>
      <c r="T796" s="2">
        <v>30</v>
      </c>
      <c r="U796" s="2"/>
      <c r="V796" s="2"/>
      <c r="W796" s="2"/>
      <c r="X796" s="2"/>
      <c r="Y796" s="7"/>
      <c r="Z796" s="2"/>
      <c r="AA796" s="1"/>
      <c r="AC796" s="2"/>
      <c r="AE796" s="1"/>
      <c r="AG796" s="2"/>
    </row>
    <row r="797" spans="1:33" ht="49.95" customHeight="1" x14ac:dyDescent="0.3">
      <c r="A797" s="2" t="s">
        <v>2421</v>
      </c>
      <c r="C797" s="1" t="s">
        <v>2639</v>
      </c>
      <c r="E797" s="1" t="s">
        <v>2211</v>
      </c>
      <c r="F797" s="1" t="s">
        <v>62</v>
      </c>
      <c r="G797" s="2">
        <v>0</v>
      </c>
      <c r="H797" s="14">
        <f>SUMIF(ENTRADAS71417[CÓDIGO],PRODUCTOS31316[[#This Row],[CÓDIGO]],ENTRADAS71417[CANTIDAD])</f>
        <v>0</v>
      </c>
      <c r="I797" s="11">
        <f>SUMIF(SALIDAS111518[CÓDIGO],PRODUCTOS31316[[#This Row],[CÓDIGO]],SALIDAS111518[CANTIDAD])</f>
        <v>0</v>
      </c>
      <c r="J797" s="6">
        <f>PRODUCTOS31316[[#This Row],[EXISTENCIAS]]+PRODUCTOS31316[[#This Row],[ENTRADAS]]-PRODUCTOS31316[[#This Row],[SALIDAS]]</f>
        <v>0</v>
      </c>
      <c r="L797" s="2" t="s">
        <v>3520</v>
      </c>
      <c r="M797" s="2" t="s">
        <v>3931</v>
      </c>
      <c r="N797" s="1" t="s">
        <v>4231</v>
      </c>
      <c r="O797" s="1" t="s">
        <v>2922</v>
      </c>
      <c r="P797" s="16">
        <v>46079</v>
      </c>
      <c r="Q797" s="2" t="s">
        <v>2401</v>
      </c>
      <c r="R797" s="2">
        <f>VLOOKUP(SALIDAS111518[[#This Row],[CÓDIGO]],PRODUCTOS31316[],2,FALSE)</f>
        <v>5540</v>
      </c>
      <c r="S797" s="1" t="str">
        <f>VLOOKUP(SALIDAS111518[[#This Row],[CÓDIGO]],PRODUCTOS31316[],3,FALSE)</f>
        <v xml:space="preserve">FUNDAS DE TRANSFERENCIA AZUL PUNTA METÁLICA 21"                 </v>
      </c>
      <c r="T797" s="2">
        <v>3</v>
      </c>
      <c r="U797" s="2">
        <v>349</v>
      </c>
      <c r="V797" s="2"/>
      <c r="W797" s="2"/>
      <c r="X797" s="2"/>
      <c r="Y797" s="7"/>
      <c r="Z797" s="2"/>
      <c r="AA797" s="1"/>
      <c r="AC797" s="2"/>
      <c r="AE797" s="1"/>
      <c r="AG797" s="2"/>
    </row>
    <row r="798" spans="1:33" ht="49.95" customHeight="1" x14ac:dyDescent="0.3">
      <c r="A798" s="2" t="s">
        <v>2422</v>
      </c>
      <c r="B798" s="25" t="s">
        <v>2640</v>
      </c>
      <c r="C798" s="1" t="s">
        <v>2641</v>
      </c>
      <c r="D798" s="1" t="s">
        <v>2642</v>
      </c>
      <c r="E798" s="1" t="s">
        <v>2642</v>
      </c>
      <c r="F798" s="1" t="s">
        <v>30</v>
      </c>
      <c r="G798" s="2">
        <v>0</v>
      </c>
      <c r="H798" s="14">
        <f>SUMIF(ENTRADAS71417[CÓDIGO],PRODUCTOS31316[[#This Row],[CÓDIGO]],ENTRADAS71417[CANTIDAD])</f>
        <v>0</v>
      </c>
      <c r="I798" s="11">
        <f>SUMIF(SALIDAS111518[CÓDIGO],PRODUCTOS31316[[#This Row],[CÓDIGO]],SALIDAS111518[CANTIDAD])</f>
        <v>0</v>
      </c>
      <c r="J798" s="6">
        <f>PRODUCTOS31316[[#This Row],[EXISTENCIAS]]+PRODUCTOS31316[[#This Row],[ENTRADAS]]-PRODUCTOS31316[[#This Row],[SALIDAS]]</f>
        <v>0</v>
      </c>
      <c r="L798" s="305" t="s">
        <v>3520</v>
      </c>
      <c r="M798" s="305" t="s">
        <v>3931</v>
      </c>
      <c r="N798" s="304" t="s">
        <v>4233</v>
      </c>
      <c r="O798" s="304" t="s">
        <v>3195</v>
      </c>
      <c r="P798" s="16">
        <v>46080</v>
      </c>
      <c r="Q798" s="305" t="s">
        <v>15</v>
      </c>
      <c r="R798" s="2" t="str">
        <f>VLOOKUP(SALIDAS111518[[#This Row],[CÓDIGO]],PRODUCTOS31316[],2,FALSE)</f>
        <v>BTE-025PT/ 504002</v>
      </c>
      <c r="S798" s="1" t="str">
        <f>VLOOKUP(SALIDAS111518[[#This Row],[CÓDIGO]],PRODUCTOS31316[],3,FALSE)</f>
        <v>FUNDAS PARA TRANSFERENCIA DE EMBRIONES</v>
      </c>
      <c r="T798" s="2">
        <v>20</v>
      </c>
      <c r="U798" s="305" t="s">
        <v>4234</v>
      </c>
      <c r="V798" s="2"/>
      <c r="W798" s="2"/>
      <c r="X798" s="2"/>
      <c r="Y798" s="7"/>
      <c r="Z798" s="2"/>
      <c r="AA798" s="1"/>
      <c r="AC798" s="2"/>
      <c r="AE798" s="1"/>
      <c r="AG798" s="2"/>
    </row>
    <row r="799" spans="1:33" ht="49.95" customHeight="1" x14ac:dyDescent="0.3">
      <c r="A799" s="2" t="s">
        <v>2423</v>
      </c>
      <c r="C799" s="1" t="s">
        <v>2644</v>
      </c>
      <c r="D799" s="1" t="s">
        <v>2642</v>
      </c>
      <c r="E799" s="1" t="s">
        <v>2642</v>
      </c>
      <c r="F799" s="1" t="s">
        <v>2645</v>
      </c>
      <c r="G799" s="2">
        <v>0</v>
      </c>
      <c r="H799" s="14">
        <f>SUMIF(ENTRADAS71417[CÓDIGO],PRODUCTOS31316[[#This Row],[CÓDIGO]],ENTRADAS71417[CANTIDAD])</f>
        <v>0</v>
      </c>
      <c r="I799" s="11">
        <f>SUMIF(SALIDAS111518[CÓDIGO],PRODUCTOS31316[[#This Row],[CÓDIGO]],SALIDAS111518[CANTIDAD])</f>
        <v>0</v>
      </c>
      <c r="J799" s="6">
        <f>PRODUCTOS31316[[#This Row],[EXISTENCIAS]]+PRODUCTOS31316[[#This Row],[ENTRADAS]]-PRODUCTOS31316[[#This Row],[SALIDAS]]</f>
        <v>0</v>
      </c>
      <c r="L799" s="2"/>
      <c r="M799" s="2"/>
      <c r="N799" s="2">
        <v>7959</v>
      </c>
      <c r="O799" s="304" t="s">
        <v>3195</v>
      </c>
      <c r="P799" s="306">
        <v>46080</v>
      </c>
      <c r="Q799" s="305" t="s">
        <v>1779</v>
      </c>
      <c r="R799" s="2">
        <f>VLOOKUP(SALIDAS111518[[#This Row],[CÓDIGO]],PRODUCTOS31316[],2,FALSE)</f>
        <v>5563</v>
      </c>
      <c r="S799" s="1" t="str">
        <f>VLOOKUP(SALIDAS111518[[#This Row],[CÓDIGO]],PRODUCTOS31316[],3,FALSE)</f>
        <v>CAMISA SANITARIA ROLLO X 80</v>
      </c>
      <c r="T799" s="2">
        <v>2</v>
      </c>
      <c r="U799" s="2"/>
      <c r="V799" s="2"/>
      <c r="W799" s="2"/>
      <c r="X799" s="2"/>
      <c r="Y799" s="7"/>
      <c r="Z799" s="2"/>
      <c r="AA799" s="1"/>
      <c r="AC799" s="2"/>
      <c r="AE799" s="1"/>
      <c r="AG799" s="2"/>
    </row>
    <row r="800" spans="1:33" ht="49.95" customHeight="1" x14ac:dyDescent="0.3">
      <c r="A800" s="2" t="s">
        <v>2424</v>
      </c>
      <c r="C800" s="1" t="s">
        <v>2646</v>
      </c>
      <c r="D800" s="1" t="s">
        <v>2642</v>
      </c>
      <c r="E800" s="1" t="s">
        <v>2642</v>
      </c>
      <c r="F800" s="1" t="s">
        <v>2645</v>
      </c>
      <c r="G800" s="2">
        <v>0</v>
      </c>
      <c r="H800" s="14">
        <f>SUMIF(ENTRADAS71417[CÓDIGO],PRODUCTOS31316[[#This Row],[CÓDIGO]],ENTRADAS71417[CANTIDAD])</f>
        <v>0</v>
      </c>
      <c r="I800" s="11">
        <f>SUMIF(SALIDAS111518[CÓDIGO],PRODUCTOS31316[[#This Row],[CÓDIGO]],SALIDAS111518[CANTIDAD])</f>
        <v>0</v>
      </c>
      <c r="J800" s="6">
        <f>PRODUCTOS31316[[#This Row],[EXISTENCIAS]]+PRODUCTOS31316[[#This Row],[ENTRADAS]]-PRODUCTOS31316[[#This Row],[SALIDAS]]</f>
        <v>0</v>
      </c>
      <c r="L800" s="305" t="s">
        <v>3520</v>
      </c>
      <c r="M800" s="305" t="s">
        <v>3931</v>
      </c>
      <c r="N800" s="318" t="s">
        <v>4490</v>
      </c>
      <c r="O800" s="305" t="s">
        <v>2694</v>
      </c>
      <c r="P800" s="306">
        <v>46080</v>
      </c>
      <c r="Q800" s="305" t="s">
        <v>913</v>
      </c>
      <c r="R800" s="2" t="str">
        <f>VLOOKUP(SALIDAS111518[[#This Row],[CÓDIGO]],PRODUCTOS31316[],2,FALSE)</f>
        <v>HC-R069</v>
      </c>
      <c r="S800" s="1" t="str">
        <f>VLOOKUP(SALIDAS111518[[#This Row],[CÓDIGO]],PRODUCTOS31316[],3,FALSE)</f>
        <v>MICROSCOPIO CON PLATINA Y PANTALLA 7"</v>
      </c>
      <c r="T800" s="2">
        <v>1</v>
      </c>
      <c r="U800" s="2">
        <v>484</v>
      </c>
      <c r="V800" s="2"/>
      <c r="W800" s="2"/>
      <c r="X800" s="2"/>
      <c r="Y800" s="7"/>
      <c r="Z800" s="2"/>
      <c r="AA800" s="1"/>
      <c r="AC800" s="2"/>
      <c r="AE800" s="1"/>
      <c r="AG800" s="2"/>
    </row>
    <row r="801" spans="1:33" ht="49.95" customHeight="1" x14ac:dyDescent="0.3">
      <c r="A801" s="2" t="s">
        <v>2426</v>
      </c>
      <c r="C801" s="1" t="s">
        <v>2647</v>
      </c>
      <c r="E801" s="1" t="s">
        <v>822</v>
      </c>
      <c r="F801" s="1" t="s">
        <v>30</v>
      </c>
      <c r="G801" s="2">
        <v>0</v>
      </c>
      <c r="H801" s="14">
        <f>SUMIF(ENTRADAS71417[CÓDIGO],PRODUCTOS31316[[#This Row],[CÓDIGO]],ENTRADAS71417[CANTIDAD])</f>
        <v>0</v>
      </c>
      <c r="I801" s="11">
        <f>SUMIF(SALIDAS111518[CÓDIGO],PRODUCTOS31316[[#This Row],[CÓDIGO]],SALIDAS111518[CANTIDAD])</f>
        <v>0</v>
      </c>
      <c r="J801" s="6">
        <f>PRODUCTOS31316[[#This Row],[EXISTENCIAS]]+PRODUCTOS31316[[#This Row],[ENTRADAS]]-PRODUCTOS31316[[#This Row],[SALIDAS]]</f>
        <v>0</v>
      </c>
      <c r="L801" s="2"/>
      <c r="M801" s="2"/>
      <c r="N801" s="2">
        <v>7966</v>
      </c>
      <c r="O801" s="305" t="s">
        <v>2694</v>
      </c>
      <c r="P801" s="306">
        <v>46080</v>
      </c>
      <c r="Q801" s="305" t="s">
        <v>2755</v>
      </c>
      <c r="R801" s="2" t="str">
        <f>VLOOKUP(SALIDAS111518[[#This Row],[CÓDIGO]],PRODUCTOS31316[],2,FALSE)</f>
        <v>MSLDO05</v>
      </c>
      <c r="S801" s="1" t="str">
        <f>VLOOKUP(SALIDAS111518[[#This Row],[CÓDIGO]],PRODUCTOS31316[],3,FALSE)</f>
        <v>TERMO DE RECOLECCIÓN DE SEMEN/ USO VETERINARIO</v>
      </c>
      <c r="T801" s="2">
        <v>1</v>
      </c>
      <c r="U801" s="15" t="s">
        <v>4489</v>
      </c>
      <c r="V801" s="2"/>
      <c r="W801" s="2"/>
      <c r="X801" s="2"/>
      <c r="Y801" s="7"/>
      <c r="Z801" s="2"/>
      <c r="AA801" s="1"/>
      <c r="AC801" s="2"/>
      <c r="AE801" s="1"/>
      <c r="AG801" s="2"/>
    </row>
    <row r="802" spans="1:33" ht="49.95" customHeight="1" x14ac:dyDescent="0.3">
      <c r="A802" s="203" t="s">
        <v>2307</v>
      </c>
      <c r="C802" s="1" t="s">
        <v>2499</v>
      </c>
      <c r="E802" s="1" t="s">
        <v>352</v>
      </c>
      <c r="F802" s="1" t="s">
        <v>306</v>
      </c>
      <c r="G802" s="2">
        <v>10</v>
      </c>
      <c r="H802" s="14">
        <f>SUMIF(ENTRADAS71417[CÓDIGO],PRODUCTOS31316[[#This Row],[CÓDIGO]],ENTRADAS71417[CANTIDAD])</f>
        <v>0</v>
      </c>
      <c r="I802" s="11">
        <f>SUMIF(SALIDAS111518[CÓDIGO],PRODUCTOS31316[[#This Row],[CÓDIGO]],SALIDAS111518[CANTIDAD])</f>
        <v>0</v>
      </c>
      <c r="J802" s="6">
        <f>PRODUCTOS31316[[#This Row],[EXISTENCIAS]]+PRODUCTOS31316[[#This Row],[ENTRADAS]]-PRODUCTOS31316[[#This Row],[SALIDAS]]</f>
        <v>10</v>
      </c>
      <c r="L802" s="305" t="s">
        <v>3520</v>
      </c>
      <c r="M802" s="305" t="s">
        <v>3931</v>
      </c>
      <c r="N802" s="304" t="s">
        <v>4236</v>
      </c>
      <c r="O802" s="305" t="s">
        <v>2751</v>
      </c>
      <c r="P802" s="306">
        <v>46080</v>
      </c>
      <c r="Q802" s="305" t="s">
        <v>969</v>
      </c>
      <c r="R802" s="2">
        <f>VLOOKUP(SALIDAS111518[[#This Row],[CÓDIGO]],PRODUCTOS31316[],2,FALSE)</f>
        <v>13316</v>
      </c>
      <c r="S802" s="1" t="str">
        <f>VLOOKUP(SALIDAS111518[[#This Row],[CÓDIGO]],PRODUCTOS31316[],3,FALSE)</f>
        <v>AGUJA PARA ASPIRACIÓN 20G</v>
      </c>
      <c r="T802" s="2">
        <v>141</v>
      </c>
      <c r="U802" s="305" t="s">
        <v>4235</v>
      </c>
      <c r="V802" s="2"/>
      <c r="W802" s="2"/>
      <c r="X802" s="2"/>
      <c r="Y802" s="7"/>
      <c r="Z802" s="2"/>
      <c r="AA802" s="1"/>
      <c r="AC802" s="2"/>
      <c r="AE802" s="1"/>
      <c r="AG802" s="2"/>
    </row>
    <row r="803" spans="1:33" ht="49.95" customHeight="1" x14ac:dyDescent="0.3">
      <c r="A803" s="2" t="s">
        <v>2427</v>
      </c>
      <c r="C803" s="1" t="s">
        <v>2649</v>
      </c>
      <c r="D803" s="1" t="s">
        <v>2650</v>
      </c>
      <c r="E803" s="1" t="s">
        <v>1142</v>
      </c>
      <c r="F803" s="1" t="s">
        <v>30</v>
      </c>
      <c r="G803" s="2">
        <v>0</v>
      </c>
      <c r="H803" s="14">
        <f>SUMIF(ENTRADAS71417[CÓDIGO],PRODUCTOS31316[[#This Row],[CÓDIGO]],ENTRADAS71417[CANTIDAD])</f>
        <v>0</v>
      </c>
      <c r="I803" s="11">
        <f>SUMIF(SALIDAS111518[CÓDIGO],PRODUCTOS31316[[#This Row],[CÓDIGO]],SALIDAS111518[CANTIDAD])</f>
        <v>0</v>
      </c>
      <c r="J803" s="6">
        <f>PRODUCTOS31316[[#This Row],[EXISTENCIAS]]+PRODUCTOS31316[[#This Row],[ENTRADAS]]-PRODUCTOS31316[[#This Row],[SALIDAS]]</f>
        <v>0</v>
      </c>
      <c r="L803" s="2"/>
      <c r="M803" s="2"/>
      <c r="N803" s="2">
        <v>7960</v>
      </c>
      <c r="O803" s="305" t="s">
        <v>2751</v>
      </c>
      <c r="P803" s="306">
        <v>46080</v>
      </c>
      <c r="Q803" s="305" t="s">
        <v>75</v>
      </c>
      <c r="R803" s="2" t="str">
        <f>VLOOKUP(SALIDAS111518[[#This Row],[CÓDIGO]],PRODUCTOS31316[],2,FALSE)</f>
        <v>18130E</v>
      </c>
      <c r="S803" s="1" t="str">
        <f>VLOOKUP(SALIDAS111518[[#This Row],[CÓDIGO]],PRODUCTOS31316[],3,FALSE)</f>
        <v>CAJA PETRI DESECHABLE ESTERIL 60X15 MM</v>
      </c>
      <c r="T803" s="2">
        <v>15</v>
      </c>
      <c r="U803" s="1" t="s">
        <v>4849</v>
      </c>
      <c r="V803" s="2"/>
      <c r="W803" s="2"/>
      <c r="X803" s="2"/>
      <c r="Y803" s="7"/>
      <c r="Z803" s="2"/>
      <c r="AA803" s="1"/>
      <c r="AC803" s="2"/>
      <c r="AE803" s="1"/>
      <c r="AG803" s="2"/>
    </row>
    <row r="804" spans="1:33" ht="49.95" customHeight="1" x14ac:dyDescent="0.3">
      <c r="A804" s="2" t="s">
        <v>2428</v>
      </c>
      <c r="C804" s="1" t="s">
        <v>2651</v>
      </c>
      <c r="D804" s="1" t="s">
        <v>2650</v>
      </c>
      <c r="E804" s="1" t="s">
        <v>1142</v>
      </c>
      <c r="F804" s="1" t="s">
        <v>30</v>
      </c>
      <c r="G804" s="2">
        <v>0</v>
      </c>
      <c r="H804" s="14">
        <f>SUMIF(ENTRADAS71417[CÓDIGO],PRODUCTOS31316[[#This Row],[CÓDIGO]],ENTRADAS71417[CANTIDAD])</f>
        <v>0</v>
      </c>
      <c r="I804" s="11">
        <f>SUMIF(SALIDAS111518[CÓDIGO],PRODUCTOS31316[[#This Row],[CÓDIGO]],SALIDAS111518[CANTIDAD])</f>
        <v>0</v>
      </c>
      <c r="J804" s="6">
        <f>PRODUCTOS31316[[#This Row],[EXISTENCIAS]]+PRODUCTOS31316[[#This Row],[ENTRADAS]]-PRODUCTOS31316[[#This Row],[SALIDAS]]</f>
        <v>0</v>
      </c>
      <c r="L804" s="2"/>
      <c r="M804" s="2"/>
      <c r="N804" s="2">
        <v>7960</v>
      </c>
      <c r="O804" s="305" t="s">
        <v>2751</v>
      </c>
      <c r="P804" s="306">
        <v>46080</v>
      </c>
      <c r="Q804" s="305" t="s">
        <v>210</v>
      </c>
      <c r="R804" s="2">
        <f>VLOOKUP(SALIDAS111518[[#This Row],[CÓDIGO]],PRODUCTOS31316[],2,FALSE)</f>
        <v>101257</v>
      </c>
      <c r="S804" s="1" t="str">
        <f>VLOOKUP(SALIDAS111518[[#This Row],[CÓDIGO]],PRODUCTOS31316[],3,FALSE)</f>
        <v>MANGA DESECHABLE SUPER SENSITIVA</v>
      </c>
      <c r="T804" s="2">
        <v>2</v>
      </c>
      <c r="U804" s="2"/>
      <c r="V804" s="2"/>
      <c r="W804" s="2"/>
      <c r="X804" s="2"/>
      <c r="Y804" s="7"/>
      <c r="Z804" s="2"/>
      <c r="AA804" s="1"/>
      <c r="AC804" s="2"/>
      <c r="AE804" s="1"/>
      <c r="AG804" s="2"/>
    </row>
    <row r="805" spans="1:33" ht="49.95" customHeight="1" x14ac:dyDescent="0.3">
      <c r="A805" s="2" t="s">
        <v>2432</v>
      </c>
      <c r="C805" s="222" t="s">
        <v>2652</v>
      </c>
      <c r="D805" s="95" t="s">
        <v>1125</v>
      </c>
      <c r="E805" s="1" t="s">
        <v>957</v>
      </c>
      <c r="F805" s="1" t="s">
        <v>30</v>
      </c>
      <c r="G805" s="2">
        <v>2</v>
      </c>
      <c r="H805" s="14">
        <f>SUMIF(ENTRADAS71417[CÓDIGO],PRODUCTOS31316[[#This Row],[CÓDIGO]],ENTRADAS71417[CANTIDAD])</f>
        <v>0</v>
      </c>
      <c r="I805" s="11">
        <f>SUMIF(SALIDAS111518[CÓDIGO],PRODUCTOS31316[[#This Row],[CÓDIGO]],SALIDAS111518[CANTIDAD])</f>
        <v>0</v>
      </c>
      <c r="J805" s="6">
        <f>PRODUCTOS31316[[#This Row],[EXISTENCIAS]]+PRODUCTOS31316[[#This Row],[ENTRADAS]]-PRODUCTOS31316[[#This Row],[SALIDAS]]</f>
        <v>2</v>
      </c>
      <c r="L805" s="2"/>
      <c r="M805" s="2"/>
      <c r="N805" s="2">
        <v>7960</v>
      </c>
      <c r="O805" s="350" t="s">
        <v>2751</v>
      </c>
      <c r="P805" s="306">
        <v>46080</v>
      </c>
      <c r="Q805" s="305" t="s">
        <v>2257</v>
      </c>
      <c r="R805" s="2">
        <f>VLOOKUP(SALIDAS111518[[#This Row],[CÓDIGO]],PRODUCTOS31316[],2,FALSE)</f>
        <v>9014001</v>
      </c>
      <c r="S805" s="1" t="str">
        <f>VLOOKUP(SALIDAS111518[[#This Row],[CÓDIGO]],PRODUCTOS31316[],3,FALSE)</f>
        <v>FILTROS OPU 100 UM/ MARCA TED</v>
      </c>
      <c r="T805" s="2">
        <v>1</v>
      </c>
      <c r="U805" s="2"/>
      <c r="V805" s="2"/>
      <c r="W805" s="2"/>
      <c r="X805" s="2"/>
      <c r="Y805" s="7"/>
      <c r="Z805" s="2"/>
      <c r="AA805" s="1"/>
      <c r="AC805" s="2"/>
      <c r="AE805" s="1"/>
      <c r="AG805" s="2"/>
    </row>
    <row r="806" spans="1:33" ht="49.95" customHeight="1" x14ac:dyDescent="0.3">
      <c r="A806" s="2" t="s">
        <v>2430</v>
      </c>
      <c r="B806" s="1">
        <v>1196</v>
      </c>
      <c r="C806" s="1" t="s">
        <v>2653</v>
      </c>
      <c r="D806" s="1" t="s">
        <v>103</v>
      </c>
      <c r="E806" s="1" t="s">
        <v>233</v>
      </c>
      <c r="F806" s="1" t="s">
        <v>30</v>
      </c>
      <c r="G806" s="2">
        <v>0</v>
      </c>
      <c r="H806" s="14">
        <f>SUMIF(ENTRADAS71417[CÓDIGO],PRODUCTOS31316[[#This Row],[CÓDIGO]],ENTRADAS71417[CANTIDAD])</f>
        <v>0</v>
      </c>
      <c r="I806" s="11">
        <f>SUMIF(SALIDAS111518[CÓDIGO],PRODUCTOS31316[[#This Row],[CÓDIGO]],SALIDAS111518[CANTIDAD])</f>
        <v>0</v>
      </c>
      <c r="J806" s="6">
        <f>PRODUCTOS31316[[#This Row],[EXISTENCIAS]]+PRODUCTOS31316[[#This Row],[ENTRADAS]]-PRODUCTOS31316[[#This Row],[SALIDAS]]</f>
        <v>0</v>
      </c>
      <c r="L806" s="2"/>
      <c r="M806" s="2"/>
      <c r="N806" s="2">
        <v>7960</v>
      </c>
      <c r="O806" s="305" t="s">
        <v>2751</v>
      </c>
      <c r="P806" s="306">
        <v>46080</v>
      </c>
      <c r="Q806" s="305" t="s">
        <v>2381</v>
      </c>
      <c r="R806" s="2">
        <f>VLOOKUP(SALIDAS111518[[#This Row],[CÓDIGO]],PRODUCTOS31316[],2,FALSE)</f>
        <v>21532</v>
      </c>
      <c r="S806" s="1" t="str">
        <f>VLOOKUP(SALIDAS111518[[#This Row],[CÓDIGO]],PRODUCTOS31316[],3,FALSE)</f>
        <v>AGUJA PARA ASPIRACIÓN 18G</v>
      </c>
      <c r="T806" s="2">
        <v>9</v>
      </c>
      <c r="U806" s="2"/>
      <c r="V806" s="2"/>
      <c r="W806" s="2"/>
      <c r="X806" s="2"/>
      <c r="Y806" s="7"/>
      <c r="Z806" s="2"/>
      <c r="AA806" s="1"/>
      <c r="AC806" s="2"/>
      <c r="AE806" s="1"/>
      <c r="AG806" s="2"/>
    </row>
    <row r="807" spans="1:33" ht="49.95" customHeight="1" x14ac:dyDescent="0.3">
      <c r="A807" s="2" t="s">
        <v>2431</v>
      </c>
      <c r="B807" s="1">
        <v>1123</v>
      </c>
      <c r="C807" s="1" t="s">
        <v>2654</v>
      </c>
      <c r="D807" s="1" t="s">
        <v>103</v>
      </c>
      <c r="E807" s="1" t="s">
        <v>233</v>
      </c>
      <c r="F807" s="1" t="s">
        <v>30</v>
      </c>
      <c r="G807" s="2">
        <v>0</v>
      </c>
      <c r="H807" s="14">
        <f>SUMIF(ENTRADAS71417[CÓDIGO],PRODUCTOS31316[[#This Row],[CÓDIGO]],ENTRADAS71417[CANTIDAD])</f>
        <v>0</v>
      </c>
      <c r="I807" s="11">
        <f>SUMIF(SALIDAS111518[CÓDIGO],PRODUCTOS31316[[#This Row],[CÓDIGO]],SALIDAS111518[CANTIDAD])</f>
        <v>0</v>
      </c>
      <c r="J807" s="6">
        <f>PRODUCTOS31316[[#This Row],[EXISTENCIAS]]+PRODUCTOS31316[[#This Row],[ENTRADAS]]-PRODUCTOS31316[[#This Row],[SALIDAS]]</f>
        <v>0</v>
      </c>
      <c r="L807" s="2"/>
      <c r="M807" s="2"/>
      <c r="N807" s="1" t="s">
        <v>4260</v>
      </c>
      <c r="O807" s="305" t="s">
        <v>4232</v>
      </c>
      <c r="P807" s="306">
        <v>46080</v>
      </c>
      <c r="Q807" s="305" t="s">
        <v>3095</v>
      </c>
      <c r="R807" s="2">
        <f>VLOOKUP(SALIDAS111518[[#This Row],[CÓDIGO]],PRODUCTOS31316[],2,FALSE)</f>
        <v>0</v>
      </c>
      <c r="S807" s="1" t="str">
        <f>VLOOKUP(SALIDAS111518[[#This Row],[CÓDIGO]],PRODUCTOS31316[],3,FALSE)</f>
        <v>GORRA MAS CAMPO</v>
      </c>
      <c r="T807" s="2">
        <v>4</v>
      </c>
      <c r="U807" s="2">
        <v>362</v>
      </c>
      <c r="V807" s="2"/>
      <c r="W807" s="2"/>
      <c r="X807" s="2"/>
      <c r="Y807" s="7"/>
      <c r="Z807" s="2"/>
      <c r="AA807" s="1"/>
      <c r="AC807" s="2"/>
      <c r="AE807" s="1"/>
      <c r="AG807" s="2"/>
    </row>
    <row r="808" spans="1:33" ht="49.95" customHeight="1" x14ac:dyDescent="0.3">
      <c r="A808" s="2" t="s">
        <v>2408</v>
      </c>
      <c r="B808" s="1">
        <v>6990</v>
      </c>
      <c r="C808" s="1" t="s">
        <v>2655</v>
      </c>
      <c r="D808" s="1" t="s">
        <v>1385</v>
      </c>
      <c r="E808" s="1" t="s">
        <v>2656</v>
      </c>
      <c r="F808" s="1" t="s">
        <v>30</v>
      </c>
      <c r="G808" s="2">
        <v>0</v>
      </c>
      <c r="H808" s="14">
        <f>SUMIF(ENTRADAS71417[CÓDIGO],PRODUCTOS31316[[#This Row],[CÓDIGO]],ENTRADAS71417[CANTIDAD])</f>
        <v>0</v>
      </c>
      <c r="I808" s="11">
        <f>SUMIF(SALIDAS111518[CÓDIGO],PRODUCTOS31316[[#This Row],[CÓDIGO]],SALIDAS111518[CANTIDAD])</f>
        <v>0</v>
      </c>
      <c r="J808" s="6">
        <f>PRODUCTOS31316[[#This Row],[EXISTENCIAS]]+PRODUCTOS31316[[#This Row],[ENTRADAS]]-PRODUCTOS31316[[#This Row],[SALIDAS]]</f>
        <v>0</v>
      </c>
      <c r="L808" s="305" t="s">
        <v>3520</v>
      </c>
      <c r="M808" s="305" t="s">
        <v>3931</v>
      </c>
      <c r="N808" s="304" t="s">
        <v>4240</v>
      </c>
      <c r="O808" s="305" t="s">
        <v>4095</v>
      </c>
      <c r="P808" s="306">
        <v>46080</v>
      </c>
      <c r="Q808" s="305" t="s">
        <v>63</v>
      </c>
      <c r="R808" s="2">
        <f>VLOOKUP(SALIDAS111518[[#This Row],[CÓDIGO]],PRODUCTOS31316[],2,FALSE)</f>
        <v>25458</v>
      </c>
      <c r="S808" s="1" t="str">
        <f>VLOOKUP(SALIDAS111518[[#This Row],[CÓDIGO]],PRODUCTOS31316[],3,FALSE)</f>
        <v>FILTROS PARA OPU 100 UL</v>
      </c>
      <c r="T808" s="2">
        <v>1</v>
      </c>
      <c r="U808" s="2">
        <v>356</v>
      </c>
      <c r="V808" s="2"/>
      <c r="W808" s="2"/>
      <c r="X808" s="2"/>
      <c r="Y808" s="7"/>
      <c r="Z808" s="2"/>
      <c r="AA808" s="1"/>
      <c r="AC808" s="2"/>
      <c r="AE808" s="1"/>
      <c r="AG808" s="2"/>
    </row>
    <row r="809" spans="1:33" ht="49.95" customHeight="1" x14ac:dyDescent="0.3">
      <c r="A809" s="2" t="s">
        <v>2434</v>
      </c>
      <c r="C809" s="1" t="s">
        <v>2657</v>
      </c>
      <c r="D809" s="1" t="s">
        <v>634</v>
      </c>
      <c r="E809" s="1" t="s">
        <v>634</v>
      </c>
      <c r="F809" s="1" t="s">
        <v>30</v>
      </c>
      <c r="G809" s="2">
        <v>0</v>
      </c>
      <c r="H809" s="14">
        <f>SUMIF(ENTRADAS71417[CÓDIGO],PRODUCTOS31316[[#This Row],[CÓDIGO]],ENTRADAS71417[CANTIDAD])</f>
        <v>0</v>
      </c>
      <c r="I809" s="11">
        <f>SUMIF(SALIDAS111518[CÓDIGO],PRODUCTOS31316[[#This Row],[CÓDIGO]],SALIDAS111518[CANTIDAD])</f>
        <v>0</v>
      </c>
      <c r="J809" s="6">
        <f>PRODUCTOS31316[[#This Row],[EXISTENCIAS]]+PRODUCTOS31316[[#This Row],[ENTRADAS]]-PRODUCTOS31316[[#This Row],[SALIDAS]]</f>
        <v>0</v>
      </c>
      <c r="L809" s="2" t="s">
        <v>3520</v>
      </c>
      <c r="M809" s="2" t="s">
        <v>3931</v>
      </c>
      <c r="N809" s="308" t="s">
        <v>4265</v>
      </c>
      <c r="O809" s="307" t="s">
        <v>2936</v>
      </c>
      <c r="P809" s="16">
        <v>46083</v>
      </c>
      <c r="Q809" s="305" t="s">
        <v>4217</v>
      </c>
      <c r="R809" s="2" t="str">
        <f>VLOOKUP(SALIDAS111518[[#This Row],[CÓDIGO]],PRODUCTOS31316[],2,FALSE)</f>
        <v>YM219AN0002623</v>
      </c>
      <c r="S809" s="1" t="str">
        <f>VLOOKUP(SALIDAS111518[[#This Row],[CÓDIGO]],PRODUCTOS31316[],3,FALSE)</f>
        <v>MICROPIPETA 05- 10 UL</v>
      </c>
      <c r="T809" s="2">
        <v>1</v>
      </c>
      <c r="U809" s="2">
        <v>367</v>
      </c>
      <c r="V809" s="2"/>
      <c r="W809" s="2"/>
      <c r="X809" s="2"/>
      <c r="Y809" s="7"/>
      <c r="Z809" s="2"/>
      <c r="AA809" s="1"/>
      <c r="AC809" s="2"/>
      <c r="AE809" s="1"/>
      <c r="AG809" s="2"/>
    </row>
    <row r="810" spans="1:33" ht="49.95" customHeight="1" x14ac:dyDescent="0.3">
      <c r="A810" s="2" t="s">
        <v>2435</v>
      </c>
      <c r="B810" s="1">
        <v>9018121000</v>
      </c>
      <c r="C810" s="1" t="s">
        <v>2658</v>
      </c>
      <c r="D810" s="1" t="s">
        <v>1886</v>
      </c>
      <c r="E810" s="1" t="s">
        <v>1886</v>
      </c>
      <c r="F810" s="1" t="s">
        <v>30</v>
      </c>
      <c r="G810" s="31">
        <v>5</v>
      </c>
      <c r="H810" s="14">
        <f>SUMIF(ENTRADAS71417[CÓDIGO],PRODUCTOS31316[[#This Row],[CÓDIGO]],ENTRADAS71417[CANTIDAD])</f>
        <v>0</v>
      </c>
      <c r="I810" s="11">
        <f>SUMIF(SALIDAS111518[CÓDIGO],PRODUCTOS31316[[#This Row],[CÓDIGO]],SALIDAS111518[CANTIDAD])</f>
        <v>4</v>
      </c>
      <c r="J810" s="6">
        <f>PRODUCTOS31316[[#This Row],[EXISTENCIAS]]+PRODUCTOS31316[[#This Row],[ENTRADAS]]-PRODUCTOS31316[[#This Row],[SALIDAS]]</f>
        <v>1</v>
      </c>
      <c r="L810" s="305" t="s">
        <v>3520</v>
      </c>
      <c r="M810" s="305" t="s">
        <v>3931</v>
      </c>
      <c r="N810" s="304" t="s">
        <v>4244</v>
      </c>
      <c r="O810" s="305" t="s">
        <v>4243</v>
      </c>
      <c r="P810" s="16">
        <v>46083</v>
      </c>
      <c r="Q810" s="305" t="s">
        <v>33</v>
      </c>
      <c r="R810" s="2" t="str">
        <f>VLOOKUP(SALIDAS111518[[#This Row],[CÓDIGO]],PRODUCTOS31316[],2,FALSE)</f>
        <v>LA-120 /506003</v>
      </c>
      <c r="S810" s="1" t="str">
        <f>VLOOKUP(SALIDAS111518[[#This Row],[CÓDIGO]],PRODUCTOS31316[],3,FALSE)</f>
        <v>LíNEA PARA OPU 1,2 METROS</v>
      </c>
      <c r="T810" s="2">
        <v>30</v>
      </c>
      <c r="U810" s="2">
        <v>358</v>
      </c>
      <c r="V810" s="2"/>
      <c r="W810" s="2"/>
      <c r="X810" s="2"/>
      <c r="Y810" s="7"/>
      <c r="Z810" s="2"/>
      <c r="AA810" s="1"/>
      <c r="AC810" s="2"/>
      <c r="AE810" s="1"/>
      <c r="AG810" s="2"/>
    </row>
    <row r="811" spans="1:33" ht="49.95" customHeight="1" x14ac:dyDescent="0.3">
      <c r="A811" s="2" t="s">
        <v>2437</v>
      </c>
      <c r="C811" s="1" t="s">
        <v>2659</v>
      </c>
      <c r="E811" s="1" t="s">
        <v>2436</v>
      </c>
      <c r="F811" s="1" t="s">
        <v>30</v>
      </c>
      <c r="G811" s="2">
        <v>0</v>
      </c>
      <c r="H811" s="14">
        <f>SUMIF(ENTRADAS71417[CÓDIGO],PRODUCTOS31316[[#This Row],[CÓDIGO]],ENTRADAS71417[CANTIDAD])</f>
        <v>0</v>
      </c>
      <c r="I811" s="11">
        <f>SUMIF(SALIDAS111518[CÓDIGO],PRODUCTOS31316[[#This Row],[CÓDIGO]],SALIDAS111518[CANTIDAD])</f>
        <v>0</v>
      </c>
      <c r="J811" s="6">
        <f>PRODUCTOS31316[[#This Row],[EXISTENCIAS]]+PRODUCTOS31316[[#This Row],[ENTRADAS]]-PRODUCTOS31316[[#This Row],[SALIDAS]]</f>
        <v>0</v>
      </c>
      <c r="L811" s="305" t="s">
        <v>3520</v>
      </c>
      <c r="M811" s="305" t="s">
        <v>3931</v>
      </c>
      <c r="N811" s="304" t="s">
        <v>4242</v>
      </c>
      <c r="O811" s="304" t="s">
        <v>4241</v>
      </c>
      <c r="P811" s="306">
        <v>46080</v>
      </c>
      <c r="Q811" s="305" t="s">
        <v>2251</v>
      </c>
      <c r="R811" s="2">
        <f>VLOOKUP(SALIDAS111518[[#This Row],[CÓDIGO]],PRODUCTOS31316[],2,FALSE)</f>
        <v>7240</v>
      </c>
      <c r="S811" s="1" t="str">
        <f>VLOOKUP(SALIDAS111518[[#This Row],[CÓDIGO]],PRODUCTOS31316[],3,FALSE)</f>
        <v>PISTOLA DE TE 0,25 MARCA IMV</v>
      </c>
      <c r="T811" s="2">
        <v>1</v>
      </c>
      <c r="U811" s="2">
        <v>357</v>
      </c>
      <c r="V811" s="2"/>
      <c r="W811" s="2"/>
      <c r="X811" s="2"/>
      <c r="Y811" s="7"/>
      <c r="Z811" s="2"/>
      <c r="AA811" s="1"/>
      <c r="AC811" s="2"/>
      <c r="AE811" s="1"/>
      <c r="AG811" s="2"/>
    </row>
    <row r="812" spans="1:33" ht="49.95" customHeight="1" x14ac:dyDescent="0.3">
      <c r="A812" s="2" t="s">
        <v>2433</v>
      </c>
      <c r="C812" s="1" t="s">
        <v>2660</v>
      </c>
      <c r="D812" s="1" t="s">
        <v>1886</v>
      </c>
      <c r="E812" s="1" t="s">
        <v>1886</v>
      </c>
      <c r="F812" s="1" t="s">
        <v>30</v>
      </c>
      <c r="G812" s="2">
        <v>0</v>
      </c>
      <c r="H812" s="14">
        <f>SUMIF(ENTRADAS71417[CÓDIGO],PRODUCTOS31316[[#This Row],[CÓDIGO]],ENTRADAS71417[CANTIDAD])</f>
        <v>6</v>
      </c>
      <c r="I812" s="11">
        <f>SUMIF(SALIDAS111518[CÓDIGO],PRODUCTOS31316[[#This Row],[CÓDIGO]],SALIDAS111518[CANTIDAD])</f>
        <v>3</v>
      </c>
      <c r="J812" s="6">
        <f>PRODUCTOS31316[[#This Row],[EXISTENCIAS]]+PRODUCTOS31316[[#This Row],[ENTRADAS]]-PRODUCTOS31316[[#This Row],[SALIDAS]]</f>
        <v>3</v>
      </c>
      <c r="L812" s="2"/>
      <c r="M812" s="2"/>
      <c r="N812" s="2">
        <v>7965</v>
      </c>
      <c r="O812" s="305" t="s">
        <v>4241</v>
      </c>
      <c r="P812" s="306">
        <v>46080</v>
      </c>
      <c r="Q812" s="305" t="s">
        <v>1779</v>
      </c>
      <c r="R812" s="2">
        <f>VLOOKUP(SALIDAS111518[[#This Row],[CÓDIGO]],PRODUCTOS31316[],2,FALSE)</f>
        <v>5563</v>
      </c>
      <c r="S812" s="1" t="str">
        <f>VLOOKUP(SALIDAS111518[[#This Row],[CÓDIGO]],PRODUCTOS31316[],3,FALSE)</f>
        <v>CAMISA SANITARIA ROLLO X 80</v>
      </c>
      <c r="T812" s="2">
        <v>1</v>
      </c>
      <c r="U812" s="2"/>
      <c r="V812" s="2"/>
      <c r="W812" s="2"/>
      <c r="X812" s="2"/>
      <c r="Y812" s="7"/>
      <c r="Z812" s="2"/>
      <c r="AA812" s="1"/>
      <c r="AC812" s="2"/>
      <c r="AE812" s="1"/>
      <c r="AG812" s="2"/>
    </row>
    <row r="813" spans="1:33" ht="49.95" customHeight="1" x14ac:dyDescent="0.3">
      <c r="A813" s="2" t="s">
        <v>2420</v>
      </c>
      <c r="B813" s="325" t="s">
        <v>4569</v>
      </c>
      <c r="C813" s="1" t="s">
        <v>2661</v>
      </c>
      <c r="D813" s="1" t="s">
        <v>467</v>
      </c>
      <c r="E813" s="1" t="s">
        <v>467</v>
      </c>
      <c r="F813" s="1" t="s">
        <v>30</v>
      </c>
      <c r="G813" s="2">
        <v>2</v>
      </c>
      <c r="H813" s="14">
        <f>SUMIF(ENTRADAS71417[CÓDIGO],PRODUCTOS31316[[#This Row],[CÓDIGO]],ENTRADAS71417[CANTIDAD])</f>
        <v>2</v>
      </c>
      <c r="I813" s="11">
        <f>SUMIF(SALIDAS111518[CÓDIGO],PRODUCTOS31316[[#This Row],[CÓDIGO]],SALIDAS111518[CANTIDAD])</f>
        <v>4</v>
      </c>
      <c r="J813" s="6">
        <f>PRODUCTOS31316[[#This Row],[EXISTENCIAS]]+PRODUCTOS31316[[#This Row],[ENTRADAS]]-PRODUCTOS31316[[#This Row],[SALIDAS]]</f>
        <v>0</v>
      </c>
      <c r="L813" s="305" t="s">
        <v>3520</v>
      </c>
      <c r="M813" s="305" t="s">
        <v>3931</v>
      </c>
      <c r="N813" s="304" t="s">
        <v>4245</v>
      </c>
      <c r="O813" s="304" t="s">
        <v>1811</v>
      </c>
      <c r="P813" s="16">
        <v>46080</v>
      </c>
      <c r="Q813" s="305" t="s">
        <v>36</v>
      </c>
      <c r="R813" s="2">
        <f>VLOOKUP(SALIDAS111518[[#This Row],[CÓDIGO]],PRODUCTOS31316[],2,FALSE)</f>
        <v>1</v>
      </c>
      <c r="S813" s="1" t="str">
        <f>VLOOKUP(SALIDAS111518[[#This Row],[CÓDIGO]],PRODUCTOS31316[],3,FALSE)</f>
        <v xml:space="preserve">PARCHE ESTROTECT </v>
      </c>
      <c r="T813" s="2">
        <v>1</v>
      </c>
      <c r="U813" s="2">
        <v>359</v>
      </c>
      <c r="V813" s="2"/>
      <c r="W813" s="2"/>
      <c r="X813" s="2"/>
      <c r="Y813" s="7"/>
      <c r="Z813" s="2"/>
      <c r="AA813" s="1"/>
      <c r="AC813" s="2"/>
      <c r="AE813" s="1"/>
      <c r="AG813" s="2"/>
    </row>
    <row r="814" spans="1:33" ht="49.95" customHeight="1" x14ac:dyDescent="0.3">
      <c r="A814" s="17" t="s">
        <v>2740</v>
      </c>
      <c r="B814" s="1">
        <v>9018121000</v>
      </c>
      <c r="C814" s="18" t="s">
        <v>2741</v>
      </c>
      <c r="D814" s="18" t="s">
        <v>1931</v>
      </c>
      <c r="E814" s="18" t="s">
        <v>1931</v>
      </c>
      <c r="F814" s="18" t="s">
        <v>30</v>
      </c>
      <c r="G814" s="2">
        <v>0</v>
      </c>
      <c r="H814" s="14">
        <f>SUMIF(ENTRADAS71417[CÓDIGO],PRODUCTOS31316[[#This Row],[CÓDIGO]],ENTRADAS71417[CANTIDAD])</f>
        <v>0</v>
      </c>
      <c r="I814" s="11">
        <f>SUMIF(SALIDAS111518[CÓDIGO],PRODUCTOS31316[[#This Row],[CÓDIGO]],SALIDAS111518[CANTIDAD])</f>
        <v>0</v>
      </c>
      <c r="J814" s="6">
        <f>PRODUCTOS31316[[#This Row],[EXISTENCIAS]]+PRODUCTOS31316[[#This Row],[ENTRADAS]]-PRODUCTOS31316[[#This Row],[SALIDAS]]</f>
        <v>0</v>
      </c>
      <c r="L814" s="305" t="s">
        <v>3520</v>
      </c>
      <c r="M814" s="305" t="s">
        <v>3931</v>
      </c>
      <c r="N814" s="304" t="s">
        <v>4246</v>
      </c>
      <c r="O814" s="305" t="s">
        <v>3589</v>
      </c>
      <c r="P814" s="16">
        <v>46080</v>
      </c>
      <c r="Q814" s="305" t="s">
        <v>36</v>
      </c>
      <c r="R814" s="2">
        <f>VLOOKUP(SALIDAS111518[[#This Row],[CÓDIGO]],PRODUCTOS31316[],2,FALSE)</f>
        <v>1</v>
      </c>
      <c r="S814" s="1" t="str">
        <f>VLOOKUP(SALIDAS111518[[#This Row],[CÓDIGO]],PRODUCTOS31316[],3,FALSE)</f>
        <v xml:space="preserve">PARCHE ESTROTECT </v>
      </c>
      <c r="T814" s="2">
        <v>2</v>
      </c>
      <c r="U814" s="2">
        <v>360</v>
      </c>
      <c r="V814" s="2"/>
      <c r="W814" s="2"/>
      <c r="X814" s="2"/>
      <c r="Y814" s="7"/>
      <c r="Z814" s="2"/>
      <c r="AA814" s="1"/>
      <c r="AC814" s="2"/>
      <c r="AE814" s="1"/>
      <c r="AG814" s="2"/>
    </row>
    <row r="815" spans="1:33" ht="49.95" customHeight="1" x14ac:dyDescent="0.3">
      <c r="A815" s="19" t="s">
        <v>2748</v>
      </c>
      <c r="C815" s="20" t="s">
        <v>2749</v>
      </c>
      <c r="D815" s="20" t="s">
        <v>634</v>
      </c>
      <c r="E815" s="20" t="s">
        <v>634</v>
      </c>
      <c r="F815" s="20" t="s">
        <v>30</v>
      </c>
      <c r="G815" s="2">
        <v>0</v>
      </c>
      <c r="H815" s="14">
        <f>SUMIF(ENTRADAS71417[CÓDIGO],PRODUCTOS31316[[#This Row],[CÓDIGO]],ENTRADAS71417[CANTIDAD])</f>
        <v>0</v>
      </c>
      <c r="I815" s="11">
        <f>SUMIF(SALIDAS111518[CÓDIGO],PRODUCTOS31316[[#This Row],[CÓDIGO]],SALIDAS111518[CANTIDAD])</f>
        <v>0</v>
      </c>
      <c r="J815" s="6">
        <f>PRODUCTOS31316[[#This Row],[EXISTENCIAS]]+PRODUCTOS31316[[#This Row],[ENTRADAS]]-PRODUCTOS31316[[#This Row],[SALIDAS]]</f>
        <v>0</v>
      </c>
      <c r="L815" s="305" t="s">
        <v>3520</v>
      </c>
      <c r="M815" s="307" t="s">
        <v>4250</v>
      </c>
      <c r="N815" s="1" t="s">
        <v>4261</v>
      </c>
      <c r="O815" s="304" t="s">
        <v>2703</v>
      </c>
      <c r="P815" s="16">
        <v>46083</v>
      </c>
      <c r="Q815" s="305" t="s">
        <v>2254</v>
      </c>
      <c r="R815" s="2">
        <f>VLOOKUP(SALIDAS111518[[#This Row],[CÓDIGO]],PRODUCTOS31316[],2,FALSE)</f>
        <v>6935</v>
      </c>
      <c r="S815" s="1" t="str">
        <f>VLOOKUP(SALIDAS111518[[#This Row],[CÓDIGO]],PRODUCTOS31316[],3,FALSE)</f>
        <v>CUBETA PLÁSTICA MEDIANA PARA 0,50 P/25</v>
      </c>
      <c r="T815" s="2">
        <v>1</v>
      </c>
      <c r="U815" s="2">
        <v>363</v>
      </c>
      <c r="V815" s="2"/>
      <c r="W815" s="2"/>
      <c r="X815" s="2"/>
      <c r="Y815" s="7"/>
      <c r="Z815" s="2"/>
      <c r="AA815" s="1"/>
      <c r="AC815" s="2"/>
      <c r="AE815" s="1"/>
      <c r="AG815" s="2"/>
    </row>
    <row r="816" spans="1:33" ht="49.95" customHeight="1" x14ac:dyDescent="0.3">
      <c r="A816" s="24" t="s">
        <v>2753</v>
      </c>
      <c r="B816" s="1">
        <v>6936</v>
      </c>
      <c r="C816" s="95" t="s">
        <v>2813</v>
      </c>
      <c r="D816" s="25" t="s">
        <v>156</v>
      </c>
      <c r="E816" s="25" t="s">
        <v>2020</v>
      </c>
      <c r="F816" s="25" t="s">
        <v>68</v>
      </c>
      <c r="G816" s="2">
        <v>2</v>
      </c>
      <c r="H816" s="14">
        <f>SUMIF(ENTRADAS71417[CÓDIGO],PRODUCTOS31316[[#This Row],[CÓDIGO]],ENTRADAS71417[CANTIDAD])</f>
        <v>0</v>
      </c>
      <c r="I816" s="11">
        <f>SUMIF(SALIDAS111518[CÓDIGO],PRODUCTOS31316[[#This Row],[CÓDIGO]],SALIDAS111518[CANTIDAD])</f>
        <v>0</v>
      </c>
      <c r="J816" s="6">
        <f>PRODUCTOS31316[[#This Row],[EXISTENCIAS]]+PRODUCTOS31316[[#This Row],[ENTRADAS]]-PRODUCTOS31316[[#This Row],[SALIDAS]]</f>
        <v>2</v>
      </c>
      <c r="L816" s="2"/>
      <c r="M816" s="2"/>
      <c r="N816" s="2">
        <v>7971</v>
      </c>
      <c r="O816" s="304" t="s">
        <v>2703</v>
      </c>
      <c r="P816" s="16">
        <v>46083</v>
      </c>
      <c r="Q816" s="305" t="s">
        <v>3248</v>
      </c>
      <c r="R816" s="2">
        <f>VLOOKUP(SALIDAS111518[[#This Row],[CÓDIGO]],PRODUCTOS31316[],2,FALSE)</f>
        <v>200167</v>
      </c>
      <c r="S816" s="1" t="str">
        <f>VLOOKUP(SALIDAS111518[[#This Row],[CÓDIGO]],PRODUCTOS31316[],3,FALSE)</f>
        <v>BOQUILLA DE LLENADO CON SUCCIÓN 15 PIN 0.5 ML</v>
      </c>
      <c r="T816" s="2">
        <v>1</v>
      </c>
      <c r="U816" s="2"/>
      <c r="V816" s="2"/>
      <c r="W816" s="2"/>
      <c r="X816" s="2"/>
      <c r="Y816" s="7"/>
      <c r="Z816" s="2"/>
      <c r="AA816" s="1"/>
      <c r="AC816" s="2"/>
      <c r="AE816" s="1"/>
      <c r="AG816" s="2"/>
    </row>
    <row r="817" spans="1:33" ht="49.95" customHeight="1" x14ac:dyDescent="0.3">
      <c r="A817" s="28" t="s">
        <v>2755</v>
      </c>
      <c r="B817" s="29" t="s">
        <v>2757</v>
      </c>
      <c r="C817" s="222" t="s">
        <v>2754</v>
      </c>
      <c r="D817" s="20"/>
      <c r="E817" s="29" t="s">
        <v>2756</v>
      </c>
      <c r="F817" s="29" t="s">
        <v>30</v>
      </c>
      <c r="G817" s="31">
        <f>47+1</f>
        <v>48</v>
      </c>
      <c r="H817" s="14">
        <f>SUMIF(ENTRADAS71417[CÓDIGO],PRODUCTOS31316[[#This Row],[CÓDIGO]],ENTRADAS71417[CANTIDAD])</f>
        <v>80</v>
      </c>
      <c r="I817" s="11">
        <f>SUMIF(SALIDAS111518[CÓDIGO],PRODUCTOS31316[[#This Row],[CÓDIGO]],SALIDAS111518[CANTIDAD])</f>
        <v>86</v>
      </c>
      <c r="J817" s="6">
        <f>PRODUCTOS31316[[#This Row],[EXISTENCIAS]]+PRODUCTOS31316[[#This Row],[ENTRADAS]]-PRODUCTOS31316[[#This Row],[SALIDAS]]</f>
        <v>42</v>
      </c>
      <c r="L817" s="2"/>
      <c r="M817" s="2"/>
      <c r="N817" s="2">
        <v>7971</v>
      </c>
      <c r="O817" s="304" t="s">
        <v>2703</v>
      </c>
      <c r="P817" s="16">
        <v>46083</v>
      </c>
      <c r="Q817" s="305" t="s">
        <v>1292</v>
      </c>
      <c r="R817" s="2">
        <f>VLOOKUP(SALIDAS111518[[#This Row],[CÓDIGO]],PRODUCTOS31316[],2,FALSE)</f>
        <v>7116</v>
      </c>
      <c r="S817" s="1" t="str">
        <f>VLOOKUP(SALIDAS111518[[#This Row],[CÓDIGO]],PRODUCTOS31316[],3,FALSE)</f>
        <v>SOPORTE PORTA BUBBLES/ CUBETA METALICO</v>
      </c>
      <c r="T817" s="2">
        <v>1</v>
      </c>
      <c r="U817" s="2"/>
      <c r="V817" s="2"/>
      <c r="W817" s="2"/>
      <c r="X817" s="2"/>
      <c r="Y817" s="7"/>
      <c r="Z817" s="2"/>
      <c r="AA817" s="1"/>
      <c r="AC817" s="2"/>
      <c r="AE817" s="1"/>
      <c r="AG817" s="2"/>
    </row>
    <row r="818" spans="1:33" ht="49.95" customHeight="1" x14ac:dyDescent="0.3">
      <c r="A818" s="32" t="s">
        <v>2759</v>
      </c>
      <c r="C818" s="216" t="s">
        <v>2760</v>
      </c>
      <c r="D818" s="247" t="s">
        <v>1793</v>
      </c>
      <c r="E818" s="33" t="s">
        <v>1793</v>
      </c>
      <c r="F818" s="33" t="s">
        <v>146</v>
      </c>
      <c r="G818" s="2">
        <v>0</v>
      </c>
      <c r="H818" s="14">
        <f>SUMIF(ENTRADAS71417[CÓDIGO],PRODUCTOS31316[[#This Row],[CÓDIGO]],ENTRADAS71417[CANTIDAD])</f>
        <v>0</v>
      </c>
      <c r="I818" s="11">
        <f>SUMIF(SALIDAS111518[CÓDIGO],PRODUCTOS31316[[#This Row],[CÓDIGO]],SALIDAS111518[CANTIDAD])</f>
        <v>0</v>
      </c>
      <c r="J818" s="6">
        <f>PRODUCTOS31316[[#This Row],[EXISTENCIAS]]+PRODUCTOS31316[[#This Row],[ENTRADAS]]-PRODUCTOS31316[[#This Row],[SALIDAS]]</f>
        <v>0</v>
      </c>
      <c r="L818" s="2"/>
      <c r="M818" s="2"/>
      <c r="N818" s="2">
        <v>7971</v>
      </c>
      <c r="O818" s="304" t="s">
        <v>2703</v>
      </c>
      <c r="P818" s="16">
        <v>46083</v>
      </c>
      <c r="Q818" s="305" t="s">
        <v>2998</v>
      </c>
      <c r="R818" s="2">
        <f>VLOOKUP(SALIDAS111518[[#This Row],[CÓDIGO]],PRODUCTOS31316[],2,FALSE)</f>
        <v>7876</v>
      </c>
      <c r="S818" s="1" t="str">
        <f>VLOOKUP(SALIDAS111518[[#This Row],[CÓDIGO]],PRODUCTOS31316[],3,FALSE)</f>
        <v>CAUCHO RESPUESTO DE SUJETADOR 15 PAJILLAS 0,5</v>
      </c>
      <c r="T818" s="2">
        <v>1</v>
      </c>
      <c r="U818" s="2"/>
      <c r="V818" s="2"/>
      <c r="W818" s="2"/>
      <c r="X818" s="2"/>
      <c r="Y818" s="7"/>
      <c r="Z818" s="2"/>
      <c r="AA818" s="1"/>
      <c r="AC818" s="2"/>
      <c r="AE818" s="1"/>
      <c r="AG818" s="2"/>
    </row>
    <row r="819" spans="1:33" ht="49.95" customHeight="1" x14ac:dyDescent="0.3">
      <c r="A819" s="37" t="s">
        <v>2766</v>
      </c>
      <c r="B819" s="36" t="s">
        <v>2767</v>
      </c>
      <c r="C819" s="36" t="s">
        <v>2774</v>
      </c>
      <c r="D819" s="36" t="s">
        <v>2650</v>
      </c>
      <c r="E819" s="57" t="s">
        <v>2822</v>
      </c>
      <c r="F819" s="36" t="s">
        <v>30</v>
      </c>
      <c r="G819" s="2">
        <v>0</v>
      </c>
      <c r="H819" s="14">
        <f>SUMIF(ENTRADAS71417[CÓDIGO],PRODUCTOS31316[[#This Row],[CÓDIGO]],ENTRADAS71417[CANTIDAD])</f>
        <v>0</v>
      </c>
      <c r="I819" s="11">
        <f>SUMIF(SALIDAS111518[CÓDIGO],PRODUCTOS31316[[#This Row],[CÓDIGO]],SALIDAS111518[CANTIDAD])</f>
        <v>0</v>
      </c>
      <c r="J819" s="6">
        <f>PRODUCTOS31316[[#This Row],[EXISTENCIAS]]+PRODUCTOS31316[[#This Row],[ENTRADAS]]-PRODUCTOS31316[[#This Row],[SALIDAS]]</f>
        <v>0</v>
      </c>
      <c r="L819" s="2"/>
      <c r="M819" s="2"/>
      <c r="N819" s="2">
        <v>7971</v>
      </c>
      <c r="O819" s="304" t="s">
        <v>2703</v>
      </c>
      <c r="P819" s="16">
        <v>46083</v>
      </c>
      <c r="Q819" s="305" t="s">
        <v>2995</v>
      </c>
      <c r="R819" s="2">
        <f>VLOOKUP(SALIDAS111518[[#This Row],[CÓDIGO]],PRODUCTOS31316[],2,FALSE)</f>
        <v>7008</v>
      </c>
      <c r="S819" s="1" t="str">
        <f>VLOOKUP(SALIDAS111518[[#This Row],[CÓDIGO]],PRODUCTOS31316[],3,FALSE)</f>
        <v>SUJETADOR 15 PAJILLAS 0,5</v>
      </c>
      <c r="T819" s="2">
        <v>1</v>
      </c>
      <c r="U819" s="2"/>
      <c r="V819" s="2"/>
      <c r="W819" s="2"/>
      <c r="X819" s="2"/>
      <c r="Y819" s="7"/>
      <c r="Z819" s="2"/>
      <c r="AA819" s="1"/>
      <c r="AC819" s="2"/>
      <c r="AE819" s="1"/>
      <c r="AG819" s="2"/>
    </row>
    <row r="820" spans="1:33" ht="49.95" customHeight="1" x14ac:dyDescent="0.3">
      <c r="A820" s="37" t="s">
        <v>2770</v>
      </c>
      <c r="B820" s="36" t="s">
        <v>2768</v>
      </c>
      <c r="C820" s="199" t="s">
        <v>2775</v>
      </c>
      <c r="D820" s="36" t="s">
        <v>2650</v>
      </c>
      <c r="E820" s="57" t="s">
        <v>2822</v>
      </c>
      <c r="F820" s="36" t="s">
        <v>30</v>
      </c>
      <c r="G820" s="2">
        <v>0</v>
      </c>
      <c r="H820" s="14">
        <f>SUMIF(ENTRADAS71417[CÓDIGO],PRODUCTOS31316[[#This Row],[CÓDIGO]],ENTRADAS71417[CANTIDAD])</f>
        <v>0</v>
      </c>
      <c r="I820" s="11">
        <f>SUMIF(SALIDAS111518[CÓDIGO],PRODUCTOS31316[[#This Row],[CÓDIGO]],SALIDAS111518[CANTIDAD])</f>
        <v>0</v>
      </c>
      <c r="J820" s="6">
        <f>PRODUCTOS31316[[#This Row],[EXISTENCIAS]]+PRODUCTOS31316[[#This Row],[ENTRADAS]]-PRODUCTOS31316[[#This Row],[SALIDAS]]</f>
        <v>0</v>
      </c>
      <c r="L820" s="2"/>
      <c r="M820" s="2"/>
      <c r="N820" s="2">
        <v>7971</v>
      </c>
      <c r="O820" s="304" t="s">
        <v>2703</v>
      </c>
      <c r="P820" s="16">
        <v>46083</v>
      </c>
      <c r="Q820" s="305" t="s">
        <v>3233</v>
      </c>
      <c r="R820" s="2" t="str">
        <f>VLOOKUP(SALIDAS111518[[#This Row],[CÓDIGO]],PRODUCTOS31316[],2,FALSE)</f>
        <v>JA3022</v>
      </c>
      <c r="S820" s="1" t="str">
        <f>VLOOKUP(SALIDAS111518[[#This Row],[CÓDIGO]],PRODUCTOS31316[],3,FALSE)</f>
        <v>PIPETA AUTOMÁTICA VOLUMEN DE 0.5A 10UL</v>
      </c>
      <c r="T820" s="2">
        <v>1</v>
      </c>
      <c r="U820" s="2"/>
      <c r="V820" s="2"/>
      <c r="W820" s="2"/>
      <c r="X820" s="2"/>
      <c r="Y820" s="7"/>
      <c r="Z820" s="2"/>
      <c r="AA820" s="1"/>
      <c r="AC820" s="2"/>
      <c r="AE820" s="1"/>
      <c r="AG820" s="2"/>
    </row>
    <row r="821" spans="1:33" ht="49.95" customHeight="1" x14ac:dyDescent="0.3">
      <c r="A821" s="37" t="s">
        <v>2771</v>
      </c>
      <c r="B821" s="36" t="s">
        <v>2769</v>
      </c>
      <c r="C821" s="49" t="s">
        <v>2773</v>
      </c>
      <c r="D821" s="36" t="s">
        <v>2650</v>
      </c>
      <c r="E821" s="57" t="s">
        <v>2822</v>
      </c>
      <c r="F821" s="36" t="s">
        <v>30</v>
      </c>
      <c r="G821" s="2">
        <v>0</v>
      </c>
      <c r="H821" s="14">
        <f>SUMIF(ENTRADAS71417[CÓDIGO],PRODUCTOS31316[[#This Row],[CÓDIGO]],ENTRADAS71417[CANTIDAD])</f>
        <v>0</v>
      </c>
      <c r="I821" s="11">
        <f>SUMIF(SALIDAS111518[CÓDIGO],PRODUCTOS31316[[#This Row],[CÓDIGO]],SALIDAS111518[CANTIDAD])</f>
        <v>0</v>
      </c>
      <c r="J821" s="6">
        <f>PRODUCTOS31316[[#This Row],[EXISTENCIAS]]+PRODUCTOS31316[[#This Row],[ENTRADAS]]-PRODUCTOS31316[[#This Row],[SALIDAS]]</f>
        <v>0</v>
      </c>
      <c r="L821" s="2"/>
      <c r="M821" s="2"/>
      <c r="N821" s="2">
        <v>7971</v>
      </c>
      <c r="O821" s="304" t="s">
        <v>2703</v>
      </c>
      <c r="P821" s="16">
        <v>46083</v>
      </c>
      <c r="Q821" s="305" t="s">
        <v>3237</v>
      </c>
      <c r="R821" s="2" t="str">
        <f>VLOOKUP(SALIDAS111518[[#This Row],[CÓDIGO]],PRODUCTOS31316[],2,FALSE)</f>
        <v>1111-3800</v>
      </c>
      <c r="S821" s="1" t="str">
        <f>VLOOKUP(SALIDAS111518[[#This Row],[CÓDIGO]],PRODUCTOS31316[],3,FALSE)</f>
        <v>RACK DE PUNTAS 10 UL NO ESTERIL/ LT N1394910O/ N139103M</v>
      </c>
      <c r="T821" s="2">
        <v>1</v>
      </c>
      <c r="U821" s="2"/>
      <c r="V821" s="2"/>
      <c r="W821" s="2"/>
      <c r="X821" s="2"/>
      <c r="Y821" s="7"/>
      <c r="Z821" s="2"/>
      <c r="AA821" s="1"/>
      <c r="AC821" s="2"/>
      <c r="AE821" s="1"/>
      <c r="AG821" s="2"/>
    </row>
    <row r="822" spans="1:33" ht="49.95" customHeight="1" x14ac:dyDescent="0.3">
      <c r="A822" s="37" t="s">
        <v>2772</v>
      </c>
      <c r="B822" s="36" t="s">
        <v>2777</v>
      </c>
      <c r="C822" s="188" t="s">
        <v>2776</v>
      </c>
      <c r="D822" s="36" t="s">
        <v>2650</v>
      </c>
      <c r="E822" s="57" t="s">
        <v>2822</v>
      </c>
      <c r="F822" s="36" t="s">
        <v>30</v>
      </c>
      <c r="G822" s="2">
        <v>0</v>
      </c>
      <c r="H822" s="14">
        <f>SUMIF(ENTRADAS71417[CÓDIGO],PRODUCTOS31316[[#This Row],[CÓDIGO]],ENTRADAS71417[CANTIDAD])</f>
        <v>0</v>
      </c>
      <c r="I822" s="11">
        <f>SUMIF(SALIDAS111518[CÓDIGO],PRODUCTOS31316[[#This Row],[CÓDIGO]],SALIDAS111518[CANTIDAD])</f>
        <v>0</v>
      </c>
      <c r="J822" s="6">
        <f>PRODUCTOS31316[[#This Row],[EXISTENCIAS]]+PRODUCTOS31316[[#This Row],[ENTRADAS]]-PRODUCTOS31316[[#This Row],[SALIDAS]]</f>
        <v>0</v>
      </c>
      <c r="L822" s="2"/>
      <c r="M822" s="2"/>
      <c r="N822" s="2">
        <v>7971</v>
      </c>
      <c r="O822" s="304" t="s">
        <v>2703</v>
      </c>
      <c r="P822" s="16">
        <v>46083</v>
      </c>
      <c r="Q822" s="305" t="s">
        <v>2295</v>
      </c>
      <c r="R822" s="2" t="str">
        <f>VLOOKUP(SALIDAS111518[[#This Row],[CÓDIGO]],PRODUCTOS31316[],2,FALSE)</f>
        <v>B00992</v>
      </c>
      <c r="S822" s="1" t="str">
        <f>VLOOKUP(SALIDAS111518[[#This Row],[CÓDIGO]],PRODUCTOS31316[],3,FALSE)</f>
        <v>BOLSA WHRIL-PAK 7 OZ</v>
      </c>
      <c r="T822" s="2">
        <v>3</v>
      </c>
      <c r="U822" s="2"/>
      <c r="V822" s="2"/>
      <c r="W822" s="2"/>
      <c r="X822" s="2"/>
      <c r="Y822" s="7"/>
      <c r="Z822" s="2"/>
      <c r="AA822" s="1"/>
      <c r="AC822" s="2"/>
      <c r="AE822" s="1"/>
      <c r="AG822" s="2"/>
    </row>
    <row r="823" spans="1:33" ht="49.95" customHeight="1" x14ac:dyDescent="0.3">
      <c r="A823" s="42" t="s">
        <v>2779</v>
      </c>
      <c r="B823" s="1">
        <v>386710</v>
      </c>
      <c r="C823" s="95" t="s">
        <v>2802</v>
      </c>
      <c r="D823" s="95" t="s">
        <v>2595</v>
      </c>
      <c r="E823" s="41" t="s">
        <v>352</v>
      </c>
      <c r="F823" s="41" t="s">
        <v>68</v>
      </c>
      <c r="G823" s="2">
        <v>0</v>
      </c>
      <c r="H823" s="14">
        <f>SUMIF(ENTRADAS71417[CÓDIGO],PRODUCTOS31316[[#This Row],[CÓDIGO]],ENTRADAS71417[CANTIDAD])</f>
        <v>0</v>
      </c>
      <c r="I823" s="11">
        <f>SUMIF(SALIDAS111518[CÓDIGO],PRODUCTOS31316[[#This Row],[CÓDIGO]],SALIDAS111518[CANTIDAD])</f>
        <v>0</v>
      </c>
      <c r="J823" s="6">
        <f>PRODUCTOS31316[[#This Row],[EXISTENCIAS]]+PRODUCTOS31316[[#This Row],[ENTRADAS]]-PRODUCTOS31316[[#This Row],[SALIDAS]]</f>
        <v>0</v>
      </c>
      <c r="L823" s="2"/>
      <c r="M823" s="2"/>
      <c r="N823" s="2">
        <v>7971</v>
      </c>
      <c r="O823" s="304" t="s">
        <v>2703</v>
      </c>
      <c r="P823" s="16">
        <v>46083</v>
      </c>
      <c r="Q823" s="305" t="s">
        <v>104</v>
      </c>
      <c r="R823" s="2">
        <f>VLOOKUP(SALIDAS111518[[#This Row],[CÓDIGO]],PRODUCTOS31316[],2,FALSE)</f>
        <v>0</v>
      </c>
      <c r="S823" s="1" t="str">
        <f>VLOOKUP(SALIDAS111518[[#This Row],[CÓDIGO]],PRODUCTOS31316[],3,FALSE)</f>
        <v>ISPERM CHIPS (500 TESTS PER BOX) PAQ. X 50 UND</v>
      </c>
      <c r="T823" s="2">
        <v>1</v>
      </c>
      <c r="U823" s="2"/>
      <c r="V823" s="2"/>
      <c r="W823" s="2"/>
      <c r="X823" s="2"/>
      <c r="Y823" s="7"/>
      <c r="Z823" s="2"/>
      <c r="AA823" s="1"/>
      <c r="AC823" s="2"/>
      <c r="AE823" s="1"/>
      <c r="AG823" s="2"/>
    </row>
    <row r="824" spans="1:33" ht="49.95" customHeight="1" x14ac:dyDescent="0.3">
      <c r="A824" s="19" t="s">
        <v>2784</v>
      </c>
      <c r="B824" s="45" t="s">
        <v>2785</v>
      </c>
      <c r="C824" s="95" t="s">
        <v>2786</v>
      </c>
      <c r="D824" s="20" t="s">
        <v>1282</v>
      </c>
      <c r="E824" s="20" t="s">
        <v>2787</v>
      </c>
      <c r="F824" s="20" t="s">
        <v>30</v>
      </c>
      <c r="G824" s="2">
        <v>1</v>
      </c>
      <c r="H824" s="14">
        <f>SUMIF(ENTRADAS71417[CÓDIGO],PRODUCTOS31316[[#This Row],[CÓDIGO]],ENTRADAS71417[CANTIDAD])</f>
        <v>0</v>
      </c>
      <c r="I824" s="11">
        <f>SUMIF(SALIDAS111518[CÓDIGO],PRODUCTOS31316[[#This Row],[CÓDIGO]],SALIDAS111518[CANTIDAD])</f>
        <v>0</v>
      </c>
      <c r="J824" s="6">
        <f>PRODUCTOS31316[[#This Row],[EXISTENCIAS]]+PRODUCTOS31316[[#This Row],[ENTRADAS]]-PRODUCTOS31316[[#This Row],[SALIDAS]]</f>
        <v>1</v>
      </c>
      <c r="L824" s="305" t="s">
        <v>3520</v>
      </c>
      <c r="M824" s="305" t="s">
        <v>3931</v>
      </c>
      <c r="N824" s="304" t="s">
        <v>4247</v>
      </c>
      <c r="O824" s="305" t="s">
        <v>2781</v>
      </c>
      <c r="P824" s="16">
        <v>46081</v>
      </c>
      <c r="Q824" s="305" t="s">
        <v>272</v>
      </c>
      <c r="R824" s="2">
        <f>VLOOKUP(SALIDAS111518[[#This Row],[CÓDIGO]],PRODUCTOS31316[],2,FALSE)</f>
        <v>627161</v>
      </c>
      <c r="S824" s="1" t="str">
        <f>VLOOKUP(SALIDAS111518[[#This Row],[CÓDIGO]],PRODUCTOS31316[],3,FALSE)</f>
        <v xml:space="preserve">CAJA PETRI 35X10 ESTERIL </v>
      </c>
      <c r="T824" s="2">
        <v>15</v>
      </c>
      <c r="U824" s="2">
        <v>361</v>
      </c>
      <c r="V824" s="2"/>
      <c r="W824" s="2"/>
      <c r="X824" s="2"/>
      <c r="Y824" s="7"/>
      <c r="Z824" s="2"/>
      <c r="AA824" s="1"/>
      <c r="AC824" s="2"/>
      <c r="AE824" s="1"/>
      <c r="AG824" s="2"/>
    </row>
    <row r="825" spans="1:33" ht="49.95" customHeight="1" x14ac:dyDescent="0.3">
      <c r="A825" s="48" t="s">
        <v>2793</v>
      </c>
      <c r="B825" s="1">
        <v>431229</v>
      </c>
      <c r="C825" s="235" t="s">
        <v>2794</v>
      </c>
      <c r="D825" s="47" t="s">
        <v>769</v>
      </c>
      <c r="E825" s="47" t="s">
        <v>249</v>
      </c>
      <c r="F825" s="47" t="s">
        <v>2792</v>
      </c>
      <c r="G825" s="2">
        <v>0</v>
      </c>
      <c r="H825" s="14">
        <f>SUMIF(ENTRADAS71417[CÓDIGO],PRODUCTOS31316[[#This Row],[CÓDIGO]],ENTRADAS71417[CANTIDAD])</f>
        <v>0</v>
      </c>
      <c r="I825" s="11">
        <f>SUMIF(SALIDAS111518[CÓDIGO],PRODUCTOS31316[[#This Row],[CÓDIGO]],SALIDAS111518[CANTIDAD])</f>
        <v>0</v>
      </c>
      <c r="J825" s="6">
        <f>PRODUCTOS31316[[#This Row],[EXISTENCIAS]]+PRODUCTOS31316[[#This Row],[ENTRADAS]]-PRODUCTOS31316[[#This Row],[SALIDAS]]</f>
        <v>0</v>
      </c>
      <c r="L825" s="2" t="s">
        <v>3520</v>
      </c>
      <c r="M825" s="2" t="s">
        <v>3931</v>
      </c>
      <c r="N825" s="308" t="s">
        <v>4285</v>
      </c>
      <c r="O825" s="317" t="s">
        <v>4248</v>
      </c>
      <c r="P825" s="16">
        <v>46080</v>
      </c>
      <c r="Q825" s="2" t="s">
        <v>3365</v>
      </c>
      <c r="R825" s="2">
        <f>VLOOKUP(SALIDAS111518[[#This Row],[CÓDIGO]],PRODUCTOS31316[],2,FALSE)</f>
        <v>0</v>
      </c>
      <c r="S825" s="1" t="str">
        <f>VLOOKUP(SALIDAS111518[[#This Row],[CÓDIGO]],PRODUCTOS31316[],3,FALSE)</f>
        <v>MANGA DE PROTECCIÓN PALPACIÓN MAS CAMPO</v>
      </c>
      <c r="T825" s="2">
        <v>1</v>
      </c>
      <c r="U825" s="2" t="s">
        <v>4283</v>
      </c>
      <c r="V825" s="2"/>
      <c r="W825" s="2" t="s">
        <v>2823</v>
      </c>
      <c r="X825" s="2"/>
      <c r="Y825" s="7"/>
      <c r="Z825" s="2"/>
      <c r="AA825" s="1"/>
      <c r="AC825" s="2"/>
      <c r="AE825" s="1"/>
      <c r="AG825" s="2"/>
    </row>
    <row r="826" spans="1:33" ht="49.95" customHeight="1" x14ac:dyDescent="0.3">
      <c r="A826" s="48" t="s">
        <v>2795</v>
      </c>
      <c r="B826" s="1">
        <v>431229</v>
      </c>
      <c r="C826" s="47" t="s">
        <v>2794</v>
      </c>
      <c r="D826" s="47" t="s">
        <v>769</v>
      </c>
      <c r="E826" s="47" t="s">
        <v>249</v>
      </c>
      <c r="F826" s="47" t="s">
        <v>30</v>
      </c>
      <c r="G826" s="2">
        <v>3</v>
      </c>
      <c r="H826" s="14">
        <f>SUMIF(ENTRADAS71417[CÓDIGO],PRODUCTOS31316[[#This Row],[CÓDIGO]],ENTRADAS71417[CANTIDAD])</f>
        <v>0</v>
      </c>
      <c r="I826" s="11">
        <f>SUMIF(SALIDAS111518[CÓDIGO],PRODUCTOS31316[[#This Row],[CÓDIGO]],SALIDAS111518[CANTIDAD])</f>
        <v>0</v>
      </c>
      <c r="J826" s="6">
        <f>PRODUCTOS31316[[#This Row],[EXISTENCIAS]]+PRODUCTOS31316[[#This Row],[ENTRADAS]]-PRODUCTOS31316[[#This Row],[SALIDAS]]</f>
        <v>3</v>
      </c>
      <c r="L826" s="2" t="s">
        <v>3521</v>
      </c>
      <c r="M826" s="2" t="s">
        <v>3931</v>
      </c>
      <c r="N826" s="1" t="s">
        <v>4284</v>
      </c>
      <c r="O826" s="2" t="s">
        <v>4249</v>
      </c>
      <c r="P826" s="16">
        <v>46080</v>
      </c>
      <c r="Q826" s="2" t="s">
        <v>3365</v>
      </c>
      <c r="R826" s="2">
        <f>VLOOKUP(SALIDAS111518[[#This Row],[CÓDIGO]],PRODUCTOS31316[],2,FALSE)</f>
        <v>0</v>
      </c>
      <c r="S826" s="1" t="str">
        <f>VLOOKUP(SALIDAS111518[[#This Row],[CÓDIGO]],PRODUCTOS31316[],3,FALSE)</f>
        <v>MANGA DE PROTECCIÓN PALPACIÓN MAS CAMPO</v>
      </c>
      <c r="T826" s="2">
        <v>1</v>
      </c>
      <c r="U826" s="2" t="s">
        <v>4282</v>
      </c>
      <c r="V826" s="2"/>
      <c r="W826" s="2" t="s">
        <v>2823</v>
      </c>
      <c r="X826" s="2"/>
      <c r="Y826" s="7"/>
      <c r="Z826" s="2"/>
      <c r="AA826" s="1"/>
      <c r="AC826" s="2"/>
      <c r="AE826" s="1"/>
      <c r="AG826" s="2"/>
    </row>
    <row r="827" spans="1:33" ht="49.95" customHeight="1" x14ac:dyDescent="0.3">
      <c r="A827" s="50" t="s">
        <v>2797</v>
      </c>
      <c r="B827" s="49" t="s">
        <v>2798</v>
      </c>
      <c r="C827" s="49" t="s">
        <v>2799</v>
      </c>
      <c r="D827" s="49" t="s">
        <v>1969</v>
      </c>
      <c r="E827" s="49" t="s">
        <v>1969</v>
      </c>
      <c r="F827" s="49" t="s">
        <v>2800</v>
      </c>
      <c r="G827" s="2">
        <v>0</v>
      </c>
      <c r="H827" s="14">
        <f>SUMIF(ENTRADAS71417[CÓDIGO],PRODUCTOS31316[[#This Row],[CÓDIGO]],ENTRADAS71417[CANTIDAD])</f>
        <v>3</v>
      </c>
      <c r="I827" s="11">
        <f>SUMIF(SALIDAS111518[CÓDIGO],PRODUCTOS31316[[#This Row],[CÓDIGO]],SALIDAS111518[CANTIDAD])</f>
        <v>3</v>
      </c>
      <c r="J827" s="6">
        <f>PRODUCTOS31316[[#This Row],[EXISTENCIAS]]+PRODUCTOS31316[[#This Row],[ENTRADAS]]-PRODUCTOS31316[[#This Row],[SALIDAS]]</f>
        <v>0</v>
      </c>
      <c r="L827" s="2" t="s">
        <v>3520</v>
      </c>
      <c r="M827" s="2" t="s">
        <v>4250</v>
      </c>
      <c r="N827" s="1" t="s">
        <v>4262</v>
      </c>
      <c r="O827" s="1" t="s">
        <v>4251</v>
      </c>
      <c r="P827" s="16">
        <v>46083</v>
      </c>
      <c r="Q827" s="2" t="s">
        <v>2232</v>
      </c>
      <c r="R827" s="2">
        <f>VLOOKUP(SALIDAS111518[[#This Row],[CÓDIGO]],PRODUCTOS31316[],2,FALSE)</f>
        <v>0</v>
      </c>
      <c r="S827" s="1" t="str">
        <f>VLOOKUP(SALIDAS111518[[#This Row],[CÓDIGO]],PRODUCTOS31316[],3,FALSE)</f>
        <v>CONO RECOLECTOR</v>
      </c>
      <c r="T827" s="2">
        <v>1</v>
      </c>
      <c r="U827" s="2">
        <v>364</v>
      </c>
      <c r="V827" s="2"/>
      <c r="W827" s="2"/>
      <c r="X827" s="2"/>
      <c r="Y827" s="7"/>
      <c r="Z827" s="2"/>
      <c r="AA827" s="1"/>
      <c r="AC827" s="2"/>
      <c r="AE827" s="1"/>
      <c r="AG827" s="2"/>
    </row>
    <row r="828" spans="1:33" ht="49.95" customHeight="1" x14ac:dyDescent="0.3">
      <c r="A828" s="2" t="s">
        <v>2806</v>
      </c>
      <c r="B828" s="1">
        <v>347430</v>
      </c>
      <c r="C828" s="1" t="s">
        <v>2807</v>
      </c>
      <c r="E828" s="1" t="s">
        <v>352</v>
      </c>
      <c r="F828" s="53" t="s">
        <v>30</v>
      </c>
      <c r="G828" s="2">
        <v>0</v>
      </c>
      <c r="H828" s="14">
        <f>SUMIF(ENTRADAS71417[CÓDIGO],PRODUCTOS31316[[#This Row],[CÓDIGO]],ENTRADAS71417[CANTIDAD])</f>
        <v>0</v>
      </c>
      <c r="I828" s="11">
        <f>SUMIF(SALIDAS111518[CÓDIGO],PRODUCTOS31316[[#This Row],[CÓDIGO]],SALIDAS111518[CANTIDAD])</f>
        <v>0</v>
      </c>
      <c r="J828" s="6">
        <f>PRODUCTOS31316[[#This Row],[EXISTENCIAS]]+PRODUCTOS31316[[#This Row],[ENTRADAS]]-PRODUCTOS31316[[#This Row],[SALIDAS]]</f>
        <v>0</v>
      </c>
      <c r="L828" s="2" t="s">
        <v>3520</v>
      </c>
      <c r="M828" s="2" t="s">
        <v>4250</v>
      </c>
      <c r="N828" s="1" t="s">
        <v>4263</v>
      </c>
      <c r="O828" s="1" t="s">
        <v>2711</v>
      </c>
      <c r="P828" s="16">
        <v>46083</v>
      </c>
      <c r="Q828" s="2" t="s">
        <v>75</v>
      </c>
      <c r="R828" s="2" t="str">
        <f>VLOOKUP(SALIDAS111518[[#This Row],[CÓDIGO]],PRODUCTOS31316[],2,FALSE)</f>
        <v>18130E</v>
      </c>
      <c r="S828" s="1" t="str">
        <f>VLOOKUP(SALIDAS111518[[#This Row],[CÓDIGO]],PRODUCTOS31316[],3,FALSE)</f>
        <v>CAJA PETRI DESECHABLE ESTERIL 60X15 MM</v>
      </c>
      <c r="T828" s="2">
        <v>20</v>
      </c>
      <c r="U828" s="2">
        <v>365</v>
      </c>
      <c r="V828" s="2"/>
      <c r="W828" s="2"/>
      <c r="X828" s="2"/>
      <c r="Y828" s="7"/>
      <c r="Z828" s="2"/>
      <c r="AA828" s="1"/>
      <c r="AC828" s="2"/>
      <c r="AE828" s="1"/>
      <c r="AG828" s="2"/>
    </row>
    <row r="829" spans="1:33" ht="49.95" customHeight="1" x14ac:dyDescent="0.3">
      <c r="A829" s="55" t="s">
        <v>2809</v>
      </c>
      <c r="B829" s="1">
        <v>5565</v>
      </c>
      <c r="C829" s="216" t="s">
        <v>2810</v>
      </c>
      <c r="D829" s="53" t="s">
        <v>156</v>
      </c>
      <c r="E829" s="53" t="s">
        <v>2020</v>
      </c>
      <c r="F829" s="53" t="s">
        <v>359</v>
      </c>
      <c r="G829" s="2">
        <v>0</v>
      </c>
      <c r="H829" s="14">
        <f>SUMIF(ENTRADAS71417[CÓDIGO],PRODUCTOS31316[[#This Row],[CÓDIGO]],ENTRADAS71417[CANTIDAD])</f>
        <v>15</v>
      </c>
      <c r="I829" s="11">
        <f>SUMIF(SALIDAS111518[CÓDIGO],PRODUCTOS31316[[#This Row],[CÓDIGO]],SALIDAS111518[CANTIDAD])</f>
        <v>10</v>
      </c>
      <c r="J829" s="6">
        <f>PRODUCTOS31316[[#This Row],[EXISTENCIAS]]+PRODUCTOS31316[[#This Row],[ENTRADAS]]-PRODUCTOS31316[[#This Row],[SALIDAS]]</f>
        <v>5</v>
      </c>
      <c r="L829" s="2"/>
      <c r="M829" s="2"/>
      <c r="N829" s="2">
        <v>7975</v>
      </c>
      <c r="O829" s="1" t="s">
        <v>2711</v>
      </c>
      <c r="P829" s="16">
        <v>46083</v>
      </c>
      <c r="Q829" s="2" t="s">
        <v>341</v>
      </c>
      <c r="R829" s="2" t="str">
        <f>VLOOKUP(SALIDAS111518[[#This Row],[CÓDIGO]],PRODUCTOS31316[],2,FALSE)</f>
        <v>CTB50</v>
      </c>
      <c r="S829" s="1" t="str">
        <f>VLOOKUP(SALIDAS111518[[#This Row],[CÓDIGO]],PRODUCTOS31316[],3,FALSE)</f>
        <v>TUBO CÓNICO DE 50 mL, TAPA ROSCA, PRE ESTERILIZADO. RCF MAX: 10000xg, graduados, PCR puro.</v>
      </c>
      <c r="T829" s="2">
        <v>10</v>
      </c>
      <c r="U829" s="2"/>
      <c r="V829" s="2"/>
      <c r="W829" s="2"/>
      <c r="X829" s="2"/>
      <c r="Y829" s="7"/>
      <c r="Z829" s="2"/>
      <c r="AA829" s="1"/>
      <c r="AC829" s="2"/>
      <c r="AE829" s="1"/>
      <c r="AG829" s="2"/>
    </row>
    <row r="830" spans="1:33" ht="49.95" customHeight="1" x14ac:dyDescent="0.3">
      <c r="A830" s="55" t="s">
        <v>2811</v>
      </c>
      <c r="B830" s="1">
        <v>5569</v>
      </c>
      <c r="C830" s="216" t="s">
        <v>2921</v>
      </c>
      <c r="D830" s="53" t="s">
        <v>156</v>
      </c>
      <c r="E830" s="53" t="s">
        <v>2020</v>
      </c>
      <c r="F830" s="53" t="s">
        <v>359</v>
      </c>
      <c r="G830" s="2">
        <v>0</v>
      </c>
      <c r="H830" s="14">
        <f>SUMIF(ENTRADAS71417[CÓDIGO],PRODUCTOS31316[[#This Row],[CÓDIGO]],ENTRADAS71417[CANTIDAD])</f>
        <v>6</v>
      </c>
      <c r="I830" s="11">
        <f>SUMIF(SALIDAS111518[CÓDIGO],PRODUCTOS31316[[#This Row],[CÓDIGO]],SALIDAS111518[CANTIDAD])</f>
        <v>2</v>
      </c>
      <c r="J830" s="6">
        <f>PRODUCTOS31316[[#This Row],[EXISTENCIAS]]+PRODUCTOS31316[[#This Row],[ENTRADAS]]-PRODUCTOS31316[[#This Row],[SALIDAS]]</f>
        <v>4</v>
      </c>
      <c r="L830" s="2" t="s">
        <v>3520</v>
      </c>
      <c r="M830" s="2" t="s">
        <v>4250</v>
      </c>
      <c r="N830" s="1" t="s">
        <v>4264</v>
      </c>
      <c r="O830" s="2" t="s">
        <v>1050</v>
      </c>
      <c r="P830" s="16">
        <v>46083</v>
      </c>
      <c r="Q830" s="2" t="s">
        <v>15</v>
      </c>
      <c r="R830" s="2" t="str">
        <f>VLOOKUP(SALIDAS111518[[#This Row],[CÓDIGO]],PRODUCTOS31316[],2,FALSE)</f>
        <v>BTE-025PT/ 504002</v>
      </c>
      <c r="S830" s="1" t="str">
        <f>VLOOKUP(SALIDAS111518[[#This Row],[CÓDIGO]],PRODUCTOS31316[],3,FALSE)</f>
        <v>FUNDAS PARA TRANSFERENCIA DE EMBRIONES</v>
      </c>
      <c r="T830" s="2">
        <v>15</v>
      </c>
      <c r="U830" s="2">
        <v>366</v>
      </c>
      <c r="V830" s="2"/>
      <c r="W830" s="2"/>
      <c r="X830" s="2"/>
      <c r="Y830" s="7"/>
      <c r="Z830" s="2"/>
      <c r="AA830" s="1"/>
      <c r="AC830" s="2"/>
      <c r="AE830" s="1"/>
      <c r="AG830" s="2"/>
    </row>
    <row r="831" spans="1:33" ht="49.95" customHeight="1" x14ac:dyDescent="0.3">
      <c r="A831" s="55" t="s">
        <v>2812</v>
      </c>
      <c r="B831" s="1">
        <v>5417</v>
      </c>
      <c r="C831" s="216" t="s">
        <v>2208</v>
      </c>
      <c r="D831" s="53" t="s">
        <v>156</v>
      </c>
      <c r="E831" s="53" t="s">
        <v>2020</v>
      </c>
      <c r="F831" s="53" t="s">
        <v>30</v>
      </c>
      <c r="G831" s="2">
        <v>3</v>
      </c>
      <c r="H831" s="14">
        <f>SUMIF(ENTRADAS71417[CÓDIGO],PRODUCTOS31316[[#This Row],[CÓDIGO]],ENTRADAS71417[CANTIDAD])</f>
        <v>0</v>
      </c>
      <c r="I831" s="11">
        <f>SUMIF(SALIDAS111518[CÓDIGO],PRODUCTOS31316[[#This Row],[CÓDIGO]],SALIDAS111518[CANTIDAD])</f>
        <v>2</v>
      </c>
      <c r="J831" s="6">
        <f>PRODUCTOS31316[[#This Row],[EXISTENCIAS]]+PRODUCTOS31316[[#This Row],[ENTRADAS]]-PRODUCTOS31316[[#This Row],[SALIDAS]]</f>
        <v>1</v>
      </c>
      <c r="L831" s="2" t="s">
        <v>3520</v>
      </c>
      <c r="M831" s="2" t="s">
        <v>4250</v>
      </c>
      <c r="N831" s="1" t="s">
        <v>4267</v>
      </c>
      <c r="O831" s="2" t="s">
        <v>2936</v>
      </c>
      <c r="P831" s="16">
        <v>46083</v>
      </c>
      <c r="Q831" s="2" t="s">
        <v>1771</v>
      </c>
      <c r="R831" s="2" t="str">
        <f>VLOOKUP(SALIDAS111518[[#This Row],[CÓDIGO]],PRODUCTOS31316[],2,FALSE)</f>
        <v>WS7</v>
      </c>
      <c r="S831" s="1" t="str">
        <f>VLOOKUP(SALIDAS111518[[#This Row],[CÓDIGO]],PRODUCTOS31316[],3,FALSE)</f>
        <v>ESTEREOMICOSCOPIO WS7</v>
      </c>
      <c r="T831" s="2">
        <v>1</v>
      </c>
      <c r="U831" s="2" t="s">
        <v>4266</v>
      </c>
      <c r="V831" s="2"/>
      <c r="W831" s="2"/>
      <c r="X831" s="2"/>
      <c r="Y831" s="7"/>
      <c r="Z831" s="2"/>
      <c r="AA831" s="1"/>
      <c r="AC831" s="2"/>
      <c r="AE831" s="1"/>
      <c r="AG831" s="2"/>
    </row>
    <row r="832" spans="1:33" ht="49.95" customHeight="1" x14ac:dyDescent="0.3">
      <c r="A832" s="55" t="s">
        <v>2814</v>
      </c>
      <c r="B832" s="1">
        <v>5204</v>
      </c>
      <c r="C832" s="95" t="s">
        <v>2816</v>
      </c>
      <c r="D832" s="53" t="s">
        <v>156</v>
      </c>
      <c r="E832" s="53" t="s">
        <v>2020</v>
      </c>
      <c r="F832" s="53" t="s">
        <v>30</v>
      </c>
      <c r="G832" s="2">
        <v>5</v>
      </c>
      <c r="H832" s="14">
        <f>SUMIF(ENTRADAS71417[CÓDIGO],PRODUCTOS31316[[#This Row],[CÓDIGO]],ENTRADAS71417[CANTIDAD])</f>
        <v>0</v>
      </c>
      <c r="I832" s="11">
        <f>SUMIF(SALIDAS111518[CÓDIGO],PRODUCTOS31316[[#This Row],[CÓDIGO]],SALIDAS111518[CANTIDAD])</f>
        <v>2</v>
      </c>
      <c r="J832" s="6">
        <f>PRODUCTOS31316[[#This Row],[EXISTENCIAS]]+PRODUCTOS31316[[#This Row],[ENTRADAS]]-PRODUCTOS31316[[#This Row],[SALIDAS]]</f>
        <v>3</v>
      </c>
      <c r="L832" s="2" t="s">
        <v>3520</v>
      </c>
      <c r="M832" s="2" t="s">
        <v>4250</v>
      </c>
      <c r="N832" s="1" t="s">
        <v>4268</v>
      </c>
      <c r="O832" s="2" t="s">
        <v>2698</v>
      </c>
      <c r="P832" s="16">
        <v>46083</v>
      </c>
      <c r="Q832" s="2" t="s">
        <v>36</v>
      </c>
      <c r="R832" s="2">
        <f>VLOOKUP(SALIDAS111518[[#This Row],[CÓDIGO]],PRODUCTOS31316[],2,FALSE)</f>
        <v>1</v>
      </c>
      <c r="S832" s="1" t="str">
        <f>VLOOKUP(SALIDAS111518[[#This Row],[CÓDIGO]],PRODUCTOS31316[],3,FALSE)</f>
        <v xml:space="preserve">PARCHE ESTROTECT </v>
      </c>
      <c r="T832" s="2">
        <v>2</v>
      </c>
      <c r="U832" s="2">
        <v>369</v>
      </c>
      <c r="V832" s="2"/>
      <c r="W832" s="2"/>
      <c r="X832" s="2"/>
      <c r="Y832" s="7"/>
      <c r="Z832" s="2"/>
      <c r="AA832" s="1"/>
      <c r="AC832" s="2"/>
      <c r="AE832" s="1"/>
      <c r="AG832" s="2"/>
    </row>
    <row r="833" spans="1:33" ht="49.95" customHeight="1" x14ac:dyDescent="0.3">
      <c r="A833" s="55" t="s">
        <v>2815</v>
      </c>
      <c r="B833" s="1">
        <v>26541</v>
      </c>
      <c r="C833" s="95" t="s">
        <v>2817</v>
      </c>
      <c r="D833" s="53" t="s">
        <v>156</v>
      </c>
      <c r="E833" s="53" t="s">
        <v>2020</v>
      </c>
      <c r="F833" s="53" t="s">
        <v>30</v>
      </c>
      <c r="G833" s="2">
        <v>8</v>
      </c>
      <c r="H833" s="14">
        <f>SUMIF(ENTRADAS71417[CÓDIGO],PRODUCTOS31316[[#This Row],[CÓDIGO]],ENTRADAS71417[CANTIDAD])</f>
        <v>0</v>
      </c>
      <c r="I833" s="11">
        <f>SUMIF(SALIDAS111518[CÓDIGO],PRODUCTOS31316[[#This Row],[CÓDIGO]],SALIDAS111518[CANTIDAD])</f>
        <v>8</v>
      </c>
      <c r="J833" s="6">
        <f>PRODUCTOS31316[[#This Row],[EXISTENCIAS]]+PRODUCTOS31316[[#This Row],[ENTRADAS]]-PRODUCTOS31316[[#This Row],[SALIDAS]]</f>
        <v>0</v>
      </c>
      <c r="L833" s="2" t="s">
        <v>3520</v>
      </c>
      <c r="M833" s="2" t="s">
        <v>4250</v>
      </c>
      <c r="N833" s="1" t="s">
        <v>4273</v>
      </c>
      <c r="O833" s="2" t="s">
        <v>2198</v>
      </c>
      <c r="P833" s="16">
        <v>46084</v>
      </c>
      <c r="Q833" s="2" t="s">
        <v>27</v>
      </c>
      <c r="R833" s="2" t="str">
        <f>VLOOKUP(SALIDAS111518[[#This Row],[CÓDIGO]],PRODUCTOS31316[],2,FALSE)</f>
        <v>INO-025/ 508001</v>
      </c>
      <c r="S833" s="1" t="str">
        <f>VLOOKUP(SALIDAS111518[[#This Row],[CÓDIGO]],PRODUCTOS31316[],3,FALSE)</f>
        <v>PISTOLA DE TRANSFERENCIA DE EMBRIONES</v>
      </c>
      <c r="T833" s="2">
        <v>1</v>
      </c>
      <c r="U833" s="2">
        <v>370</v>
      </c>
      <c r="V833" s="2"/>
      <c r="W833" s="2"/>
      <c r="X833" s="2"/>
      <c r="Y833" s="7"/>
      <c r="Z833" s="2"/>
      <c r="AA833" s="1"/>
      <c r="AC833" s="2"/>
      <c r="AE833" s="1"/>
      <c r="AG833" s="2"/>
    </row>
    <row r="834" spans="1:33" ht="49.95" customHeight="1" x14ac:dyDescent="0.3">
      <c r="A834" s="55" t="s">
        <v>2818</v>
      </c>
      <c r="C834" s="91" t="s">
        <v>2819</v>
      </c>
      <c r="D834" s="53" t="s">
        <v>380</v>
      </c>
      <c r="E834" s="53" t="s">
        <v>380</v>
      </c>
      <c r="F834" s="53" t="s">
        <v>30</v>
      </c>
      <c r="G834" s="2">
        <v>1</v>
      </c>
      <c r="H834" s="14">
        <f>SUMIF(ENTRADAS71417[CÓDIGO],PRODUCTOS31316[[#This Row],[CÓDIGO]],ENTRADAS71417[CANTIDAD])</f>
        <v>3</v>
      </c>
      <c r="I834" s="11">
        <f>SUMIF(SALIDAS111518[CÓDIGO],PRODUCTOS31316[[#This Row],[CÓDIGO]],SALIDAS111518[CANTIDAD])</f>
        <v>2</v>
      </c>
      <c r="J834" s="6">
        <f>PRODUCTOS31316[[#This Row],[EXISTENCIAS]]+PRODUCTOS31316[[#This Row],[ENTRADAS]]-PRODUCTOS31316[[#This Row],[SALIDAS]]</f>
        <v>2</v>
      </c>
      <c r="L834" s="2" t="s">
        <v>3520</v>
      </c>
      <c r="M834" s="2" t="s">
        <v>4250</v>
      </c>
      <c r="N834" s="1" t="s">
        <v>4274</v>
      </c>
      <c r="O834" s="2" t="s">
        <v>2662</v>
      </c>
      <c r="P834" s="16">
        <v>46084</v>
      </c>
      <c r="Q834" s="2" t="s">
        <v>75</v>
      </c>
      <c r="R834" s="2" t="str">
        <f>VLOOKUP(SALIDAS111518[[#This Row],[CÓDIGO]],PRODUCTOS31316[],2,FALSE)</f>
        <v>18130E</v>
      </c>
      <c r="S834" s="1" t="str">
        <f>VLOOKUP(SALIDAS111518[[#This Row],[CÓDIGO]],PRODUCTOS31316[],3,FALSE)</f>
        <v>CAJA PETRI DESECHABLE ESTERIL 60X15 MM</v>
      </c>
      <c r="T834" s="2">
        <v>50</v>
      </c>
      <c r="U834" s="2">
        <v>371</v>
      </c>
      <c r="V834" s="2"/>
      <c r="W834" s="2"/>
      <c r="X834" s="2"/>
      <c r="Y834" s="7"/>
      <c r="Z834" s="2"/>
      <c r="AA834" s="1"/>
      <c r="AC834" s="2"/>
      <c r="AE834" s="1"/>
      <c r="AG834" s="2"/>
    </row>
    <row r="835" spans="1:33" ht="49.95" customHeight="1" x14ac:dyDescent="0.3">
      <c r="A835" s="56" t="s">
        <v>2821</v>
      </c>
      <c r="C835" s="95" t="s">
        <v>2825</v>
      </c>
      <c r="D835" s="57" t="s">
        <v>822</v>
      </c>
      <c r="E835" s="57" t="s">
        <v>2824</v>
      </c>
      <c r="F835" s="57" t="s">
        <v>30</v>
      </c>
      <c r="G835" s="2">
        <v>2</v>
      </c>
      <c r="H835" s="14">
        <f>SUMIF(ENTRADAS71417[CÓDIGO],PRODUCTOS31316[[#This Row],[CÓDIGO]],ENTRADAS71417[CANTIDAD])</f>
        <v>0</v>
      </c>
      <c r="I835" s="11">
        <f>SUMIF(SALIDAS111518[CÓDIGO],PRODUCTOS31316[[#This Row],[CÓDIGO]],SALIDAS111518[CANTIDAD])</f>
        <v>0</v>
      </c>
      <c r="J835" s="6">
        <f>PRODUCTOS31316[[#This Row],[EXISTENCIAS]]+PRODUCTOS31316[[#This Row],[ENTRADAS]]-PRODUCTOS31316[[#This Row],[SALIDAS]]</f>
        <v>2</v>
      </c>
      <c r="L835" s="2"/>
      <c r="M835" s="2"/>
      <c r="N835" s="2">
        <v>7979</v>
      </c>
      <c r="O835" s="2" t="s">
        <v>2662</v>
      </c>
      <c r="P835" s="16">
        <v>46084</v>
      </c>
      <c r="Q835" s="2" t="s">
        <v>168</v>
      </c>
      <c r="R835" s="2">
        <f>VLOOKUP(SALIDAS111518[[#This Row],[CÓDIGO]],PRODUCTOS31316[],2,FALSE)</f>
        <v>4840</v>
      </c>
      <c r="S835" s="1" t="str">
        <f>VLOOKUP(SALIDAS111518[[#This Row],[CÓDIGO]],PRODUCTOS31316[],3,FALSE)</f>
        <v>PUNTAS BLANCAS UNIVERSALES, PLÁSTICAS, LIBRES DE DNASAS, RNASA Y PIROGENOS, RANGO DE 0.1 A 10UL. (CORTAS).</v>
      </c>
      <c r="T835" s="2">
        <v>2</v>
      </c>
      <c r="U835" s="2"/>
      <c r="V835" s="2"/>
      <c r="W835" s="2"/>
      <c r="X835" s="2"/>
      <c r="Y835" s="7"/>
      <c r="Z835" s="2"/>
      <c r="AA835" s="1"/>
      <c r="AC835" s="2"/>
      <c r="AE835" s="1"/>
      <c r="AG835" s="2"/>
    </row>
    <row r="836" spans="1:33" ht="49.95" customHeight="1" x14ac:dyDescent="0.3">
      <c r="A836" s="58" t="s">
        <v>2829</v>
      </c>
      <c r="B836" s="1">
        <v>5565</v>
      </c>
      <c r="C836" s="95" t="s">
        <v>2810</v>
      </c>
      <c r="D836" s="53" t="s">
        <v>156</v>
      </c>
      <c r="E836" s="53" t="s">
        <v>2020</v>
      </c>
      <c r="F836" s="59" t="s">
        <v>2830</v>
      </c>
      <c r="G836" s="2">
        <v>12</v>
      </c>
      <c r="H836" s="14">
        <f>SUMIF(ENTRADAS71417[CÓDIGO],PRODUCTOS31316[[#This Row],[CÓDIGO]],ENTRADAS71417[CANTIDAD])</f>
        <v>0</v>
      </c>
      <c r="I836" s="11">
        <f>SUMIF(SALIDAS111518[CÓDIGO],PRODUCTOS31316[[#This Row],[CÓDIGO]],SALIDAS111518[CANTIDAD])</f>
        <v>6</v>
      </c>
      <c r="J836" s="6">
        <f>PRODUCTOS31316[[#This Row],[EXISTENCIAS]]+PRODUCTOS31316[[#This Row],[ENTRADAS]]-PRODUCTOS31316[[#This Row],[SALIDAS]]</f>
        <v>6</v>
      </c>
      <c r="L836" s="2"/>
      <c r="M836" s="2"/>
      <c r="N836" s="2">
        <v>7979</v>
      </c>
      <c r="O836" s="2" t="s">
        <v>2662</v>
      </c>
      <c r="P836" s="16">
        <v>46084</v>
      </c>
      <c r="Q836" s="2" t="s">
        <v>602</v>
      </c>
      <c r="R836" s="2">
        <f>VLOOKUP(SALIDAS111518[[#This Row],[CÓDIGO]],PRODUCTOS31316[],2,FALSE)</f>
        <v>4845</v>
      </c>
      <c r="S836" s="1" t="str">
        <f>VLOOKUP(SALIDAS111518[[#This Row],[CÓDIGO]],PRODUCTOS31316[],3,FALSE)</f>
        <v>PUNTAS AMARILLAS, UNIVERSALES. PLASTICAS, NO ESTERIL. LIBRES DE RNASE, DNASE Y PYROGENOS. RANGO DE 1-200UL. BOLSA X1000UDS.</v>
      </c>
      <c r="T836" s="2">
        <v>2</v>
      </c>
      <c r="U836" s="2"/>
      <c r="V836" s="2"/>
      <c r="W836" s="2"/>
      <c r="X836" s="2"/>
      <c r="Y836" s="7"/>
      <c r="Z836" s="2"/>
      <c r="AA836" s="1"/>
      <c r="AC836" s="2"/>
      <c r="AE836" s="1"/>
      <c r="AG836" s="2"/>
    </row>
    <row r="837" spans="1:33" ht="49.95" customHeight="1" x14ac:dyDescent="0.3">
      <c r="A837" s="60" t="s">
        <v>2831</v>
      </c>
      <c r="B837" s="1">
        <v>1132</v>
      </c>
      <c r="C837" s="61" t="s">
        <v>2832</v>
      </c>
      <c r="D837" s="61" t="s">
        <v>103</v>
      </c>
      <c r="E837" s="61" t="s">
        <v>463</v>
      </c>
      <c r="F837" s="61" t="s">
        <v>30</v>
      </c>
      <c r="G837" s="2">
        <v>0</v>
      </c>
      <c r="H837" s="14">
        <f>SUMIF(ENTRADAS71417[CÓDIGO],PRODUCTOS31316[[#This Row],[CÓDIGO]],ENTRADAS71417[CANTIDAD])</f>
        <v>0</v>
      </c>
      <c r="I837" s="11">
        <f>SUMIF(SALIDAS111518[CÓDIGO],PRODUCTOS31316[[#This Row],[CÓDIGO]],SALIDAS111518[CANTIDAD])</f>
        <v>0</v>
      </c>
      <c r="J837" s="6">
        <f>PRODUCTOS31316[[#This Row],[EXISTENCIAS]]+PRODUCTOS31316[[#This Row],[ENTRADAS]]-PRODUCTOS31316[[#This Row],[SALIDAS]]</f>
        <v>0</v>
      </c>
      <c r="L837" s="2" t="s">
        <v>3520</v>
      </c>
      <c r="M837" s="2" t="s">
        <v>4250</v>
      </c>
      <c r="N837" s="1" t="s">
        <v>4276</v>
      </c>
      <c r="O837" s="2" t="s">
        <v>4269</v>
      </c>
      <c r="P837" s="16">
        <v>46084</v>
      </c>
      <c r="Q837" s="2" t="s">
        <v>1127</v>
      </c>
      <c r="R837" s="2">
        <f>VLOOKUP(SALIDAS111518[[#This Row],[CÓDIGO]],PRODUCTOS31316[],2,FALSE)</f>
        <v>10372</v>
      </c>
      <c r="S837" s="1" t="str">
        <f>VLOOKUP(SALIDAS111518[[#This Row],[CÓDIGO]],PRODUCTOS31316[],3,FALSE)</f>
        <v>FILTRO DE BOMBA DE VACÍO</v>
      </c>
      <c r="T837" s="2">
        <v>1</v>
      </c>
      <c r="U837" s="2" t="s">
        <v>4275</v>
      </c>
      <c r="V837" s="2"/>
      <c r="W837" s="2"/>
      <c r="X837" s="2"/>
      <c r="Y837" s="7"/>
      <c r="Z837" s="2"/>
      <c r="AA837" s="1"/>
      <c r="AC837" s="2"/>
      <c r="AE837" s="1"/>
      <c r="AG837" s="2"/>
    </row>
    <row r="838" spans="1:33" ht="49.95" customHeight="1" x14ac:dyDescent="0.3">
      <c r="A838" s="62" t="s">
        <v>2833</v>
      </c>
      <c r="C838" s="73" t="s">
        <v>528</v>
      </c>
      <c r="D838" s="63" t="s">
        <v>244</v>
      </c>
      <c r="E838" s="63" t="s">
        <v>352</v>
      </c>
      <c r="F838" s="63" t="s">
        <v>2834</v>
      </c>
      <c r="G838" s="2">
        <v>0</v>
      </c>
      <c r="H838" s="14">
        <f>SUMIF(ENTRADAS71417[CÓDIGO],PRODUCTOS31316[[#This Row],[CÓDIGO]],ENTRADAS71417[CANTIDAD])</f>
        <v>20</v>
      </c>
      <c r="I838" s="11">
        <f>SUMIF(SALIDAS111518[CÓDIGO],PRODUCTOS31316[[#This Row],[CÓDIGO]],SALIDAS111518[CANTIDAD])</f>
        <v>4</v>
      </c>
      <c r="J838" s="6">
        <f>PRODUCTOS31316[[#This Row],[EXISTENCIAS]]+PRODUCTOS31316[[#This Row],[ENTRADAS]]-PRODUCTOS31316[[#This Row],[SALIDAS]]</f>
        <v>16</v>
      </c>
      <c r="L838" s="2" t="s">
        <v>3521</v>
      </c>
      <c r="M838" s="2" t="s">
        <v>4250</v>
      </c>
      <c r="N838" s="1" t="s">
        <v>4277</v>
      </c>
      <c r="O838" s="2" t="s">
        <v>4270</v>
      </c>
      <c r="P838" s="16">
        <v>46084</v>
      </c>
      <c r="Q838" s="2" t="s">
        <v>2755</v>
      </c>
      <c r="R838" s="2" t="str">
        <f>VLOOKUP(SALIDAS111518[[#This Row],[CÓDIGO]],PRODUCTOS31316[],2,FALSE)</f>
        <v>MSLDO05</v>
      </c>
      <c r="S838" s="1" t="str">
        <f>VLOOKUP(SALIDAS111518[[#This Row],[CÓDIGO]],PRODUCTOS31316[],3,FALSE)</f>
        <v>TERMO DE RECOLECCIÓN DE SEMEN/ USO VETERINARIO</v>
      </c>
      <c r="T838" s="2">
        <v>1</v>
      </c>
      <c r="U838" s="2">
        <v>375</v>
      </c>
      <c r="V838" s="2"/>
      <c r="W838" s="2"/>
      <c r="X838" s="2"/>
      <c r="Y838" s="7"/>
      <c r="Z838" s="2"/>
      <c r="AA838" s="1"/>
      <c r="AC838" s="2"/>
      <c r="AE838" s="1"/>
      <c r="AG838" s="2"/>
    </row>
    <row r="839" spans="1:33" ht="49.95" customHeight="1" x14ac:dyDescent="0.3">
      <c r="A839" s="62" t="s">
        <v>2835</v>
      </c>
      <c r="B839" s="95" t="s">
        <v>2838</v>
      </c>
      <c r="C839" s="95" t="s">
        <v>2837</v>
      </c>
      <c r="D839" s="63" t="s">
        <v>103</v>
      </c>
      <c r="E839" s="63" t="s">
        <v>352</v>
      </c>
      <c r="F839" s="63" t="s">
        <v>30</v>
      </c>
      <c r="G839" s="2">
        <v>0</v>
      </c>
      <c r="H839" s="14">
        <f>SUMIF(ENTRADAS71417[CÓDIGO],PRODUCTOS31316[[#This Row],[CÓDIGO]],ENTRADAS71417[CANTIDAD])</f>
        <v>0</v>
      </c>
      <c r="I839" s="11">
        <f>SUMIF(SALIDAS111518[CÓDIGO],PRODUCTOS31316[[#This Row],[CÓDIGO]],SALIDAS111518[CANTIDAD])</f>
        <v>0</v>
      </c>
      <c r="J839" s="6">
        <f>PRODUCTOS31316[[#This Row],[EXISTENCIAS]]+PRODUCTOS31316[[#This Row],[ENTRADAS]]-PRODUCTOS31316[[#This Row],[SALIDAS]]</f>
        <v>0</v>
      </c>
      <c r="L839" s="2" t="s">
        <v>3520</v>
      </c>
      <c r="M839" s="2" t="s">
        <v>4250</v>
      </c>
      <c r="N839" s="1" t="s">
        <v>4278</v>
      </c>
      <c r="O839" s="2" t="s">
        <v>2454</v>
      </c>
      <c r="P839" s="16">
        <v>46084</v>
      </c>
      <c r="Q839" s="2" t="s">
        <v>2253</v>
      </c>
      <c r="R839" s="2">
        <f>VLOOKUP(SALIDAS111518[[#This Row],[CÓDIGO]],PRODUCTOS31316[],2,FALSE)</f>
        <v>26218</v>
      </c>
      <c r="S839" s="1" t="str">
        <f>VLOOKUP(SALIDAS111518[[#This Row],[CÓDIGO]],PRODUCTOS31316[],3,FALSE)</f>
        <v>OPTIXCELL 250 ML</v>
      </c>
      <c r="T839" s="2">
        <v>1</v>
      </c>
      <c r="U839" s="2">
        <v>374</v>
      </c>
      <c r="V839" s="2"/>
      <c r="W839" s="2" t="s">
        <v>3412</v>
      </c>
      <c r="X839" s="2"/>
      <c r="Y839" s="7"/>
      <c r="Z839" s="2"/>
      <c r="AA839" s="1"/>
      <c r="AC839" s="2"/>
      <c r="AE839" s="1"/>
      <c r="AG839" s="2"/>
    </row>
    <row r="840" spans="1:33" ht="49.95" customHeight="1" x14ac:dyDescent="0.3">
      <c r="A840" s="204" t="s">
        <v>2839</v>
      </c>
      <c r="B840" s="1" t="s">
        <v>2742</v>
      </c>
      <c r="C840" s="216" t="s">
        <v>3196</v>
      </c>
      <c r="D840" s="65" t="s">
        <v>2840</v>
      </c>
      <c r="E840" s="65" t="s">
        <v>463</v>
      </c>
      <c r="F840" s="65" t="s">
        <v>731</v>
      </c>
      <c r="G840" s="2">
        <v>0</v>
      </c>
      <c r="H840" s="14">
        <f>SUMIF(ENTRADAS71417[CÓDIGO],PRODUCTOS31316[[#This Row],[CÓDIGO]],ENTRADAS71417[CANTIDAD])</f>
        <v>0</v>
      </c>
      <c r="I840" s="11">
        <f>SUMIF(SALIDAS111518[CÓDIGO],PRODUCTOS31316[[#This Row],[CÓDIGO]],SALIDAS111518[CANTIDAD])</f>
        <v>0</v>
      </c>
      <c r="J840" s="6">
        <f>PRODUCTOS31316[[#This Row],[EXISTENCIAS]]+PRODUCTOS31316[[#This Row],[ENTRADAS]]-PRODUCTOS31316[[#This Row],[SALIDAS]]</f>
        <v>0</v>
      </c>
      <c r="L840" s="2"/>
      <c r="M840" s="2"/>
      <c r="N840" s="2">
        <v>7983</v>
      </c>
      <c r="O840" s="2" t="s">
        <v>2454</v>
      </c>
      <c r="P840" s="16">
        <v>46084</v>
      </c>
      <c r="Q840" s="2" t="s">
        <v>2985</v>
      </c>
      <c r="R840" s="2">
        <f>VLOOKUP(SALIDAS111518[[#This Row],[CÓDIGO]],PRODUCTOS31316[],2,FALSE)</f>
        <v>6206</v>
      </c>
      <c r="S840" s="1" t="str">
        <f>VLOOKUP(SALIDAS111518[[#This Row],[CÓDIGO]],PRODUCTOS31316[],3,FALSE)</f>
        <v>AGUJA DESECHABLE 20G X 1 1/2</v>
      </c>
      <c r="T840" s="2">
        <v>3</v>
      </c>
      <c r="U840" s="2"/>
      <c r="V840" s="2"/>
      <c r="W840" s="2"/>
      <c r="X840" s="2"/>
      <c r="Y840" s="7"/>
      <c r="Z840" s="2"/>
      <c r="AA840" s="1"/>
      <c r="AC840" s="2"/>
      <c r="AE840" s="1"/>
      <c r="AG840" s="2"/>
    </row>
    <row r="841" spans="1:33" ht="49.95" customHeight="1" x14ac:dyDescent="0.3">
      <c r="A841" s="64" t="s">
        <v>2841</v>
      </c>
      <c r="B841" s="65" t="s">
        <v>2842</v>
      </c>
      <c r="C841" s="65" t="s">
        <v>2843</v>
      </c>
      <c r="D841" s="65" t="s">
        <v>364</v>
      </c>
      <c r="E841" s="65" t="s">
        <v>249</v>
      </c>
      <c r="F841" s="65" t="s">
        <v>139</v>
      </c>
      <c r="G841" s="2">
        <v>0</v>
      </c>
      <c r="H841" s="14">
        <f>SUMIF(ENTRADAS71417[CÓDIGO],PRODUCTOS31316[[#This Row],[CÓDIGO]],ENTRADAS71417[CANTIDAD])</f>
        <v>0</v>
      </c>
      <c r="I841" s="11">
        <f>SUMIF(SALIDAS111518[CÓDIGO],PRODUCTOS31316[[#This Row],[CÓDIGO]],SALIDAS111518[CANTIDAD])</f>
        <v>0</v>
      </c>
      <c r="J841" s="6">
        <f>PRODUCTOS31316[[#This Row],[EXISTENCIAS]]+PRODUCTOS31316[[#This Row],[ENTRADAS]]-PRODUCTOS31316[[#This Row],[SALIDAS]]</f>
        <v>0</v>
      </c>
      <c r="L841" s="2"/>
      <c r="M841" s="2"/>
      <c r="N841" s="2">
        <v>7983</v>
      </c>
      <c r="O841" s="2" t="s">
        <v>2454</v>
      </c>
      <c r="P841" s="16">
        <v>46084</v>
      </c>
      <c r="Q841" s="2" t="s">
        <v>2364</v>
      </c>
      <c r="R841" s="2">
        <f>VLOOKUP(SALIDAS111518[[#This Row],[CÓDIGO]],PRODUCTOS31316[],2,FALSE)</f>
        <v>0</v>
      </c>
      <c r="S841" s="1" t="str">
        <f>VLOOKUP(SALIDAS111518[[#This Row],[CÓDIGO]],PRODUCTOS31316[],3,FALSE)</f>
        <v>CORTAPAJILLAS WTA</v>
      </c>
      <c r="T841" s="2">
        <v>1</v>
      </c>
      <c r="U841" s="2"/>
      <c r="V841" s="2"/>
      <c r="W841" s="2"/>
      <c r="X841" s="2"/>
      <c r="Y841" s="7"/>
      <c r="Z841" s="2"/>
      <c r="AA841" s="1"/>
      <c r="AC841" s="2"/>
      <c r="AE841" s="1"/>
      <c r="AG841" s="2"/>
    </row>
    <row r="842" spans="1:33" ht="49.95" customHeight="1" x14ac:dyDescent="0.3">
      <c r="A842" s="64" t="s">
        <v>2844</v>
      </c>
      <c r="B842" s="108" t="s">
        <v>2845</v>
      </c>
      <c r="C842" s="65" t="s">
        <v>2846</v>
      </c>
      <c r="D842" s="65" t="s">
        <v>364</v>
      </c>
      <c r="E842" s="65" t="s">
        <v>249</v>
      </c>
      <c r="F842" s="65" t="s">
        <v>139</v>
      </c>
      <c r="G842" s="2">
        <v>1</v>
      </c>
      <c r="H842" s="14">
        <f>SUMIF(ENTRADAS71417[CÓDIGO],PRODUCTOS31316[[#This Row],[CÓDIGO]],ENTRADAS71417[CANTIDAD])</f>
        <v>0</v>
      </c>
      <c r="I842" s="11">
        <f>SUMIF(SALIDAS111518[CÓDIGO],PRODUCTOS31316[[#This Row],[CÓDIGO]],SALIDAS111518[CANTIDAD])</f>
        <v>1</v>
      </c>
      <c r="J842" s="6">
        <f>PRODUCTOS31316[[#This Row],[EXISTENCIAS]]+PRODUCTOS31316[[#This Row],[ENTRADAS]]-PRODUCTOS31316[[#This Row],[SALIDAS]]</f>
        <v>0</v>
      </c>
      <c r="L842" s="2"/>
      <c r="M842" s="2"/>
      <c r="N842" s="2">
        <v>7983</v>
      </c>
      <c r="O842" s="2" t="s">
        <v>2454</v>
      </c>
      <c r="P842" s="16">
        <v>46084</v>
      </c>
      <c r="Q842" s="2" t="s">
        <v>1631</v>
      </c>
      <c r="R842" s="2" t="str">
        <f>VLOOKUP(SALIDAS111518[[#This Row],[CÓDIGO]],PRODUCTOS31316[],2,FALSE)</f>
        <v>7101-CRAL</v>
      </c>
      <c r="S842" s="1" t="str">
        <f>VLOOKUP(SALIDAS111518[[#This Row],[CÓDIGO]],PRODUCTOS31316[],3,FALSE)</f>
        <v>LAMINA PORTA OBJETOS LISA EN VIDRIO 26X76MM, BORDE ESMERILADO</v>
      </c>
      <c r="T842" s="2">
        <v>1</v>
      </c>
      <c r="U842" s="2"/>
      <c r="V842" s="2"/>
      <c r="W842" s="2"/>
      <c r="X842" s="2"/>
      <c r="Y842" s="7"/>
      <c r="Z842" s="2"/>
      <c r="AA842" s="1"/>
      <c r="AC842" s="2"/>
      <c r="AE842" s="1"/>
      <c r="AG842" s="2"/>
    </row>
    <row r="843" spans="1:33" ht="49.95" customHeight="1" x14ac:dyDescent="0.3">
      <c r="A843" s="64" t="s">
        <v>2847</v>
      </c>
      <c r="B843" s="1">
        <v>28804</v>
      </c>
      <c r="C843" s="65" t="s">
        <v>2848</v>
      </c>
      <c r="D843" s="65" t="s">
        <v>442</v>
      </c>
      <c r="E843" s="65" t="s">
        <v>442</v>
      </c>
      <c r="F843" s="65" t="s">
        <v>30</v>
      </c>
      <c r="G843" s="2">
        <v>0</v>
      </c>
      <c r="H843" s="14">
        <f>SUMIF(ENTRADAS71417[CÓDIGO],PRODUCTOS31316[[#This Row],[CÓDIGO]],ENTRADAS71417[CANTIDAD])</f>
        <v>0</v>
      </c>
      <c r="I843" s="11">
        <f>SUMIF(SALIDAS111518[CÓDIGO],PRODUCTOS31316[[#This Row],[CÓDIGO]],SALIDAS111518[CANTIDAD])</f>
        <v>0</v>
      </c>
      <c r="J843" s="6">
        <f>PRODUCTOS31316[[#This Row],[EXISTENCIAS]]+PRODUCTOS31316[[#This Row],[ENTRADAS]]-PRODUCTOS31316[[#This Row],[SALIDAS]]</f>
        <v>0</v>
      </c>
      <c r="L843" s="2"/>
      <c r="M843" s="2"/>
      <c r="N843" s="2">
        <v>7983</v>
      </c>
      <c r="O843" s="2" t="s">
        <v>2454</v>
      </c>
      <c r="P843" s="16">
        <v>46084</v>
      </c>
      <c r="Q843" s="2" t="s">
        <v>1637</v>
      </c>
      <c r="R843" s="2" t="str">
        <f>VLOOKUP(SALIDAS111518[[#This Row],[CÓDIGO]],PRODUCTOS31316[],2,FALSE)</f>
        <v>P22X22</v>
      </c>
      <c r="S843" s="1" t="str">
        <f>VLOOKUP(SALIDAS111518[[#This Row],[CÓDIGO]],PRODUCTOS31316[],3,FALSE)</f>
        <v>LAMINA CUBRE OBJETO EN VIDRIO 22X22</v>
      </c>
      <c r="T843" s="2">
        <v>1</v>
      </c>
      <c r="U843" s="2"/>
      <c r="V843" s="2"/>
      <c r="W843" s="2"/>
      <c r="X843" s="2"/>
      <c r="Y843" s="7"/>
      <c r="Z843" s="2"/>
      <c r="AA843" s="1"/>
      <c r="AC843" s="2"/>
      <c r="AE843" s="1"/>
      <c r="AG843" s="2"/>
    </row>
    <row r="844" spans="1:33" ht="49.95" customHeight="1" x14ac:dyDescent="0.3">
      <c r="A844" s="72" t="s">
        <v>2857</v>
      </c>
      <c r="C844" s="95" t="s">
        <v>2858</v>
      </c>
      <c r="D844" s="73" t="s">
        <v>1931</v>
      </c>
      <c r="E844" s="73" t="s">
        <v>1931</v>
      </c>
      <c r="F844" s="73" t="s">
        <v>30</v>
      </c>
      <c r="G844" s="2">
        <v>0</v>
      </c>
      <c r="H844" s="14">
        <f>SUMIF(ENTRADAS71417[CÓDIGO],PRODUCTOS31316[[#This Row],[CÓDIGO]],ENTRADAS71417[CANTIDAD])</f>
        <v>0</v>
      </c>
      <c r="I844" s="11">
        <f>SUMIF(SALIDAS111518[CÓDIGO],PRODUCTOS31316[[#This Row],[CÓDIGO]],SALIDAS111518[CANTIDAD])</f>
        <v>0</v>
      </c>
      <c r="J844" s="6">
        <f>PRODUCTOS31316[[#This Row],[EXISTENCIAS]]+PRODUCTOS31316[[#This Row],[ENTRADAS]]-PRODUCTOS31316[[#This Row],[SALIDAS]]</f>
        <v>0</v>
      </c>
      <c r="L844" s="2"/>
      <c r="M844" s="2"/>
      <c r="N844" s="2">
        <v>7983</v>
      </c>
      <c r="O844" s="2" t="s">
        <v>2454</v>
      </c>
      <c r="P844" s="16">
        <v>46084</v>
      </c>
      <c r="Q844" s="2" t="s">
        <v>3365</v>
      </c>
      <c r="R844" s="2">
        <f>VLOOKUP(SALIDAS111518[[#This Row],[CÓDIGO]],PRODUCTOS31316[],2,FALSE)</f>
        <v>0</v>
      </c>
      <c r="S844" s="1" t="str">
        <f>VLOOKUP(SALIDAS111518[[#This Row],[CÓDIGO]],PRODUCTOS31316[],3,FALSE)</f>
        <v>MANGA DE PROTECCIÓN PALPACIÓN MAS CAMPO</v>
      </c>
      <c r="T844" s="2">
        <v>2</v>
      </c>
      <c r="U844" s="2"/>
      <c r="V844" s="2"/>
      <c r="W844" s="2"/>
      <c r="X844" s="2"/>
      <c r="Y844" s="7"/>
      <c r="Z844" s="2"/>
      <c r="AA844" s="1"/>
      <c r="AC844" s="2"/>
      <c r="AE844" s="1"/>
      <c r="AG844" s="2"/>
    </row>
    <row r="845" spans="1:33" ht="49.95" customHeight="1" x14ac:dyDescent="0.3">
      <c r="A845" s="72" t="s">
        <v>2859</v>
      </c>
      <c r="C845" s="73" t="s">
        <v>2862</v>
      </c>
      <c r="D845" s="73" t="s">
        <v>2861</v>
      </c>
      <c r="E845" s="73" t="s">
        <v>2863</v>
      </c>
      <c r="F845" s="73" t="s">
        <v>2860</v>
      </c>
      <c r="G845" s="2">
        <v>0</v>
      </c>
      <c r="H845" s="14">
        <f>SUMIF(ENTRADAS71417[CÓDIGO],PRODUCTOS31316[[#This Row],[CÓDIGO]],ENTRADAS71417[CANTIDAD])</f>
        <v>0</v>
      </c>
      <c r="I845" s="11">
        <f>SUMIF(SALIDAS111518[CÓDIGO],PRODUCTOS31316[[#This Row],[CÓDIGO]],SALIDAS111518[CANTIDAD])</f>
        <v>0</v>
      </c>
      <c r="J845" s="6">
        <f>PRODUCTOS31316[[#This Row],[EXISTENCIAS]]+PRODUCTOS31316[[#This Row],[ENTRADAS]]-PRODUCTOS31316[[#This Row],[SALIDAS]]</f>
        <v>0</v>
      </c>
      <c r="L845" s="2" t="s">
        <v>3521</v>
      </c>
      <c r="M845" s="2" t="s">
        <v>4250</v>
      </c>
      <c r="N845" s="1" t="s">
        <v>4279</v>
      </c>
      <c r="O845" s="2" t="s">
        <v>4271</v>
      </c>
      <c r="P845" s="16">
        <v>46084</v>
      </c>
      <c r="Q845" s="2" t="s">
        <v>36</v>
      </c>
      <c r="R845" s="2">
        <f>VLOOKUP(SALIDAS111518[[#This Row],[CÓDIGO]],PRODUCTOS31316[],2,FALSE)</f>
        <v>1</v>
      </c>
      <c r="S845" s="1" t="str">
        <f>VLOOKUP(SALIDAS111518[[#This Row],[CÓDIGO]],PRODUCTOS31316[],3,FALSE)</f>
        <v xml:space="preserve">PARCHE ESTROTECT </v>
      </c>
      <c r="T845" s="2">
        <v>1</v>
      </c>
      <c r="U845" s="2">
        <v>376</v>
      </c>
      <c r="V845" s="2"/>
      <c r="W845" s="2"/>
      <c r="X845" s="2"/>
      <c r="Y845" s="7"/>
      <c r="Z845" s="2"/>
      <c r="AA845" s="1"/>
      <c r="AC845" s="2"/>
      <c r="AE845" s="1"/>
      <c r="AG845" s="2"/>
    </row>
    <row r="846" spans="1:33" ht="49.95" customHeight="1" x14ac:dyDescent="0.3">
      <c r="A846" s="72" t="s">
        <v>2864</v>
      </c>
      <c r="C846" s="73" t="s">
        <v>2853</v>
      </c>
      <c r="D846" s="53"/>
      <c r="E846" s="73" t="s">
        <v>2865</v>
      </c>
      <c r="F846" s="73" t="s">
        <v>1057</v>
      </c>
      <c r="G846" s="2">
        <v>0</v>
      </c>
      <c r="H846" s="14">
        <f>SUMIF(ENTRADAS71417[CÓDIGO],PRODUCTOS31316[[#This Row],[CÓDIGO]],ENTRADAS71417[CANTIDAD])</f>
        <v>0</v>
      </c>
      <c r="I846" s="11">
        <f>SUMIF(SALIDAS111518[CÓDIGO],PRODUCTOS31316[[#This Row],[CÓDIGO]],SALIDAS111518[CANTIDAD])</f>
        <v>0</v>
      </c>
      <c r="J846" s="6">
        <f>PRODUCTOS31316[[#This Row],[EXISTENCIAS]]+PRODUCTOS31316[[#This Row],[ENTRADAS]]-PRODUCTOS31316[[#This Row],[SALIDAS]]</f>
        <v>0</v>
      </c>
      <c r="L846" s="2" t="s">
        <v>3520</v>
      </c>
      <c r="M846" s="2" t="s">
        <v>4250</v>
      </c>
      <c r="N846" s="1" t="s">
        <v>4280</v>
      </c>
      <c r="O846" s="1" t="s">
        <v>3830</v>
      </c>
      <c r="P846" s="16">
        <v>46084</v>
      </c>
      <c r="Q846" s="2" t="s">
        <v>104</v>
      </c>
      <c r="R846" s="2">
        <f>VLOOKUP(SALIDAS111518[[#This Row],[CÓDIGO]],PRODUCTOS31316[],2,FALSE)</f>
        <v>0</v>
      </c>
      <c r="S846" s="1" t="str">
        <f>VLOOKUP(SALIDAS111518[[#This Row],[CÓDIGO]],PRODUCTOS31316[],3,FALSE)</f>
        <v>ISPERM CHIPS (500 TESTS PER BOX) PAQ. X 50 UND</v>
      </c>
      <c r="T846" s="2">
        <v>10</v>
      </c>
      <c r="U846" s="2">
        <v>377</v>
      </c>
      <c r="V846" s="2"/>
      <c r="W846" s="2"/>
      <c r="X846" s="2"/>
      <c r="Y846" s="7"/>
      <c r="Z846" s="2"/>
      <c r="AA846" s="1"/>
      <c r="AC846" s="2"/>
      <c r="AE846" s="1"/>
      <c r="AG846" s="2"/>
    </row>
    <row r="847" spans="1:33" ht="49.95" customHeight="1" x14ac:dyDescent="0.3">
      <c r="A847" s="75" t="s">
        <v>2868</v>
      </c>
      <c r="C847" s="74" t="s">
        <v>2869</v>
      </c>
      <c r="D847" s="74" t="s">
        <v>1886</v>
      </c>
      <c r="E847" s="74" t="s">
        <v>1886</v>
      </c>
      <c r="F847" s="74" t="s">
        <v>30</v>
      </c>
      <c r="G847" s="2">
        <v>0</v>
      </c>
      <c r="H847" s="14">
        <f>SUMIF(ENTRADAS71417[CÓDIGO],PRODUCTOS31316[[#This Row],[CÓDIGO]],ENTRADAS71417[CANTIDAD])</f>
        <v>0</v>
      </c>
      <c r="I847" s="11">
        <f>SUMIF(SALIDAS111518[CÓDIGO],PRODUCTOS31316[[#This Row],[CÓDIGO]],SALIDAS111518[CANTIDAD])</f>
        <v>0</v>
      </c>
      <c r="J847" s="6">
        <f>PRODUCTOS31316[[#This Row],[EXISTENCIAS]]+PRODUCTOS31316[[#This Row],[ENTRADAS]]-PRODUCTOS31316[[#This Row],[SALIDAS]]</f>
        <v>0</v>
      </c>
      <c r="L847" s="2" t="s">
        <v>3521</v>
      </c>
      <c r="M847" s="2" t="s">
        <v>4250</v>
      </c>
      <c r="N847" s="308" t="s">
        <v>4286</v>
      </c>
      <c r="O847" s="2" t="s">
        <v>4272</v>
      </c>
      <c r="P847" s="16">
        <v>46084</v>
      </c>
      <c r="Q847" s="2" t="s">
        <v>2253</v>
      </c>
      <c r="R847" s="2">
        <f>VLOOKUP(SALIDAS111518[[#This Row],[CÓDIGO]],PRODUCTOS31316[],2,FALSE)</f>
        <v>26218</v>
      </c>
      <c r="S847" s="1" t="str">
        <f>VLOOKUP(SALIDAS111518[[#This Row],[CÓDIGO]],PRODUCTOS31316[],3,FALSE)</f>
        <v>OPTIXCELL 250 ML</v>
      </c>
      <c r="T847" s="2">
        <v>1</v>
      </c>
      <c r="U847" s="2">
        <v>379</v>
      </c>
      <c r="V847" s="2"/>
      <c r="W847" s="2"/>
      <c r="X847" s="2"/>
      <c r="Y847" s="7"/>
      <c r="Z847" s="2"/>
      <c r="AA847" s="1"/>
      <c r="AC847" s="2"/>
      <c r="AE847" s="1"/>
      <c r="AG847" s="2"/>
    </row>
    <row r="848" spans="1:33" ht="49.95" customHeight="1" x14ac:dyDescent="0.3">
      <c r="A848" s="77" t="s">
        <v>2872</v>
      </c>
      <c r="B848" s="325" t="s">
        <v>4569</v>
      </c>
      <c r="C848" s="194" t="s">
        <v>3255</v>
      </c>
      <c r="D848" s="78" t="s">
        <v>467</v>
      </c>
      <c r="E848" s="78" t="s">
        <v>467</v>
      </c>
      <c r="F848" s="78" t="s">
        <v>30</v>
      </c>
      <c r="G848" s="2">
        <v>1</v>
      </c>
      <c r="H848" s="14">
        <f>SUMIF(ENTRADAS71417[CÓDIGO],PRODUCTOS31316[[#This Row],[CÓDIGO]],ENTRADAS71417[CANTIDAD])</f>
        <v>0</v>
      </c>
      <c r="I848" s="11">
        <f>SUMIF(SALIDAS111518[CÓDIGO],PRODUCTOS31316[[#This Row],[CÓDIGO]],SALIDAS111518[CANTIDAD])</f>
        <v>0</v>
      </c>
      <c r="J848" s="6">
        <f>PRODUCTOS31316[[#This Row],[EXISTENCIAS]]+PRODUCTOS31316[[#This Row],[ENTRADAS]]-PRODUCTOS31316[[#This Row],[SALIDAS]]</f>
        <v>1</v>
      </c>
      <c r="L848" s="2" t="s">
        <v>3520</v>
      </c>
      <c r="M848" s="2" t="s">
        <v>4250</v>
      </c>
      <c r="N848" s="308" t="s">
        <v>4288</v>
      </c>
      <c r="O848" s="2" t="s">
        <v>3067</v>
      </c>
      <c r="P848" s="16">
        <v>46084</v>
      </c>
      <c r="Q848" s="2" t="s">
        <v>15</v>
      </c>
      <c r="R848" s="2" t="str">
        <f>VLOOKUP(SALIDAS111518[[#This Row],[CÓDIGO]],PRODUCTOS31316[],2,FALSE)</f>
        <v>BTE-025PT/ 504002</v>
      </c>
      <c r="S848" s="1" t="str">
        <f>VLOOKUP(SALIDAS111518[[#This Row],[CÓDIGO]],PRODUCTOS31316[],3,FALSE)</f>
        <v>FUNDAS PARA TRANSFERENCIA DE EMBRIONES</v>
      </c>
      <c r="T848" s="2">
        <v>60</v>
      </c>
      <c r="U848" s="307" t="s">
        <v>4287</v>
      </c>
      <c r="V848" s="2"/>
      <c r="W848" s="2"/>
      <c r="X848" s="2"/>
      <c r="Y848" s="7"/>
      <c r="Z848" s="2"/>
      <c r="AA848" s="1"/>
      <c r="AC848" s="2"/>
      <c r="AE848" s="1"/>
      <c r="AG848" s="2"/>
    </row>
    <row r="849" spans="1:33" ht="49.95" customHeight="1" x14ac:dyDescent="0.3">
      <c r="A849" s="77" t="s">
        <v>2875</v>
      </c>
      <c r="B849" s="1" t="s">
        <v>2874</v>
      </c>
      <c r="C849" s="112" t="s">
        <v>2873</v>
      </c>
      <c r="D849" s="78" t="s">
        <v>639</v>
      </c>
      <c r="E849" s="78" t="s">
        <v>639</v>
      </c>
      <c r="F849" s="78" t="s">
        <v>1854</v>
      </c>
      <c r="G849" s="2">
        <v>0</v>
      </c>
      <c r="H849" s="14">
        <f>SUMIF(ENTRADAS71417[CÓDIGO],PRODUCTOS31316[[#This Row],[CÓDIGO]],ENTRADAS71417[CANTIDAD])</f>
        <v>0</v>
      </c>
      <c r="I849" s="11">
        <f>SUMIF(SALIDAS111518[CÓDIGO],PRODUCTOS31316[[#This Row],[CÓDIGO]],SALIDAS111518[CANTIDAD])</f>
        <v>0</v>
      </c>
      <c r="J849" s="6">
        <f>PRODUCTOS31316[[#This Row],[EXISTENCIAS]]+PRODUCTOS31316[[#This Row],[ENTRADAS]]-PRODUCTOS31316[[#This Row],[SALIDAS]]</f>
        <v>0</v>
      </c>
      <c r="L849" s="2"/>
      <c r="M849" s="2"/>
      <c r="N849" s="2">
        <v>7987</v>
      </c>
      <c r="O849" s="2" t="s">
        <v>3067</v>
      </c>
      <c r="P849" s="16">
        <v>46084</v>
      </c>
      <c r="Q849" s="2" t="s">
        <v>3328</v>
      </c>
      <c r="R849" s="2">
        <f>VLOOKUP(SALIDAS111518[[#This Row],[CÓDIGO]],PRODUCTOS31316[],2,FALSE)</f>
        <v>9006004</v>
      </c>
      <c r="S849" s="1" t="str">
        <f>VLOOKUP(SALIDAS111518[[#This Row],[CÓDIGO]],PRODUCTOS31316[],3,FALSE)</f>
        <v>LACRADOR LARGO VERDE</v>
      </c>
      <c r="T849" s="2">
        <v>3</v>
      </c>
      <c r="U849" s="2"/>
      <c r="V849" s="2"/>
      <c r="W849" s="2"/>
      <c r="X849" s="2"/>
      <c r="Y849" s="7"/>
      <c r="Z849" s="2"/>
      <c r="AA849" s="1"/>
      <c r="AC849" s="2"/>
      <c r="AE849" s="1"/>
      <c r="AG849" s="2"/>
    </row>
    <row r="850" spans="1:33" ht="49.95" customHeight="1" x14ac:dyDescent="0.3">
      <c r="A850" s="77" t="s">
        <v>2876</v>
      </c>
      <c r="C850" s="216" t="s">
        <v>2877</v>
      </c>
      <c r="D850" s="78" t="s">
        <v>18</v>
      </c>
      <c r="E850" s="78" t="s">
        <v>18</v>
      </c>
      <c r="F850" s="78" t="s">
        <v>30</v>
      </c>
      <c r="G850" s="2">
        <v>0</v>
      </c>
      <c r="H850" s="14">
        <f>SUMIF(ENTRADAS71417[CÓDIGO],PRODUCTOS31316[[#This Row],[CÓDIGO]],ENTRADAS71417[CANTIDAD])</f>
        <v>10</v>
      </c>
      <c r="I850" s="11">
        <f>SUMIF(SALIDAS111518[CÓDIGO],PRODUCTOS31316[[#This Row],[CÓDIGO]],SALIDAS111518[CANTIDAD])</f>
        <v>6</v>
      </c>
      <c r="J850" s="6">
        <f>PRODUCTOS31316[[#This Row],[EXISTENCIAS]]+PRODUCTOS31316[[#This Row],[ENTRADAS]]-PRODUCTOS31316[[#This Row],[SALIDAS]]</f>
        <v>4</v>
      </c>
      <c r="L850" s="2" t="s">
        <v>3520</v>
      </c>
      <c r="M850" s="2" t="s">
        <v>4250</v>
      </c>
      <c r="N850" s="308" t="s">
        <v>4289</v>
      </c>
      <c r="O850" s="2" t="s">
        <v>1358</v>
      </c>
      <c r="P850" s="16">
        <v>46084</v>
      </c>
      <c r="Q850" s="2" t="s">
        <v>153</v>
      </c>
      <c r="R850" s="2">
        <f>VLOOKUP(SALIDAS111518[[#This Row],[CÓDIGO]],PRODUCTOS31316[],2,FALSE)</f>
        <v>1132</v>
      </c>
      <c r="S850" s="1" t="str">
        <f>VLOOKUP(SALIDAS111518[[#This Row],[CÓDIGO]],PRODUCTOS31316[],3,FALSE)</f>
        <v>PISTOLA QUICKLOCK CLASIC</v>
      </c>
      <c r="T850" s="2">
        <v>2</v>
      </c>
      <c r="U850" s="2">
        <v>381</v>
      </c>
      <c r="V850" s="2"/>
      <c r="W850" s="2"/>
      <c r="X850" s="2"/>
      <c r="Y850" s="7"/>
      <c r="Z850" s="2"/>
      <c r="AA850" s="1"/>
      <c r="AC850" s="2"/>
      <c r="AE850" s="1"/>
      <c r="AG850" s="2"/>
    </row>
    <row r="851" spans="1:33" ht="49.95" customHeight="1" x14ac:dyDescent="0.3">
      <c r="A851" s="77" t="s">
        <v>2880</v>
      </c>
      <c r="B851" s="1">
        <v>7179</v>
      </c>
      <c r="C851" s="216" t="s">
        <v>2883</v>
      </c>
      <c r="D851" s="78" t="s">
        <v>156</v>
      </c>
      <c r="E851" s="78" t="s">
        <v>2020</v>
      </c>
      <c r="F851" s="78" t="s">
        <v>30</v>
      </c>
      <c r="G851" s="31">
        <v>3</v>
      </c>
      <c r="H851" s="14">
        <f>SUMIF(ENTRADAS71417[CÓDIGO],PRODUCTOS31316[[#This Row],[CÓDIGO]],ENTRADAS71417[CANTIDAD])</f>
        <v>1</v>
      </c>
      <c r="I851" s="11">
        <f>SUMIF(SALIDAS111518[CÓDIGO],PRODUCTOS31316[[#This Row],[CÓDIGO]],SALIDAS111518[CANTIDAD])</f>
        <v>2</v>
      </c>
      <c r="J851" s="6">
        <f>PRODUCTOS31316[[#This Row],[EXISTENCIAS]]+PRODUCTOS31316[[#This Row],[ENTRADAS]]-PRODUCTOS31316[[#This Row],[SALIDAS]]</f>
        <v>2</v>
      </c>
      <c r="L851" s="2" t="s">
        <v>3521</v>
      </c>
      <c r="M851" s="2" t="s">
        <v>4250</v>
      </c>
      <c r="N851" s="308" t="s">
        <v>4290</v>
      </c>
      <c r="O851" s="307" t="s">
        <v>4281</v>
      </c>
      <c r="P851" s="16">
        <v>46084</v>
      </c>
      <c r="Q851" s="307" t="s">
        <v>3431</v>
      </c>
      <c r="R851" s="2">
        <f>VLOOKUP(SALIDAS111518[[#This Row],[CÓDIGO]],PRODUCTOS31316[],2,FALSE)</f>
        <v>9013005</v>
      </c>
      <c r="S851" s="1" t="str">
        <f>VLOOKUP(SALIDAS111518[[#This Row],[CÓDIGO]],PRODUCTOS31316[],3,FALSE)</f>
        <v>TERMO DESCONGELADOR DE EMBRIONES Y SEMEN DSE-400 SIN BATERÍA BLACK/GRAY</v>
      </c>
      <c r="T851" s="2">
        <v>1</v>
      </c>
      <c r="U851" s="2">
        <v>383</v>
      </c>
      <c r="V851" s="2"/>
      <c r="W851" s="2"/>
      <c r="X851" s="2"/>
      <c r="Y851" s="7"/>
      <c r="Z851" s="2"/>
      <c r="AA851" s="1"/>
      <c r="AC851" s="2"/>
      <c r="AE851" s="1"/>
      <c r="AG851" s="2"/>
    </row>
    <row r="852" spans="1:33" ht="49.95" customHeight="1" x14ac:dyDescent="0.3">
      <c r="A852" s="77" t="s">
        <v>2881</v>
      </c>
      <c r="B852" s="1">
        <v>5205</v>
      </c>
      <c r="C852" s="78" t="s">
        <v>2884</v>
      </c>
      <c r="D852" s="78" t="s">
        <v>156</v>
      </c>
      <c r="E852" s="78" t="s">
        <v>2020</v>
      </c>
      <c r="F852" s="78" t="s">
        <v>30</v>
      </c>
      <c r="G852" s="31">
        <f>1+1+1</f>
        <v>3</v>
      </c>
      <c r="H852" s="14">
        <f>SUMIF(ENTRADAS71417[CÓDIGO],PRODUCTOS31316[[#This Row],[CÓDIGO]],ENTRADAS71417[CANTIDAD])</f>
        <v>2</v>
      </c>
      <c r="I852" s="11">
        <f>SUMIF(SALIDAS111518[CÓDIGO],PRODUCTOS31316[[#This Row],[CÓDIGO]],SALIDAS111518[CANTIDAD])</f>
        <v>3</v>
      </c>
      <c r="J852" s="6">
        <f>PRODUCTOS31316[[#This Row],[EXISTENCIAS]]+PRODUCTOS31316[[#This Row],[ENTRADAS]]-PRODUCTOS31316[[#This Row],[SALIDAS]]</f>
        <v>2</v>
      </c>
      <c r="L852" s="2"/>
      <c r="M852" s="2"/>
      <c r="N852" s="2">
        <v>7989</v>
      </c>
      <c r="O852" s="2" t="s">
        <v>4281</v>
      </c>
      <c r="P852" s="16">
        <v>46084</v>
      </c>
      <c r="Q852" s="2" t="s">
        <v>3181</v>
      </c>
      <c r="R852" s="2">
        <f>VLOOKUP(SALIDAS111518[[#This Row],[CÓDIGO]],PRODUCTOS31316[],2,FALSE)</f>
        <v>7416</v>
      </c>
      <c r="S852" s="1" t="str">
        <f>VLOOKUP(SALIDAS111518[[#This Row],[CÓDIGO]],PRODUCTOS31316[],3,FALSE)</f>
        <v>CAJA PLÁSTICA DE 22" DE TRANSPORTE</v>
      </c>
      <c r="T852" s="2">
        <v>1</v>
      </c>
      <c r="U852" s="2"/>
      <c r="V852" s="2"/>
      <c r="W852" s="2"/>
      <c r="X852" s="2"/>
      <c r="Y852" s="7"/>
      <c r="Z852" s="2"/>
      <c r="AA852" s="1"/>
      <c r="AC852" s="2"/>
      <c r="AE852" s="1"/>
      <c r="AG852" s="2"/>
    </row>
    <row r="853" spans="1:33" ht="49.95" customHeight="1" x14ac:dyDescent="0.3">
      <c r="A853" s="77" t="s">
        <v>2882</v>
      </c>
      <c r="B853" s="1">
        <v>27512</v>
      </c>
      <c r="C853" s="95" t="s">
        <v>2929</v>
      </c>
      <c r="D853" s="78" t="s">
        <v>156</v>
      </c>
      <c r="E853" s="78" t="s">
        <v>2020</v>
      </c>
      <c r="F853" s="78" t="s">
        <v>30</v>
      </c>
      <c r="G853" s="31">
        <v>2</v>
      </c>
      <c r="H853" s="14">
        <f>SUMIF(ENTRADAS71417[CÓDIGO],PRODUCTOS31316[[#This Row],[CÓDIGO]],ENTRADAS71417[CANTIDAD])</f>
        <v>0</v>
      </c>
      <c r="I853" s="11">
        <f>SUMIF(SALIDAS111518[CÓDIGO],PRODUCTOS31316[[#This Row],[CÓDIGO]],SALIDAS111518[CANTIDAD])</f>
        <v>1</v>
      </c>
      <c r="J853" s="6">
        <f>PRODUCTOS31316[[#This Row],[EXISTENCIAS]]+PRODUCTOS31316[[#This Row],[ENTRADAS]]-PRODUCTOS31316[[#This Row],[SALIDAS]]</f>
        <v>1</v>
      </c>
      <c r="L853" s="2"/>
      <c r="M853" s="2"/>
      <c r="N853" s="2">
        <v>7989</v>
      </c>
      <c r="O853" s="307" t="s">
        <v>4281</v>
      </c>
      <c r="P853" s="16">
        <v>46084</v>
      </c>
      <c r="Q853" s="2" t="s">
        <v>153</v>
      </c>
      <c r="R853" s="2">
        <f>VLOOKUP(SALIDAS111518[[#This Row],[CÓDIGO]],PRODUCTOS31316[],2,FALSE)</f>
        <v>1132</v>
      </c>
      <c r="S853" s="1" t="str">
        <f>VLOOKUP(SALIDAS111518[[#This Row],[CÓDIGO]],PRODUCTOS31316[],3,FALSE)</f>
        <v>PISTOLA QUICKLOCK CLASIC</v>
      </c>
      <c r="T853" s="2">
        <v>2</v>
      </c>
      <c r="U853" s="2"/>
      <c r="V853" s="2"/>
      <c r="W853" s="2"/>
      <c r="X853" s="2"/>
      <c r="Y853" s="7"/>
      <c r="Z853" s="2"/>
      <c r="AA853" s="1"/>
      <c r="AC853" s="2"/>
      <c r="AE853" s="1"/>
      <c r="AG853" s="2"/>
    </row>
    <row r="854" spans="1:33" ht="49.95" customHeight="1" x14ac:dyDescent="0.3">
      <c r="A854" s="80" t="s">
        <v>2888</v>
      </c>
      <c r="B854" s="81" t="s">
        <v>2886</v>
      </c>
      <c r="C854" s="81" t="s">
        <v>2887</v>
      </c>
      <c r="D854" s="81" t="s">
        <v>1929</v>
      </c>
      <c r="E854" s="81" t="s">
        <v>1929</v>
      </c>
      <c r="F854" s="81" t="s">
        <v>30</v>
      </c>
      <c r="G854" s="2">
        <v>2</v>
      </c>
      <c r="H854" s="14">
        <f>SUMIF(ENTRADAS71417[CÓDIGO],PRODUCTOS31316[[#This Row],[CÓDIGO]],ENTRADAS71417[CANTIDAD])</f>
        <v>5</v>
      </c>
      <c r="I854" s="11">
        <f>SUMIF(SALIDAS111518[CÓDIGO],PRODUCTOS31316[[#This Row],[CÓDIGO]],SALIDAS111518[CANTIDAD])</f>
        <v>2</v>
      </c>
      <c r="J854" s="6">
        <f>PRODUCTOS31316[[#This Row],[EXISTENCIAS]]+PRODUCTOS31316[[#This Row],[ENTRADAS]]-PRODUCTOS31316[[#This Row],[SALIDAS]]</f>
        <v>5</v>
      </c>
      <c r="L854" s="2"/>
      <c r="M854" s="2"/>
      <c r="N854" s="2">
        <v>7989</v>
      </c>
      <c r="O854" s="2" t="s">
        <v>4281</v>
      </c>
      <c r="P854" s="16">
        <v>46084</v>
      </c>
      <c r="Q854" s="2" t="s">
        <v>369</v>
      </c>
      <c r="R854" s="2">
        <f>VLOOKUP(SALIDAS111518[[#This Row],[CÓDIGO]],PRODUCTOS31316[],2,FALSE)</f>
        <v>0</v>
      </c>
      <c r="S854" s="1" t="str">
        <f>VLOOKUP(SALIDAS111518[[#This Row],[CÓDIGO]],PRODUCTOS31316[],3,FALSE)</f>
        <v>FUNDA UNIVERSAL PARA I.A. RANURADA</v>
      </c>
      <c r="T854" s="2">
        <v>1</v>
      </c>
      <c r="U854" s="2"/>
      <c r="V854" s="2"/>
      <c r="W854" s="2"/>
      <c r="X854" s="2"/>
      <c r="Y854" s="7"/>
      <c r="Z854" s="2"/>
      <c r="AA854" s="1"/>
      <c r="AC854" s="2"/>
      <c r="AE854" s="1"/>
      <c r="AG854" s="2"/>
    </row>
    <row r="855" spans="1:33" ht="49.95" customHeight="1" x14ac:dyDescent="0.3">
      <c r="A855" s="80" t="s">
        <v>2890</v>
      </c>
      <c r="B855" s="103" t="s">
        <v>774</v>
      </c>
      <c r="C855" s="216" t="s">
        <v>2891</v>
      </c>
      <c r="D855" s="81" t="s">
        <v>103</v>
      </c>
      <c r="E855" s="81" t="s">
        <v>2892</v>
      </c>
      <c r="F855" s="81" t="s">
        <v>422</v>
      </c>
      <c r="G855" s="2">
        <v>0</v>
      </c>
      <c r="H855" s="14">
        <f>SUMIF(ENTRADAS71417[CÓDIGO],PRODUCTOS31316[[#This Row],[CÓDIGO]],ENTRADAS71417[CANTIDAD])</f>
        <v>0</v>
      </c>
      <c r="I855" s="11">
        <f>SUMIF(SALIDAS111518[CÓDIGO],PRODUCTOS31316[[#This Row],[CÓDIGO]],SALIDAS111518[CANTIDAD])</f>
        <v>0</v>
      </c>
      <c r="J855" s="6">
        <f>PRODUCTOS31316[[#This Row],[EXISTENCIAS]]+PRODUCTOS31316[[#This Row],[ENTRADAS]]-PRODUCTOS31316[[#This Row],[SALIDAS]]</f>
        <v>0</v>
      </c>
      <c r="L855" s="2"/>
      <c r="M855" s="2"/>
      <c r="N855" s="2">
        <v>7989</v>
      </c>
      <c r="O855" s="2" t="s">
        <v>4281</v>
      </c>
      <c r="P855" s="16">
        <v>46084</v>
      </c>
      <c r="Q855" s="2" t="s">
        <v>658</v>
      </c>
      <c r="R855" s="2">
        <f>VLOOKUP(SALIDAS111518[[#This Row],[CÓDIGO]],PRODUCTOS31316[],2,FALSE)</f>
        <v>0</v>
      </c>
      <c r="S855" s="1" t="str">
        <f>VLOOKUP(SALIDAS111518[[#This Row],[CÓDIGO]],PRODUCTOS31316[],3,FALSE)</f>
        <v>CATETER TALADRO TRANSPARENTE 18"</v>
      </c>
      <c r="T855" s="2">
        <v>1</v>
      </c>
      <c r="U855" s="2"/>
      <c r="V855" s="2"/>
      <c r="W855" s="2"/>
      <c r="X855" s="2"/>
      <c r="Y855" s="7"/>
      <c r="Z855" s="2"/>
      <c r="AA855" s="1"/>
      <c r="AC855" s="2"/>
      <c r="AE855" s="1"/>
      <c r="AG855" s="2"/>
    </row>
    <row r="856" spans="1:33" ht="49.95" customHeight="1" x14ac:dyDescent="0.3">
      <c r="A856" s="80" t="s">
        <v>2900</v>
      </c>
      <c r="B856" s="81" t="s">
        <v>2893</v>
      </c>
      <c r="C856" s="81" t="s">
        <v>2894</v>
      </c>
      <c r="D856" s="81" t="s">
        <v>103</v>
      </c>
      <c r="E856" s="81" t="s">
        <v>2892</v>
      </c>
      <c r="F856" s="81" t="s">
        <v>359</v>
      </c>
      <c r="G856" s="2">
        <v>0</v>
      </c>
      <c r="H856" s="14">
        <f>SUMIF(ENTRADAS71417[CÓDIGO],PRODUCTOS31316[[#This Row],[CÓDIGO]],ENTRADAS71417[CANTIDAD])</f>
        <v>0</v>
      </c>
      <c r="I856" s="11">
        <f>SUMIF(SALIDAS111518[CÓDIGO],PRODUCTOS31316[[#This Row],[CÓDIGO]],SALIDAS111518[CANTIDAD])</f>
        <v>0</v>
      </c>
      <c r="J856" s="6">
        <f>PRODUCTOS31316[[#This Row],[EXISTENCIAS]]+PRODUCTOS31316[[#This Row],[ENTRADAS]]-PRODUCTOS31316[[#This Row],[SALIDAS]]</f>
        <v>0</v>
      </c>
      <c r="L856" s="2"/>
      <c r="M856" s="2"/>
      <c r="N856" s="2">
        <v>7989</v>
      </c>
      <c r="O856" s="2" t="s">
        <v>4281</v>
      </c>
      <c r="P856" s="16">
        <v>46084</v>
      </c>
      <c r="Q856" s="2" t="s">
        <v>382</v>
      </c>
      <c r="R856" s="2">
        <f>VLOOKUP(SALIDAS111518[[#This Row],[CÓDIGO]],PRODUCTOS31316[],2,FALSE)</f>
        <v>605032</v>
      </c>
      <c r="S856" s="1" t="str">
        <f>VLOOKUP(SALIDAS111518[[#This Row],[CÓDIGO]],PRODUCTOS31316[],3,FALSE)</f>
        <v>LUBRICANTE OB, NO ESPERMICIDA</v>
      </c>
      <c r="T856" s="2">
        <v>1</v>
      </c>
      <c r="U856" s="2"/>
      <c r="V856" s="2"/>
      <c r="W856" s="2"/>
      <c r="X856" s="2"/>
      <c r="Y856" s="7"/>
      <c r="Z856" s="2"/>
      <c r="AA856" s="1"/>
      <c r="AC856" s="2"/>
      <c r="AE856" s="1"/>
      <c r="AG856" s="2"/>
    </row>
    <row r="857" spans="1:33" ht="49.95" customHeight="1" x14ac:dyDescent="0.3">
      <c r="A857" s="80" t="s">
        <v>2901</v>
      </c>
      <c r="B857" s="81" t="s">
        <v>2895</v>
      </c>
      <c r="C857" s="216" t="s">
        <v>2896</v>
      </c>
      <c r="D857" s="81" t="s">
        <v>103</v>
      </c>
      <c r="E857" s="81" t="s">
        <v>2892</v>
      </c>
      <c r="F857" s="81" t="s">
        <v>30</v>
      </c>
      <c r="G857" s="2">
        <v>0</v>
      </c>
      <c r="H857" s="14">
        <f>SUMIF(ENTRADAS71417[CÓDIGO],PRODUCTOS31316[[#This Row],[CÓDIGO]],ENTRADAS71417[CANTIDAD])</f>
        <v>0</v>
      </c>
      <c r="I857" s="11">
        <f>SUMIF(SALIDAS111518[CÓDIGO],PRODUCTOS31316[[#This Row],[CÓDIGO]],SALIDAS111518[CANTIDAD])</f>
        <v>0</v>
      </c>
      <c r="J857" s="6">
        <f>PRODUCTOS31316[[#This Row],[EXISTENCIAS]]+PRODUCTOS31316[[#This Row],[ENTRADAS]]-PRODUCTOS31316[[#This Row],[SALIDAS]]</f>
        <v>0</v>
      </c>
      <c r="L857" s="2"/>
      <c r="M857" s="2"/>
      <c r="N857" s="2">
        <v>7989</v>
      </c>
      <c r="O857" s="2" t="s">
        <v>4281</v>
      </c>
      <c r="P857" s="16">
        <v>46084</v>
      </c>
      <c r="Q857" s="2" t="s">
        <v>581</v>
      </c>
      <c r="R857" s="2">
        <f>VLOOKUP(SALIDAS111518[[#This Row],[CÓDIGO]],PRODUCTOS31316[],2,FALSE)</f>
        <v>11571</v>
      </c>
      <c r="S857" s="1" t="str">
        <f>VLOOKUP(SALIDAS111518[[#This Row],[CÓDIGO]],PRODUCTOS31316[],3,FALSE)</f>
        <v>PINZA COGEPAJILLA</v>
      </c>
      <c r="T857" s="2">
        <v>1</v>
      </c>
      <c r="U857" s="2"/>
      <c r="V857" s="2"/>
      <c r="W857" s="2"/>
      <c r="X857" s="2"/>
      <c r="Y857" s="7"/>
      <c r="Z857" s="2"/>
      <c r="AA857" s="1"/>
      <c r="AC857" s="2"/>
      <c r="AE857" s="1"/>
      <c r="AG857" s="2"/>
    </row>
    <row r="858" spans="1:33" ht="49.95" customHeight="1" x14ac:dyDescent="0.3">
      <c r="A858" s="80" t="s">
        <v>2902</v>
      </c>
      <c r="B858" s="202" t="s">
        <v>1417</v>
      </c>
      <c r="C858" s="81" t="s">
        <v>2897</v>
      </c>
      <c r="D858" s="81" t="s">
        <v>103</v>
      </c>
      <c r="E858" s="81" t="s">
        <v>2892</v>
      </c>
      <c r="F858" s="81" t="s">
        <v>647</v>
      </c>
      <c r="G858" s="2">
        <v>0</v>
      </c>
      <c r="H858" s="14">
        <f>SUMIF(ENTRADAS71417[CÓDIGO],PRODUCTOS31316[[#This Row],[CÓDIGO]],ENTRADAS71417[CANTIDAD])</f>
        <v>0</v>
      </c>
      <c r="I858" s="11">
        <f>SUMIF(SALIDAS111518[CÓDIGO],PRODUCTOS31316[[#This Row],[CÓDIGO]],SALIDAS111518[CANTIDAD])</f>
        <v>0</v>
      </c>
      <c r="J858" s="6">
        <f>PRODUCTOS31316[[#This Row],[EXISTENCIAS]]+PRODUCTOS31316[[#This Row],[ENTRADAS]]-PRODUCTOS31316[[#This Row],[SALIDAS]]</f>
        <v>0</v>
      </c>
      <c r="L858" s="2"/>
      <c r="M858" s="2"/>
      <c r="N858" s="2">
        <v>7989</v>
      </c>
      <c r="O858" s="2" t="s">
        <v>4281</v>
      </c>
      <c r="P858" s="16">
        <v>46084</v>
      </c>
      <c r="Q858" s="2" t="s">
        <v>1779</v>
      </c>
      <c r="R858" s="2">
        <f>VLOOKUP(SALIDAS111518[[#This Row],[CÓDIGO]],PRODUCTOS31316[],2,FALSE)</f>
        <v>5563</v>
      </c>
      <c r="S858" s="1" t="str">
        <f>VLOOKUP(SALIDAS111518[[#This Row],[CÓDIGO]],PRODUCTOS31316[],3,FALSE)</f>
        <v>CAMISA SANITARIA ROLLO X 80</v>
      </c>
      <c r="T858" s="2">
        <v>1</v>
      </c>
      <c r="U858" s="2"/>
      <c r="V858" s="2"/>
      <c r="W858" s="2"/>
      <c r="X858" s="2"/>
      <c r="Y858" s="7"/>
      <c r="Z858" s="2"/>
      <c r="AA858" s="1"/>
      <c r="AC858" s="2"/>
      <c r="AE858" s="1"/>
      <c r="AG858" s="2"/>
    </row>
    <row r="859" spans="1:33" ht="49.95" customHeight="1" x14ac:dyDescent="0.3">
      <c r="A859" s="80" t="s">
        <v>2903</v>
      </c>
      <c r="B859" s="81" t="s">
        <v>2898</v>
      </c>
      <c r="C859" s="95" t="s">
        <v>2908</v>
      </c>
      <c r="D859" s="95" t="s">
        <v>2909</v>
      </c>
      <c r="E859" s="81" t="s">
        <v>2892</v>
      </c>
      <c r="F859" s="81" t="s">
        <v>30</v>
      </c>
      <c r="G859" s="2">
        <v>0</v>
      </c>
      <c r="H859" s="14">
        <f>SUMIF(ENTRADAS71417[CÓDIGO],PRODUCTOS31316[[#This Row],[CÓDIGO]],ENTRADAS71417[CANTIDAD])</f>
        <v>0</v>
      </c>
      <c r="I859" s="11">
        <f>SUMIF(SALIDAS111518[CÓDIGO],PRODUCTOS31316[[#This Row],[CÓDIGO]],SALIDAS111518[CANTIDAD])</f>
        <v>0</v>
      </c>
      <c r="J859" s="6">
        <f>PRODUCTOS31316[[#This Row],[EXISTENCIAS]]+PRODUCTOS31316[[#This Row],[ENTRADAS]]-PRODUCTOS31316[[#This Row],[SALIDAS]]</f>
        <v>0</v>
      </c>
      <c r="L859" s="2"/>
      <c r="M859" s="2"/>
      <c r="N859" s="2">
        <v>7989</v>
      </c>
      <c r="O859" s="2" t="s">
        <v>4281</v>
      </c>
      <c r="P859" s="16">
        <v>46084</v>
      </c>
      <c r="Q859" s="2" t="s">
        <v>210</v>
      </c>
      <c r="R859" s="2">
        <f>VLOOKUP(SALIDAS111518[[#This Row],[CÓDIGO]],PRODUCTOS31316[],2,FALSE)</f>
        <v>101257</v>
      </c>
      <c r="S859" s="1" t="str">
        <f>VLOOKUP(SALIDAS111518[[#This Row],[CÓDIGO]],PRODUCTOS31316[],3,FALSE)</f>
        <v>MANGA DESECHABLE SUPER SENSITIVA</v>
      </c>
      <c r="T859" s="2">
        <v>1</v>
      </c>
      <c r="U859" s="2"/>
      <c r="V859" s="2"/>
      <c r="W859" s="2"/>
      <c r="X859" s="2"/>
      <c r="Y859" s="7"/>
      <c r="Z859" s="2"/>
      <c r="AA859" s="1"/>
      <c r="AC859" s="2"/>
      <c r="AE859" s="1"/>
      <c r="AG859" s="2"/>
    </row>
    <row r="860" spans="1:33" ht="49.95" customHeight="1" x14ac:dyDescent="0.3">
      <c r="A860" s="80" t="s">
        <v>2904</v>
      </c>
      <c r="B860" s="81" t="s">
        <v>2899</v>
      </c>
      <c r="C860" s="216" t="s">
        <v>2906</v>
      </c>
      <c r="D860" s="81" t="s">
        <v>2909</v>
      </c>
      <c r="E860" s="81" t="s">
        <v>2892</v>
      </c>
      <c r="F860" s="81" t="s">
        <v>30</v>
      </c>
      <c r="G860" s="2">
        <v>1</v>
      </c>
      <c r="H860" s="14">
        <f>SUMIF(ENTRADAS71417[CÓDIGO],PRODUCTOS31316[[#This Row],[CÓDIGO]],ENTRADAS71417[CANTIDAD])</f>
        <v>0</v>
      </c>
      <c r="I860" s="11">
        <f>SUMIF(SALIDAS111518[CÓDIGO],PRODUCTOS31316[[#This Row],[CÓDIGO]],SALIDAS111518[CANTIDAD])</f>
        <v>1</v>
      </c>
      <c r="J860" s="6">
        <f>PRODUCTOS31316[[#This Row],[EXISTENCIAS]]+PRODUCTOS31316[[#This Row],[ENTRADAS]]-PRODUCTOS31316[[#This Row],[SALIDAS]]</f>
        <v>0</v>
      </c>
      <c r="L860" s="2"/>
      <c r="M860" s="2"/>
      <c r="N860" s="2">
        <v>7989</v>
      </c>
      <c r="O860" s="2" t="s">
        <v>4281</v>
      </c>
      <c r="P860" s="16">
        <v>46084</v>
      </c>
      <c r="Q860" s="2" t="s">
        <v>2364</v>
      </c>
      <c r="R860" s="2">
        <f>VLOOKUP(SALIDAS111518[[#This Row],[CÓDIGO]],PRODUCTOS31316[],2,FALSE)</f>
        <v>0</v>
      </c>
      <c r="S860" s="1" t="str">
        <f>VLOOKUP(SALIDAS111518[[#This Row],[CÓDIGO]],PRODUCTOS31316[],3,FALSE)</f>
        <v>CORTAPAJILLAS WTA</v>
      </c>
      <c r="T860" s="2">
        <v>1</v>
      </c>
      <c r="U860" s="2"/>
      <c r="V860" s="2"/>
      <c r="W860" s="2"/>
      <c r="X860" s="2"/>
      <c r="Y860" s="7"/>
      <c r="Z860" s="2"/>
      <c r="AA860" s="1"/>
      <c r="AC860" s="2"/>
      <c r="AE860" s="1"/>
      <c r="AG860" s="2"/>
    </row>
    <row r="861" spans="1:33" ht="49.95" customHeight="1" x14ac:dyDescent="0.3">
      <c r="A861" s="205" t="s">
        <v>2905</v>
      </c>
      <c r="B861" s="81" t="s">
        <v>2907</v>
      </c>
      <c r="C861" s="188" t="s">
        <v>3216</v>
      </c>
      <c r="D861" s="81" t="s">
        <v>2909</v>
      </c>
      <c r="E861" s="81" t="s">
        <v>2892</v>
      </c>
      <c r="F861" s="81" t="s">
        <v>647</v>
      </c>
      <c r="G861" s="2">
        <v>0</v>
      </c>
      <c r="H861" s="14">
        <f>SUMIF(ENTRADAS71417[CÓDIGO],PRODUCTOS31316[[#This Row],[CÓDIGO]],ENTRADAS71417[CANTIDAD])</f>
        <v>200</v>
      </c>
      <c r="I861" s="11">
        <f>SUMIF(SALIDAS111518[CÓDIGO],PRODUCTOS31316[[#This Row],[CÓDIGO]],SALIDAS111518[CANTIDAD])</f>
        <v>0</v>
      </c>
      <c r="J861" s="6">
        <f>PRODUCTOS31316[[#This Row],[EXISTENCIAS]]+PRODUCTOS31316[[#This Row],[ENTRADAS]]-PRODUCTOS31316[[#This Row],[SALIDAS]]</f>
        <v>200</v>
      </c>
      <c r="L861" s="2"/>
      <c r="M861" s="2"/>
      <c r="N861" s="2">
        <v>7989</v>
      </c>
      <c r="O861" s="2" t="s">
        <v>4281</v>
      </c>
      <c r="P861" s="16">
        <v>46084</v>
      </c>
      <c r="Q861" s="2" t="s">
        <v>648</v>
      </c>
      <c r="R861" s="2" t="str">
        <f>VLOOKUP(SALIDAS111518[[#This Row],[CÓDIGO]],PRODUCTOS31316[],2,FALSE)</f>
        <v>S5</v>
      </c>
      <c r="S861" s="1" t="str">
        <f>VLOOKUP(SALIDAS111518[[#This Row],[CÓDIGO]],PRODUCTOS31316[],3,FALSE)</f>
        <v>SONDA S5 UNIDAD PRINCIPAL CON SONDA LINEAL RECTAL</v>
      </c>
      <c r="T861" s="2">
        <v>1</v>
      </c>
      <c r="U861" s="2"/>
      <c r="V861" s="2"/>
      <c r="W861" s="2"/>
      <c r="X861" s="2"/>
      <c r="Y861" s="7"/>
      <c r="Z861" s="2"/>
      <c r="AA861" s="1"/>
      <c r="AC861" s="2"/>
      <c r="AE861" s="1"/>
      <c r="AG861" s="2"/>
    </row>
    <row r="862" spans="1:33" ht="49.95" customHeight="1" x14ac:dyDescent="0.3">
      <c r="A862" s="84" t="s">
        <v>2911</v>
      </c>
      <c r="B862" s="1" t="s">
        <v>2912</v>
      </c>
      <c r="C862" s="95" t="s">
        <v>2914</v>
      </c>
      <c r="D862" s="95" t="s">
        <v>2913</v>
      </c>
      <c r="E862" s="83" t="s">
        <v>2913</v>
      </c>
      <c r="F862" s="83" t="s">
        <v>30</v>
      </c>
      <c r="G862" s="2">
        <v>2</v>
      </c>
      <c r="H862" s="14">
        <f>SUMIF(ENTRADAS71417[CÓDIGO],PRODUCTOS31316[[#This Row],[CÓDIGO]],ENTRADAS71417[CANTIDAD])</f>
        <v>0</v>
      </c>
      <c r="I862" s="11">
        <f>SUMIF(SALIDAS111518[CÓDIGO],PRODUCTOS31316[[#This Row],[CÓDIGO]],SALIDAS111518[CANTIDAD])</f>
        <v>0</v>
      </c>
      <c r="J862" s="6">
        <f>PRODUCTOS31316[[#This Row],[EXISTENCIAS]]+PRODUCTOS31316[[#This Row],[ENTRADAS]]-PRODUCTOS31316[[#This Row],[SALIDAS]]</f>
        <v>2</v>
      </c>
      <c r="L862" s="2"/>
      <c r="M862" s="2"/>
      <c r="N862" s="2">
        <v>7989</v>
      </c>
      <c r="O862" s="2" t="s">
        <v>4281</v>
      </c>
      <c r="P862" s="16">
        <v>46084</v>
      </c>
      <c r="Q862" s="2" t="s">
        <v>3077</v>
      </c>
      <c r="R862" s="2">
        <f>VLOOKUP(SALIDAS111518[[#This Row],[CÓDIGO]],PRODUCTOS31316[],2,FALSE)</f>
        <v>0</v>
      </c>
      <c r="S862" s="1" t="str">
        <f>VLOOKUP(SALIDAS111518[[#This Row],[CÓDIGO]],PRODUCTOS31316[],3,FALSE)</f>
        <v>TABLET GALAXY TAB A 9+ MARCA SANSUNG</v>
      </c>
      <c r="T862" s="2">
        <v>1</v>
      </c>
      <c r="U862" s="2"/>
      <c r="V862" s="2"/>
      <c r="W862" s="2"/>
      <c r="X862" s="2"/>
      <c r="Y862" s="7"/>
      <c r="Z862" s="2"/>
      <c r="AA862" s="1"/>
      <c r="AC862" s="2"/>
      <c r="AE862" s="1"/>
      <c r="AG862" s="2"/>
    </row>
    <row r="863" spans="1:33" ht="49.95" customHeight="1" x14ac:dyDescent="0.3">
      <c r="A863" s="84" t="s">
        <v>2916</v>
      </c>
      <c r="C863" s="95" t="s">
        <v>2915</v>
      </c>
      <c r="D863" s="83" t="s">
        <v>2917</v>
      </c>
      <c r="E863" s="83" t="s">
        <v>2918</v>
      </c>
      <c r="F863" s="83" t="s">
        <v>30</v>
      </c>
      <c r="G863" s="2">
        <v>0</v>
      </c>
      <c r="H863" s="14">
        <f>SUMIF(ENTRADAS71417[CÓDIGO],PRODUCTOS31316[[#This Row],[CÓDIGO]],ENTRADAS71417[CANTIDAD])</f>
        <v>0</v>
      </c>
      <c r="I863" s="11">
        <f>SUMIF(SALIDAS111518[CÓDIGO],PRODUCTOS31316[[#This Row],[CÓDIGO]],SALIDAS111518[CANTIDAD])</f>
        <v>0</v>
      </c>
      <c r="J863" s="6">
        <f>PRODUCTOS31316[[#This Row],[EXISTENCIAS]]+PRODUCTOS31316[[#This Row],[ENTRADAS]]-PRODUCTOS31316[[#This Row],[SALIDAS]]</f>
        <v>0</v>
      </c>
      <c r="L863" s="2"/>
      <c r="M863" s="2"/>
      <c r="N863" s="2">
        <v>7989</v>
      </c>
      <c r="O863" s="2" t="s">
        <v>4281</v>
      </c>
      <c r="P863" s="16">
        <v>46084</v>
      </c>
      <c r="Q863" s="2" t="s">
        <v>3286</v>
      </c>
      <c r="R863" s="2">
        <f>VLOOKUP(SALIDAS111518[[#This Row],[CÓDIGO]],PRODUCTOS31316[],2,FALSE)</f>
        <v>0</v>
      </c>
      <c r="S863" s="1" t="str">
        <f>VLOOKUP(SALIDAS111518[[#This Row],[CÓDIGO]],PRODUCTOS31316[],3,FALSE)</f>
        <v>CARCASA TABLET BMV</v>
      </c>
      <c r="T863" s="2">
        <v>1</v>
      </c>
      <c r="U863" s="2"/>
      <c r="V863" s="2"/>
      <c r="W863" s="2"/>
      <c r="X863" s="2"/>
      <c r="Y863" s="7"/>
      <c r="Z863" s="2"/>
      <c r="AA863" s="1"/>
      <c r="AC863" s="2"/>
      <c r="AE863" s="1"/>
      <c r="AG863" s="2"/>
    </row>
    <row r="864" spans="1:33" ht="49.95" customHeight="1" x14ac:dyDescent="0.3">
      <c r="A864" s="88" t="s">
        <v>2923</v>
      </c>
      <c r="B864" s="222" t="s">
        <v>3359</v>
      </c>
      <c r="C864" s="222" t="s">
        <v>3360</v>
      </c>
      <c r="D864" s="89" t="s">
        <v>467</v>
      </c>
      <c r="E864" s="89" t="s">
        <v>467</v>
      </c>
      <c r="F864" s="89" t="s">
        <v>30</v>
      </c>
      <c r="G864" s="2">
        <v>1</v>
      </c>
      <c r="H864" s="14">
        <f>SUMIF(ENTRADAS71417[CÓDIGO],PRODUCTOS31316[[#This Row],[CÓDIGO]],ENTRADAS71417[CANTIDAD])</f>
        <v>0</v>
      </c>
      <c r="I864" s="11">
        <f>SUMIF(SALIDAS111518[CÓDIGO],PRODUCTOS31316[[#This Row],[CÓDIGO]],SALIDAS111518[CANTIDAD])</f>
        <v>1</v>
      </c>
      <c r="J864" s="6">
        <f>PRODUCTOS31316[[#This Row],[EXISTENCIAS]]+PRODUCTOS31316[[#This Row],[ENTRADAS]]-PRODUCTOS31316[[#This Row],[SALIDAS]]</f>
        <v>0</v>
      </c>
      <c r="L864" s="2"/>
      <c r="M864" s="2"/>
      <c r="N864" s="2">
        <v>7989</v>
      </c>
      <c r="O864" s="2" t="s">
        <v>4281</v>
      </c>
      <c r="P864" s="16">
        <v>46084</v>
      </c>
      <c r="Q864" s="2" t="s">
        <v>25</v>
      </c>
      <c r="R864" s="2">
        <f>VLOOKUP(SALIDAS111518[[#This Row],[CÓDIGO]],PRODUCTOS31316[],2,FALSE)</f>
        <v>0</v>
      </c>
      <c r="S864" s="1" t="str">
        <f>VLOOKUP(SALIDAS111518[[#This Row],[CÓDIGO]],PRODUCTOS31316[],3,FALSE)</f>
        <v>BOLSA TELA MAS CAMPO</v>
      </c>
      <c r="T864" s="2">
        <v>1</v>
      </c>
      <c r="U864" s="2"/>
      <c r="V864" s="2"/>
      <c r="W864" s="2"/>
      <c r="X864" s="2"/>
      <c r="Y864" s="7"/>
      <c r="Z864" s="2"/>
      <c r="AA864" s="1"/>
      <c r="AC864" s="2"/>
      <c r="AE864" s="1"/>
      <c r="AG864" s="2"/>
    </row>
    <row r="865" spans="1:33" ht="49.95" customHeight="1" x14ac:dyDescent="0.3">
      <c r="A865" s="92" t="s">
        <v>2927</v>
      </c>
      <c r="C865" s="216" t="s">
        <v>2928</v>
      </c>
      <c r="D865" s="93" t="s">
        <v>822</v>
      </c>
      <c r="E865" s="93" t="s">
        <v>2192</v>
      </c>
      <c r="F865" s="93" t="s">
        <v>30</v>
      </c>
      <c r="G865" s="2">
        <v>2</v>
      </c>
      <c r="H865" s="14">
        <f>SUMIF(ENTRADAS71417[CÓDIGO],PRODUCTOS31316[[#This Row],[CÓDIGO]],ENTRADAS71417[CANTIDAD])</f>
        <v>0</v>
      </c>
      <c r="I865" s="11">
        <f>SUMIF(SALIDAS111518[CÓDIGO],PRODUCTOS31316[[#This Row],[CÓDIGO]],SALIDAS111518[CANTIDAD])</f>
        <v>1</v>
      </c>
      <c r="J865" s="6">
        <f>PRODUCTOS31316[[#This Row],[EXISTENCIAS]]+PRODUCTOS31316[[#This Row],[ENTRADAS]]-PRODUCTOS31316[[#This Row],[SALIDAS]]</f>
        <v>1</v>
      </c>
      <c r="L865" s="2"/>
      <c r="M865" s="2"/>
      <c r="N865" s="2">
        <v>7989</v>
      </c>
      <c r="O865" s="2" t="s">
        <v>4281</v>
      </c>
      <c r="P865" s="16">
        <v>46084</v>
      </c>
      <c r="Q865" s="2" t="s">
        <v>3095</v>
      </c>
      <c r="R865" s="2">
        <f>VLOOKUP(SALIDAS111518[[#This Row],[CÓDIGO]],PRODUCTOS31316[],2,FALSE)</f>
        <v>0</v>
      </c>
      <c r="S865" s="1" t="str">
        <f>VLOOKUP(SALIDAS111518[[#This Row],[CÓDIGO]],PRODUCTOS31316[],3,FALSE)</f>
        <v>GORRA MAS CAMPO</v>
      </c>
      <c r="T865" s="2">
        <v>1</v>
      </c>
      <c r="U865" s="2"/>
      <c r="V865" s="2"/>
      <c r="W865" s="2"/>
      <c r="X865" s="2"/>
      <c r="Y865" s="7"/>
      <c r="Z865" s="2"/>
      <c r="AA865" s="1"/>
      <c r="AC865" s="2"/>
      <c r="AE865" s="1"/>
      <c r="AG865" s="2"/>
    </row>
    <row r="866" spans="1:33" ht="49.95" customHeight="1" x14ac:dyDescent="0.3">
      <c r="A866" s="96" t="s">
        <v>2931</v>
      </c>
      <c r="B866" s="1" t="s">
        <v>2932</v>
      </c>
      <c r="C866" s="237" t="s">
        <v>2933</v>
      </c>
      <c r="D866" s="95" t="s">
        <v>2934</v>
      </c>
      <c r="E866" s="95" t="s">
        <v>2934</v>
      </c>
      <c r="F866" s="95" t="s">
        <v>30</v>
      </c>
      <c r="G866" s="2">
        <v>3</v>
      </c>
      <c r="H866" s="14">
        <f>SUMIF(ENTRADAS71417[CÓDIGO],PRODUCTOS31316[[#This Row],[CÓDIGO]],ENTRADAS71417[CANTIDAD])</f>
        <v>0</v>
      </c>
      <c r="I866" s="11">
        <f>SUMIF(SALIDAS111518[CÓDIGO],PRODUCTOS31316[[#This Row],[CÓDIGO]],SALIDAS111518[CANTIDAD])</f>
        <v>0</v>
      </c>
      <c r="J866" s="6">
        <f>PRODUCTOS31316[[#This Row],[EXISTENCIAS]]+PRODUCTOS31316[[#This Row],[ENTRADAS]]-PRODUCTOS31316[[#This Row],[SALIDAS]]</f>
        <v>3</v>
      </c>
      <c r="L866" s="2"/>
      <c r="M866" s="2"/>
      <c r="N866" s="2">
        <v>7989</v>
      </c>
      <c r="O866" s="2" t="s">
        <v>4281</v>
      </c>
      <c r="P866" s="16">
        <v>46084</v>
      </c>
      <c r="Q866" s="307" t="s">
        <v>3365</v>
      </c>
      <c r="R866" s="2">
        <f>VLOOKUP(SALIDAS111518[[#This Row],[CÓDIGO]],PRODUCTOS31316[],2,FALSE)</f>
        <v>0</v>
      </c>
      <c r="S866" s="1" t="str">
        <f>VLOOKUP(SALIDAS111518[[#This Row],[CÓDIGO]],PRODUCTOS31316[],3,FALSE)</f>
        <v>MANGA DE PROTECCIÓN PALPACIÓN MAS CAMPO</v>
      </c>
      <c r="T866" s="2">
        <v>1</v>
      </c>
      <c r="U866" s="2"/>
      <c r="V866" s="2"/>
      <c r="W866" s="2"/>
      <c r="X866" s="32"/>
      <c r="Y866" s="7"/>
      <c r="Z866" s="2"/>
      <c r="AA866" s="1"/>
      <c r="AC866" s="2"/>
      <c r="AE866" s="1"/>
      <c r="AG866" s="2"/>
    </row>
    <row r="867" spans="1:33" ht="49.95" customHeight="1" x14ac:dyDescent="0.3">
      <c r="A867" s="97" t="s">
        <v>2938</v>
      </c>
      <c r="B867" s="98" t="s">
        <v>2939</v>
      </c>
      <c r="C867" s="98" t="s">
        <v>2940</v>
      </c>
      <c r="D867" s="98" t="s">
        <v>634</v>
      </c>
      <c r="E867" s="98" t="s">
        <v>634</v>
      </c>
      <c r="F867" s="98" t="s">
        <v>30</v>
      </c>
      <c r="G867" s="2">
        <v>0</v>
      </c>
      <c r="H867" s="14">
        <f>SUMIF(ENTRADAS71417[CÓDIGO],PRODUCTOS31316[[#This Row],[CÓDIGO]],ENTRADAS71417[CANTIDAD])</f>
        <v>2</v>
      </c>
      <c r="I867" s="11">
        <f>SUMIF(SALIDAS111518[CÓDIGO],PRODUCTOS31316[[#This Row],[CÓDIGO]],SALIDAS111518[CANTIDAD])</f>
        <v>2</v>
      </c>
      <c r="J867" s="6">
        <f>PRODUCTOS31316[[#This Row],[EXISTENCIAS]]+PRODUCTOS31316[[#This Row],[ENTRADAS]]-PRODUCTOS31316[[#This Row],[SALIDAS]]</f>
        <v>0</v>
      </c>
      <c r="L867" s="307" t="s">
        <v>3520</v>
      </c>
      <c r="M867" s="307" t="s">
        <v>4250</v>
      </c>
      <c r="N867" s="308" t="s">
        <v>4292</v>
      </c>
      <c r="O867" s="307" t="s">
        <v>3838</v>
      </c>
      <c r="P867" s="16">
        <v>46084</v>
      </c>
      <c r="Q867" s="307" t="s">
        <v>2382</v>
      </c>
      <c r="R867" s="2">
        <f>VLOOKUP(SALIDAS111518[[#This Row],[CÓDIGO]],PRODUCTOS31316[],2,FALSE)</f>
        <v>1</v>
      </c>
      <c r="S867" s="1" t="str">
        <f>VLOOKUP(SALIDAS111518[[#This Row],[CÓDIGO]],PRODUCTOS31316[],3,FALSE)</f>
        <v>TERMO DE TRANSPORTE 1 LITRO</v>
      </c>
      <c r="T867" s="2">
        <v>1</v>
      </c>
      <c r="U867" s="2">
        <v>386</v>
      </c>
      <c r="V867" s="2"/>
      <c r="W867" s="307" t="s">
        <v>3412</v>
      </c>
      <c r="X867" s="2"/>
      <c r="Y867" s="7"/>
      <c r="Z867" s="2"/>
      <c r="AA867" s="1"/>
      <c r="AC867" s="2"/>
      <c r="AE867" s="1"/>
      <c r="AG867" s="2"/>
    </row>
    <row r="868" spans="1:33" ht="49.95" customHeight="1" x14ac:dyDescent="0.3">
      <c r="A868" s="97" t="s">
        <v>2941</v>
      </c>
      <c r="B868" s="1">
        <v>1101</v>
      </c>
      <c r="C868" s="216" t="s">
        <v>2942</v>
      </c>
      <c r="D868" s="98" t="s">
        <v>822</v>
      </c>
      <c r="E868" s="98" t="s">
        <v>2943</v>
      </c>
      <c r="F868" s="98" t="s">
        <v>30</v>
      </c>
      <c r="G868" s="2">
        <v>9</v>
      </c>
      <c r="H868" s="14">
        <f>SUMIF(ENTRADAS71417[CÓDIGO],PRODUCTOS31316[[#This Row],[CÓDIGO]],ENTRADAS71417[CANTIDAD])</f>
        <v>100</v>
      </c>
      <c r="I868" s="11">
        <f>SUMIF(SALIDAS111518[CÓDIGO],PRODUCTOS31316[[#This Row],[CÓDIGO]],SALIDAS111518[CANTIDAD])</f>
        <v>36</v>
      </c>
      <c r="J868" s="6">
        <f>PRODUCTOS31316[[#This Row],[EXISTENCIAS]]+PRODUCTOS31316[[#This Row],[ENTRADAS]]-PRODUCTOS31316[[#This Row],[SALIDAS]]</f>
        <v>73</v>
      </c>
      <c r="L868" s="307"/>
      <c r="M868" s="307"/>
      <c r="N868" s="308" t="s">
        <v>4298</v>
      </c>
      <c r="O868" s="308" t="s">
        <v>4296</v>
      </c>
      <c r="P868" s="16">
        <v>46080</v>
      </c>
      <c r="Q868" s="307" t="s">
        <v>210</v>
      </c>
      <c r="R868" s="2">
        <f>VLOOKUP(SALIDAS111518[[#This Row],[CÓDIGO]],PRODUCTOS31316[],2,FALSE)</f>
        <v>101257</v>
      </c>
      <c r="S868" s="1" t="str">
        <f>VLOOKUP(SALIDAS111518[[#This Row],[CÓDIGO]],PRODUCTOS31316[],3,FALSE)</f>
        <v>MANGA DESECHABLE SUPER SENSITIVA</v>
      </c>
      <c r="T868" s="2">
        <v>1</v>
      </c>
      <c r="U868" s="307" t="s">
        <v>4297</v>
      </c>
      <c r="V868" s="2"/>
      <c r="W868" s="307"/>
      <c r="X868" s="2"/>
      <c r="Y868" s="7"/>
      <c r="Z868" s="2"/>
      <c r="AA868" s="1"/>
      <c r="AC868" s="2"/>
      <c r="AE868" s="1"/>
      <c r="AG868" s="2"/>
    </row>
    <row r="869" spans="1:33" ht="49.95" customHeight="1" x14ac:dyDescent="0.3">
      <c r="A869" s="97" t="s">
        <v>2945</v>
      </c>
      <c r="B869" s="1">
        <v>1119562500</v>
      </c>
      <c r="C869" s="98" t="s">
        <v>2946</v>
      </c>
      <c r="D869" s="98" t="s">
        <v>2947</v>
      </c>
      <c r="E869" s="98" t="s">
        <v>640</v>
      </c>
      <c r="F869" s="98" t="s">
        <v>2948</v>
      </c>
      <c r="G869" s="2">
        <v>0</v>
      </c>
      <c r="H869" s="14">
        <f>SUMIF(ENTRADAS71417[CÓDIGO],PRODUCTOS31316[[#This Row],[CÓDIGO]],ENTRADAS71417[CANTIDAD])</f>
        <v>0</v>
      </c>
      <c r="I869" s="11">
        <f>SUMIF(SALIDAS111518[CÓDIGO],PRODUCTOS31316[[#This Row],[CÓDIGO]],SALIDAS111518[CANTIDAD])</f>
        <v>0</v>
      </c>
      <c r="J869" s="6">
        <f>PRODUCTOS31316[[#This Row],[EXISTENCIAS]]+PRODUCTOS31316[[#This Row],[ENTRADAS]]-PRODUCTOS31316[[#This Row],[SALIDAS]]</f>
        <v>0</v>
      </c>
      <c r="L869" s="307" t="s">
        <v>3520</v>
      </c>
      <c r="M869" s="307" t="s">
        <v>4250</v>
      </c>
      <c r="N869" s="325" t="s">
        <v>4570</v>
      </c>
      <c r="O869" s="307" t="s">
        <v>3021</v>
      </c>
      <c r="P869" s="16">
        <v>46085</v>
      </c>
      <c r="Q869" s="307" t="s">
        <v>36</v>
      </c>
      <c r="R869" s="2">
        <f>VLOOKUP(SALIDAS111518[[#This Row],[CÓDIGO]],PRODUCTOS31316[],2,FALSE)</f>
        <v>1</v>
      </c>
      <c r="S869" s="1" t="str">
        <f>VLOOKUP(SALIDAS111518[[#This Row],[CÓDIGO]],PRODUCTOS31316[],3,FALSE)</f>
        <v xml:space="preserve">PARCHE ESTROTECT </v>
      </c>
      <c r="T869" s="2">
        <v>50</v>
      </c>
      <c r="U869" s="2">
        <v>387</v>
      </c>
      <c r="V869" s="2"/>
      <c r="W869" s="307" t="s">
        <v>3412</v>
      </c>
      <c r="X869" s="2"/>
      <c r="Y869" s="7"/>
      <c r="Z869" s="2"/>
      <c r="AA869" s="1"/>
      <c r="AC869" s="2"/>
      <c r="AE869" s="1"/>
      <c r="AG869" s="2"/>
    </row>
    <row r="870" spans="1:33" ht="49.95" customHeight="1" x14ac:dyDescent="0.3">
      <c r="A870" s="99" t="s">
        <v>2950</v>
      </c>
      <c r="C870" s="199" t="s">
        <v>2951</v>
      </c>
      <c r="D870" s="100" t="s">
        <v>2650</v>
      </c>
      <c r="E870" s="100" t="s">
        <v>2822</v>
      </c>
      <c r="F870" s="100" t="s">
        <v>306</v>
      </c>
      <c r="G870" s="2">
        <v>0</v>
      </c>
      <c r="H870" s="14">
        <f>SUMIF(ENTRADAS71417[CÓDIGO],PRODUCTOS31316[[#This Row],[CÓDIGO]],ENTRADAS71417[CANTIDAD])</f>
        <v>0</v>
      </c>
      <c r="I870" s="11">
        <f>SUMIF(SALIDAS111518[CÓDIGO],PRODUCTOS31316[[#This Row],[CÓDIGO]],SALIDAS111518[CANTIDAD])</f>
        <v>0</v>
      </c>
      <c r="J870" s="6">
        <f>PRODUCTOS31316[[#This Row],[EXISTENCIAS]]+PRODUCTOS31316[[#This Row],[ENTRADAS]]-PRODUCTOS31316[[#This Row],[SALIDAS]]</f>
        <v>0</v>
      </c>
      <c r="L870" s="307" t="s">
        <v>3520</v>
      </c>
      <c r="M870" s="307" t="s">
        <v>4250</v>
      </c>
      <c r="N870" s="308" t="s">
        <v>4301</v>
      </c>
      <c r="O870" s="309" t="s">
        <v>4313</v>
      </c>
      <c r="P870" s="16">
        <v>46085</v>
      </c>
      <c r="Q870" s="307" t="s">
        <v>3346</v>
      </c>
      <c r="R870" s="2" t="str">
        <f>VLOOKUP(SALIDAS111518[[#This Row],[CÓDIGO]],PRODUCTOS31316[],2,FALSE)</f>
        <v>S7PRO</v>
      </c>
      <c r="S870" s="1" t="str">
        <f>VLOOKUP(SALIDAS111518[[#This Row],[CÓDIGO]],PRODUCTOS31316[],3,FALSE)</f>
        <v>ECÓGRAFO S7 PRO VET CON SONDA LINEAL RECTAL</v>
      </c>
      <c r="T870" s="2">
        <v>1</v>
      </c>
      <c r="U870" s="2">
        <v>394</v>
      </c>
      <c r="V870" s="2"/>
      <c r="W870" s="2"/>
      <c r="X870" s="2"/>
      <c r="Y870" s="7"/>
      <c r="Z870" s="2"/>
      <c r="AA870" s="1"/>
      <c r="AC870" s="2"/>
      <c r="AE870" s="1"/>
      <c r="AG870" s="2"/>
    </row>
    <row r="871" spans="1:33" ht="49.95" customHeight="1" x14ac:dyDescent="0.3">
      <c r="A871" s="101" t="s">
        <v>2959</v>
      </c>
      <c r="B871" s="1" t="s">
        <v>2957</v>
      </c>
      <c r="C871" s="216" t="s">
        <v>2954</v>
      </c>
      <c r="D871" s="102" t="s">
        <v>2752</v>
      </c>
      <c r="E871" s="102" t="s">
        <v>2752</v>
      </c>
      <c r="F871" s="102" t="s">
        <v>2956</v>
      </c>
      <c r="G871" s="2">
        <v>1068</v>
      </c>
      <c r="H871" s="14">
        <f>SUMIF(ENTRADAS71417[CÓDIGO],PRODUCTOS31316[[#This Row],[CÓDIGO]],ENTRADAS71417[CANTIDAD])</f>
        <v>0</v>
      </c>
      <c r="I871" s="11">
        <f>SUMIF(SALIDAS111518[CÓDIGO],PRODUCTOS31316[[#This Row],[CÓDIGO]],SALIDAS111518[CANTIDAD])</f>
        <v>0</v>
      </c>
      <c r="J871" s="6">
        <f>PRODUCTOS31316[[#This Row],[EXISTENCIAS]]+PRODUCTOS31316[[#This Row],[ENTRADAS]]-PRODUCTOS31316[[#This Row],[SALIDAS]]</f>
        <v>1068</v>
      </c>
      <c r="L871" s="2"/>
      <c r="M871" s="2"/>
      <c r="N871" s="2">
        <v>7993</v>
      </c>
      <c r="O871" s="307" t="s">
        <v>2852</v>
      </c>
      <c r="P871" s="16">
        <v>46085</v>
      </c>
      <c r="Q871" s="307" t="s">
        <v>3077</v>
      </c>
      <c r="R871" s="2">
        <f>VLOOKUP(SALIDAS111518[[#This Row],[CÓDIGO]],PRODUCTOS31316[],2,FALSE)</f>
        <v>0</v>
      </c>
      <c r="S871" s="1" t="str">
        <f>VLOOKUP(SALIDAS111518[[#This Row],[CÓDIGO]],PRODUCTOS31316[],3,FALSE)</f>
        <v>TABLET GALAXY TAB A 9+ MARCA SANSUNG</v>
      </c>
      <c r="T871" s="2">
        <v>1</v>
      </c>
      <c r="U871" s="2"/>
      <c r="V871" s="2"/>
      <c r="W871" s="2"/>
      <c r="X871" s="2"/>
      <c r="Y871" s="7"/>
      <c r="Z871" s="2"/>
      <c r="AA871" s="1"/>
      <c r="AC871" s="2"/>
      <c r="AE871" s="1"/>
      <c r="AG871" s="2"/>
    </row>
    <row r="872" spans="1:33" ht="49.95" customHeight="1" x14ac:dyDescent="0.3">
      <c r="A872" s="101" t="s">
        <v>2953</v>
      </c>
      <c r="B872" s="1" t="s">
        <v>2958</v>
      </c>
      <c r="C872" s="216" t="s">
        <v>2955</v>
      </c>
      <c r="D872" s="102" t="s">
        <v>2752</v>
      </c>
      <c r="E872" s="102" t="s">
        <v>2752</v>
      </c>
      <c r="F872" s="102" t="s">
        <v>2956</v>
      </c>
      <c r="G872" s="2">
        <v>495</v>
      </c>
      <c r="H872" s="14">
        <f>SUMIF(ENTRADAS71417[CÓDIGO],PRODUCTOS31316[[#This Row],[CÓDIGO]],ENTRADAS71417[CANTIDAD])</f>
        <v>0</v>
      </c>
      <c r="I872" s="11">
        <f>SUMIF(SALIDAS111518[CÓDIGO],PRODUCTOS31316[[#This Row],[CÓDIGO]],SALIDAS111518[CANTIDAD])</f>
        <v>25</v>
      </c>
      <c r="J872" s="6">
        <f>PRODUCTOS31316[[#This Row],[EXISTENCIAS]]+PRODUCTOS31316[[#This Row],[ENTRADAS]]-PRODUCTOS31316[[#This Row],[SALIDAS]]</f>
        <v>470</v>
      </c>
      <c r="L872" s="2"/>
      <c r="M872" s="2"/>
      <c r="N872" s="2">
        <v>7993</v>
      </c>
      <c r="O872" s="307" t="s">
        <v>2852</v>
      </c>
      <c r="P872" s="16">
        <v>46085</v>
      </c>
      <c r="Q872" s="307" t="s">
        <v>3286</v>
      </c>
      <c r="R872" s="2">
        <f>VLOOKUP(SALIDAS111518[[#This Row],[CÓDIGO]],PRODUCTOS31316[],2,FALSE)</f>
        <v>0</v>
      </c>
      <c r="S872" s="1" t="str">
        <f>VLOOKUP(SALIDAS111518[[#This Row],[CÓDIGO]],PRODUCTOS31316[],3,FALSE)</f>
        <v>CARCASA TABLET BMV</v>
      </c>
      <c r="T872" s="2">
        <v>1</v>
      </c>
      <c r="U872" s="2"/>
      <c r="V872" s="2"/>
      <c r="W872" s="2"/>
      <c r="X872" s="2"/>
      <c r="Y872" s="7"/>
      <c r="Z872" s="2"/>
      <c r="AA872" s="1"/>
      <c r="AC872" s="2"/>
      <c r="AE872" s="1"/>
      <c r="AG872" s="2"/>
    </row>
    <row r="873" spans="1:33" ht="49.95" customHeight="1" x14ac:dyDescent="0.3">
      <c r="A873" s="101" t="s">
        <v>2960</v>
      </c>
      <c r="B873" s="79">
        <v>9010012</v>
      </c>
      <c r="C873" s="216" t="s">
        <v>2961</v>
      </c>
      <c r="D873" s="102" t="s">
        <v>18</v>
      </c>
      <c r="E873" s="102" t="s">
        <v>18</v>
      </c>
      <c r="F873" s="102" t="s">
        <v>30</v>
      </c>
      <c r="G873" s="2">
        <v>0</v>
      </c>
      <c r="H873" s="14">
        <f>SUMIF(ENTRADAS71417[CÓDIGO],PRODUCTOS31316[[#This Row],[CÓDIGO]],ENTRADAS71417[CANTIDAD])</f>
        <v>0</v>
      </c>
      <c r="I873" s="11">
        <f>SUMIF(SALIDAS111518[CÓDIGO],PRODUCTOS31316[[#This Row],[CÓDIGO]],SALIDAS111518[CANTIDAD])</f>
        <v>0</v>
      </c>
      <c r="J873" s="6">
        <f>PRODUCTOS31316[[#This Row],[EXISTENCIAS]]+PRODUCTOS31316[[#This Row],[ENTRADAS]]-PRODUCTOS31316[[#This Row],[SALIDAS]]</f>
        <v>0</v>
      </c>
      <c r="L873" s="2"/>
      <c r="M873" s="2"/>
      <c r="N873" s="2">
        <v>7993</v>
      </c>
      <c r="O873" s="307" t="s">
        <v>2852</v>
      </c>
      <c r="P873" s="16">
        <v>46085</v>
      </c>
      <c r="Q873" s="307" t="s">
        <v>3645</v>
      </c>
      <c r="R873" s="2">
        <f>VLOOKUP(SALIDAS111518[[#This Row],[CÓDIGO]],PRODUCTOS31316[],2,FALSE)</f>
        <v>0</v>
      </c>
      <c r="S873" s="1" t="str">
        <f>VLOOKUP(SALIDAS111518[[#This Row],[CÓDIGO]],PRODUCTOS31316[],3,FALSE)</f>
        <v>AGENDA MAS CAMPO</v>
      </c>
      <c r="T873" s="2">
        <v>1</v>
      </c>
      <c r="U873" s="2"/>
      <c r="V873" s="2"/>
      <c r="W873" s="2"/>
      <c r="X873" s="2"/>
      <c r="Y873" s="7"/>
      <c r="Z873" s="2"/>
      <c r="AA873" s="1"/>
      <c r="AC873" s="2"/>
      <c r="AE873" s="1"/>
      <c r="AG873" s="2"/>
    </row>
    <row r="874" spans="1:33" ht="49.95" customHeight="1" x14ac:dyDescent="0.3">
      <c r="A874" s="101" t="s">
        <v>2964</v>
      </c>
      <c r="B874" s="102" t="s">
        <v>2965</v>
      </c>
      <c r="C874" s="102" t="s">
        <v>2962</v>
      </c>
      <c r="D874" s="102" t="s">
        <v>822</v>
      </c>
      <c r="E874" s="102" t="s">
        <v>2865</v>
      </c>
      <c r="F874" s="102" t="s">
        <v>2963</v>
      </c>
      <c r="G874" s="2">
        <v>0</v>
      </c>
      <c r="H874" s="14">
        <f>SUMIF(ENTRADAS71417[CÓDIGO],PRODUCTOS31316[[#This Row],[CÓDIGO]],ENTRADAS71417[CANTIDAD])</f>
        <v>0</v>
      </c>
      <c r="I874" s="11">
        <f>SUMIF(SALIDAS111518[CÓDIGO],PRODUCTOS31316[[#This Row],[CÓDIGO]],SALIDAS111518[CANTIDAD])</f>
        <v>0</v>
      </c>
      <c r="J874" s="6">
        <f>PRODUCTOS31316[[#This Row],[EXISTENCIAS]]+PRODUCTOS31316[[#This Row],[ENTRADAS]]-PRODUCTOS31316[[#This Row],[SALIDAS]]</f>
        <v>0</v>
      </c>
      <c r="L874" s="2"/>
      <c r="M874" s="2"/>
      <c r="N874" s="2">
        <v>7993</v>
      </c>
      <c r="O874" s="307" t="s">
        <v>2852</v>
      </c>
      <c r="P874" s="16">
        <v>46085</v>
      </c>
      <c r="Q874" s="307" t="s">
        <v>3095</v>
      </c>
      <c r="R874" s="2">
        <f>VLOOKUP(SALIDAS111518[[#This Row],[CÓDIGO]],PRODUCTOS31316[],2,FALSE)</f>
        <v>0</v>
      </c>
      <c r="S874" s="1" t="str">
        <f>VLOOKUP(SALIDAS111518[[#This Row],[CÓDIGO]],PRODUCTOS31316[],3,FALSE)</f>
        <v>GORRA MAS CAMPO</v>
      </c>
      <c r="T874" s="2">
        <v>1</v>
      </c>
      <c r="U874" s="2"/>
      <c r="V874" s="2"/>
      <c r="W874" s="2"/>
      <c r="X874" s="2"/>
      <c r="Y874" s="7"/>
      <c r="Z874" s="2"/>
      <c r="AA874" s="1"/>
      <c r="AC874" s="2"/>
      <c r="AE874" s="1"/>
      <c r="AG874" s="2"/>
    </row>
    <row r="875" spans="1:33" ht="49.95" customHeight="1" x14ac:dyDescent="0.3">
      <c r="A875" s="104" t="s">
        <v>2969</v>
      </c>
      <c r="B875" s="1" t="s">
        <v>774</v>
      </c>
      <c r="C875" s="103" t="s">
        <v>2970</v>
      </c>
      <c r="D875" s="103" t="s">
        <v>103</v>
      </c>
      <c r="E875" s="103" t="s">
        <v>2892</v>
      </c>
      <c r="F875" s="103" t="s">
        <v>2968</v>
      </c>
      <c r="G875" s="2">
        <v>0</v>
      </c>
      <c r="H875" s="14">
        <f>SUMIF(ENTRADAS71417[CÓDIGO],PRODUCTOS31316[[#This Row],[CÓDIGO]],ENTRADAS71417[CANTIDAD])</f>
        <v>0</v>
      </c>
      <c r="I875" s="11">
        <f>SUMIF(SALIDAS111518[CÓDIGO],PRODUCTOS31316[[#This Row],[CÓDIGO]],SALIDAS111518[CANTIDAD])</f>
        <v>0</v>
      </c>
      <c r="J875" s="6">
        <f>PRODUCTOS31316[[#This Row],[EXISTENCIAS]]+PRODUCTOS31316[[#This Row],[ENTRADAS]]-PRODUCTOS31316[[#This Row],[SALIDAS]]</f>
        <v>0</v>
      </c>
      <c r="L875" s="307" t="s">
        <v>3520</v>
      </c>
      <c r="M875" s="307" t="s">
        <v>4250</v>
      </c>
      <c r="N875" s="1" t="s">
        <v>4925</v>
      </c>
      <c r="O875" s="310" t="s">
        <v>4314</v>
      </c>
      <c r="P875" s="16">
        <v>46140</v>
      </c>
      <c r="Q875" s="307" t="s">
        <v>3075</v>
      </c>
      <c r="R875" s="2">
        <f>VLOOKUP(SALIDAS111518[[#This Row],[CÓDIGO]],PRODUCTOS31316[],2,FALSE)</f>
        <v>0</v>
      </c>
      <c r="S875" s="1" t="str">
        <f>VLOOKUP(SALIDAS111518[[#This Row],[CÓDIGO]],PRODUCTOS31316[],3,FALSE)</f>
        <v>AUTOJAC V3 ELECTROEYACUALADOR MANUAL Y AUTOMÁTICO</v>
      </c>
      <c r="T875" s="2">
        <v>1</v>
      </c>
      <c r="U875" s="2">
        <v>714</v>
      </c>
      <c r="V875" s="2"/>
      <c r="W875" s="2"/>
      <c r="X875" s="2"/>
      <c r="Y875" s="7"/>
      <c r="Z875" s="2"/>
      <c r="AA875" s="1"/>
      <c r="AC875" s="2"/>
      <c r="AE875" s="1"/>
      <c r="AG875" s="2"/>
    </row>
    <row r="876" spans="1:33" ht="49.95" customHeight="1" x14ac:dyDescent="0.3">
      <c r="A876" s="104" t="s">
        <v>2972</v>
      </c>
      <c r="C876" s="222" t="s">
        <v>2973</v>
      </c>
      <c r="D876" s="103" t="s">
        <v>822</v>
      </c>
      <c r="E876" s="103" t="s">
        <v>2943</v>
      </c>
      <c r="F876" s="103" t="s">
        <v>30</v>
      </c>
      <c r="G876" s="2">
        <v>1</v>
      </c>
      <c r="H876" s="14">
        <f>SUMIF(ENTRADAS71417[CÓDIGO],PRODUCTOS31316[[#This Row],[CÓDIGO]],ENTRADAS71417[CANTIDAD])</f>
        <v>0</v>
      </c>
      <c r="I876" s="11">
        <f>SUMIF(SALIDAS111518[CÓDIGO],PRODUCTOS31316[[#This Row],[CÓDIGO]],SALIDAS111518[CANTIDAD])</f>
        <v>0</v>
      </c>
      <c r="J876" s="6">
        <f>PRODUCTOS31316[[#This Row],[EXISTENCIAS]]+PRODUCTOS31316[[#This Row],[ENTRADAS]]-PRODUCTOS31316[[#This Row],[SALIDAS]]</f>
        <v>1</v>
      </c>
      <c r="L876" s="2"/>
      <c r="M876" s="2"/>
      <c r="N876" s="2">
        <v>8300</v>
      </c>
      <c r="O876" s="307" t="s">
        <v>3789</v>
      </c>
      <c r="P876" s="16">
        <v>46140</v>
      </c>
      <c r="Q876" s="307" t="s">
        <v>3498</v>
      </c>
      <c r="R876" s="2">
        <f>VLOOKUP(SALIDAS111518[[#This Row],[CÓDIGO]],PRODUCTOS31316[],2,FALSE)</f>
        <v>6985</v>
      </c>
      <c r="S876" s="1" t="str">
        <f>VLOOKUP(SALIDAS111518[[#This Row],[CÓDIGO]],PRODUCTOS31316[],3,FALSE)</f>
        <v>MANGO DE RECOLECCIÓN DE SEMEN</v>
      </c>
      <c r="T876" s="2">
        <v>1</v>
      </c>
      <c r="U876" s="2"/>
      <c r="V876" s="2"/>
      <c r="W876" s="2"/>
      <c r="X876" s="2"/>
      <c r="Y876" s="7"/>
      <c r="Z876" s="2"/>
      <c r="AA876" s="1"/>
      <c r="AC876" s="2"/>
      <c r="AE876" s="1"/>
      <c r="AG876" s="2"/>
    </row>
    <row r="877" spans="1:33" ht="49.95" customHeight="1" x14ac:dyDescent="0.3">
      <c r="A877" s="104" t="s">
        <v>2974</v>
      </c>
      <c r="C877" s="216" t="s">
        <v>2975</v>
      </c>
      <c r="D877" s="103" t="s">
        <v>822</v>
      </c>
      <c r="E877" s="103" t="s">
        <v>2943</v>
      </c>
      <c r="F877" s="103" t="s">
        <v>30</v>
      </c>
      <c r="G877" s="2">
        <v>3</v>
      </c>
      <c r="H877" s="14">
        <f>SUMIF(ENTRADAS71417[CÓDIGO],PRODUCTOS31316[[#This Row],[CÓDIGO]],ENTRADAS71417[CANTIDAD])</f>
        <v>0</v>
      </c>
      <c r="I877" s="11">
        <f>SUMIF(SALIDAS111518[CÓDIGO],PRODUCTOS31316[[#This Row],[CÓDIGO]],SALIDAS111518[CANTIDAD])</f>
        <v>0</v>
      </c>
      <c r="J877" s="6">
        <f>PRODUCTOS31316[[#This Row],[EXISTENCIAS]]+PRODUCTOS31316[[#This Row],[ENTRADAS]]-PRODUCTOS31316[[#This Row],[SALIDAS]]</f>
        <v>3</v>
      </c>
      <c r="L877" s="2"/>
      <c r="M877" s="2"/>
      <c r="N877" s="2">
        <v>8300</v>
      </c>
      <c r="O877" s="307" t="s">
        <v>3789</v>
      </c>
      <c r="P877" s="16">
        <v>46140</v>
      </c>
      <c r="Q877" s="307" t="s">
        <v>333</v>
      </c>
      <c r="R877" s="2" t="str">
        <f>VLOOKUP(SALIDAS111518[[#This Row],[CÓDIGO]],PRODUCTOS31316[],2,FALSE)</f>
        <v>CTB15</v>
      </c>
      <c r="S877" s="1" t="str">
        <f>VLOOKUP(SALIDAS111518[[#This Row],[CÓDIGO]],PRODUCTOS31316[],3,FALSE)</f>
        <v>TUBO CÓNICO DE 15 ML, TAPA ROSCA ESTÉRIL  RCF MAX: 10000xg, 
graduados, PCR puro. VENCE: 03/04/2028</v>
      </c>
      <c r="T877" s="15">
        <v>1</v>
      </c>
      <c r="U877" s="2"/>
      <c r="V877" s="2"/>
      <c r="W877" s="2"/>
      <c r="X877" s="2"/>
      <c r="Y877" s="7"/>
      <c r="Z877" s="2"/>
      <c r="AA877" s="1"/>
      <c r="AC877" s="2"/>
      <c r="AE877" s="1"/>
      <c r="AG877" s="2"/>
    </row>
    <row r="878" spans="1:33" ht="49.95" customHeight="1" x14ac:dyDescent="0.3">
      <c r="A878" s="104" t="s">
        <v>2978</v>
      </c>
      <c r="B878" s="1">
        <v>762</v>
      </c>
      <c r="C878" s="103" t="s">
        <v>2979</v>
      </c>
      <c r="D878" s="103" t="s">
        <v>822</v>
      </c>
      <c r="E878" s="103" t="s">
        <v>502</v>
      </c>
      <c r="F878" s="103" t="s">
        <v>30</v>
      </c>
      <c r="G878" s="2">
        <v>0</v>
      </c>
      <c r="H878" s="14">
        <f>SUMIF(ENTRADAS71417[CÓDIGO],PRODUCTOS31316[[#This Row],[CÓDIGO]],ENTRADAS71417[CANTIDAD])</f>
        <v>0</v>
      </c>
      <c r="I878" s="11">
        <f>SUMIF(SALIDAS111518[CÓDIGO],PRODUCTOS31316[[#This Row],[CÓDIGO]],SALIDAS111518[CANTIDAD])</f>
        <v>0</v>
      </c>
      <c r="J878" s="6">
        <f>PRODUCTOS31316[[#This Row],[EXISTENCIAS]]+PRODUCTOS31316[[#This Row],[ENTRADAS]]-PRODUCTOS31316[[#This Row],[SALIDAS]]</f>
        <v>0</v>
      </c>
      <c r="L878" s="307" t="s">
        <v>3520</v>
      </c>
      <c r="M878" s="307" t="s">
        <v>4250</v>
      </c>
      <c r="N878" s="320" t="s">
        <v>4531</v>
      </c>
      <c r="O878" s="307" t="s">
        <v>2695</v>
      </c>
      <c r="P878" s="16">
        <v>46108</v>
      </c>
      <c r="Q878" s="307" t="s">
        <v>443</v>
      </c>
      <c r="R878" s="2">
        <f>VLOOKUP(SALIDAS111518[[#This Row],[CÓDIGO]],PRODUCTOS31316[],2,FALSE)</f>
        <v>23064</v>
      </c>
      <c r="S878" s="1" t="str">
        <f>VLOOKUP(SALIDAS111518[[#This Row],[CÓDIGO]],PRODUCTOS31316[],3,FALSE)</f>
        <v>TERMO DESCONGELADOR DE SEMEN DE EMBRIONES AZUL</v>
      </c>
      <c r="T878" s="2">
        <v>1</v>
      </c>
      <c r="U878" s="2">
        <v>509</v>
      </c>
      <c r="V878" s="2"/>
      <c r="W878" s="2"/>
      <c r="X878" s="2"/>
      <c r="Y878" s="7"/>
      <c r="Z878" s="2"/>
      <c r="AA878" s="1"/>
      <c r="AC878" s="2"/>
      <c r="AE878" s="1"/>
      <c r="AG878" s="2"/>
    </row>
    <row r="879" spans="1:33" ht="49.95" customHeight="1" x14ac:dyDescent="0.3">
      <c r="A879" s="111" t="s">
        <v>2985</v>
      </c>
      <c r="B879" s="1">
        <v>6206</v>
      </c>
      <c r="C879" s="114" t="s">
        <v>2986</v>
      </c>
      <c r="D879" s="112" t="s">
        <v>2987</v>
      </c>
      <c r="E879" s="112" t="s">
        <v>410</v>
      </c>
      <c r="F879" s="112" t="s">
        <v>124</v>
      </c>
      <c r="G879" s="2">
        <v>13</v>
      </c>
      <c r="H879" s="14">
        <f>SUMIF(ENTRADAS71417[CÓDIGO],PRODUCTOS31316[[#This Row],[CÓDIGO]],ENTRADAS71417[CANTIDAD])</f>
        <v>50</v>
      </c>
      <c r="I879" s="11">
        <f>SUMIF(SALIDAS111518[CÓDIGO],PRODUCTOS31316[[#This Row],[CÓDIGO]],SALIDAS111518[CANTIDAD])</f>
        <v>33</v>
      </c>
      <c r="J879" s="6">
        <f>PRODUCTOS31316[[#This Row],[EXISTENCIAS]]+PRODUCTOS31316[[#This Row],[ENTRADAS]]-PRODUCTOS31316[[#This Row],[SALIDAS]]</f>
        <v>30</v>
      </c>
      <c r="L879" s="307"/>
      <c r="M879" s="307"/>
      <c r="N879" s="2">
        <v>8109</v>
      </c>
      <c r="O879" s="307" t="s">
        <v>2695</v>
      </c>
      <c r="P879" s="16">
        <v>46108</v>
      </c>
      <c r="Q879" s="319" t="s">
        <v>25</v>
      </c>
      <c r="R879" s="2">
        <f>VLOOKUP(SALIDAS111518[[#This Row],[CÓDIGO]],PRODUCTOS31316[],2,FALSE)</f>
        <v>0</v>
      </c>
      <c r="S879" s="1" t="str">
        <f>VLOOKUP(SALIDAS111518[[#This Row],[CÓDIGO]],PRODUCTOS31316[],3,FALSE)</f>
        <v>BOLSA TELA MAS CAMPO</v>
      </c>
      <c r="T879" s="2">
        <v>1</v>
      </c>
      <c r="U879" s="2"/>
      <c r="V879" s="2"/>
      <c r="W879" s="2"/>
      <c r="X879" s="2"/>
      <c r="Y879" s="7"/>
      <c r="Z879" s="2"/>
      <c r="AA879" s="1"/>
      <c r="AC879" s="2"/>
      <c r="AE879" s="1"/>
      <c r="AG879" s="2"/>
    </row>
    <row r="880" spans="1:33" ht="49.95" customHeight="1" x14ac:dyDescent="0.3">
      <c r="A880" s="111" t="s">
        <v>2989</v>
      </c>
      <c r="B880" s="1">
        <v>7297</v>
      </c>
      <c r="C880" s="112" t="s">
        <v>1999</v>
      </c>
      <c r="D880" s="112" t="s">
        <v>156</v>
      </c>
      <c r="E880" s="112" t="s">
        <v>2020</v>
      </c>
      <c r="F880" s="112" t="s">
        <v>30</v>
      </c>
      <c r="G880" s="2">
        <v>0</v>
      </c>
      <c r="H880" s="14">
        <f>SUMIF(ENTRADAS71417[CÓDIGO],PRODUCTOS31316[[#This Row],[CÓDIGO]],ENTRADAS71417[CANTIDAD])</f>
        <v>0</v>
      </c>
      <c r="I880" s="11">
        <f>SUMIF(SALIDAS111518[CÓDIGO],PRODUCTOS31316[[#This Row],[CÓDIGO]],SALIDAS111518[CANTIDAD])</f>
        <v>0</v>
      </c>
      <c r="J880" s="6">
        <f>PRODUCTOS31316[[#This Row],[EXISTENCIAS]]+PRODUCTOS31316[[#This Row],[ENTRADAS]]-PRODUCTOS31316[[#This Row],[SALIDAS]]</f>
        <v>0</v>
      </c>
      <c r="L880" s="307"/>
      <c r="M880" s="307"/>
      <c r="N880" s="2">
        <v>8109</v>
      </c>
      <c r="O880" s="307" t="s">
        <v>2695</v>
      </c>
      <c r="P880" s="16">
        <v>46108</v>
      </c>
      <c r="Q880" s="319" t="s">
        <v>3095</v>
      </c>
      <c r="R880" s="2">
        <f>VLOOKUP(SALIDAS111518[[#This Row],[CÓDIGO]],PRODUCTOS31316[],2,FALSE)</f>
        <v>0</v>
      </c>
      <c r="S880" s="1" t="str">
        <f>VLOOKUP(SALIDAS111518[[#This Row],[CÓDIGO]],PRODUCTOS31316[],3,FALSE)</f>
        <v>GORRA MAS CAMPO</v>
      </c>
      <c r="T880" s="2">
        <v>1</v>
      </c>
      <c r="U880" s="2"/>
      <c r="V880" s="2"/>
      <c r="W880" s="2"/>
      <c r="X880" s="2"/>
      <c r="Y880" s="7"/>
      <c r="Z880" s="2"/>
      <c r="AA880" s="1"/>
      <c r="AC880" s="2"/>
      <c r="AE880" s="1"/>
      <c r="AG880" s="2"/>
    </row>
    <row r="881" spans="1:33" ht="49.95" customHeight="1" x14ac:dyDescent="0.3">
      <c r="A881" s="111" t="s">
        <v>2990</v>
      </c>
      <c r="B881" s="1">
        <v>7298</v>
      </c>
      <c r="C881" s="216" t="s">
        <v>2991</v>
      </c>
      <c r="D881" s="112" t="s">
        <v>156</v>
      </c>
      <c r="E881" s="112" t="s">
        <v>2020</v>
      </c>
      <c r="F881" s="112" t="s">
        <v>30</v>
      </c>
      <c r="G881" s="2">
        <v>3</v>
      </c>
      <c r="H881" s="14">
        <f>SUMIF(ENTRADAS71417[CÓDIGO],PRODUCTOS31316[[#This Row],[CÓDIGO]],ENTRADAS71417[CANTIDAD])</f>
        <v>0</v>
      </c>
      <c r="I881" s="11">
        <f>SUMIF(SALIDAS111518[CÓDIGO],PRODUCTOS31316[[#This Row],[CÓDIGO]],SALIDAS111518[CANTIDAD])</f>
        <v>0</v>
      </c>
      <c r="J881" s="6">
        <f>PRODUCTOS31316[[#This Row],[EXISTENCIAS]]+PRODUCTOS31316[[#This Row],[ENTRADAS]]-PRODUCTOS31316[[#This Row],[SALIDAS]]</f>
        <v>3</v>
      </c>
      <c r="L881" s="307" t="s">
        <v>3521</v>
      </c>
      <c r="M881" s="307" t="s">
        <v>4250</v>
      </c>
      <c r="N881" s="308" t="s">
        <v>4302</v>
      </c>
      <c r="O881" s="307" t="s">
        <v>3517</v>
      </c>
      <c r="P881" s="16">
        <v>46085</v>
      </c>
      <c r="Q881" s="307" t="s">
        <v>104</v>
      </c>
      <c r="R881" s="2">
        <f>VLOOKUP(SALIDAS111518[[#This Row],[CÓDIGO]],PRODUCTOS31316[],2,FALSE)</f>
        <v>0</v>
      </c>
      <c r="S881" s="1" t="str">
        <f>VLOOKUP(SALIDAS111518[[#This Row],[CÓDIGO]],PRODUCTOS31316[],3,FALSE)</f>
        <v>ISPERM CHIPS (500 TESTS PER BOX) PAQ. X 50 UND</v>
      </c>
      <c r="T881" s="2">
        <v>2</v>
      </c>
      <c r="U881" s="2">
        <v>390</v>
      </c>
      <c r="V881" s="2"/>
      <c r="W881" s="307" t="s">
        <v>3412</v>
      </c>
      <c r="X881" s="2"/>
      <c r="Y881" s="7"/>
      <c r="Z881" s="2"/>
      <c r="AA881" s="1"/>
      <c r="AC881" s="2"/>
      <c r="AE881" s="1"/>
      <c r="AG881" s="2"/>
    </row>
    <row r="882" spans="1:33" ht="49.95" customHeight="1" x14ac:dyDescent="0.3">
      <c r="A882" s="111" t="s">
        <v>2992</v>
      </c>
      <c r="B882" s="1">
        <v>7116</v>
      </c>
      <c r="C882" s="112" t="s">
        <v>2993</v>
      </c>
      <c r="D882" s="112" t="s">
        <v>156</v>
      </c>
      <c r="E882" s="112" t="s">
        <v>2020</v>
      </c>
      <c r="F882" s="112" t="s">
        <v>30</v>
      </c>
      <c r="G882" s="2">
        <v>0</v>
      </c>
      <c r="H882" s="14">
        <f>SUMIF(ENTRADAS71417[CÓDIGO],PRODUCTOS31316[[#This Row],[CÓDIGO]],ENTRADAS71417[CANTIDAD])</f>
        <v>1</v>
      </c>
      <c r="I882" s="11">
        <f>SUMIF(SALIDAS111518[CÓDIGO],PRODUCTOS31316[[#This Row],[CÓDIGO]],SALIDAS111518[CANTIDAD])</f>
        <v>1</v>
      </c>
      <c r="J882" s="6">
        <f>PRODUCTOS31316[[#This Row],[EXISTENCIAS]]+PRODUCTOS31316[[#This Row],[ENTRADAS]]-PRODUCTOS31316[[#This Row],[SALIDAS]]</f>
        <v>0</v>
      </c>
      <c r="L882" s="2"/>
      <c r="M882" s="2"/>
      <c r="N882" s="2">
        <v>7994</v>
      </c>
      <c r="O882" s="307" t="s">
        <v>3517</v>
      </c>
      <c r="P882" s="16">
        <v>46085</v>
      </c>
      <c r="Q882" s="307" t="s">
        <v>3237</v>
      </c>
      <c r="R882" s="2" t="str">
        <f>VLOOKUP(SALIDAS111518[[#This Row],[CÓDIGO]],PRODUCTOS31316[],2,FALSE)</f>
        <v>1111-3800</v>
      </c>
      <c r="S882" s="1" t="str">
        <f>VLOOKUP(SALIDAS111518[[#This Row],[CÓDIGO]],PRODUCTOS31316[],3,FALSE)</f>
        <v>RACK DE PUNTAS 10 UL NO ESTERIL/ LT N1394910O/ N139103M</v>
      </c>
      <c r="T882" s="2">
        <v>1</v>
      </c>
      <c r="U882" s="2"/>
      <c r="V882" s="2"/>
      <c r="W882" s="2"/>
      <c r="X882" s="2"/>
      <c r="Y882" s="7"/>
      <c r="Z882" s="2"/>
      <c r="AA882" s="1"/>
      <c r="AC882" s="2"/>
      <c r="AE882" s="1"/>
      <c r="AG882" s="2"/>
    </row>
    <row r="883" spans="1:33" ht="49.95" customHeight="1" x14ac:dyDescent="0.3">
      <c r="A883" s="111" t="s">
        <v>2995</v>
      </c>
      <c r="B883" s="1">
        <v>7008</v>
      </c>
      <c r="C883" s="216" t="s">
        <v>2994</v>
      </c>
      <c r="D883" s="112" t="s">
        <v>156</v>
      </c>
      <c r="E883" s="112" t="s">
        <v>2020</v>
      </c>
      <c r="F883" s="112" t="s">
        <v>30</v>
      </c>
      <c r="G883" s="2">
        <v>4</v>
      </c>
      <c r="H883" s="14">
        <f>SUMIF(ENTRADAS71417[CÓDIGO],PRODUCTOS31316[[#This Row],[CÓDIGO]],ENTRADAS71417[CANTIDAD])</f>
        <v>0</v>
      </c>
      <c r="I883" s="11">
        <f>SUMIF(SALIDAS111518[CÓDIGO],PRODUCTOS31316[[#This Row],[CÓDIGO]],SALIDAS111518[CANTIDAD])</f>
        <v>2</v>
      </c>
      <c r="J883" s="6">
        <f>PRODUCTOS31316[[#This Row],[EXISTENCIAS]]+PRODUCTOS31316[[#This Row],[ENTRADAS]]-PRODUCTOS31316[[#This Row],[SALIDAS]]</f>
        <v>2</v>
      </c>
      <c r="L883" s="307" t="s">
        <v>3521</v>
      </c>
      <c r="M883" s="307" t="s">
        <v>4250</v>
      </c>
      <c r="N883" s="308" t="s">
        <v>4303</v>
      </c>
      <c r="O883" s="308" t="s">
        <v>4295</v>
      </c>
      <c r="P883" s="16">
        <v>46085</v>
      </c>
      <c r="Q883" s="307" t="s">
        <v>4254</v>
      </c>
      <c r="R883" s="2">
        <f>VLOOKUP(SALIDAS111518[[#This Row],[CÓDIGO]],PRODUCTOS31316[],2,FALSE)</f>
        <v>0</v>
      </c>
      <c r="S883" s="1" t="str">
        <f>VLOOKUP(SALIDAS111518[[#This Row],[CÓDIGO]],PRODUCTOS31316[],3,FALSE)</f>
        <v>TUBO 0.50 PARA PISTOLA DE INSEMINACIÓN CON CÁMARA BMV</v>
      </c>
      <c r="T883" s="2">
        <v>1</v>
      </c>
      <c r="U883" s="2">
        <v>391</v>
      </c>
      <c r="V883" s="2"/>
      <c r="W883" s="307" t="s">
        <v>3412</v>
      </c>
      <c r="X883" s="2"/>
      <c r="Y883" s="7"/>
      <c r="Z883" s="2"/>
      <c r="AA883" s="1"/>
      <c r="AC883" s="2"/>
      <c r="AE883" s="1"/>
      <c r="AG883" s="2"/>
    </row>
    <row r="884" spans="1:33" ht="49.95" customHeight="1" x14ac:dyDescent="0.3">
      <c r="A884" s="111" t="s">
        <v>2996</v>
      </c>
      <c r="B884" s="1">
        <v>7009</v>
      </c>
      <c r="C884" s="216" t="s">
        <v>2997</v>
      </c>
      <c r="D884" s="112" t="s">
        <v>156</v>
      </c>
      <c r="E884" s="112" t="s">
        <v>2020</v>
      </c>
      <c r="F884" s="112" t="s">
        <v>30</v>
      </c>
      <c r="G884" s="2">
        <v>7</v>
      </c>
      <c r="H884" s="14">
        <f>SUMIF(ENTRADAS71417[CÓDIGO],PRODUCTOS31316[[#This Row],[CÓDIGO]],ENTRADAS71417[CANTIDAD])</f>
        <v>0</v>
      </c>
      <c r="I884" s="11">
        <f>SUMIF(SALIDAS111518[CÓDIGO],PRODUCTOS31316[[#This Row],[CÓDIGO]],SALIDAS111518[CANTIDAD])</f>
        <v>0</v>
      </c>
      <c r="J884" s="6">
        <f>PRODUCTOS31316[[#This Row],[EXISTENCIAS]]+PRODUCTOS31316[[#This Row],[ENTRADAS]]-PRODUCTOS31316[[#This Row],[SALIDAS]]</f>
        <v>7</v>
      </c>
      <c r="L884" s="307" t="s">
        <v>3520</v>
      </c>
      <c r="M884" s="307" t="s">
        <v>4250</v>
      </c>
      <c r="N884" s="308" t="s">
        <v>4304</v>
      </c>
      <c r="O884" s="307" t="s">
        <v>4080</v>
      </c>
      <c r="P884" s="16">
        <v>46085</v>
      </c>
      <c r="Q884" s="307" t="s">
        <v>273</v>
      </c>
      <c r="R884" s="2">
        <f>VLOOKUP(SALIDAS111518[[#This Row],[CÓDIGO]],PRODUCTOS31316[],2,FALSE)</f>
        <v>1003514</v>
      </c>
      <c r="S884" s="1" t="str">
        <f>VLOOKUP(SALIDAS111518[[#This Row],[CÓDIGO]],PRODUCTOS31316[],3,FALSE)</f>
        <v>JALEA CONDUCTIVA (GEL ULTRASONICO) GALON X 3785 ML AZUL</v>
      </c>
      <c r="T884" s="2">
        <v>1</v>
      </c>
      <c r="U884" s="2">
        <v>392</v>
      </c>
      <c r="V884" s="2"/>
      <c r="W884" s="307" t="s">
        <v>3412</v>
      </c>
      <c r="X884" s="2"/>
      <c r="Y884" s="7"/>
      <c r="Z884" s="2"/>
      <c r="AA884" s="1"/>
      <c r="AC884" s="2"/>
      <c r="AE884" s="1"/>
      <c r="AG884" s="2"/>
    </row>
    <row r="885" spans="1:33" ht="49.95" customHeight="1" x14ac:dyDescent="0.3">
      <c r="A885" s="111" t="s">
        <v>2998</v>
      </c>
      <c r="B885" s="1">
        <v>7876</v>
      </c>
      <c r="C885" s="112" t="s">
        <v>2999</v>
      </c>
      <c r="D885" s="112" t="s">
        <v>156</v>
      </c>
      <c r="E885" s="112" t="s">
        <v>2020</v>
      </c>
      <c r="F885" s="112" t="s">
        <v>30</v>
      </c>
      <c r="G885" s="2">
        <v>4</v>
      </c>
      <c r="H885" s="14">
        <f>SUMIF(ENTRADAS71417[CÓDIGO],PRODUCTOS31316[[#This Row],[CÓDIGO]],ENTRADAS71417[CANTIDAD])</f>
        <v>0</v>
      </c>
      <c r="I885" s="11">
        <f>SUMIF(SALIDAS111518[CÓDIGO],PRODUCTOS31316[[#This Row],[CÓDIGO]],SALIDAS111518[CANTIDAD])</f>
        <v>1</v>
      </c>
      <c r="J885" s="6">
        <f>PRODUCTOS31316[[#This Row],[EXISTENCIAS]]+PRODUCTOS31316[[#This Row],[ENTRADAS]]-PRODUCTOS31316[[#This Row],[SALIDAS]]</f>
        <v>3</v>
      </c>
      <c r="L885" s="307" t="s">
        <v>3521</v>
      </c>
      <c r="M885" s="307" t="s">
        <v>4250</v>
      </c>
      <c r="N885" s="308" t="s">
        <v>4305</v>
      </c>
      <c r="O885" s="308" t="s">
        <v>4299</v>
      </c>
      <c r="P885" s="16">
        <v>46085</v>
      </c>
      <c r="Q885" s="307" t="s">
        <v>36</v>
      </c>
      <c r="R885" s="2">
        <f>VLOOKUP(SALIDAS111518[[#This Row],[CÓDIGO]],PRODUCTOS31316[],2,FALSE)</f>
        <v>1</v>
      </c>
      <c r="S885" s="1" t="str">
        <f>VLOOKUP(SALIDAS111518[[#This Row],[CÓDIGO]],PRODUCTOS31316[],3,FALSE)</f>
        <v xml:space="preserve">PARCHE ESTROTECT </v>
      </c>
      <c r="T885" s="2">
        <v>1</v>
      </c>
      <c r="U885" s="2">
        <v>393</v>
      </c>
      <c r="V885" s="2"/>
      <c r="W885" s="307" t="s">
        <v>3412</v>
      </c>
      <c r="X885" s="2"/>
      <c r="Y885" s="7"/>
      <c r="Z885" s="2"/>
      <c r="AA885" s="1"/>
      <c r="AC885" s="2"/>
      <c r="AE885" s="1"/>
      <c r="AG885" s="2"/>
    </row>
    <row r="886" spans="1:33" ht="49.95" customHeight="1" x14ac:dyDescent="0.3">
      <c r="A886" s="111" t="s">
        <v>3001</v>
      </c>
      <c r="B886" s="1">
        <v>7875</v>
      </c>
      <c r="C886" s="112" t="s">
        <v>3000</v>
      </c>
      <c r="D886" s="112" t="s">
        <v>156</v>
      </c>
      <c r="E886" s="112" t="s">
        <v>2020</v>
      </c>
      <c r="F886" s="112" t="s">
        <v>30</v>
      </c>
      <c r="G886" s="2">
        <v>5</v>
      </c>
      <c r="H886" s="14">
        <f>SUMIF(ENTRADAS71417[CÓDIGO],PRODUCTOS31316[[#This Row],[CÓDIGO]],ENTRADAS71417[CANTIDAD])</f>
        <v>0</v>
      </c>
      <c r="I886" s="11">
        <f>SUMIF(SALIDAS111518[CÓDIGO],PRODUCTOS31316[[#This Row],[CÓDIGO]],SALIDAS111518[CANTIDAD])</f>
        <v>0</v>
      </c>
      <c r="J886" s="6">
        <f>PRODUCTOS31316[[#This Row],[EXISTENCIAS]]+PRODUCTOS31316[[#This Row],[ENTRADAS]]-PRODUCTOS31316[[#This Row],[SALIDAS]]</f>
        <v>5</v>
      </c>
      <c r="L886" s="307" t="s">
        <v>3520</v>
      </c>
      <c r="M886" s="307" t="s">
        <v>4250</v>
      </c>
      <c r="N886" s="361" t="s">
        <v>4944</v>
      </c>
      <c r="O886" s="361" t="s">
        <v>4943</v>
      </c>
      <c r="P886" s="346">
        <v>46139</v>
      </c>
      <c r="Q886" s="307" t="s">
        <v>336</v>
      </c>
      <c r="R886" s="2">
        <f>VLOOKUP(SALIDAS111518[[#This Row],[CÓDIGO]],PRODUCTOS31316[],2,FALSE)</f>
        <v>0</v>
      </c>
      <c r="S886" s="1" t="str">
        <f>VLOOKUP(SALIDAS111518[[#This Row],[CÓDIGO]],PRODUCTOS31316[],3,FALSE)</f>
        <v>ABT PVA CONCENTRAD 20 ML VC ENERO 2027</v>
      </c>
      <c r="T886" s="2">
        <v>3</v>
      </c>
      <c r="U886" s="359" t="s">
        <v>4948</v>
      </c>
      <c r="V886" s="2"/>
      <c r="W886" s="2"/>
      <c r="X886" s="2"/>
      <c r="Y886" s="7"/>
      <c r="Z886" s="2"/>
      <c r="AA886" s="1"/>
      <c r="AC886" s="2"/>
      <c r="AE886" s="1"/>
      <c r="AG886" s="2"/>
    </row>
    <row r="887" spans="1:33" ht="49.95" customHeight="1" x14ac:dyDescent="0.3">
      <c r="A887" s="111" t="s">
        <v>3002</v>
      </c>
      <c r="B887" s="1">
        <v>7117</v>
      </c>
      <c r="C887" s="185" t="s">
        <v>3018</v>
      </c>
      <c r="D887" s="112" t="s">
        <v>156</v>
      </c>
      <c r="E887" s="112" t="s">
        <v>2020</v>
      </c>
      <c r="F887" s="112" t="s">
        <v>30</v>
      </c>
      <c r="G887" s="2">
        <v>1</v>
      </c>
      <c r="H887" s="14">
        <f>SUMIF(ENTRADAS71417[CÓDIGO],PRODUCTOS31316[[#This Row],[CÓDIGO]],ENTRADAS71417[CANTIDAD])</f>
        <v>0</v>
      </c>
      <c r="I887" s="11">
        <f>SUMIF(SALIDAS111518[CÓDIGO],PRODUCTOS31316[[#This Row],[CÓDIGO]],SALIDAS111518[CANTIDAD])</f>
        <v>1</v>
      </c>
      <c r="J887" s="6">
        <f>PRODUCTOS31316[[#This Row],[EXISTENCIAS]]+PRODUCTOS31316[[#This Row],[ENTRADAS]]-PRODUCTOS31316[[#This Row],[SALIDAS]]</f>
        <v>0</v>
      </c>
      <c r="L887" s="2"/>
      <c r="M887" s="2"/>
      <c r="N887" s="2">
        <v>8311</v>
      </c>
      <c r="O887" s="344" t="s">
        <v>4300</v>
      </c>
      <c r="P887" s="16">
        <v>46139</v>
      </c>
      <c r="Q887" s="307" t="s">
        <v>79</v>
      </c>
      <c r="R887" s="2" t="str">
        <f>VLOOKUP(SALIDAS111518[[#This Row],[CÓDIGO]],PRODUCTOS31316[],2,FALSE)</f>
        <v>ABT ADAPT HOLDING</v>
      </c>
      <c r="S887" s="1" t="str">
        <f>VLOOKUP(SALIDAS111518[[#This Row],[CÓDIGO]],PRODUCTOS31316[],3,FALSE)</f>
        <v>ABT ADAPT HOLDING CON HA 7 ML</v>
      </c>
      <c r="T887" s="2">
        <v>4</v>
      </c>
      <c r="U887" s="1"/>
      <c r="V887" s="2"/>
      <c r="W887" s="2"/>
      <c r="X887" s="2"/>
      <c r="Y887" s="7"/>
      <c r="Z887" s="2"/>
      <c r="AA887" s="1"/>
      <c r="AC887" s="2"/>
      <c r="AE887" s="1"/>
      <c r="AG887" s="2"/>
    </row>
    <row r="888" spans="1:33" ht="49.95" customHeight="1" x14ac:dyDescent="0.3">
      <c r="A888" s="111" t="s">
        <v>3003</v>
      </c>
      <c r="B888" s="1">
        <v>7118</v>
      </c>
      <c r="C888" s="185" t="s">
        <v>3019</v>
      </c>
      <c r="D888" s="112" t="s">
        <v>156</v>
      </c>
      <c r="E888" s="112" t="s">
        <v>2020</v>
      </c>
      <c r="F888" s="112" t="s">
        <v>30</v>
      </c>
      <c r="G888" s="2">
        <v>0</v>
      </c>
      <c r="H888" s="14">
        <f>SUMIF(ENTRADAS71417[CÓDIGO],PRODUCTOS31316[[#This Row],[CÓDIGO]],ENTRADAS71417[CANTIDAD])</f>
        <v>0</v>
      </c>
      <c r="I888" s="11">
        <f>SUMIF(SALIDAS111518[CÓDIGO],PRODUCTOS31316[[#This Row],[CÓDIGO]],SALIDAS111518[CANTIDAD])</f>
        <v>0</v>
      </c>
      <c r="J888" s="6">
        <f>PRODUCTOS31316[[#This Row],[EXISTENCIAS]]+PRODUCTOS31316[[#This Row],[ENTRADAS]]-PRODUCTOS31316[[#This Row],[SALIDAS]]</f>
        <v>0</v>
      </c>
      <c r="L888" s="2"/>
      <c r="M888" s="2"/>
      <c r="N888" s="2">
        <v>8311</v>
      </c>
      <c r="O888" s="313" t="s">
        <v>4300</v>
      </c>
      <c r="P888" s="16">
        <v>46139</v>
      </c>
      <c r="Q888" s="307" t="s">
        <v>210</v>
      </c>
      <c r="R888" s="2">
        <f>VLOOKUP(SALIDAS111518[[#This Row],[CÓDIGO]],PRODUCTOS31316[],2,FALSE)</f>
        <v>101257</v>
      </c>
      <c r="S888" s="1" t="str">
        <f>VLOOKUP(SALIDAS111518[[#This Row],[CÓDIGO]],PRODUCTOS31316[],3,FALSE)</f>
        <v>MANGA DESECHABLE SUPER SENSITIVA</v>
      </c>
      <c r="T888" s="2">
        <v>2</v>
      </c>
      <c r="U888" s="1"/>
      <c r="V888" s="2"/>
      <c r="W888" s="2"/>
      <c r="X888" s="2"/>
      <c r="Y888" s="7"/>
      <c r="Z888" s="2"/>
      <c r="AA888" s="1"/>
      <c r="AC888" s="2"/>
      <c r="AE888" s="1"/>
      <c r="AG888" s="2"/>
    </row>
    <row r="889" spans="1:33" ht="49.95" customHeight="1" x14ac:dyDescent="0.3">
      <c r="A889" s="111" t="s">
        <v>3004</v>
      </c>
      <c r="B889" s="1">
        <v>7122</v>
      </c>
      <c r="C889" s="185" t="s">
        <v>3185</v>
      </c>
      <c r="D889" s="112" t="s">
        <v>156</v>
      </c>
      <c r="E889" s="112" t="s">
        <v>2020</v>
      </c>
      <c r="F889" s="112" t="s">
        <v>30</v>
      </c>
      <c r="G889" s="2">
        <v>2</v>
      </c>
      <c r="H889" s="14">
        <f>SUMIF(ENTRADAS71417[CÓDIGO],PRODUCTOS31316[[#This Row],[CÓDIGO]],ENTRADAS71417[CANTIDAD])</f>
        <v>0</v>
      </c>
      <c r="I889" s="11">
        <f>SUMIF(SALIDAS111518[CÓDIGO],PRODUCTOS31316[[#This Row],[CÓDIGO]],SALIDAS111518[CANTIDAD])</f>
        <v>0</v>
      </c>
      <c r="J889" s="6">
        <f>PRODUCTOS31316[[#This Row],[EXISTENCIAS]]+PRODUCTOS31316[[#This Row],[ENTRADAS]]-PRODUCTOS31316[[#This Row],[SALIDAS]]</f>
        <v>2</v>
      </c>
      <c r="L889" s="2"/>
      <c r="M889" s="2"/>
      <c r="N889" s="375" t="s">
        <v>5357</v>
      </c>
      <c r="O889" s="308" t="s">
        <v>4300</v>
      </c>
      <c r="P889" s="16">
        <v>46176</v>
      </c>
      <c r="Q889" s="307" t="s">
        <v>3639</v>
      </c>
      <c r="R889" s="2">
        <f>VLOOKUP(SALIDAS111518[[#This Row],[CÓDIGO]],PRODUCTOS31316[],2,FALSE)</f>
        <v>5565</v>
      </c>
      <c r="S889" s="1" t="str">
        <f>VLOOKUP(SALIDAS111518[[#This Row],[CÓDIGO]],PRODUCTOS31316[],3,FALSE)</f>
        <v>PAJUELA TRANSPARENTE 0.25/ PAQ. X 2000 MARCA IMV</v>
      </c>
      <c r="T889" s="2">
        <v>1</v>
      </c>
      <c r="U889" s="2">
        <v>922</v>
      </c>
      <c r="V889" s="2"/>
      <c r="W889" s="2"/>
      <c r="X889" s="2"/>
      <c r="Y889" s="7"/>
      <c r="Z889" s="2"/>
      <c r="AA889" s="1"/>
      <c r="AC889" s="2"/>
      <c r="AE889" s="1"/>
      <c r="AG889" s="2"/>
    </row>
    <row r="890" spans="1:33" ht="49.95" customHeight="1" x14ac:dyDescent="0.3">
      <c r="A890" s="111" t="s">
        <v>3005</v>
      </c>
      <c r="B890" s="1">
        <v>7119</v>
      </c>
      <c r="C890" s="185" t="s">
        <v>3020</v>
      </c>
      <c r="D890" s="112" t="s">
        <v>156</v>
      </c>
      <c r="E890" s="112" t="s">
        <v>2020</v>
      </c>
      <c r="F890" s="112" t="s">
        <v>30</v>
      </c>
      <c r="G890" s="2">
        <v>3</v>
      </c>
      <c r="H890" s="14">
        <f>SUMIF(ENTRADAS71417[CÓDIGO],PRODUCTOS31316[[#This Row],[CÓDIGO]],ENTRADAS71417[CANTIDAD])</f>
        <v>0</v>
      </c>
      <c r="I890" s="11">
        <f>SUMIF(SALIDAS111518[CÓDIGO],PRODUCTOS31316[[#This Row],[CÓDIGO]],SALIDAS111518[CANTIDAD])</f>
        <v>0</v>
      </c>
      <c r="J890" s="6">
        <f>PRODUCTOS31316[[#This Row],[EXISTENCIAS]]+PRODUCTOS31316[[#This Row],[ENTRADAS]]-PRODUCTOS31316[[#This Row],[SALIDAS]]</f>
        <v>3</v>
      </c>
      <c r="L890" s="2"/>
      <c r="M890" s="2"/>
      <c r="N890" s="2">
        <v>493</v>
      </c>
      <c r="O890" s="308" t="s">
        <v>4300</v>
      </c>
      <c r="P890" s="16">
        <v>46176</v>
      </c>
      <c r="Q890" s="307" t="s">
        <v>2833</v>
      </c>
      <c r="R890" s="2">
        <f>VLOOKUP(SALIDAS111518[[#This Row],[CÓDIGO]],PRODUCTOS31316[],2,FALSE)</f>
        <v>0</v>
      </c>
      <c r="S890" s="1" t="str">
        <f>VLOOKUP(SALIDAS111518[[#This Row],[CÓDIGO]],PRODUCTOS31316[],3,FALSE)</f>
        <v>ETHYLENE GRYCOL ABT FREEZE CON SUCROSA Y HA X 7 ML</v>
      </c>
      <c r="T890" s="2">
        <v>4</v>
      </c>
      <c r="U890" s="2"/>
      <c r="V890" s="2"/>
      <c r="W890" s="2"/>
      <c r="X890" s="2"/>
      <c r="Y890" s="7"/>
      <c r="Z890" s="2"/>
      <c r="AA890" s="1"/>
      <c r="AC890" s="2"/>
      <c r="AE890" s="1"/>
      <c r="AG890" s="2"/>
    </row>
    <row r="891" spans="1:33" ht="49.95" customHeight="1" x14ac:dyDescent="0.3">
      <c r="A891" s="111" t="s">
        <v>3007</v>
      </c>
      <c r="B891" s="1">
        <v>7825</v>
      </c>
      <c r="C891" s="112" t="s">
        <v>3006</v>
      </c>
      <c r="D891" s="112" t="s">
        <v>156</v>
      </c>
      <c r="E891" s="112" t="s">
        <v>2020</v>
      </c>
      <c r="F891" s="112" t="s">
        <v>30</v>
      </c>
      <c r="G891" s="2">
        <v>1</v>
      </c>
      <c r="H891" s="14">
        <f>SUMIF(ENTRADAS71417[CÓDIGO],PRODUCTOS31316[[#This Row],[CÓDIGO]],ENTRADAS71417[CANTIDAD])</f>
        <v>0</v>
      </c>
      <c r="I891" s="11">
        <f>SUMIF(SALIDAS111518[CÓDIGO],PRODUCTOS31316[[#This Row],[CÓDIGO]],SALIDAS111518[CANTIDAD])</f>
        <v>0</v>
      </c>
      <c r="J891" s="6">
        <f>PRODUCTOS31316[[#This Row],[EXISTENCIAS]]+PRODUCTOS31316[[#This Row],[ENTRADAS]]-PRODUCTOS31316[[#This Row],[SALIDAS]]</f>
        <v>1</v>
      </c>
      <c r="L891" s="307" t="s">
        <v>3521</v>
      </c>
      <c r="M891" s="307" t="s">
        <v>4250</v>
      </c>
      <c r="N891" s="320" t="s">
        <v>4520</v>
      </c>
      <c r="O891" s="319" t="s">
        <v>3201</v>
      </c>
      <c r="P891" s="16">
        <v>46106</v>
      </c>
      <c r="Q891" s="307" t="s">
        <v>3346</v>
      </c>
      <c r="R891" s="2" t="str">
        <f>VLOOKUP(SALIDAS111518[[#This Row],[CÓDIGO]],PRODUCTOS31316[],2,FALSE)</f>
        <v>S7PRO</v>
      </c>
      <c r="S891" s="1" t="str">
        <f>VLOOKUP(SALIDAS111518[[#This Row],[CÓDIGO]],PRODUCTOS31316[],3,FALSE)</f>
        <v>ECÓGRAFO S7 PRO VET CON SONDA LINEAL RECTAL</v>
      </c>
      <c r="T891" s="2">
        <v>1</v>
      </c>
      <c r="U891" s="319" t="s">
        <v>4512</v>
      </c>
      <c r="V891" s="2"/>
      <c r="W891" s="307" t="s">
        <v>3194</v>
      </c>
      <c r="X891" s="2"/>
      <c r="Y891" s="7"/>
      <c r="Z891" s="2"/>
      <c r="AA891" s="1"/>
      <c r="AC891" s="2"/>
      <c r="AE891" s="1"/>
      <c r="AG891" s="2"/>
    </row>
    <row r="892" spans="1:33" ht="49.95" customHeight="1" x14ac:dyDescent="0.3">
      <c r="A892" s="111" t="s">
        <v>3008</v>
      </c>
      <c r="B892" s="1">
        <v>7177</v>
      </c>
      <c r="C892" s="216" t="s">
        <v>1741</v>
      </c>
      <c r="D892" s="112" t="s">
        <v>156</v>
      </c>
      <c r="E892" s="112" t="s">
        <v>2020</v>
      </c>
      <c r="F892" s="112" t="s">
        <v>30</v>
      </c>
      <c r="G892" s="2">
        <v>0</v>
      </c>
      <c r="H892" s="14">
        <f>SUMIF(ENTRADAS71417[CÓDIGO],PRODUCTOS31316[[#This Row],[CÓDIGO]],ENTRADAS71417[CANTIDAD])</f>
        <v>0</v>
      </c>
      <c r="I892" s="11">
        <f>SUMIF(SALIDAS111518[CÓDIGO],PRODUCTOS31316[[#This Row],[CÓDIGO]],SALIDAS111518[CANTIDAD])</f>
        <v>0</v>
      </c>
      <c r="J892" s="6">
        <f>PRODUCTOS31316[[#This Row],[EXISTENCIAS]]+PRODUCTOS31316[[#This Row],[ENTRADAS]]-PRODUCTOS31316[[#This Row],[SALIDAS]]</f>
        <v>0</v>
      </c>
      <c r="L892" s="2"/>
      <c r="M892" s="2"/>
      <c r="N892" s="2">
        <v>8101</v>
      </c>
      <c r="O892" s="307" t="s">
        <v>3201</v>
      </c>
      <c r="P892" s="16">
        <v>46106</v>
      </c>
      <c r="Q892" s="307" t="s">
        <v>3077</v>
      </c>
      <c r="R892" s="2">
        <f>VLOOKUP(SALIDAS111518[[#This Row],[CÓDIGO]],PRODUCTOS31316[],2,FALSE)</f>
        <v>0</v>
      </c>
      <c r="S892" s="1" t="str">
        <f>VLOOKUP(SALIDAS111518[[#This Row],[CÓDIGO]],PRODUCTOS31316[],3,FALSE)</f>
        <v>TABLET GALAXY TAB A 9+ MARCA SANSUNG</v>
      </c>
      <c r="T892" s="2">
        <v>1</v>
      </c>
      <c r="U892" s="2"/>
      <c r="V892" s="2"/>
      <c r="W892" s="2"/>
      <c r="X892" s="2"/>
      <c r="Y892" s="7"/>
      <c r="Z892" s="2"/>
      <c r="AA892" s="1"/>
      <c r="AC892" s="2"/>
      <c r="AE892" s="1"/>
      <c r="AG892" s="2"/>
    </row>
    <row r="893" spans="1:33" ht="49.95" customHeight="1" x14ac:dyDescent="0.3">
      <c r="A893" s="111" t="s">
        <v>3009</v>
      </c>
      <c r="B893" s="1">
        <v>7176</v>
      </c>
      <c r="C893" s="216" t="s">
        <v>3010</v>
      </c>
      <c r="D893" s="112" t="s">
        <v>156</v>
      </c>
      <c r="E893" s="112" t="s">
        <v>2020</v>
      </c>
      <c r="F893" s="112" t="s">
        <v>30</v>
      </c>
      <c r="G893" s="2">
        <v>0</v>
      </c>
      <c r="H893" s="14">
        <f>SUMIF(ENTRADAS71417[CÓDIGO],PRODUCTOS31316[[#This Row],[CÓDIGO]],ENTRADAS71417[CANTIDAD])</f>
        <v>3</v>
      </c>
      <c r="I893" s="11">
        <f>SUMIF(SALIDAS111518[CÓDIGO],PRODUCTOS31316[[#This Row],[CÓDIGO]],SALIDAS111518[CANTIDAD])</f>
        <v>2</v>
      </c>
      <c r="J893" s="6">
        <f>PRODUCTOS31316[[#This Row],[EXISTENCIAS]]+PRODUCTOS31316[[#This Row],[ENTRADAS]]-PRODUCTOS31316[[#This Row],[SALIDAS]]</f>
        <v>1</v>
      </c>
      <c r="L893" s="2"/>
      <c r="M893" s="2"/>
      <c r="N893" s="2">
        <v>8101</v>
      </c>
      <c r="O893" s="307" t="s">
        <v>3201</v>
      </c>
      <c r="P893" s="16">
        <v>46106</v>
      </c>
      <c r="Q893" s="307" t="s">
        <v>3286</v>
      </c>
      <c r="R893" s="2">
        <f>VLOOKUP(SALIDAS111518[[#This Row],[CÓDIGO]],PRODUCTOS31316[],2,FALSE)</f>
        <v>0</v>
      </c>
      <c r="S893" s="1" t="str">
        <f>VLOOKUP(SALIDAS111518[[#This Row],[CÓDIGO]],PRODUCTOS31316[],3,FALSE)</f>
        <v>CARCASA TABLET BMV</v>
      </c>
      <c r="T893" s="2">
        <v>1</v>
      </c>
      <c r="U893" s="2"/>
      <c r="V893" s="2"/>
      <c r="W893" s="2"/>
      <c r="X893" s="2"/>
      <c r="Y893" s="7"/>
      <c r="Z893" s="2"/>
      <c r="AA893" s="1"/>
      <c r="AC893" s="2"/>
      <c r="AE893" s="1"/>
      <c r="AG893" s="2"/>
    </row>
    <row r="894" spans="1:33" ht="49.95" customHeight="1" x14ac:dyDescent="0.3">
      <c r="A894" s="111" t="s">
        <v>3012</v>
      </c>
      <c r="B894" s="1">
        <v>7175</v>
      </c>
      <c r="C894" s="216" t="s">
        <v>3011</v>
      </c>
      <c r="D894" s="112" t="s">
        <v>156</v>
      </c>
      <c r="E894" s="112" t="s">
        <v>2020</v>
      </c>
      <c r="F894" s="112" t="s">
        <v>30</v>
      </c>
      <c r="G894" s="2">
        <v>2</v>
      </c>
      <c r="H894" s="14">
        <f>SUMIF(ENTRADAS71417[CÓDIGO],PRODUCTOS31316[[#This Row],[CÓDIGO]],ENTRADAS71417[CANTIDAD])</f>
        <v>0</v>
      </c>
      <c r="I894" s="11">
        <f>SUMIF(SALIDAS111518[CÓDIGO],PRODUCTOS31316[[#This Row],[CÓDIGO]],SALIDAS111518[CANTIDAD])</f>
        <v>0</v>
      </c>
      <c r="J894" s="6">
        <f>PRODUCTOS31316[[#This Row],[EXISTENCIAS]]+PRODUCTOS31316[[#This Row],[ENTRADAS]]-PRODUCTOS31316[[#This Row],[SALIDAS]]</f>
        <v>2</v>
      </c>
      <c r="L894" s="2"/>
      <c r="M894" s="2"/>
      <c r="N894" s="2">
        <v>8101</v>
      </c>
      <c r="O894" s="307" t="s">
        <v>3201</v>
      </c>
      <c r="P894" s="16">
        <v>46106</v>
      </c>
      <c r="Q894" s="319" t="s">
        <v>3095</v>
      </c>
      <c r="R894" s="2">
        <f>VLOOKUP(SALIDAS111518[[#This Row],[CÓDIGO]],PRODUCTOS31316[],2,FALSE)</f>
        <v>0</v>
      </c>
      <c r="S894" s="1" t="str">
        <f>VLOOKUP(SALIDAS111518[[#This Row],[CÓDIGO]],PRODUCTOS31316[],3,FALSE)</f>
        <v>GORRA MAS CAMPO</v>
      </c>
      <c r="T894" s="2">
        <v>1</v>
      </c>
      <c r="U894" s="2"/>
      <c r="V894" s="2"/>
      <c r="W894" s="2"/>
      <c r="X894" s="2"/>
      <c r="Y894" s="7"/>
      <c r="Z894" s="2"/>
      <c r="AA894" s="1"/>
      <c r="AC894" s="2"/>
      <c r="AE894" s="1"/>
      <c r="AG894" s="2"/>
    </row>
    <row r="895" spans="1:33" ht="49.95" customHeight="1" x14ac:dyDescent="0.3">
      <c r="A895" s="111" t="s">
        <v>3013</v>
      </c>
      <c r="B895" s="1">
        <v>6921</v>
      </c>
      <c r="C895" s="237" t="s">
        <v>3421</v>
      </c>
      <c r="D895" s="112" t="s">
        <v>156</v>
      </c>
      <c r="E895" s="112" t="s">
        <v>2020</v>
      </c>
      <c r="F895" s="1" t="s">
        <v>1881</v>
      </c>
      <c r="G895" s="2">
        <v>5</v>
      </c>
      <c r="H895" s="14">
        <f>SUMIF(ENTRADAS71417[CÓDIGO],PRODUCTOS31316[[#This Row],[CÓDIGO]],ENTRADAS71417[CANTIDAD])</f>
        <v>0</v>
      </c>
      <c r="I895" s="11">
        <f>SUMIF(SALIDAS111518[CÓDIGO],PRODUCTOS31316[[#This Row],[CÓDIGO]],SALIDAS111518[CANTIDAD])</f>
        <v>0</v>
      </c>
      <c r="J895" s="6">
        <f>PRODUCTOS31316[[#This Row],[EXISTENCIAS]]+PRODUCTOS31316[[#This Row],[ENTRADAS]]-PRODUCTOS31316[[#This Row],[SALIDAS]]</f>
        <v>5</v>
      </c>
      <c r="L895" s="307" t="s">
        <v>3520</v>
      </c>
      <c r="M895" s="307" t="s">
        <v>4250</v>
      </c>
      <c r="N895" s="308" t="s">
        <v>4306</v>
      </c>
      <c r="O895" s="307" t="s">
        <v>3138</v>
      </c>
      <c r="P895" s="16">
        <v>46085</v>
      </c>
      <c r="Q895" s="307" t="s">
        <v>2755</v>
      </c>
      <c r="R895" s="2" t="str">
        <f>VLOOKUP(SALIDAS111518[[#This Row],[CÓDIGO]],PRODUCTOS31316[],2,FALSE)</f>
        <v>MSLDO05</v>
      </c>
      <c r="S895" s="1" t="str">
        <f>VLOOKUP(SALIDAS111518[[#This Row],[CÓDIGO]],PRODUCTOS31316[],3,FALSE)</f>
        <v>TERMO DE RECOLECCIÓN DE SEMEN/ USO VETERINARIO</v>
      </c>
      <c r="T895" s="2">
        <v>1</v>
      </c>
      <c r="U895" s="2">
        <v>389</v>
      </c>
      <c r="V895" s="2"/>
      <c r="W895" s="307" t="s">
        <v>2823</v>
      </c>
      <c r="X895" s="2"/>
      <c r="Y895" s="7"/>
      <c r="Z895" s="2"/>
      <c r="AA895" s="1"/>
      <c r="AC895" s="2"/>
      <c r="AE895" s="1"/>
      <c r="AG895" s="2"/>
    </row>
    <row r="896" spans="1:33" ht="49.95" customHeight="1" x14ac:dyDescent="0.3">
      <c r="A896" s="111" t="s">
        <v>3014</v>
      </c>
      <c r="B896" s="1">
        <v>6922</v>
      </c>
      <c r="C896" s="237" t="s">
        <v>3420</v>
      </c>
      <c r="D896" s="1" t="s">
        <v>156</v>
      </c>
      <c r="E896" s="112" t="s">
        <v>2020</v>
      </c>
      <c r="F896" s="1" t="s">
        <v>1881</v>
      </c>
      <c r="G896" s="2">
        <v>0</v>
      </c>
      <c r="H896" s="14">
        <f>SUMIF(ENTRADAS71417[CÓDIGO],PRODUCTOS31316[[#This Row],[CÓDIGO]],ENTRADAS71417[CANTIDAD])</f>
        <v>6</v>
      </c>
      <c r="I896" s="11">
        <f>SUMIF(SALIDAS111518[CÓDIGO],PRODUCTOS31316[[#This Row],[CÓDIGO]],SALIDAS111518[CANTIDAD])</f>
        <v>0</v>
      </c>
      <c r="J896" s="6">
        <f>PRODUCTOS31316[[#This Row],[EXISTENCIAS]]+PRODUCTOS31316[[#This Row],[ENTRADAS]]-PRODUCTOS31316[[#This Row],[SALIDAS]]</f>
        <v>6</v>
      </c>
      <c r="L896" s="307" t="s">
        <v>3520</v>
      </c>
      <c r="M896" s="307" t="s">
        <v>4250</v>
      </c>
      <c r="N896" s="1" t="s">
        <v>4343</v>
      </c>
      <c r="O896" s="307" t="s">
        <v>94</v>
      </c>
      <c r="P896" s="16">
        <v>46085</v>
      </c>
      <c r="Q896" s="307" t="s">
        <v>1779</v>
      </c>
      <c r="R896" s="2">
        <f>VLOOKUP(SALIDAS111518[[#This Row],[CÓDIGO]],PRODUCTOS31316[],2,FALSE)</f>
        <v>5563</v>
      </c>
      <c r="S896" s="1" t="str">
        <f>VLOOKUP(SALIDAS111518[[#This Row],[CÓDIGO]],PRODUCTOS31316[],3,FALSE)</f>
        <v>CAMISA SANITARIA ROLLO X 80</v>
      </c>
      <c r="T896" s="2">
        <v>27</v>
      </c>
      <c r="U896" s="313" t="s">
        <v>4341</v>
      </c>
      <c r="V896" s="2"/>
      <c r="W896" s="2"/>
      <c r="X896" s="2"/>
      <c r="Y896" s="7"/>
      <c r="Z896" s="2"/>
      <c r="AA896" s="1"/>
      <c r="AC896" s="2"/>
      <c r="AE896" s="1"/>
      <c r="AG896" s="2"/>
    </row>
    <row r="897" spans="1:33" ht="49.95" customHeight="1" x14ac:dyDescent="0.3">
      <c r="A897" s="113" t="s">
        <v>3015</v>
      </c>
      <c r="C897" s="114" t="s">
        <v>3016</v>
      </c>
      <c r="D897" s="1" t="s">
        <v>2496</v>
      </c>
      <c r="E897" s="114" t="s">
        <v>3017</v>
      </c>
      <c r="F897" s="1" t="s">
        <v>30</v>
      </c>
      <c r="G897" s="2">
        <v>0</v>
      </c>
      <c r="H897" s="14">
        <f>SUMIF(ENTRADAS71417[CÓDIGO],PRODUCTOS31316[[#This Row],[CÓDIGO]],ENTRADAS71417[CANTIDAD])</f>
        <v>0</v>
      </c>
      <c r="I897" s="11">
        <f>SUMIF(SALIDAS111518[CÓDIGO],PRODUCTOS31316[[#This Row],[CÓDIGO]],SALIDAS111518[CANTIDAD])</f>
        <v>0</v>
      </c>
      <c r="J897" s="6">
        <f>PRODUCTOS31316[[#This Row],[EXISTENCIAS]]+PRODUCTOS31316[[#This Row],[ENTRADAS]]-PRODUCTOS31316[[#This Row],[SALIDAS]]</f>
        <v>0</v>
      </c>
      <c r="L897" s="2"/>
      <c r="M897" s="2"/>
      <c r="N897" s="2">
        <v>8017</v>
      </c>
      <c r="O897" s="307" t="s">
        <v>94</v>
      </c>
      <c r="P897" s="16">
        <v>46085</v>
      </c>
      <c r="Q897" s="307" t="s">
        <v>15</v>
      </c>
      <c r="R897" s="2" t="str">
        <f>VLOOKUP(SALIDAS111518[[#This Row],[CÓDIGO]],PRODUCTOS31316[],2,FALSE)</f>
        <v>BTE-025PT/ 504002</v>
      </c>
      <c r="S897" s="1" t="str">
        <f>VLOOKUP(SALIDAS111518[[#This Row],[CÓDIGO]],PRODUCTOS31316[],3,FALSE)</f>
        <v>FUNDAS PARA TRANSFERENCIA DE EMBRIONES</v>
      </c>
      <c r="T897" s="2">
        <v>169</v>
      </c>
      <c r="U897" s="2"/>
      <c r="V897" s="2"/>
      <c r="W897" s="2"/>
      <c r="X897" s="2"/>
      <c r="Y897" s="7"/>
      <c r="Z897" s="2"/>
      <c r="AA897" s="1"/>
      <c r="AC897" s="2"/>
      <c r="AE897" s="1"/>
      <c r="AG897" s="2"/>
    </row>
    <row r="898" spans="1:33" ht="49.95" customHeight="1" x14ac:dyDescent="0.3">
      <c r="A898" s="116" t="s">
        <v>3022</v>
      </c>
      <c r="B898" s="1" t="s">
        <v>3023</v>
      </c>
      <c r="C898" s="133" t="s">
        <v>3030</v>
      </c>
      <c r="E898" s="117" t="s">
        <v>352</v>
      </c>
      <c r="F898" s="1" t="s">
        <v>30</v>
      </c>
      <c r="G898" s="2">
        <v>0</v>
      </c>
      <c r="H898" s="14">
        <f>SUMIF(ENTRADAS71417[CÓDIGO],PRODUCTOS31316[[#This Row],[CÓDIGO]],ENTRADAS71417[CANTIDAD])</f>
        <v>1</v>
      </c>
      <c r="I898" s="11">
        <f>SUMIF(SALIDAS111518[CÓDIGO],PRODUCTOS31316[[#This Row],[CÓDIGO]],SALIDAS111518[CANTIDAD])</f>
        <v>0</v>
      </c>
      <c r="J898" s="6">
        <f>PRODUCTOS31316[[#This Row],[EXISTENCIAS]]+PRODUCTOS31316[[#This Row],[ENTRADAS]]-PRODUCTOS31316[[#This Row],[SALIDAS]]</f>
        <v>1</v>
      </c>
      <c r="L898" s="2"/>
      <c r="M898" s="2"/>
      <c r="N898" s="2">
        <v>8017</v>
      </c>
      <c r="O898" s="307" t="s">
        <v>94</v>
      </c>
      <c r="P898" s="16">
        <v>46085</v>
      </c>
      <c r="Q898" s="307" t="s">
        <v>3323</v>
      </c>
      <c r="R898" s="2">
        <f>VLOOKUP(SALIDAS111518[[#This Row],[CÓDIGO]],PRODUCTOS31316[],2,FALSE)</f>
        <v>9006007</v>
      </c>
      <c r="S898" s="1" t="str">
        <f>VLOOKUP(SALIDAS111518[[#This Row],[CÓDIGO]],PRODUCTOS31316[],3,FALSE)</f>
        <v>LACRADOR LARGO GRIS</v>
      </c>
      <c r="T898" s="2">
        <v>5</v>
      </c>
      <c r="U898" s="2"/>
      <c r="V898" s="2"/>
      <c r="W898" s="2"/>
      <c r="X898" s="2"/>
      <c r="Y898" s="7"/>
      <c r="Z898" s="2"/>
      <c r="AA898" s="1"/>
      <c r="AC898" s="2"/>
      <c r="AE898" s="1"/>
      <c r="AG898" s="2"/>
    </row>
    <row r="899" spans="1:33" ht="49.95" customHeight="1" x14ac:dyDescent="0.3">
      <c r="A899" s="120" t="s">
        <v>3024</v>
      </c>
      <c r="B899" s="1" t="s">
        <v>3025</v>
      </c>
      <c r="C899" s="216" t="s">
        <v>3028</v>
      </c>
      <c r="D899" s="184" t="s">
        <v>2746</v>
      </c>
      <c r="E899" s="121" t="s">
        <v>1819</v>
      </c>
      <c r="F899" s="1" t="s">
        <v>1952</v>
      </c>
      <c r="G899" s="2">
        <v>10</v>
      </c>
      <c r="H899" s="14">
        <f>SUMIF(ENTRADAS71417[CÓDIGO],PRODUCTOS31316[[#This Row],[CÓDIGO]],ENTRADAS71417[CANTIDAD])</f>
        <v>10</v>
      </c>
      <c r="I899" s="11">
        <f>SUMIF(SALIDAS111518[CÓDIGO],PRODUCTOS31316[[#This Row],[CÓDIGO]],SALIDAS111518[CANTIDAD])</f>
        <v>4</v>
      </c>
      <c r="J899" s="6">
        <f>PRODUCTOS31316[[#This Row],[EXISTENCIAS]]+PRODUCTOS31316[[#This Row],[ENTRADAS]]-PRODUCTOS31316[[#This Row],[SALIDAS]]</f>
        <v>16</v>
      </c>
      <c r="L899" s="2"/>
      <c r="M899" s="2"/>
      <c r="N899" s="2">
        <v>8017</v>
      </c>
      <c r="O899" s="307" t="s">
        <v>94</v>
      </c>
      <c r="P899" s="16">
        <v>46085</v>
      </c>
      <c r="Q899" s="307" t="s">
        <v>3327</v>
      </c>
      <c r="R899" s="2">
        <f>VLOOKUP(SALIDAS111518[[#This Row],[CÓDIGO]],PRODUCTOS31316[],2,FALSE)</f>
        <v>9006006</v>
      </c>
      <c r="S899" s="1" t="str">
        <f>VLOOKUP(SALIDAS111518[[#This Row],[CÓDIGO]],PRODUCTOS31316[],3,FALSE)</f>
        <v>LACRADOR LARGO PURPURA</v>
      </c>
      <c r="T899" s="2">
        <v>1</v>
      </c>
      <c r="U899" s="2"/>
      <c r="V899" s="2"/>
      <c r="W899" s="2"/>
      <c r="X899" s="2"/>
      <c r="Y899" s="7"/>
      <c r="Z899" s="2"/>
      <c r="AA899" s="1"/>
      <c r="AC899" s="2"/>
      <c r="AE899" s="1"/>
      <c r="AG899" s="2"/>
    </row>
    <row r="900" spans="1:33" ht="49.95" customHeight="1" x14ac:dyDescent="0.3">
      <c r="A900" s="120" t="s">
        <v>3026</v>
      </c>
      <c r="B900" s="1" t="s">
        <v>3027</v>
      </c>
      <c r="C900" s="186" t="s">
        <v>3029</v>
      </c>
      <c r="D900" s="1" t="s">
        <v>2746</v>
      </c>
      <c r="E900" s="121" t="s">
        <v>1819</v>
      </c>
      <c r="F900" s="1" t="s">
        <v>224</v>
      </c>
      <c r="G900" s="2">
        <v>7</v>
      </c>
      <c r="H900" s="14">
        <f>SUMIF(ENTRADAS71417[CÓDIGO],PRODUCTOS31316[[#This Row],[CÓDIGO]],ENTRADAS71417[CANTIDAD])</f>
        <v>10</v>
      </c>
      <c r="I900" s="11">
        <f>SUMIF(SALIDAS111518[CÓDIGO],PRODUCTOS31316[[#This Row],[CÓDIGO]],SALIDAS111518[CANTIDAD])</f>
        <v>8</v>
      </c>
      <c r="J900" s="6">
        <f>PRODUCTOS31316[[#This Row],[EXISTENCIAS]]+PRODUCTOS31316[[#This Row],[ENTRADAS]]-PRODUCTOS31316[[#This Row],[SALIDAS]]</f>
        <v>9</v>
      </c>
      <c r="L900" s="307" t="s">
        <v>3520</v>
      </c>
      <c r="M900" s="307" t="s">
        <v>4250</v>
      </c>
      <c r="N900" s="1" t="s">
        <v>4344</v>
      </c>
      <c r="O900" s="397" t="s">
        <v>94</v>
      </c>
      <c r="P900" s="16">
        <v>46085</v>
      </c>
      <c r="Q900" s="307" t="s">
        <v>1779</v>
      </c>
      <c r="R900" s="2">
        <f>VLOOKUP(SALIDAS111518[[#This Row],[CÓDIGO]],PRODUCTOS31316[],2,FALSE)</f>
        <v>5563</v>
      </c>
      <c r="S900" s="1" t="str">
        <f>VLOOKUP(SALIDAS111518[[#This Row],[CÓDIGO]],PRODUCTOS31316[],3,FALSE)</f>
        <v>CAMISA SANITARIA ROLLO X 80</v>
      </c>
      <c r="T900" s="2">
        <v>45</v>
      </c>
      <c r="U900" s="313" t="s">
        <v>4340</v>
      </c>
      <c r="V900" s="2"/>
      <c r="W900" s="2"/>
      <c r="X900" s="2"/>
      <c r="Y900" s="7"/>
      <c r="Z900" s="2"/>
      <c r="AA900" s="1"/>
      <c r="AC900" s="2"/>
      <c r="AE900" s="1"/>
      <c r="AG900" s="2"/>
    </row>
    <row r="901" spans="1:33" ht="49.95" customHeight="1" x14ac:dyDescent="0.3">
      <c r="A901" s="123" t="s">
        <v>3033</v>
      </c>
      <c r="B901" s="1">
        <v>14417</v>
      </c>
      <c r="C901" s="133" t="s">
        <v>3034</v>
      </c>
      <c r="D901" s="122" t="s">
        <v>442</v>
      </c>
      <c r="E901" s="122" t="s">
        <v>442</v>
      </c>
      <c r="F901" s="122" t="s">
        <v>30</v>
      </c>
      <c r="G901" s="2">
        <v>0</v>
      </c>
      <c r="H901" s="14">
        <f>SUMIF(ENTRADAS71417[CÓDIGO],PRODUCTOS31316[[#This Row],[CÓDIGO]],ENTRADAS71417[CANTIDAD])</f>
        <v>1</v>
      </c>
      <c r="I901" s="11">
        <f>SUMIF(SALIDAS111518[CÓDIGO],PRODUCTOS31316[[#This Row],[CÓDIGO]],SALIDAS111518[CANTIDAD])</f>
        <v>1</v>
      </c>
      <c r="J901" s="6">
        <f>PRODUCTOS31316[[#This Row],[EXISTENCIAS]]+PRODUCTOS31316[[#This Row],[ENTRADAS]]-PRODUCTOS31316[[#This Row],[SALIDAS]]</f>
        <v>0</v>
      </c>
      <c r="L901" s="2"/>
      <c r="M901" s="2"/>
      <c r="N901" s="2">
        <v>8018</v>
      </c>
      <c r="O901" s="307" t="s">
        <v>94</v>
      </c>
      <c r="P901" s="16">
        <v>46085</v>
      </c>
      <c r="Q901" s="307" t="s">
        <v>15</v>
      </c>
      <c r="R901" s="2" t="str">
        <f>VLOOKUP(SALIDAS111518[[#This Row],[CÓDIGO]],PRODUCTOS31316[],2,FALSE)</f>
        <v>BTE-025PT/ 504002</v>
      </c>
      <c r="S901" s="1" t="str">
        <f>VLOOKUP(SALIDAS111518[[#This Row],[CÓDIGO]],PRODUCTOS31316[],3,FALSE)</f>
        <v>FUNDAS PARA TRANSFERENCIA DE EMBRIONES</v>
      </c>
      <c r="T901" s="2">
        <v>200</v>
      </c>
      <c r="U901" s="2"/>
      <c r="V901" s="2"/>
      <c r="W901" s="2"/>
      <c r="X901" s="2"/>
      <c r="Y901" s="7"/>
      <c r="Z901" s="2"/>
      <c r="AA901" s="1"/>
      <c r="AC901" s="2"/>
      <c r="AE901" s="1"/>
      <c r="AG901" s="2"/>
    </row>
    <row r="902" spans="1:33" ht="49.95" customHeight="1" x14ac:dyDescent="0.3">
      <c r="A902" s="123" t="s">
        <v>3035</v>
      </c>
      <c r="B902" s="1">
        <v>27495</v>
      </c>
      <c r="C902" s="133" t="s">
        <v>3036</v>
      </c>
      <c r="D902" s="122" t="s">
        <v>442</v>
      </c>
      <c r="E902" s="122" t="s">
        <v>442</v>
      </c>
      <c r="F902" s="122" t="s">
        <v>30</v>
      </c>
      <c r="G902" s="2">
        <v>0</v>
      </c>
      <c r="H902" s="14">
        <f>SUMIF(ENTRADAS71417[CÓDIGO],PRODUCTOS31316[[#This Row],[CÓDIGO]],ENTRADAS71417[CANTIDAD])</f>
        <v>0</v>
      </c>
      <c r="I902" s="11">
        <f>SUMIF(SALIDAS111518[CÓDIGO],PRODUCTOS31316[[#This Row],[CÓDIGO]],SALIDAS111518[CANTIDAD])</f>
        <v>0</v>
      </c>
      <c r="J902" s="6">
        <f>PRODUCTOS31316[[#This Row],[EXISTENCIAS]]+PRODUCTOS31316[[#This Row],[ENTRADAS]]-PRODUCTOS31316[[#This Row],[SALIDAS]]</f>
        <v>0</v>
      </c>
      <c r="L902" s="2"/>
      <c r="M902" s="2"/>
      <c r="N902" s="2">
        <v>8018</v>
      </c>
      <c r="O902" s="307" t="s">
        <v>94</v>
      </c>
      <c r="P902" s="16">
        <v>46085</v>
      </c>
      <c r="Q902" s="307" t="s">
        <v>3327</v>
      </c>
      <c r="R902" s="2">
        <f>VLOOKUP(SALIDAS111518[[#This Row],[CÓDIGO]],PRODUCTOS31316[],2,FALSE)</f>
        <v>9006006</v>
      </c>
      <c r="S902" s="1" t="str">
        <f>VLOOKUP(SALIDAS111518[[#This Row],[CÓDIGO]],PRODUCTOS31316[],3,FALSE)</f>
        <v>LACRADOR LARGO PURPURA</v>
      </c>
      <c r="T902" s="2">
        <v>2</v>
      </c>
      <c r="U902" s="2"/>
      <c r="V902" s="2"/>
      <c r="W902" s="2"/>
      <c r="X902" s="2"/>
      <c r="Y902" s="7"/>
      <c r="Z902" s="2"/>
      <c r="AA902" s="1"/>
      <c r="AC902" s="2"/>
      <c r="AE902" s="1"/>
      <c r="AG902" s="2"/>
    </row>
    <row r="903" spans="1:33" ht="49.95" customHeight="1" x14ac:dyDescent="0.3">
      <c r="A903" s="123" t="s">
        <v>3037</v>
      </c>
      <c r="C903" s="222" t="s">
        <v>3038</v>
      </c>
      <c r="D903" s="122" t="s">
        <v>822</v>
      </c>
      <c r="E903" s="122" t="s">
        <v>2192</v>
      </c>
      <c r="F903" s="122" t="s">
        <v>2486</v>
      </c>
      <c r="G903" s="31">
        <f>6+1</f>
        <v>7</v>
      </c>
      <c r="H903" s="14">
        <f>SUMIF(ENTRADAS71417[CÓDIGO],PRODUCTOS31316[[#This Row],[CÓDIGO]],ENTRADAS71417[CANTIDAD])</f>
        <v>0</v>
      </c>
      <c r="I903" s="11">
        <f>SUMIF(SALIDAS111518[CÓDIGO],PRODUCTOS31316[[#This Row],[CÓDIGO]],SALIDAS111518[CANTIDAD])</f>
        <v>2</v>
      </c>
      <c r="J903" s="6">
        <f>PRODUCTOS31316[[#This Row],[EXISTENCIAS]]+PRODUCTOS31316[[#This Row],[ENTRADAS]]-PRODUCTOS31316[[#This Row],[SALIDAS]]</f>
        <v>5</v>
      </c>
      <c r="L903" s="2"/>
      <c r="M903" s="2"/>
      <c r="N903" s="2">
        <v>8018</v>
      </c>
      <c r="O903" s="307" t="s">
        <v>94</v>
      </c>
      <c r="P903" s="16">
        <v>46085</v>
      </c>
      <c r="Q903" s="307" t="s">
        <v>748</v>
      </c>
      <c r="R903" s="2" t="str">
        <f>VLOOKUP(SALIDAS111518[[#This Row],[CÓDIGO]],PRODUCTOS31316[],2,FALSE)</f>
        <v>TY</v>
      </c>
      <c r="S903" s="1" t="str">
        <f>VLOOKUP(SALIDAS111518[[#This Row],[CÓDIGO]],PRODUCTOS31316[],3,FALSE)</f>
        <v>TABS AMARILLOS</v>
      </c>
      <c r="T903" s="2">
        <v>1</v>
      </c>
      <c r="U903" s="2"/>
      <c r="V903" s="2"/>
      <c r="W903" s="2"/>
      <c r="X903" s="2"/>
      <c r="Y903" s="7"/>
      <c r="Z903" s="2"/>
      <c r="AA903" s="1"/>
      <c r="AC903" s="2"/>
      <c r="AE903" s="1"/>
      <c r="AG903" s="2"/>
    </row>
    <row r="904" spans="1:33" ht="49.95" customHeight="1" x14ac:dyDescent="0.3">
      <c r="A904" s="123" t="s">
        <v>3039</v>
      </c>
      <c r="B904" s="1">
        <v>440151</v>
      </c>
      <c r="C904" s="122" t="s">
        <v>600</v>
      </c>
      <c r="E904" s="122" t="s">
        <v>2389</v>
      </c>
      <c r="F904" s="122" t="s">
        <v>30</v>
      </c>
      <c r="G904" s="2">
        <v>0</v>
      </c>
      <c r="H904" s="14">
        <f>SUMIF(ENTRADAS71417[CÓDIGO],PRODUCTOS31316[[#This Row],[CÓDIGO]],ENTRADAS71417[CANTIDAD])</f>
        <v>0</v>
      </c>
      <c r="I904" s="11">
        <f>SUMIF(SALIDAS111518[CÓDIGO],PRODUCTOS31316[[#This Row],[CÓDIGO]],SALIDAS111518[CANTIDAD])</f>
        <v>0</v>
      </c>
      <c r="J904" s="6">
        <f>PRODUCTOS31316[[#This Row],[EXISTENCIAS]]+PRODUCTOS31316[[#This Row],[ENTRADAS]]-PRODUCTOS31316[[#This Row],[SALIDAS]]</f>
        <v>0</v>
      </c>
      <c r="L904" s="2"/>
      <c r="M904" s="2"/>
      <c r="N904" s="2">
        <v>8018</v>
      </c>
      <c r="O904" s="307" t="s">
        <v>94</v>
      </c>
      <c r="P904" s="16">
        <v>46085</v>
      </c>
      <c r="Q904" s="307" t="s">
        <v>752</v>
      </c>
      <c r="R904" s="2">
        <f>VLOOKUP(SALIDAS111518[[#This Row],[CÓDIGO]],PRODUCTOS31316[],2,FALSE)</f>
        <v>0</v>
      </c>
      <c r="S904" s="1" t="str">
        <f>VLOOKUP(SALIDAS111518[[#This Row],[CÓDIGO]],PRODUCTOS31316[],3,FALSE)</f>
        <v>TABS BLANCOS</v>
      </c>
      <c r="T904" s="2">
        <v>1</v>
      </c>
      <c r="U904" s="2"/>
      <c r="V904" s="2"/>
      <c r="W904" s="2"/>
      <c r="X904" s="2"/>
      <c r="Y904" s="7"/>
      <c r="Z904" s="2"/>
      <c r="AA904" s="1"/>
      <c r="AC904" s="2"/>
      <c r="AE904" s="1"/>
      <c r="AG904" s="2"/>
    </row>
    <row r="905" spans="1:33" ht="49.95" customHeight="1" x14ac:dyDescent="0.3">
      <c r="A905" s="123" t="s">
        <v>3040</v>
      </c>
      <c r="B905" s="21">
        <v>806095277974</v>
      </c>
      <c r="C905" s="122" t="s">
        <v>3041</v>
      </c>
      <c r="D905" s="122" t="s">
        <v>3042</v>
      </c>
      <c r="E905" s="122" t="s">
        <v>1753</v>
      </c>
      <c r="F905" s="122" t="s">
        <v>30</v>
      </c>
      <c r="G905" s="2">
        <v>0</v>
      </c>
      <c r="H905" s="14">
        <f>SUMIF(ENTRADAS71417[CÓDIGO],PRODUCTOS31316[[#This Row],[CÓDIGO]],ENTRADAS71417[CANTIDAD])</f>
        <v>0</v>
      </c>
      <c r="I905" s="11">
        <f>SUMIF(SALIDAS111518[CÓDIGO],PRODUCTOS31316[[#This Row],[CÓDIGO]],SALIDAS111518[CANTIDAD])</f>
        <v>0</v>
      </c>
      <c r="J905" s="6">
        <f>PRODUCTOS31316[[#This Row],[EXISTENCIAS]]+PRODUCTOS31316[[#This Row],[ENTRADAS]]-PRODUCTOS31316[[#This Row],[SALIDAS]]</f>
        <v>0</v>
      </c>
      <c r="L905" s="2"/>
      <c r="M905" s="2"/>
      <c r="N905" s="2">
        <v>8018</v>
      </c>
      <c r="O905" s="307" t="s">
        <v>94</v>
      </c>
      <c r="P905" s="16">
        <v>46085</v>
      </c>
      <c r="Q905" s="307" t="s">
        <v>1231</v>
      </c>
      <c r="R905" s="2">
        <f>VLOOKUP(SALIDAS111518[[#This Row],[CÓDIGO]],PRODUCTOS31316[],2,FALSE)</f>
        <v>0</v>
      </c>
      <c r="S905" s="1" t="str">
        <f>VLOOKUP(SALIDAS111518[[#This Row],[CÓDIGO]],PRODUCTOS31316[],3,FALSE)</f>
        <v>TABS AZULES</v>
      </c>
      <c r="T905" s="2">
        <v>1</v>
      </c>
      <c r="U905" s="2"/>
      <c r="V905" s="2"/>
      <c r="W905" s="2"/>
      <c r="X905" s="2"/>
      <c r="Y905" s="7"/>
      <c r="Z905" s="2"/>
      <c r="AA905" s="1"/>
      <c r="AC905" s="2"/>
      <c r="AE905" s="1"/>
      <c r="AG905" s="2"/>
    </row>
    <row r="906" spans="1:33" ht="49.95" customHeight="1" x14ac:dyDescent="0.3">
      <c r="A906" s="123" t="s">
        <v>3047</v>
      </c>
      <c r="B906" s="1" t="s">
        <v>3045</v>
      </c>
      <c r="C906" s="216" t="s">
        <v>3046</v>
      </c>
      <c r="D906" s="1" t="s">
        <v>3048</v>
      </c>
      <c r="E906" s="122" t="s">
        <v>708</v>
      </c>
      <c r="F906" s="1" t="s">
        <v>30</v>
      </c>
      <c r="G906" s="2">
        <v>1</v>
      </c>
      <c r="H906" s="14">
        <f>SUMIF(ENTRADAS71417[CÓDIGO],PRODUCTOS31316[[#This Row],[CÓDIGO]],ENTRADAS71417[CANTIDAD])</f>
        <v>0</v>
      </c>
      <c r="I906" s="11">
        <f>SUMIF(SALIDAS111518[CÓDIGO],PRODUCTOS31316[[#This Row],[CÓDIGO]],SALIDAS111518[CANTIDAD])</f>
        <v>0</v>
      </c>
      <c r="J906" s="6">
        <f>PRODUCTOS31316[[#This Row],[EXISTENCIAS]]+PRODUCTOS31316[[#This Row],[ENTRADAS]]-PRODUCTOS31316[[#This Row],[SALIDAS]]</f>
        <v>1</v>
      </c>
      <c r="L906" s="307" t="s">
        <v>3520</v>
      </c>
      <c r="M906" s="307" t="s">
        <v>4250</v>
      </c>
      <c r="N906" s="1" t="s">
        <v>4346</v>
      </c>
      <c r="O906" s="307" t="s">
        <v>94</v>
      </c>
      <c r="P906" s="16">
        <v>46085</v>
      </c>
      <c r="Q906" s="307" t="s">
        <v>1779</v>
      </c>
      <c r="R906" s="2">
        <f>VLOOKUP(SALIDAS111518[[#This Row],[CÓDIGO]],PRODUCTOS31316[],2,FALSE)</f>
        <v>5563</v>
      </c>
      <c r="S906" s="1" t="str">
        <f>VLOOKUP(SALIDAS111518[[#This Row],[CÓDIGO]],PRODUCTOS31316[],3,FALSE)</f>
        <v>CAMISA SANITARIA ROLLO X 80</v>
      </c>
      <c r="T906" s="2">
        <v>48</v>
      </c>
      <c r="U906" s="313" t="s">
        <v>4345</v>
      </c>
      <c r="V906" s="2"/>
      <c r="W906" s="2"/>
      <c r="X906" s="2"/>
      <c r="Y906" s="7"/>
      <c r="Z906" s="2"/>
      <c r="AA906" s="1"/>
      <c r="AC906" s="2"/>
      <c r="AE906" s="1"/>
      <c r="AG906" s="2"/>
    </row>
    <row r="907" spans="1:33" ht="49.95" customHeight="1" x14ac:dyDescent="0.3">
      <c r="A907" s="125" t="s">
        <v>3052</v>
      </c>
      <c r="C907" s="126" t="s">
        <v>3053</v>
      </c>
      <c r="E907" s="126" t="s">
        <v>352</v>
      </c>
      <c r="F907" s="126" t="s">
        <v>1918</v>
      </c>
      <c r="G907" s="2">
        <v>6</v>
      </c>
      <c r="H907" s="14">
        <f>SUMIF(ENTRADAS71417[CÓDIGO],PRODUCTOS31316[[#This Row],[CÓDIGO]],ENTRADAS71417[CANTIDAD])</f>
        <v>0</v>
      </c>
      <c r="I907" s="11">
        <f>SUMIF(SALIDAS111518[CÓDIGO],PRODUCTOS31316[[#This Row],[CÓDIGO]],SALIDAS111518[CANTIDAD])</f>
        <v>6</v>
      </c>
      <c r="J907" s="6">
        <f>PRODUCTOS31316[[#This Row],[EXISTENCIAS]]+PRODUCTOS31316[[#This Row],[ENTRADAS]]-PRODUCTOS31316[[#This Row],[SALIDAS]]</f>
        <v>0</v>
      </c>
      <c r="L907" s="2"/>
      <c r="M907" s="2"/>
      <c r="N907" s="2">
        <v>8019</v>
      </c>
      <c r="O907" s="307" t="s">
        <v>94</v>
      </c>
      <c r="P907" s="16">
        <v>46085</v>
      </c>
      <c r="Q907" s="307" t="s">
        <v>15</v>
      </c>
      <c r="R907" s="2" t="str">
        <f>VLOOKUP(SALIDAS111518[[#This Row],[CÓDIGO]],PRODUCTOS31316[],2,FALSE)</f>
        <v>BTE-025PT/ 504002</v>
      </c>
      <c r="S907" s="1" t="str">
        <f>VLOOKUP(SALIDAS111518[[#This Row],[CÓDIGO]],PRODUCTOS31316[],3,FALSE)</f>
        <v>FUNDAS PARA TRANSFERENCIA DE EMBRIONES</v>
      </c>
      <c r="T907" s="2">
        <v>100</v>
      </c>
      <c r="U907" s="2"/>
      <c r="V907" s="2"/>
      <c r="W907" s="2"/>
      <c r="X907" s="2"/>
      <c r="Y907" s="7"/>
      <c r="Z907" s="2"/>
      <c r="AA907" s="1"/>
      <c r="AC907" s="2"/>
      <c r="AE907" s="1"/>
      <c r="AG907" s="2"/>
    </row>
    <row r="908" spans="1:33" ht="49.95" customHeight="1" x14ac:dyDescent="0.3">
      <c r="A908" s="127" t="s">
        <v>3055</v>
      </c>
      <c r="C908" s="128" t="s">
        <v>3056</v>
      </c>
      <c r="D908" s="128" t="s">
        <v>3054</v>
      </c>
      <c r="E908" s="128" t="s">
        <v>3054</v>
      </c>
      <c r="F908" s="1" t="s">
        <v>641</v>
      </c>
      <c r="G908" s="2">
        <v>0</v>
      </c>
      <c r="H908" s="14">
        <f>SUMIF(ENTRADAS71417[CÓDIGO],PRODUCTOS31316[[#This Row],[CÓDIGO]],ENTRADAS71417[CANTIDAD])</f>
        <v>0</v>
      </c>
      <c r="I908" s="11">
        <f>SUMIF(SALIDAS111518[CÓDIGO],PRODUCTOS31316[[#This Row],[CÓDIGO]],SALIDAS111518[CANTIDAD])</f>
        <v>0</v>
      </c>
      <c r="J908" s="6">
        <f>PRODUCTOS31316[[#This Row],[EXISTENCIAS]]+PRODUCTOS31316[[#This Row],[ENTRADAS]]-PRODUCTOS31316[[#This Row],[SALIDAS]]</f>
        <v>0</v>
      </c>
      <c r="L908" s="307" t="s">
        <v>3520</v>
      </c>
      <c r="M908" s="307" t="s">
        <v>4250</v>
      </c>
      <c r="N908" s="308" t="s">
        <v>4308</v>
      </c>
      <c r="O908" s="307" t="s">
        <v>3176</v>
      </c>
      <c r="P908" s="16">
        <v>46086</v>
      </c>
      <c r="Q908" s="307" t="s">
        <v>15</v>
      </c>
      <c r="R908" s="2" t="str">
        <f>VLOOKUP(SALIDAS111518[[#This Row],[CÓDIGO]],PRODUCTOS31316[],2,FALSE)</f>
        <v>BTE-025PT/ 504002</v>
      </c>
      <c r="S908" s="1" t="str">
        <f>VLOOKUP(SALIDAS111518[[#This Row],[CÓDIGO]],PRODUCTOS31316[],3,FALSE)</f>
        <v>FUNDAS PARA TRANSFERENCIA DE EMBRIONES</v>
      </c>
      <c r="T908" s="2">
        <v>25</v>
      </c>
      <c r="U908" s="307" t="s">
        <v>4307</v>
      </c>
      <c r="V908" s="2"/>
      <c r="W908" s="307" t="s">
        <v>2823</v>
      </c>
      <c r="X908" s="2"/>
      <c r="Y908" s="7"/>
      <c r="Z908" s="2"/>
      <c r="AA908" s="1"/>
      <c r="AC908" s="2"/>
      <c r="AE908" s="1"/>
      <c r="AG908" s="2"/>
    </row>
    <row r="909" spans="1:33" ht="49.95" customHeight="1" x14ac:dyDescent="0.3">
      <c r="A909" s="127" t="s">
        <v>3058</v>
      </c>
      <c r="B909" s="1" t="s">
        <v>3057</v>
      </c>
      <c r="C909" s="128" t="s">
        <v>3060</v>
      </c>
      <c r="D909" s="128" t="s">
        <v>639</v>
      </c>
      <c r="E909" s="128" t="s">
        <v>639</v>
      </c>
      <c r="F909" s="128" t="s">
        <v>3059</v>
      </c>
      <c r="G909" s="2">
        <v>0</v>
      </c>
      <c r="H909" s="14">
        <f>SUMIF(ENTRADAS71417[CÓDIGO],PRODUCTOS31316[[#This Row],[CÓDIGO]],ENTRADAS71417[CANTIDAD])</f>
        <v>0</v>
      </c>
      <c r="I909" s="11">
        <f>SUMIF(SALIDAS111518[CÓDIGO],PRODUCTOS31316[[#This Row],[CÓDIGO]],SALIDAS111518[CANTIDAD])</f>
        <v>0</v>
      </c>
      <c r="J909" s="6">
        <f>PRODUCTOS31316[[#This Row],[EXISTENCIAS]]+PRODUCTOS31316[[#This Row],[ENTRADAS]]-PRODUCTOS31316[[#This Row],[SALIDAS]]</f>
        <v>0</v>
      </c>
      <c r="L909" s="2"/>
      <c r="M909" s="2"/>
      <c r="N909" s="2">
        <v>7999</v>
      </c>
      <c r="O909" s="307" t="s">
        <v>3176</v>
      </c>
      <c r="P909" s="16">
        <v>46086</v>
      </c>
      <c r="Q909" s="307" t="s">
        <v>1779</v>
      </c>
      <c r="R909" s="2">
        <f>VLOOKUP(SALIDAS111518[[#This Row],[CÓDIGO]],PRODUCTOS31316[],2,FALSE)</f>
        <v>5563</v>
      </c>
      <c r="S909" s="1" t="str">
        <f>VLOOKUP(SALIDAS111518[[#This Row],[CÓDIGO]],PRODUCTOS31316[],3,FALSE)</f>
        <v>CAMISA SANITARIA ROLLO X 80</v>
      </c>
      <c r="T909" s="2">
        <v>1</v>
      </c>
      <c r="U909" s="2"/>
      <c r="V909" s="2"/>
      <c r="W909" s="2"/>
      <c r="X909" s="2"/>
      <c r="Y909" s="7"/>
      <c r="Z909" s="2"/>
      <c r="AA909" s="1"/>
      <c r="AC909" s="2"/>
      <c r="AE909" s="1"/>
      <c r="AG909" s="2"/>
    </row>
    <row r="910" spans="1:33" ht="49.95" customHeight="1" x14ac:dyDescent="0.3">
      <c r="A910" s="127" t="s">
        <v>3061</v>
      </c>
      <c r="C910" s="128" t="s">
        <v>3062</v>
      </c>
      <c r="D910" s="128" t="s">
        <v>156</v>
      </c>
      <c r="E910" s="128" t="s">
        <v>156</v>
      </c>
      <c r="F910" s="313" t="s">
        <v>2968</v>
      </c>
      <c r="G910" s="2">
        <v>0</v>
      </c>
      <c r="H910" s="14">
        <f>SUMIF(ENTRADAS71417[CÓDIGO],PRODUCTOS31316[[#This Row],[CÓDIGO]],ENTRADAS71417[CANTIDAD])</f>
        <v>0</v>
      </c>
      <c r="I910" s="11">
        <f>SUMIF(SALIDAS111518[CÓDIGO],PRODUCTOS31316[[#This Row],[CÓDIGO]],SALIDAS111518[CANTIDAD])</f>
        <v>0</v>
      </c>
      <c r="J910" s="6">
        <f>PRODUCTOS31316[[#This Row],[EXISTENCIAS]]+PRODUCTOS31316[[#This Row],[ENTRADAS]]-PRODUCTOS31316[[#This Row],[SALIDAS]]</f>
        <v>0</v>
      </c>
      <c r="L910" s="307" t="s">
        <v>3520</v>
      </c>
      <c r="M910" s="307" t="s">
        <v>4250</v>
      </c>
      <c r="N910" s="1" t="s">
        <v>4310</v>
      </c>
      <c r="O910" s="307" t="s">
        <v>1816</v>
      </c>
      <c r="P910" s="16">
        <v>46086</v>
      </c>
      <c r="Q910" s="307" t="s">
        <v>47</v>
      </c>
      <c r="R910" s="2">
        <f>VLOOKUP(SALIDAS111518[[#This Row],[CÓDIGO]],PRODUCTOS31316[],2,FALSE)</f>
        <v>1135</v>
      </c>
      <c r="S910" s="1" t="str">
        <f>VLOOKUP(SALIDAS111518[[#This Row],[CÓDIGO]],PRODUCTOS31316[],3,FALSE)</f>
        <v>TRILADYL</v>
      </c>
      <c r="T910" s="2">
        <v>1</v>
      </c>
      <c r="U910" s="150" t="s">
        <v>4548</v>
      </c>
      <c r="V910" s="2"/>
      <c r="W910" s="2"/>
      <c r="X910" s="2"/>
      <c r="Y910" s="7"/>
      <c r="Z910" s="2"/>
      <c r="AA910" s="1"/>
      <c r="AC910" s="2"/>
      <c r="AE910" s="1"/>
      <c r="AG910" s="2"/>
    </row>
    <row r="911" spans="1:33" ht="49.95" customHeight="1" x14ac:dyDescent="0.3">
      <c r="A911" s="127" t="s">
        <v>3065</v>
      </c>
      <c r="B911" s="1">
        <v>20597559</v>
      </c>
      <c r="C911" s="216" t="s">
        <v>3066</v>
      </c>
      <c r="D911" s="128" t="s">
        <v>2554</v>
      </c>
      <c r="E911" s="194" t="s">
        <v>410</v>
      </c>
      <c r="F911" s="128" t="s">
        <v>30</v>
      </c>
      <c r="G911" s="31">
        <f>2+1</f>
        <v>3</v>
      </c>
      <c r="H911" s="14">
        <f>SUMIF(ENTRADAS71417[CÓDIGO],PRODUCTOS31316[[#This Row],[CÓDIGO]],ENTRADAS71417[CANTIDAD])</f>
        <v>3</v>
      </c>
      <c r="I911" s="11">
        <f>SUMIF(SALIDAS111518[CÓDIGO],PRODUCTOS31316[[#This Row],[CÓDIGO]],SALIDAS111518[CANTIDAD])</f>
        <v>6</v>
      </c>
      <c r="J911" s="6">
        <f>PRODUCTOS31316[[#This Row],[EXISTENCIAS]]+PRODUCTOS31316[[#This Row],[ENTRADAS]]-PRODUCTOS31316[[#This Row],[SALIDAS]]</f>
        <v>0</v>
      </c>
      <c r="L911" s="2"/>
      <c r="M911" s="2"/>
      <c r="N911" s="2">
        <v>8000</v>
      </c>
      <c r="O911" s="307" t="s">
        <v>1816</v>
      </c>
      <c r="P911" s="16">
        <v>46086</v>
      </c>
      <c r="Q911" s="307" t="s">
        <v>2232</v>
      </c>
      <c r="R911" s="2">
        <f>VLOOKUP(SALIDAS111518[[#This Row],[CÓDIGO]],PRODUCTOS31316[],2,FALSE)</f>
        <v>0</v>
      </c>
      <c r="S911" s="1" t="str">
        <f>VLOOKUP(SALIDAS111518[[#This Row],[CÓDIGO]],PRODUCTOS31316[],3,FALSE)</f>
        <v>CONO RECOLECTOR</v>
      </c>
      <c r="T911" s="2">
        <v>1</v>
      </c>
      <c r="U911" s="2"/>
      <c r="V911" s="2"/>
      <c r="W911" s="2"/>
      <c r="X911" s="2"/>
      <c r="Y911" s="7"/>
      <c r="Z911" s="2"/>
      <c r="AA911" s="1"/>
      <c r="AC911" s="2"/>
      <c r="AE911" s="1"/>
      <c r="AG911" s="2"/>
    </row>
    <row r="912" spans="1:33" ht="49.95" customHeight="1" x14ac:dyDescent="0.3">
      <c r="A912" s="130" t="s">
        <v>3075</v>
      </c>
      <c r="C912" s="133" t="s">
        <v>3076</v>
      </c>
      <c r="D912" s="131" t="s">
        <v>1707</v>
      </c>
      <c r="E912" s="131" t="s">
        <v>1707</v>
      </c>
      <c r="F912" s="131" t="s">
        <v>30</v>
      </c>
      <c r="G912" s="31">
        <v>0</v>
      </c>
      <c r="H912" s="14">
        <f>SUMIF(ENTRADAS71417[CÓDIGO],PRODUCTOS31316[[#This Row],[CÓDIGO]],ENTRADAS71417[CANTIDAD])</f>
        <v>7</v>
      </c>
      <c r="I912" s="11">
        <f>SUMIF(SALIDAS111518[CÓDIGO],PRODUCTOS31316[[#This Row],[CÓDIGO]],SALIDAS111518[CANTIDAD])</f>
        <v>8</v>
      </c>
      <c r="J912" s="6">
        <f>PRODUCTOS31316[[#This Row],[EXISTENCIAS]]+PRODUCTOS31316[[#This Row],[ENTRADAS]]-PRODUCTOS31316[[#This Row],[SALIDAS]]</f>
        <v>-1</v>
      </c>
      <c r="L912" s="2"/>
      <c r="M912" s="2"/>
      <c r="N912" s="2">
        <v>8000</v>
      </c>
      <c r="O912" s="307" t="s">
        <v>1816</v>
      </c>
      <c r="P912" s="16">
        <v>46086</v>
      </c>
      <c r="Q912" s="307" t="s">
        <v>2253</v>
      </c>
      <c r="R912" s="2">
        <f>VLOOKUP(SALIDAS111518[[#This Row],[CÓDIGO]],PRODUCTOS31316[],2,FALSE)</f>
        <v>26218</v>
      </c>
      <c r="S912" s="1" t="str">
        <f>VLOOKUP(SALIDAS111518[[#This Row],[CÓDIGO]],PRODUCTOS31316[],3,FALSE)</f>
        <v>OPTIXCELL 250 ML</v>
      </c>
      <c r="T912" s="2">
        <v>1</v>
      </c>
      <c r="U912" s="2"/>
      <c r="V912" s="2"/>
      <c r="W912" s="2"/>
      <c r="X912" s="2"/>
      <c r="Y912" s="7"/>
      <c r="Z912" s="2"/>
      <c r="AA912" s="1"/>
      <c r="AC912" s="2"/>
      <c r="AE912" s="1"/>
      <c r="AG912" s="2"/>
    </row>
    <row r="913" spans="1:33" ht="49.95" customHeight="1" x14ac:dyDescent="0.3">
      <c r="A913" s="206" t="s">
        <v>3077</v>
      </c>
      <c r="C913" s="216" t="s">
        <v>3078</v>
      </c>
      <c r="D913" s="270" t="s">
        <v>3042</v>
      </c>
      <c r="E913" s="133" t="s">
        <v>3080</v>
      </c>
      <c r="F913" s="133" t="s">
        <v>30</v>
      </c>
      <c r="G913" s="31">
        <f>10+1+1</f>
        <v>12</v>
      </c>
      <c r="H913" s="14">
        <f>SUMIF(ENTRADAS71417[CÓDIGO],PRODUCTOS31316[[#This Row],[CÓDIGO]],ENTRADAS71417[CANTIDAD])</f>
        <v>0</v>
      </c>
      <c r="I913" s="11">
        <f>SUMIF(SALIDAS111518[CÓDIGO],PRODUCTOS31316[[#This Row],[CÓDIGO]],SALIDAS111518[CANTIDAD])</f>
        <v>10</v>
      </c>
      <c r="J913" s="6">
        <f>PRODUCTOS31316[[#This Row],[EXISTENCIAS]]+PRODUCTOS31316[[#This Row],[ENTRADAS]]-PRODUCTOS31316[[#This Row],[SALIDAS]]</f>
        <v>2</v>
      </c>
      <c r="L913" s="2"/>
      <c r="M913" s="2"/>
      <c r="N913" s="2">
        <v>8000</v>
      </c>
      <c r="O913" s="307" t="s">
        <v>1816</v>
      </c>
      <c r="P913" s="16">
        <v>46088</v>
      </c>
      <c r="Q913" s="307" t="s">
        <v>3399</v>
      </c>
      <c r="R913" s="2">
        <f>VLOOKUP(SALIDAS111518[[#This Row],[CÓDIGO]],PRODUCTOS31316[],2,FALSE)</f>
        <v>13400</v>
      </c>
      <c r="S913" s="1" t="str">
        <f>VLOOKUP(SALIDAS111518[[#This Row],[CÓDIGO]],PRODUCTOS31316[],3,FALSE)</f>
        <v>ESFERAS METALICAS SELLADORAS  0.5 ML</v>
      </c>
      <c r="T913" s="2">
        <v>1</v>
      </c>
      <c r="U913" s="2"/>
      <c r="V913" s="2"/>
      <c r="W913" s="2"/>
      <c r="X913" s="2"/>
      <c r="Y913" s="7"/>
      <c r="Z913" s="2"/>
      <c r="AA913" s="1"/>
      <c r="AC913" s="2"/>
      <c r="AE913" s="1"/>
      <c r="AG913" s="2"/>
    </row>
    <row r="914" spans="1:33" ht="49.95" customHeight="1" x14ac:dyDescent="0.3">
      <c r="A914" s="206" t="s">
        <v>3081</v>
      </c>
      <c r="C914" s="131" t="s">
        <v>3082</v>
      </c>
      <c r="D914" s="128"/>
      <c r="E914" s="133" t="s">
        <v>1283</v>
      </c>
      <c r="F914" s="133" t="s">
        <v>30</v>
      </c>
      <c r="G914" s="2">
        <v>0</v>
      </c>
      <c r="H914" s="14">
        <f>SUMIF(ENTRADAS71417[CÓDIGO],PRODUCTOS31316[[#This Row],[CÓDIGO]],ENTRADAS71417[CANTIDAD])</f>
        <v>0</v>
      </c>
      <c r="I914" s="11">
        <f>SUMIF(SALIDAS111518[CÓDIGO],PRODUCTOS31316[[#This Row],[CÓDIGO]],SALIDAS111518[CANTIDAD])</f>
        <v>0</v>
      </c>
      <c r="J914" s="6">
        <f>PRODUCTOS31316[[#This Row],[EXISTENCIAS]]+PRODUCTOS31316[[#This Row],[ENTRADAS]]-PRODUCTOS31316[[#This Row],[SALIDAS]]</f>
        <v>0</v>
      </c>
      <c r="L914" s="307" t="s">
        <v>3521</v>
      </c>
      <c r="M914" s="307" t="s">
        <v>4250</v>
      </c>
      <c r="N914" s="1" t="s">
        <v>4348</v>
      </c>
      <c r="O914" s="307" t="s">
        <v>4309</v>
      </c>
      <c r="P914" s="16">
        <v>46086</v>
      </c>
      <c r="Q914" s="307" t="s">
        <v>2364</v>
      </c>
      <c r="R914" s="2">
        <f>VLOOKUP(SALIDAS111518[[#This Row],[CÓDIGO]],PRODUCTOS31316[],2,FALSE)</f>
        <v>0</v>
      </c>
      <c r="S914" s="1" t="str">
        <f>VLOOKUP(SALIDAS111518[[#This Row],[CÓDIGO]],PRODUCTOS31316[],3,FALSE)</f>
        <v>CORTAPAJILLAS WTA</v>
      </c>
      <c r="T914" s="2">
        <v>1</v>
      </c>
      <c r="U914" s="2">
        <v>417</v>
      </c>
      <c r="V914" s="2"/>
      <c r="W914" s="307" t="s">
        <v>3412</v>
      </c>
      <c r="X914" s="2"/>
      <c r="Y914" s="7"/>
      <c r="Z914" s="2"/>
      <c r="AA914" s="1"/>
      <c r="AC914" s="2"/>
      <c r="AE914" s="1"/>
      <c r="AG914" s="2"/>
    </row>
    <row r="915" spans="1:33" ht="49.95" customHeight="1" x14ac:dyDescent="0.3">
      <c r="A915" s="132" t="s">
        <v>3083</v>
      </c>
      <c r="C915" s="216" t="s">
        <v>3084</v>
      </c>
      <c r="D915" s="283" t="s">
        <v>467</v>
      </c>
      <c r="E915" s="283" t="s">
        <v>467</v>
      </c>
      <c r="F915" s="133" t="s">
        <v>30</v>
      </c>
      <c r="G915" s="2">
        <v>1</v>
      </c>
      <c r="H915" s="14">
        <f>SUMIF(ENTRADAS71417[CÓDIGO],PRODUCTOS31316[[#This Row],[CÓDIGO]],ENTRADAS71417[CANTIDAD])</f>
        <v>3</v>
      </c>
      <c r="I915" s="11">
        <f>SUMIF(SALIDAS111518[CÓDIGO],PRODUCTOS31316[[#This Row],[CÓDIGO]],SALIDAS111518[CANTIDAD])</f>
        <v>1</v>
      </c>
      <c r="J915" s="6">
        <f>PRODUCTOS31316[[#This Row],[EXISTENCIAS]]+PRODUCTOS31316[[#This Row],[ENTRADAS]]-PRODUCTOS31316[[#This Row],[SALIDAS]]</f>
        <v>3</v>
      </c>
      <c r="L915" s="307" t="s">
        <v>3520</v>
      </c>
      <c r="M915" s="307" t="s">
        <v>4250</v>
      </c>
      <c r="N915" s="1" t="s">
        <v>4311</v>
      </c>
      <c r="O915" s="307" t="s">
        <v>2193</v>
      </c>
      <c r="P915" s="16">
        <v>46086</v>
      </c>
      <c r="Q915" s="307" t="s">
        <v>15</v>
      </c>
      <c r="R915" s="2" t="str">
        <f>VLOOKUP(SALIDAS111518[[#This Row],[CÓDIGO]],PRODUCTOS31316[],2,FALSE)</f>
        <v>BTE-025PT/ 504002</v>
      </c>
      <c r="S915" s="1" t="str">
        <f>VLOOKUP(SALIDAS111518[[#This Row],[CÓDIGO]],PRODUCTOS31316[],3,FALSE)</f>
        <v>FUNDAS PARA TRANSFERENCIA DE EMBRIONES</v>
      </c>
      <c r="T915" s="2">
        <v>24</v>
      </c>
      <c r="U915" s="2">
        <v>400</v>
      </c>
      <c r="V915" s="2"/>
      <c r="W915" s="2"/>
      <c r="X915" s="2"/>
      <c r="Y915" s="7"/>
      <c r="Z915" s="2"/>
      <c r="AA915" s="1"/>
      <c r="AC915" s="2"/>
      <c r="AE915" s="1"/>
      <c r="AG915" s="2"/>
    </row>
    <row r="916" spans="1:33" ht="49.95" customHeight="1" x14ac:dyDescent="0.3">
      <c r="A916" s="132" t="s">
        <v>3085</v>
      </c>
      <c r="C916" s="131" t="s">
        <v>3086</v>
      </c>
      <c r="D916" s="133" t="s">
        <v>3087</v>
      </c>
      <c r="E916" s="133" t="s">
        <v>3088</v>
      </c>
      <c r="F916" s="133" t="s">
        <v>30</v>
      </c>
      <c r="G916" s="2">
        <v>6</v>
      </c>
      <c r="H916" s="14">
        <f>SUMIF(ENTRADAS71417[CÓDIGO],PRODUCTOS31316[[#This Row],[CÓDIGO]],ENTRADAS71417[CANTIDAD])</f>
        <v>0</v>
      </c>
      <c r="I916" s="11">
        <f>SUMIF(SALIDAS111518[CÓDIGO],PRODUCTOS31316[[#This Row],[CÓDIGO]],SALIDAS111518[CANTIDAD])</f>
        <v>0</v>
      </c>
      <c r="J916" s="6">
        <f>PRODUCTOS31316[[#This Row],[EXISTENCIAS]]+PRODUCTOS31316[[#This Row],[ENTRADAS]]-PRODUCTOS31316[[#This Row],[SALIDAS]]</f>
        <v>6</v>
      </c>
      <c r="L916" s="2"/>
      <c r="M916" s="2"/>
      <c r="N916" s="2">
        <v>8002</v>
      </c>
      <c r="O916" s="307" t="s">
        <v>2193</v>
      </c>
      <c r="P916" s="16">
        <v>46086</v>
      </c>
      <c r="Q916" s="307" t="s">
        <v>1779</v>
      </c>
      <c r="R916" s="2">
        <f>VLOOKUP(SALIDAS111518[[#This Row],[CÓDIGO]],PRODUCTOS31316[],2,FALSE)</f>
        <v>5563</v>
      </c>
      <c r="S916" s="1" t="str">
        <f>VLOOKUP(SALIDAS111518[[#This Row],[CÓDIGO]],PRODUCTOS31316[],3,FALSE)</f>
        <v>CAMISA SANITARIA ROLLO X 80</v>
      </c>
      <c r="T916" s="2">
        <v>1</v>
      </c>
      <c r="U916" s="2"/>
      <c r="V916" s="2"/>
      <c r="W916" s="2"/>
      <c r="X916" s="2"/>
      <c r="Y916" s="7"/>
      <c r="Z916" s="2"/>
      <c r="AA916" s="1"/>
      <c r="AC916" s="2"/>
      <c r="AE916" s="1"/>
      <c r="AG916" s="2"/>
    </row>
    <row r="917" spans="1:33" ht="49.95" customHeight="1" x14ac:dyDescent="0.3">
      <c r="A917" s="132" t="s">
        <v>3089</v>
      </c>
      <c r="C917" s="131" t="s">
        <v>3090</v>
      </c>
      <c r="D917" s="133" t="s">
        <v>3087</v>
      </c>
      <c r="E917" s="133" t="s">
        <v>3088</v>
      </c>
      <c r="F917" s="133" t="s">
        <v>30</v>
      </c>
      <c r="G917" s="2">
        <v>3</v>
      </c>
      <c r="H917" s="14">
        <f>SUMIF(ENTRADAS71417[CÓDIGO],PRODUCTOS31316[[#This Row],[CÓDIGO]],ENTRADAS71417[CANTIDAD])</f>
        <v>0</v>
      </c>
      <c r="I917" s="11">
        <f>SUMIF(SALIDAS111518[CÓDIGO],PRODUCTOS31316[[#This Row],[CÓDIGO]],SALIDAS111518[CANTIDAD])</f>
        <v>0</v>
      </c>
      <c r="J917" s="6">
        <f>PRODUCTOS31316[[#This Row],[EXISTENCIAS]]+PRODUCTOS31316[[#This Row],[ENTRADAS]]-PRODUCTOS31316[[#This Row],[SALIDAS]]</f>
        <v>3</v>
      </c>
      <c r="L917" s="2" t="s">
        <v>3520</v>
      </c>
      <c r="M917" s="2" t="s">
        <v>4250</v>
      </c>
      <c r="N917" s="1" t="s">
        <v>4312</v>
      </c>
      <c r="O917" s="1" t="s">
        <v>3333</v>
      </c>
      <c r="P917" s="16">
        <v>46086</v>
      </c>
      <c r="Q917" s="2" t="s">
        <v>168</v>
      </c>
      <c r="R917" s="2">
        <f>VLOOKUP(SALIDAS111518[[#This Row],[CÓDIGO]],PRODUCTOS31316[],2,FALSE)</f>
        <v>4840</v>
      </c>
      <c r="S917" s="1" t="str">
        <f>VLOOKUP(SALIDAS111518[[#This Row],[CÓDIGO]],PRODUCTOS31316[],3,FALSE)</f>
        <v>PUNTAS BLANCAS UNIVERSALES, PLÁSTICAS, LIBRES DE DNASAS, RNASA Y PIROGENOS, RANGO DE 0.1 A 10UL. (CORTAS).</v>
      </c>
      <c r="T917" s="2">
        <v>2</v>
      </c>
      <c r="U917" s="2">
        <v>401</v>
      </c>
      <c r="V917" s="2"/>
      <c r="W917" s="2"/>
      <c r="X917" s="2"/>
      <c r="Y917" s="7"/>
      <c r="Z917" s="2"/>
      <c r="AA917" s="1"/>
      <c r="AC917" s="2"/>
      <c r="AE917" s="1"/>
      <c r="AG917" s="2"/>
    </row>
    <row r="918" spans="1:33" ht="49.95" customHeight="1" x14ac:dyDescent="0.3">
      <c r="A918" s="132" t="s">
        <v>3091</v>
      </c>
      <c r="C918" s="133" t="s">
        <v>3092</v>
      </c>
      <c r="D918" s="133" t="s">
        <v>822</v>
      </c>
      <c r="E918" s="133" t="s">
        <v>1421</v>
      </c>
      <c r="F918" s="133" t="s">
        <v>62</v>
      </c>
      <c r="G918" s="2">
        <v>1</v>
      </c>
      <c r="H918" s="14">
        <f>SUMIF(ENTRADAS71417[CÓDIGO],PRODUCTOS31316[[#This Row],[CÓDIGO]],ENTRADAS71417[CANTIDAD])</f>
        <v>0</v>
      </c>
      <c r="I918" s="11">
        <f>SUMIF(SALIDAS111518[CÓDIGO],PRODUCTOS31316[[#This Row],[CÓDIGO]],SALIDAS111518[CANTIDAD])</f>
        <v>0</v>
      </c>
      <c r="J918" s="6">
        <f>PRODUCTOS31316[[#This Row],[EXISTENCIAS]]+PRODUCTOS31316[[#This Row],[ENTRADAS]]-PRODUCTOS31316[[#This Row],[SALIDAS]]</f>
        <v>1</v>
      </c>
      <c r="L918" s="2" t="s">
        <v>3520</v>
      </c>
      <c r="M918" s="2" t="s">
        <v>4250</v>
      </c>
      <c r="N918" s="1" t="s">
        <v>4315</v>
      </c>
      <c r="O918" s="2" t="s">
        <v>2343</v>
      </c>
      <c r="P918" s="16">
        <v>46086</v>
      </c>
      <c r="Q918" s="2" t="s">
        <v>36</v>
      </c>
      <c r="R918" s="2">
        <f>VLOOKUP(SALIDAS111518[[#This Row],[CÓDIGO]],PRODUCTOS31316[],2,FALSE)</f>
        <v>1</v>
      </c>
      <c r="S918" s="1" t="str">
        <f>VLOOKUP(SALIDAS111518[[#This Row],[CÓDIGO]],PRODUCTOS31316[],3,FALSE)</f>
        <v xml:space="preserve">PARCHE ESTROTECT </v>
      </c>
      <c r="T918" s="2">
        <v>3</v>
      </c>
      <c r="U918" s="2">
        <v>402</v>
      </c>
      <c r="V918" s="2"/>
      <c r="W918" s="2"/>
      <c r="X918" s="2"/>
      <c r="Y918" s="7"/>
      <c r="Z918" s="2"/>
      <c r="AA918" s="1"/>
      <c r="AC918" s="2"/>
      <c r="AE918" s="1"/>
      <c r="AG918" s="2"/>
    </row>
    <row r="919" spans="1:33" ht="49.95" customHeight="1" x14ac:dyDescent="0.3">
      <c r="A919" s="132" t="s">
        <v>3097</v>
      </c>
      <c r="C919" s="216" t="s">
        <v>3099</v>
      </c>
      <c r="D919" s="133" t="s">
        <v>1707</v>
      </c>
      <c r="E919" s="133" t="s">
        <v>1707</v>
      </c>
      <c r="F919" s="133" t="s">
        <v>30</v>
      </c>
      <c r="G919" s="2">
        <v>2</v>
      </c>
      <c r="H919" s="14">
        <f>SUMIF(ENTRADAS71417[CÓDIGO],PRODUCTOS31316[[#This Row],[CÓDIGO]],ENTRADAS71417[CANTIDAD])</f>
        <v>0</v>
      </c>
      <c r="I919" s="11">
        <f>SUMIF(SALIDAS111518[CÓDIGO],PRODUCTOS31316[[#This Row],[CÓDIGO]],SALIDAS111518[CANTIDAD])</f>
        <v>2</v>
      </c>
      <c r="J919" s="6">
        <f>PRODUCTOS31316[[#This Row],[EXISTENCIAS]]+PRODUCTOS31316[[#This Row],[ENTRADAS]]-PRODUCTOS31316[[#This Row],[SALIDAS]]</f>
        <v>0</v>
      </c>
      <c r="L919" s="2" t="s">
        <v>3521</v>
      </c>
      <c r="M919" s="2" t="s">
        <v>4250</v>
      </c>
      <c r="N919" s="1" t="s">
        <v>4318</v>
      </c>
      <c r="O919" s="2" t="s">
        <v>4317</v>
      </c>
      <c r="P919" s="16">
        <v>46086</v>
      </c>
      <c r="Q919" s="2" t="s">
        <v>3432</v>
      </c>
      <c r="R919" s="2" t="str">
        <f>VLOOKUP(SALIDAS111518[[#This Row],[CÓDIGO]],PRODUCTOS31316[],2,FALSE)</f>
        <v>BK-S1</v>
      </c>
      <c r="S919" s="1" t="str">
        <f>VLOOKUP(SALIDAS111518[[#This Row],[CÓDIGO]],PRODUCTOS31316[],3,FALSE)</f>
        <v>BAÑO DE MARÍA DE 3 LITROS</v>
      </c>
      <c r="T919" s="2">
        <v>1</v>
      </c>
      <c r="U919" s="2">
        <v>404</v>
      </c>
      <c r="V919" s="2"/>
      <c r="W919" s="2"/>
      <c r="X919" s="2"/>
      <c r="Y919" s="7"/>
      <c r="Z919" s="2"/>
      <c r="AA919" s="1"/>
      <c r="AC919" s="2"/>
      <c r="AE919" s="1"/>
      <c r="AG919" s="2"/>
    </row>
    <row r="920" spans="1:33" ht="49.95" customHeight="1" x14ac:dyDescent="0.3">
      <c r="A920" s="132" t="s">
        <v>3098</v>
      </c>
      <c r="C920" s="216" t="s">
        <v>3100</v>
      </c>
      <c r="D920" s="133" t="s">
        <v>1707</v>
      </c>
      <c r="E920" s="133" t="s">
        <v>1707</v>
      </c>
      <c r="F920" s="133" t="s">
        <v>30</v>
      </c>
      <c r="G920" s="2">
        <v>0</v>
      </c>
      <c r="H920" s="14">
        <f>SUMIF(ENTRADAS71417[CÓDIGO],PRODUCTOS31316[[#This Row],[CÓDIGO]],ENTRADAS71417[CANTIDAD])</f>
        <v>0</v>
      </c>
      <c r="I920" s="11">
        <f>SUMIF(SALIDAS111518[CÓDIGO],PRODUCTOS31316[[#This Row],[CÓDIGO]],SALIDAS111518[CANTIDAD])</f>
        <v>0</v>
      </c>
      <c r="J920" s="6">
        <f>PRODUCTOS31316[[#This Row],[EXISTENCIAS]]+PRODUCTOS31316[[#This Row],[ENTRADAS]]-PRODUCTOS31316[[#This Row],[SALIDAS]]</f>
        <v>0</v>
      </c>
      <c r="L920" s="309" t="s">
        <v>3520</v>
      </c>
      <c r="M920" s="309" t="s">
        <v>4250</v>
      </c>
      <c r="N920" s="310" t="s">
        <v>4320</v>
      </c>
      <c r="O920" s="310" t="s">
        <v>4319</v>
      </c>
      <c r="P920" s="16">
        <v>46086</v>
      </c>
      <c r="Q920" s="309" t="s">
        <v>36</v>
      </c>
      <c r="R920" s="2">
        <f>VLOOKUP(SALIDAS111518[[#This Row],[CÓDIGO]],PRODUCTOS31316[],2,FALSE)</f>
        <v>1</v>
      </c>
      <c r="S920" s="1" t="str">
        <f>VLOOKUP(SALIDAS111518[[#This Row],[CÓDIGO]],PRODUCTOS31316[],3,FALSE)</f>
        <v xml:space="preserve">PARCHE ESTROTECT </v>
      </c>
      <c r="T920" s="2">
        <v>4</v>
      </c>
      <c r="U920" s="310" t="s">
        <v>4321</v>
      </c>
      <c r="V920" s="2"/>
      <c r="W920" s="2"/>
      <c r="X920" s="2"/>
      <c r="Y920" s="7"/>
      <c r="Z920" s="2"/>
      <c r="AA920" s="1"/>
      <c r="AC920" s="2"/>
      <c r="AE920" s="1"/>
      <c r="AG920" s="2"/>
    </row>
    <row r="921" spans="1:33" ht="49.95" customHeight="1" x14ac:dyDescent="0.3">
      <c r="A921" s="137" t="s">
        <v>3104</v>
      </c>
      <c r="C921" s="177" t="s">
        <v>3105</v>
      </c>
      <c r="D921" s="136" t="s">
        <v>3106</v>
      </c>
      <c r="E921" s="136" t="s">
        <v>2787</v>
      </c>
      <c r="F921" s="147" t="s">
        <v>30</v>
      </c>
      <c r="G921" s="2">
        <v>0</v>
      </c>
      <c r="H921" s="14">
        <f>SUMIF(ENTRADAS71417[CÓDIGO],PRODUCTOS31316[[#This Row],[CÓDIGO]],ENTRADAS71417[CANTIDAD])</f>
        <v>0</v>
      </c>
      <c r="I921" s="11">
        <f>SUMIF(SALIDAS111518[CÓDIGO],PRODUCTOS31316[[#This Row],[CÓDIGO]],SALIDAS111518[CANTIDAD])</f>
        <v>0</v>
      </c>
      <c r="J921" s="6">
        <f>PRODUCTOS31316[[#This Row],[EXISTENCIAS]]+PRODUCTOS31316[[#This Row],[ENTRADAS]]-PRODUCTOS31316[[#This Row],[SALIDAS]]</f>
        <v>0</v>
      </c>
      <c r="L921" s="2"/>
      <c r="M921" s="2"/>
      <c r="N921" s="2">
        <v>8007</v>
      </c>
      <c r="O921" s="309" t="s">
        <v>3064</v>
      </c>
      <c r="P921" s="16">
        <v>46086</v>
      </c>
      <c r="Q921" s="309" t="s">
        <v>369</v>
      </c>
      <c r="R921" s="2">
        <f>VLOOKUP(SALIDAS111518[[#This Row],[CÓDIGO]],PRODUCTOS31316[],2,FALSE)</f>
        <v>0</v>
      </c>
      <c r="S921" s="1" t="str">
        <f>VLOOKUP(SALIDAS111518[[#This Row],[CÓDIGO]],PRODUCTOS31316[],3,FALSE)</f>
        <v>FUNDA UNIVERSAL PARA I.A. RANURADA</v>
      </c>
      <c r="T921" s="2">
        <v>5</v>
      </c>
      <c r="U921" s="2"/>
      <c r="V921" s="2"/>
      <c r="W921" s="2"/>
      <c r="X921" s="2"/>
      <c r="Y921" s="7"/>
      <c r="Z921" s="2"/>
      <c r="AA921" s="1"/>
      <c r="AC921" s="2"/>
      <c r="AE921" s="1"/>
      <c r="AG921" s="2"/>
    </row>
    <row r="922" spans="1:33" ht="49.95" customHeight="1" x14ac:dyDescent="0.3">
      <c r="A922" s="139" t="s">
        <v>3107</v>
      </c>
      <c r="B922" s="1" t="s">
        <v>3108</v>
      </c>
      <c r="C922" s="140" t="s">
        <v>3109</v>
      </c>
      <c r="D922" s="140" t="s">
        <v>103</v>
      </c>
      <c r="E922" s="140" t="s">
        <v>2892</v>
      </c>
      <c r="F922" s="147" t="s">
        <v>359</v>
      </c>
      <c r="G922" s="2">
        <v>0</v>
      </c>
      <c r="H922" s="14">
        <f>SUMIF(ENTRADAS71417[CÓDIGO],PRODUCTOS31316[[#This Row],[CÓDIGO]],ENTRADAS71417[CANTIDAD])</f>
        <v>0</v>
      </c>
      <c r="I922" s="11">
        <f>SUMIF(SALIDAS111518[CÓDIGO],PRODUCTOS31316[[#This Row],[CÓDIGO]],SALIDAS111518[CANTIDAD])</f>
        <v>0</v>
      </c>
      <c r="J922" s="6">
        <f>PRODUCTOS31316[[#This Row],[EXISTENCIAS]]+PRODUCTOS31316[[#This Row],[ENTRADAS]]-PRODUCTOS31316[[#This Row],[SALIDAS]]</f>
        <v>0</v>
      </c>
      <c r="L922" s="2"/>
      <c r="M922" s="2"/>
      <c r="N922" s="2">
        <v>8007</v>
      </c>
      <c r="O922" s="309" t="s">
        <v>3064</v>
      </c>
      <c r="P922" s="16">
        <v>46086</v>
      </c>
      <c r="Q922" s="309" t="s">
        <v>1779</v>
      </c>
      <c r="R922" s="2">
        <f>VLOOKUP(SALIDAS111518[[#This Row],[CÓDIGO]],PRODUCTOS31316[],2,FALSE)</f>
        <v>5563</v>
      </c>
      <c r="S922" s="1" t="str">
        <f>VLOOKUP(SALIDAS111518[[#This Row],[CÓDIGO]],PRODUCTOS31316[],3,FALSE)</f>
        <v>CAMISA SANITARIA ROLLO X 80</v>
      </c>
      <c r="T922" s="2">
        <v>5</v>
      </c>
      <c r="U922" s="2"/>
      <c r="V922" s="2"/>
      <c r="W922" s="2"/>
      <c r="X922" s="2"/>
      <c r="Y922" s="7"/>
      <c r="Z922" s="2"/>
      <c r="AA922" s="1"/>
      <c r="AC922" s="2"/>
      <c r="AE922" s="1"/>
      <c r="AG922" s="2"/>
    </row>
    <row r="923" spans="1:33" ht="49.95" customHeight="1" x14ac:dyDescent="0.3">
      <c r="A923" s="2" t="s">
        <v>3110</v>
      </c>
      <c r="B923" s="1" t="s">
        <v>3111</v>
      </c>
      <c r="C923" s="1" t="s">
        <v>3112</v>
      </c>
      <c r="D923" s="1" t="s">
        <v>3113</v>
      </c>
      <c r="E923" s="1" t="s">
        <v>2892</v>
      </c>
      <c r="F923" s="147" t="s">
        <v>359</v>
      </c>
      <c r="G923" s="2">
        <v>0</v>
      </c>
      <c r="H923" s="14">
        <f>SUMIF(ENTRADAS71417[CÓDIGO],PRODUCTOS31316[[#This Row],[CÓDIGO]],ENTRADAS71417[CANTIDAD])</f>
        <v>0</v>
      </c>
      <c r="I923" s="11">
        <f>SUMIF(SALIDAS111518[CÓDIGO],PRODUCTOS31316[[#This Row],[CÓDIGO]],SALIDAS111518[CANTIDAD])</f>
        <v>0</v>
      </c>
      <c r="J923" s="6">
        <f>PRODUCTOS31316[[#This Row],[EXISTENCIAS]]+PRODUCTOS31316[[#This Row],[ENTRADAS]]-PRODUCTOS31316[[#This Row],[SALIDAS]]</f>
        <v>0</v>
      </c>
      <c r="L923" s="2"/>
      <c r="M923" s="2"/>
      <c r="N923" s="2">
        <v>8007</v>
      </c>
      <c r="O923" s="309" t="s">
        <v>3064</v>
      </c>
      <c r="P923" s="16">
        <v>46086</v>
      </c>
      <c r="Q923" s="309" t="s">
        <v>2364</v>
      </c>
      <c r="R923" s="2">
        <f>VLOOKUP(SALIDAS111518[[#This Row],[CÓDIGO]],PRODUCTOS31316[],2,FALSE)</f>
        <v>0</v>
      </c>
      <c r="S923" s="1" t="str">
        <f>VLOOKUP(SALIDAS111518[[#This Row],[CÓDIGO]],PRODUCTOS31316[],3,FALSE)</f>
        <v>CORTAPAJILLAS WTA</v>
      </c>
      <c r="T923" s="2">
        <v>1</v>
      </c>
      <c r="U923" s="2"/>
      <c r="V923" s="2"/>
      <c r="W923" s="2"/>
      <c r="X923" s="2"/>
      <c r="Y923" s="7"/>
      <c r="Z923" s="2"/>
      <c r="AA923" s="1"/>
      <c r="AC923" s="2"/>
      <c r="AE923" s="1"/>
      <c r="AG923" s="2"/>
    </row>
    <row r="924" spans="1:33" ht="49.95" customHeight="1" x14ac:dyDescent="0.3">
      <c r="A924" s="2" t="s">
        <v>3122</v>
      </c>
      <c r="B924" s="141" t="s">
        <v>3123</v>
      </c>
      <c r="C924" s="216" t="s">
        <v>3124</v>
      </c>
      <c r="D924" s="1" t="s">
        <v>3125</v>
      </c>
      <c r="E924" s="1" t="s">
        <v>3125</v>
      </c>
      <c r="F924" s="147" t="s">
        <v>30</v>
      </c>
      <c r="G924" s="2">
        <v>3</v>
      </c>
      <c r="H924" s="14">
        <f>SUMIF(ENTRADAS71417[CÓDIGO],PRODUCTOS31316[[#This Row],[CÓDIGO]],ENTRADAS71417[CANTIDAD])</f>
        <v>0</v>
      </c>
      <c r="I924" s="11">
        <f>SUMIF(SALIDAS111518[CÓDIGO],PRODUCTOS31316[[#This Row],[CÓDIGO]],SALIDAS111518[CANTIDAD])</f>
        <v>1</v>
      </c>
      <c r="J924" s="6">
        <f>PRODUCTOS31316[[#This Row],[EXISTENCIAS]]+PRODUCTOS31316[[#This Row],[ENTRADAS]]-PRODUCTOS31316[[#This Row],[SALIDAS]]</f>
        <v>2</v>
      </c>
      <c r="L924" s="309" t="s">
        <v>3521</v>
      </c>
      <c r="M924" s="309" t="s">
        <v>4250</v>
      </c>
      <c r="N924" s="310" t="s">
        <v>4324</v>
      </c>
      <c r="O924" s="309" t="s">
        <v>4322</v>
      </c>
      <c r="P924" s="16">
        <v>46087</v>
      </c>
      <c r="Q924" s="309" t="s">
        <v>33</v>
      </c>
      <c r="R924" s="2" t="str">
        <f>VLOOKUP(SALIDAS111518[[#This Row],[CÓDIGO]],PRODUCTOS31316[],2,FALSE)</f>
        <v>LA-120 /506003</v>
      </c>
      <c r="S924" s="1" t="str">
        <f>VLOOKUP(SALIDAS111518[[#This Row],[CÓDIGO]],PRODUCTOS31316[],3,FALSE)</f>
        <v>LíNEA PARA OPU 1,2 METROS</v>
      </c>
      <c r="T924" s="2">
        <v>2</v>
      </c>
      <c r="U924" s="2">
        <v>406</v>
      </c>
      <c r="V924" s="2"/>
      <c r="W924" s="2"/>
      <c r="X924" s="2"/>
      <c r="Y924" s="7"/>
      <c r="Z924" s="2"/>
      <c r="AA924" s="1"/>
      <c r="AC924" s="2"/>
      <c r="AE924" s="1"/>
      <c r="AG924" s="2"/>
    </row>
    <row r="925" spans="1:33" ht="49.95" customHeight="1" x14ac:dyDescent="0.3">
      <c r="A925" s="2" t="s">
        <v>3126</v>
      </c>
      <c r="B925" s="1" t="s">
        <v>3127</v>
      </c>
      <c r="C925" s="1" t="s">
        <v>3128</v>
      </c>
      <c r="D925" s="1" t="s">
        <v>3125</v>
      </c>
      <c r="E925" s="1" t="s">
        <v>3125</v>
      </c>
      <c r="F925" s="147" t="s">
        <v>30</v>
      </c>
      <c r="G925" s="2">
        <v>0</v>
      </c>
      <c r="H925" s="14">
        <f>SUMIF(ENTRADAS71417[CÓDIGO],PRODUCTOS31316[[#This Row],[CÓDIGO]],ENTRADAS71417[CANTIDAD])</f>
        <v>0</v>
      </c>
      <c r="I925" s="11">
        <f>SUMIF(SALIDAS111518[CÓDIGO],PRODUCTOS31316[[#This Row],[CÓDIGO]],SALIDAS111518[CANTIDAD])</f>
        <v>0</v>
      </c>
      <c r="J925" s="6">
        <f>PRODUCTOS31316[[#This Row],[EXISTENCIAS]]+PRODUCTOS31316[[#This Row],[ENTRADAS]]-PRODUCTOS31316[[#This Row],[SALIDAS]]</f>
        <v>0</v>
      </c>
      <c r="L925" s="2"/>
      <c r="M925" s="2"/>
      <c r="N925" s="2">
        <v>8008</v>
      </c>
      <c r="O925" s="309" t="s">
        <v>4322</v>
      </c>
      <c r="P925" s="16">
        <v>46087</v>
      </c>
      <c r="Q925" s="309" t="s">
        <v>2258</v>
      </c>
      <c r="R925" s="2">
        <f>VLOOKUP(SALIDAS111518[[#This Row],[CÓDIGO]],PRODUCTOS31316[],2,FALSE)</f>
        <v>9014001</v>
      </c>
      <c r="S925" s="1" t="str">
        <f>VLOOKUP(SALIDAS111518[[#This Row],[CÓDIGO]],PRODUCTOS31316[],3,FALSE)</f>
        <v>FILTROS OPU 100 UM/ MARCA TED</v>
      </c>
      <c r="T925" s="2">
        <v>5</v>
      </c>
      <c r="U925" s="2"/>
      <c r="V925" s="2"/>
      <c r="W925" s="2"/>
      <c r="X925" s="2"/>
      <c r="Y925" s="7"/>
      <c r="Z925" s="2"/>
      <c r="AA925" s="1"/>
      <c r="AC925" s="2"/>
      <c r="AE925" s="1"/>
      <c r="AG925" s="2"/>
    </row>
    <row r="926" spans="1:33" ht="49.95" customHeight="1" x14ac:dyDescent="0.3">
      <c r="A926" s="2" t="s">
        <v>3129</v>
      </c>
      <c r="B926" s="1" t="s">
        <v>3130</v>
      </c>
      <c r="C926" s="1" t="s">
        <v>3132</v>
      </c>
      <c r="D926" s="1" t="s">
        <v>3125</v>
      </c>
      <c r="E926" s="1" t="s">
        <v>3125</v>
      </c>
      <c r="F926" s="147" t="s">
        <v>30</v>
      </c>
      <c r="G926" s="2">
        <v>1</v>
      </c>
      <c r="H926" s="14">
        <f>SUMIF(ENTRADAS71417[CÓDIGO],PRODUCTOS31316[[#This Row],[CÓDIGO]],ENTRADAS71417[CANTIDAD])</f>
        <v>0</v>
      </c>
      <c r="I926" s="11">
        <f>SUMIF(SALIDAS111518[CÓDIGO],PRODUCTOS31316[[#This Row],[CÓDIGO]],SALIDAS111518[CANTIDAD])</f>
        <v>0</v>
      </c>
      <c r="J926" s="6">
        <f>PRODUCTOS31316[[#This Row],[EXISTENCIAS]]+PRODUCTOS31316[[#This Row],[ENTRADAS]]-PRODUCTOS31316[[#This Row],[SALIDAS]]</f>
        <v>1</v>
      </c>
      <c r="L926" s="309" t="s">
        <v>3521</v>
      </c>
      <c r="M926" s="309" t="s">
        <v>4250</v>
      </c>
      <c r="N926" s="312" t="s">
        <v>4328</v>
      </c>
      <c r="O926" s="312" t="s">
        <v>4323</v>
      </c>
      <c r="P926" s="16">
        <v>46090</v>
      </c>
      <c r="Q926" s="309" t="s">
        <v>3354</v>
      </c>
      <c r="R926" s="2" t="str">
        <f>VLOOKUP(SALIDAS111518[[#This Row],[CÓDIGO]],PRODUCTOS31316[],2,FALSE)</f>
        <v>MX5C</v>
      </c>
      <c r="S926" s="1" t="str">
        <f>VLOOKUP(SALIDAS111518[[#This Row],[CÓDIGO]],PRODUCTOS31316[],3,FALSE)</f>
        <v>ECOGRAFO MX5C CON SONDA LINEAL RECTAL/DOPLLER COLOR</v>
      </c>
      <c r="T926" s="2">
        <v>1</v>
      </c>
      <c r="U926" s="2">
        <v>407</v>
      </c>
      <c r="V926" s="2"/>
      <c r="W926" s="2"/>
      <c r="X926" s="2"/>
      <c r="Y926" s="7"/>
      <c r="Z926" s="2"/>
      <c r="AA926" s="1"/>
      <c r="AC926" s="2"/>
      <c r="AE926" s="1"/>
      <c r="AG926" s="2"/>
    </row>
    <row r="927" spans="1:33" ht="49.95" customHeight="1" x14ac:dyDescent="0.3">
      <c r="A927" s="2" t="s">
        <v>3134</v>
      </c>
      <c r="B927" s="1" t="s">
        <v>3131</v>
      </c>
      <c r="C927" s="181" t="s">
        <v>3133</v>
      </c>
      <c r="D927" s="1" t="s">
        <v>3125</v>
      </c>
      <c r="E927" s="1" t="s">
        <v>3125</v>
      </c>
      <c r="F927" s="147" t="s">
        <v>30</v>
      </c>
      <c r="G927" s="2">
        <v>1</v>
      </c>
      <c r="H927" s="14">
        <f>SUMIF(ENTRADAS71417[CÓDIGO],PRODUCTOS31316[[#This Row],[CÓDIGO]],ENTRADAS71417[CANTIDAD])</f>
        <v>0</v>
      </c>
      <c r="I927" s="11">
        <f>SUMIF(SALIDAS111518[CÓDIGO],PRODUCTOS31316[[#This Row],[CÓDIGO]],SALIDAS111518[CANTIDAD])</f>
        <v>0</v>
      </c>
      <c r="J927" s="6">
        <f>PRODUCTOS31316[[#This Row],[EXISTENCIAS]]+PRODUCTOS31316[[#This Row],[ENTRADAS]]-PRODUCTOS31316[[#This Row],[SALIDAS]]</f>
        <v>1</v>
      </c>
      <c r="L927" s="2"/>
      <c r="M927" s="2"/>
      <c r="N927" s="2">
        <v>8009</v>
      </c>
      <c r="O927" s="310" t="s">
        <v>4323</v>
      </c>
      <c r="P927" s="16">
        <v>46090</v>
      </c>
      <c r="Q927" s="309" t="s">
        <v>3077</v>
      </c>
      <c r="R927" s="2">
        <f>VLOOKUP(SALIDAS111518[[#This Row],[CÓDIGO]],PRODUCTOS31316[],2,FALSE)</f>
        <v>0</v>
      </c>
      <c r="S927" s="1" t="str">
        <f>VLOOKUP(SALIDAS111518[[#This Row],[CÓDIGO]],PRODUCTOS31316[],3,FALSE)</f>
        <v>TABLET GALAXY TAB A 9+ MARCA SANSUNG</v>
      </c>
      <c r="T927" s="2">
        <v>1</v>
      </c>
      <c r="U927" s="2"/>
      <c r="V927" s="2"/>
      <c r="W927" s="2"/>
      <c r="X927" s="2"/>
      <c r="Y927" s="7"/>
      <c r="Z927" s="2"/>
      <c r="AA927" s="1"/>
      <c r="AC927" s="2"/>
      <c r="AE927" s="1"/>
      <c r="AG927" s="2"/>
    </row>
    <row r="928" spans="1:33" ht="49.95" customHeight="1" x14ac:dyDescent="0.3">
      <c r="A928" s="152" t="s">
        <v>3140</v>
      </c>
      <c r="B928" s="1">
        <v>23057</v>
      </c>
      <c r="C928" s="217" t="s">
        <v>3141</v>
      </c>
      <c r="D928" s="153" t="s">
        <v>442</v>
      </c>
      <c r="E928" s="153" t="s">
        <v>442</v>
      </c>
      <c r="F928" s="147" t="s">
        <v>30</v>
      </c>
      <c r="G928" s="2">
        <v>0</v>
      </c>
      <c r="H928" s="14">
        <f>SUMIF(ENTRADAS71417[CÓDIGO],PRODUCTOS31316[[#This Row],[CÓDIGO]],ENTRADAS71417[CANTIDAD])</f>
        <v>0</v>
      </c>
      <c r="I928" s="11">
        <f>SUMIF(SALIDAS111518[CÓDIGO],PRODUCTOS31316[[#This Row],[CÓDIGO]],SALIDAS111518[CANTIDAD])</f>
        <v>0</v>
      </c>
      <c r="J928" s="6">
        <f>PRODUCTOS31316[[#This Row],[EXISTENCIAS]]+PRODUCTOS31316[[#This Row],[ENTRADAS]]-PRODUCTOS31316[[#This Row],[SALIDAS]]</f>
        <v>0</v>
      </c>
      <c r="L928" s="2"/>
      <c r="M928" s="2"/>
      <c r="N928" s="2">
        <v>8009</v>
      </c>
      <c r="O928" s="310" t="s">
        <v>4323</v>
      </c>
      <c r="P928" s="16">
        <v>46090</v>
      </c>
      <c r="Q928" s="309" t="s">
        <v>3286</v>
      </c>
      <c r="R928" s="2">
        <f>VLOOKUP(SALIDAS111518[[#This Row],[CÓDIGO]],PRODUCTOS31316[],2,FALSE)</f>
        <v>0</v>
      </c>
      <c r="S928" s="1" t="str">
        <f>VLOOKUP(SALIDAS111518[[#This Row],[CÓDIGO]],PRODUCTOS31316[],3,FALSE)</f>
        <v>CARCASA TABLET BMV</v>
      </c>
      <c r="T928" s="2">
        <v>1</v>
      </c>
      <c r="U928" s="2"/>
      <c r="V928" s="2"/>
      <c r="W928" s="2"/>
      <c r="X928" s="2"/>
      <c r="Y928" s="7"/>
      <c r="Z928" s="2"/>
      <c r="AA928" s="1"/>
      <c r="AC928" s="2"/>
      <c r="AE928" s="1"/>
      <c r="AG928" s="2"/>
    </row>
    <row r="929" spans="1:33" ht="49.95" customHeight="1" x14ac:dyDescent="0.3">
      <c r="A929" s="152" t="s">
        <v>3142</v>
      </c>
      <c r="B929" s="1">
        <v>16301</v>
      </c>
      <c r="C929" s="216" t="s">
        <v>3143</v>
      </c>
      <c r="D929" s="153" t="s">
        <v>3144</v>
      </c>
      <c r="E929" s="153" t="s">
        <v>442</v>
      </c>
      <c r="F929" s="147" t="s">
        <v>30</v>
      </c>
      <c r="G929" s="2">
        <v>21</v>
      </c>
      <c r="H929" s="14">
        <f>SUMIF(ENTRADAS71417[CÓDIGO],PRODUCTOS31316[[#This Row],[CÓDIGO]],ENTRADAS71417[CANTIDAD])</f>
        <v>30</v>
      </c>
      <c r="I929" s="11">
        <f>SUMIF(SALIDAS111518[CÓDIGO],PRODUCTOS31316[[#This Row],[CÓDIGO]],SALIDAS111518[CANTIDAD])</f>
        <v>35</v>
      </c>
      <c r="J929" s="6">
        <f>PRODUCTOS31316[[#This Row],[EXISTENCIAS]]+PRODUCTOS31316[[#This Row],[ENTRADAS]]-PRODUCTOS31316[[#This Row],[SALIDAS]]</f>
        <v>16</v>
      </c>
      <c r="L929" s="2"/>
      <c r="M929" s="2"/>
      <c r="N929" s="2">
        <v>8009</v>
      </c>
      <c r="O929" s="310" t="s">
        <v>4323</v>
      </c>
      <c r="P929" s="16">
        <v>46090</v>
      </c>
      <c r="Q929" s="309" t="s">
        <v>3095</v>
      </c>
      <c r="R929" s="2">
        <f>VLOOKUP(SALIDAS111518[[#This Row],[CÓDIGO]],PRODUCTOS31316[],2,FALSE)</f>
        <v>0</v>
      </c>
      <c r="S929" s="1" t="str">
        <f>VLOOKUP(SALIDAS111518[[#This Row],[CÓDIGO]],PRODUCTOS31316[],3,FALSE)</f>
        <v>GORRA MAS CAMPO</v>
      </c>
      <c r="T929" s="2">
        <v>1</v>
      </c>
      <c r="U929" s="2"/>
      <c r="V929" s="2"/>
      <c r="W929" s="2"/>
      <c r="X929" s="56"/>
      <c r="Y929" s="7"/>
      <c r="Z929" s="2"/>
      <c r="AA929" s="1"/>
      <c r="AC929" s="2"/>
      <c r="AE929" s="1"/>
      <c r="AG929" s="2"/>
    </row>
    <row r="930" spans="1:33" ht="49.95" customHeight="1" x14ac:dyDescent="0.3">
      <c r="A930" s="152" t="s">
        <v>3145</v>
      </c>
      <c r="C930" s="216"/>
      <c r="F930" s="189"/>
      <c r="G930" s="2">
        <v>0</v>
      </c>
      <c r="H930" s="14">
        <f>SUMIF(ENTRADAS71417[CÓDIGO],PRODUCTOS31316[[#This Row],[CÓDIGO]],ENTRADAS71417[CANTIDAD])</f>
        <v>0</v>
      </c>
      <c r="I930" s="11">
        <f>SUMIF(SALIDAS111518[CÓDIGO],PRODUCTOS31316[[#This Row],[CÓDIGO]],SALIDAS111518[CANTIDAD])</f>
        <v>0</v>
      </c>
      <c r="J930" s="6">
        <f>PRODUCTOS31316[[#This Row],[EXISTENCIAS]]+PRODUCTOS31316[[#This Row],[ENTRADAS]]-PRODUCTOS31316[[#This Row],[SALIDAS]]</f>
        <v>0</v>
      </c>
      <c r="L930" s="311" t="s">
        <v>3521</v>
      </c>
      <c r="M930" s="311" t="s">
        <v>4250</v>
      </c>
      <c r="N930" s="312" t="s">
        <v>4329</v>
      </c>
      <c r="O930" s="312" t="s">
        <v>4327</v>
      </c>
      <c r="P930" s="16">
        <v>46087</v>
      </c>
      <c r="Q930" s="311" t="s">
        <v>3065</v>
      </c>
      <c r="R930" s="2">
        <f>VLOOKUP(SALIDAS111518[[#This Row],[CÓDIGO]],PRODUCTOS31316[],2,FALSE)</f>
        <v>20597559</v>
      </c>
      <c r="S930" s="1" t="str">
        <f>VLOOKUP(SALIDAS111518[[#This Row],[CÓDIGO]],PRODUCTOS31316[],3,FALSE)</f>
        <v>TERMO NITRÓGENO ET- 20</v>
      </c>
      <c r="T930" s="2">
        <v>1</v>
      </c>
      <c r="U930" s="2">
        <v>408</v>
      </c>
      <c r="V930" s="311" t="s">
        <v>4330</v>
      </c>
      <c r="W930" s="2"/>
      <c r="X930" s="2"/>
      <c r="Y930" s="7"/>
      <c r="Z930" s="2"/>
      <c r="AA930" s="1"/>
      <c r="AC930" s="2"/>
      <c r="AE930" s="1"/>
      <c r="AG930" s="2"/>
    </row>
    <row r="931" spans="1:33" ht="49.95" customHeight="1" x14ac:dyDescent="0.3">
      <c r="A931" s="152" t="s">
        <v>3147</v>
      </c>
      <c r="B931" s="153"/>
      <c r="C931" s="177" t="s">
        <v>3193</v>
      </c>
      <c r="D931" s="177" t="s">
        <v>822</v>
      </c>
      <c r="E931" s="177" t="s">
        <v>1421</v>
      </c>
      <c r="F931" s="147" t="s">
        <v>30</v>
      </c>
      <c r="G931" s="2">
        <v>4</v>
      </c>
      <c r="H931" s="14">
        <f>SUMIF(ENTRADAS71417[CÓDIGO],PRODUCTOS31316[[#This Row],[CÓDIGO]],ENTRADAS71417[CANTIDAD])</f>
        <v>0</v>
      </c>
      <c r="I931" s="11">
        <f>SUMIF(SALIDAS111518[CÓDIGO],PRODUCTOS31316[[#This Row],[CÓDIGO]],SALIDAS111518[CANTIDAD])</f>
        <v>0</v>
      </c>
      <c r="J931" s="6">
        <f>PRODUCTOS31316[[#This Row],[EXISTENCIAS]]+PRODUCTOS31316[[#This Row],[ENTRADAS]]-PRODUCTOS31316[[#This Row],[SALIDAS]]</f>
        <v>4</v>
      </c>
      <c r="L931" s="2"/>
      <c r="M931" s="2"/>
      <c r="N931" s="2">
        <v>8010</v>
      </c>
      <c r="O931" s="312" t="s">
        <v>4325</v>
      </c>
      <c r="P931" s="16">
        <v>46087</v>
      </c>
      <c r="Q931" s="311" t="s">
        <v>3539</v>
      </c>
      <c r="R931" s="2">
        <f>VLOOKUP(SALIDAS111518[[#This Row],[CÓDIGO]],PRODUCTOS31316[],2,FALSE)</f>
        <v>2</v>
      </c>
      <c r="S931" s="1" t="str">
        <f>VLOOKUP(SALIDAS111518[[#This Row],[CÓDIGO]],PRODUCTOS31316[],3,FALSE)</f>
        <v>REGLILLA PARA MEDIR NITRÓGENO</v>
      </c>
      <c r="T931" s="2">
        <v>1</v>
      </c>
      <c r="U931" s="2"/>
      <c r="V931" s="2"/>
      <c r="W931" s="2"/>
      <c r="X931" s="2"/>
      <c r="Y931" s="7"/>
      <c r="Z931" s="2"/>
      <c r="AA931" s="1"/>
      <c r="AC931" s="2"/>
      <c r="AE931" s="1"/>
      <c r="AG931" s="2"/>
    </row>
    <row r="932" spans="1:33" ht="49.95" customHeight="1" x14ac:dyDescent="0.3">
      <c r="A932" s="2" t="s">
        <v>3151</v>
      </c>
      <c r="B932" s="1">
        <v>5155</v>
      </c>
      <c r="C932" s="1" t="s">
        <v>3152</v>
      </c>
      <c r="D932" s="275" t="s">
        <v>156</v>
      </c>
      <c r="E932" s="155" t="s">
        <v>2020</v>
      </c>
      <c r="F932" s="188" t="s">
        <v>124</v>
      </c>
      <c r="G932" s="2">
        <v>0</v>
      </c>
      <c r="H932" s="14">
        <f>SUMIF(ENTRADAS71417[CÓDIGO],PRODUCTOS31316[[#This Row],[CÓDIGO]],ENTRADAS71417[CANTIDAD])</f>
        <v>2</v>
      </c>
      <c r="I932" s="11">
        <f>SUMIF(SALIDAS111518[CÓDIGO],PRODUCTOS31316[[#This Row],[CÓDIGO]],SALIDAS111518[CANTIDAD])</f>
        <v>0</v>
      </c>
      <c r="J932" s="6">
        <f>PRODUCTOS31316[[#This Row],[EXISTENCIAS]]+PRODUCTOS31316[[#This Row],[ENTRADAS]]-PRODUCTOS31316[[#This Row],[SALIDAS]]</f>
        <v>2</v>
      </c>
      <c r="L932" s="2"/>
      <c r="M932" s="2"/>
      <c r="N932" s="2">
        <v>8010</v>
      </c>
      <c r="O932" s="312" t="s">
        <v>4325</v>
      </c>
      <c r="P932" s="16">
        <v>46087</v>
      </c>
      <c r="Q932" s="311" t="s">
        <v>3095</v>
      </c>
      <c r="R932" s="2">
        <f>VLOOKUP(SALIDAS111518[[#This Row],[CÓDIGO]],PRODUCTOS31316[],2,FALSE)</f>
        <v>0</v>
      </c>
      <c r="S932" s="1" t="str">
        <f>VLOOKUP(SALIDAS111518[[#This Row],[CÓDIGO]],PRODUCTOS31316[],3,FALSE)</f>
        <v>GORRA MAS CAMPO</v>
      </c>
      <c r="T932" s="2">
        <v>1</v>
      </c>
      <c r="U932" s="2"/>
      <c r="V932" s="2"/>
      <c r="W932" s="2"/>
      <c r="X932" s="2"/>
      <c r="Y932" s="7"/>
      <c r="Z932" s="2"/>
      <c r="AA932" s="1"/>
      <c r="AC932" s="2"/>
      <c r="AE932" s="1"/>
      <c r="AG932" s="2"/>
    </row>
    <row r="933" spans="1:33" ht="49.95" customHeight="1" x14ac:dyDescent="0.3">
      <c r="A933" s="156" t="s">
        <v>3154</v>
      </c>
      <c r="C933" s="155" t="s">
        <v>3155</v>
      </c>
      <c r="D933" s="173" t="s">
        <v>380</v>
      </c>
      <c r="E933" s="173" t="s">
        <v>380</v>
      </c>
      <c r="F933" s="147" t="s">
        <v>30</v>
      </c>
      <c r="G933" s="2">
        <v>5</v>
      </c>
      <c r="H933" s="14">
        <f>SUMIF(ENTRADAS71417[CÓDIGO],PRODUCTOS31316[[#This Row],[CÓDIGO]],ENTRADAS71417[CANTIDAD])</f>
        <v>3</v>
      </c>
      <c r="I933" s="11">
        <f>SUMIF(SALIDAS111518[CÓDIGO],PRODUCTOS31316[[#This Row],[CÓDIGO]],SALIDAS111518[CANTIDAD])</f>
        <v>3</v>
      </c>
      <c r="J933" s="6">
        <f>PRODUCTOS31316[[#This Row],[EXISTENCIAS]]+PRODUCTOS31316[[#This Row],[ENTRADAS]]-PRODUCTOS31316[[#This Row],[SALIDAS]]</f>
        <v>5</v>
      </c>
      <c r="L933" s="311" t="s">
        <v>3521</v>
      </c>
      <c r="M933" s="311" t="s">
        <v>4250</v>
      </c>
      <c r="N933" s="312" t="s">
        <v>4331</v>
      </c>
      <c r="O933" s="312" t="s">
        <v>4326</v>
      </c>
      <c r="P933" s="16">
        <v>46087</v>
      </c>
      <c r="Q933" s="311" t="s">
        <v>272</v>
      </c>
      <c r="R933" s="2">
        <f>VLOOKUP(SALIDAS111518[[#This Row],[CÓDIGO]],PRODUCTOS31316[],2,FALSE)</f>
        <v>627161</v>
      </c>
      <c r="S933" s="1" t="str">
        <f>VLOOKUP(SALIDAS111518[[#This Row],[CÓDIGO]],PRODUCTOS31316[],3,FALSE)</f>
        <v xml:space="preserve">CAJA PETRI 35X10 ESTERIL </v>
      </c>
      <c r="T933" s="2">
        <v>1</v>
      </c>
      <c r="U933" s="2">
        <v>409</v>
      </c>
      <c r="V933" s="2"/>
      <c r="W933" s="2"/>
      <c r="X933" s="2"/>
      <c r="Y933" s="7"/>
      <c r="Z933" s="2"/>
      <c r="AA933" s="1"/>
      <c r="AC933" s="2"/>
      <c r="AE933" s="1"/>
      <c r="AG933" s="2"/>
    </row>
    <row r="934" spans="1:33" ht="49.95" customHeight="1" x14ac:dyDescent="0.3">
      <c r="A934" s="156" t="s">
        <v>3156</v>
      </c>
      <c r="B934" s="157" t="s">
        <v>3148</v>
      </c>
      <c r="C934" s="216" t="s">
        <v>3149</v>
      </c>
      <c r="D934" s="157" t="s">
        <v>1886</v>
      </c>
      <c r="E934" s="157" t="s">
        <v>1886</v>
      </c>
      <c r="F934" s="147" t="s">
        <v>30</v>
      </c>
      <c r="G934" s="2">
        <v>4</v>
      </c>
      <c r="H934" s="14">
        <f>SUMIF(ENTRADAS71417[CÓDIGO],PRODUCTOS31316[[#This Row],[CÓDIGO]],ENTRADAS71417[CANTIDAD])</f>
        <v>0</v>
      </c>
      <c r="I934" s="11">
        <f>SUMIF(SALIDAS111518[CÓDIGO],PRODUCTOS31316[[#This Row],[CÓDIGO]],SALIDAS111518[CANTIDAD])</f>
        <v>3</v>
      </c>
      <c r="J934" s="6">
        <f>PRODUCTOS31316[[#This Row],[EXISTENCIAS]]+PRODUCTOS31316[[#This Row],[ENTRADAS]]-PRODUCTOS31316[[#This Row],[SALIDAS]]</f>
        <v>1</v>
      </c>
      <c r="L934" s="2"/>
      <c r="M934" s="2"/>
      <c r="N934" s="2">
        <v>8011</v>
      </c>
      <c r="O934" s="312" t="s">
        <v>4326</v>
      </c>
      <c r="P934" s="16">
        <v>46087</v>
      </c>
      <c r="Q934" s="311" t="s">
        <v>3355</v>
      </c>
      <c r="R934" s="2">
        <f>VLOOKUP(SALIDAS111518[[#This Row],[CÓDIGO]],PRODUCTOS31316[],2,FALSE)</f>
        <v>140681</v>
      </c>
      <c r="S934" s="1" t="str">
        <f>VLOOKUP(SALIDAS111518[[#This Row],[CÓDIGO]],PRODUCTOS31316[],3,FALSE)</f>
        <v>CAJA DE PETRI DESECHABLE ESTERIL 60x15MM.</v>
      </c>
      <c r="T934" s="2">
        <v>1</v>
      </c>
      <c r="U934" s="2"/>
      <c r="V934" s="2"/>
      <c r="W934" s="2"/>
      <c r="X934" s="2"/>
      <c r="Y934" s="7"/>
      <c r="Z934" s="2"/>
      <c r="AA934" s="1"/>
      <c r="AC934" s="2"/>
      <c r="AE934" s="1"/>
      <c r="AG934" s="2"/>
    </row>
    <row r="935" spans="1:33" ht="49.95" customHeight="1" x14ac:dyDescent="0.3">
      <c r="A935" s="156" t="s">
        <v>3157</v>
      </c>
      <c r="B935" s="157" t="s">
        <v>3146</v>
      </c>
      <c r="C935" s="216" t="s">
        <v>3222</v>
      </c>
      <c r="D935" s="188" t="s">
        <v>1886</v>
      </c>
      <c r="E935" s="157" t="s">
        <v>1886</v>
      </c>
      <c r="F935" s="147" t="s">
        <v>30</v>
      </c>
      <c r="G935" s="2">
        <v>2</v>
      </c>
      <c r="H935" s="14">
        <f>SUMIF(ENTRADAS71417[CÓDIGO],PRODUCTOS31316[[#This Row],[CÓDIGO]],ENTRADAS71417[CANTIDAD])</f>
        <v>3</v>
      </c>
      <c r="I935" s="11">
        <f>SUMIF(SALIDAS111518[CÓDIGO],PRODUCTOS31316[[#This Row],[CÓDIGO]],SALIDAS111518[CANTIDAD])</f>
        <v>5</v>
      </c>
      <c r="J935" s="6">
        <f>PRODUCTOS31316[[#This Row],[EXISTENCIAS]]+PRODUCTOS31316[[#This Row],[ENTRADAS]]-PRODUCTOS31316[[#This Row],[SALIDAS]]</f>
        <v>0</v>
      </c>
      <c r="L935" s="2"/>
      <c r="M935" s="2"/>
      <c r="N935" s="2">
        <v>8011</v>
      </c>
      <c r="O935" s="312" t="s">
        <v>4326</v>
      </c>
      <c r="P935" s="16">
        <v>46087</v>
      </c>
      <c r="Q935" s="311" t="s">
        <v>3328</v>
      </c>
      <c r="R935" s="2">
        <f>VLOOKUP(SALIDAS111518[[#This Row],[CÓDIGO]],PRODUCTOS31316[],2,FALSE)</f>
        <v>9006004</v>
      </c>
      <c r="S935" s="1" t="str">
        <f>VLOOKUP(SALIDAS111518[[#This Row],[CÓDIGO]],PRODUCTOS31316[],3,FALSE)</f>
        <v>LACRADOR LARGO VERDE</v>
      </c>
      <c r="T935" s="2">
        <v>1</v>
      </c>
      <c r="U935" s="2"/>
      <c r="V935" s="2"/>
      <c r="W935" s="2"/>
      <c r="X935" s="2"/>
      <c r="Y935" s="7"/>
      <c r="Z935" s="2"/>
      <c r="AA935" s="1"/>
      <c r="AC935" s="2"/>
      <c r="AE935" s="1"/>
      <c r="AG935" s="2"/>
    </row>
    <row r="936" spans="1:33" ht="49.95" customHeight="1" x14ac:dyDescent="0.3">
      <c r="A936" s="2" t="s">
        <v>3165</v>
      </c>
      <c r="B936" s="1">
        <v>30943</v>
      </c>
      <c r="C936" s="1" t="s">
        <v>3166</v>
      </c>
      <c r="D936" s="351" t="s">
        <v>3167</v>
      </c>
      <c r="E936" s="1" t="s">
        <v>957</v>
      </c>
      <c r="F936" s="147" t="s">
        <v>30</v>
      </c>
      <c r="G936" s="2">
        <v>126</v>
      </c>
      <c r="H936" s="14">
        <f>SUMIF(ENTRADAS71417[CÓDIGO],PRODUCTOS31316[[#This Row],[CÓDIGO]],ENTRADAS71417[CANTIDAD])</f>
        <v>100</v>
      </c>
      <c r="I936" s="11">
        <f>SUMIF(SALIDAS111518[CÓDIGO],PRODUCTOS31316[[#This Row],[CÓDIGO]],SALIDAS111518[CANTIDAD])</f>
        <v>217</v>
      </c>
      <c r="J936" s="6">
        <f>PRODUCTOS31316[[#This Row],[EXISTENCIAS]]+PRODUCTOS31316[[#This Row],[ENTRADAS]]-PRODUCTOS31316[[#This Row],[SALIDAS]]</f>
        <v>9</v>
      </c>
      <c r="L936" s="2"/>
      <c r="M936" s="2"/>
      <c r="N936" s="2">
        <v>8011</v>
      </c>
      <c r="O936" s="312" t="s">
        <v>4326</v>
      </c>
      <c r="P936" s="16">
        <v>46087</v>
      </c>
      <c r="Q936" s="311" t="s">
        <v>3703</v>
      </c>
      <c r="R936" s="2" t="str">
        <f>VLOOKUP(SALIDAS111518[[#This Row],[CÓDIGO]],PRODUCTOS31316[],2,FALSE)</f>
        <v>13407-010</v>
      </c>
      <c r="S936" s="1" t="str">
        <f>VLOOKUP(SALIDAS111518[[#This Row],[CÓDIGO]],PRODUCTOS31316[],3,FALSE)</f>
        <v>PAJUELA TRANSPARENTES 0.25/ PAQ. X 2000 MARCA MINITUBE</v>
      </c>
      <c r="T936" s="2">
        <v>1</v>
      </c>
      <c r="U936" s="2"/>
      <c r="V936" s="2"/>
      <c r="W936" s="2"/>
      <c r="X936" s="2"/>
      <c r="Y936" s="7"/>
      <c r="Z936" s="2"/>
      <c r="AA936" s="1"/>
      <c r="AC936" s="2"/>
      <c r="AE936" s="1"/>
      <c r="AG936" s="2"/>
    </row>
    <row r="937" spans="1:33" ht="49.95" customHeight="1" x14ac:dyDescent="0.3">
      <c r="A937" s="203" t="s">
        <v>3168</v>
      </c>
      <c r="B937" s="1" t="s">
        <v>3169</v>
      </c>
      <c r="C937" s="260" t="s">
        <v>3332</v>
      </c>
      <c r="D937" s="1" t="s">
        <v>2022</v>
      </c>
      <c r="E937" s="1" t="s">
        <v>1819</v>
      </c>
      <c r="F937" s="212" t="s">
        <v>224</v>
      </c>
      <c r="G937" s="2">
        <v>12</v>
      </c>
      <c r="H937" s="14">
        <f>SUMIF(ENTRADAS71417[CÓDIGO],PRODUCTOS31316[[#This Row],[CÓDIGO]],ENTRADAS71417[CANTIDAD])</f>
        <v>20</v>
      </c>
      <c r="I937" s="11">
        <f>SUMIF(SALIDAS111518[CÓDIGO],PRODUCTOS31316[[#This Row],[CÓDIGO]],SALIDAS111518[CANTIDAD])</f>
        <v>25</v>
      </c>
      <c r="J937" s="6">
        <f>PRODUCTOS31316[[#This Row],[EXISTENCIAS]]+PRODUCTOS31316[[#This Row],[ENTRADAS]]-PRODUCTOS31316[[#This Row],[SALIDAS]]</f>
        <v>7</v>
      </c>
      <c r="L937" s="311" t="s">
        <v>3520</v>
      </c>
      <c r="M937" s="311" t="s">
        <v>4250</v>
      </c>
      <c r="N937" s="313" t="s">
        <v>4350</v>
      </c>
      <c r="O937" s="311" t="s">
        <v>2454</v>
      </c>
      <c r="P937" s="16">
        <v>46087</v>
      </c>
      <c r="Q937" s="311" t="s">
        <v>3365</v>
      </c>
      <c r="R937" s="2">
        <f>VLOOKUP(SALIDAS111518[[#This Row],[CÓDIGO]],PRODUCTOS31316[],2,FALSE)</f>
        <v>0</v>
      </c>
      <c r="S937" s="1" t="str">
        <f>VLOOKUP(SALIDAS111518[[#This Row],[CÓDIGO]],PRODUCTOS31316[],3,FALSE)</f>
        <v>MANGA DE PROTECCIÓN PALPACIÓN MAS CAMPO</v>
      </c>
      <c r="T937" s="2">
        <v>2</v>
      </c>
      <c r="U937" s="314" t="s">
        <v>4349</v>
      </c>
      <c r="V937" s="2"/>
      <c r="W937" s="311" t="s">
        <v>3412</v>
      </c>
      <c r="X937" s="2"/>
      <c r="Y937" s="7"/>
      <c r="Z937" s="2"/>
      <c r="AA937" s="1"/>
      <c r="AC937" s="2"/>
      <c r="AE937" s="1"/>
      <c r="AG937" s="2"/>
    </row>
    <row r="938" spans="1:33" ht="49.95" customHeight="1" x14ac:dyDescent="0.3">
      <c r="A938" s="172" t="s">
        <v>3173</v>
      </c>
      <c r="C938" s="173" t="s">
        <v>3174</v>
      </c>
      <c r="D938" s="173" t="s">
        <v>380</v>
      </c>
      <c r="E938" s="173" t="s">
        <v>380</v>
      </c>
      <c r="F938" s="147" t="s">
        <v>30</v>
      </c>
      <c r="G938" s="2">
        <v>1</v>
      </c>
      <c r="H938" s="14">
        <f>SUMIF(ENTRADAS71417[CÓDIGO],PRODUCTOS31316[[#This Row],[CÓDIGO]],ENTRADAS71417[CANTIDAD])</f>
        <v>9</v>
      </c>
      <c r="I938" s="11">
        <f>SUMIF(SALIDAS111518[CÓDIGO],PRODUCTOS31316[[#This Row],[CÓDIGO]],SALIDAS111518[CANTIDAD])</f>
        <v>1</v>
      </c>
      <c r="J938" s="6">
        <f>PRODUCTOS31316[[#This Row],[EXISTENCIAS]]+PRODUCTOS31316[[#This Row],[ENTRADAS]]-PRODUCTOS31316[[#This Row],[SALIDAS]]</f>
        <v>9</v>
      </c>
      <c r="L938" s="2"/>
      <c r="M938" s="2"/>
      <c r="N938" s="2">
        <v>8012</v>
      </c>
      <c r="O938" s="311" t="s">
        <v>2454</v>
      </c>
      <c r="P938" s="16">
        <v>46087</v>
      </c>
      <c r="Q938" s="311" t="s">
        <v>2364</v>
      </c>
      <c r="R938" s="2">
        <f>VLOOKUP(SALIDAS111518[[#This Row],[CÓDIGO]],PRODUCTOS31316[],2,FALSE)</f>
        <v>0</v>
      </c>
      <c r="S938" s="1" t="str">
        <f>VLOOKUP(SALIDAS111518[[#This Row],[CÓDIGO]],PRODUCTOS31316[],3,FALSE)</f>
        <v>CORTAPAJILLAS WTA</v>
      </c>
      <c r="T938" s="2">
        <v>2</v>
      </c>
      <c r="U938" s="2"/>
      <c r="V938" s="2"/>
      <c r="W938" s="2"/>
      <c r="X938" s="2"/>
      <c r="Y938" s="7"/>
      <c r="Z938" s="2"/>
      <c r="AA938" s="1"/>
      <c r="AC938" s="2"/>
      <c r="AE938" s="1"/>
      <c r="AG938" s="2"/>
    </row>
    <row r="939" spans="1:33" ht="49.95" customHeight="1" x14ac:dyDescent="0.3">
      <c r="A939" s="207" t="s">
        <v>3181</v>
      </c>
      <c r="B939" s="1">
        <v>7416</v>
      </c>
      <c r="C939" s="216" t="s">
        <v>3182</v>
      </c>
      <c r="D939" s="173" t="s">
        <v>1177</v>
      </c>
      <c r="E939" s="176" t="s">
        <v>3189</v>
      </c>
      <c r="F939" s="147" t="s">
        <v>30</v>
      </c>
      <c r="G939" s="31">
        <f>16+1</f>
        <v>17</v>
      </c>
      <c r="H939" s="14">
        <f>SUMIF(ENTRADAS71417[CÓDIGO],PRODUCTOS31316[[#This Row],[CÓDIGO]],ENTRADAS71417[CANTIDAD])</f>
        <v>18</v>
      </c>
      <c r="I939" s="11">
        <f>SUMIF(SALIDAS111518[CÓDIGO],PRODUCTOS31316[[#This Row],[CÓDIGO]],SALIDAS111518[CANTIDAD])</f>
        <v>22</v>
      </c>
      <c r="J939" s="6">
        <f>PRODUCTOS31316[[#This Row],[EXISTENCIAS]]+PRODUCTOS31316[[#This Row],[ENTRADAS]]-PRODUCTOS31316[[#This Row],[SALIDAS]]</f>
        <v>13</v>
      </c>
      <c r="L939" s="2"/>
      <c r="M939" s="2"/>
      <c r="N939" s="2">
        <v>8012</v>
      </c>
      <c r="O939" s="311" t="s">
        <v>2454</v>
      </c>
      <c r="P939" s="16">
        <v>46087</v>
      </c>
      <c r="Q939" s="311" t="s">
        <v>2360</v>
      </c>
      <c r="R939" s="2">
        <f>VLOOKUP(SALIDAS111518[[#This Row],[CÓDIGO]],PRODUCTOS31316[],2,FALSE)</f>
        <v>0</v>
      </c>
      <c r="S939" s="1" t="str">
        <f>VLOOKUP(SALIDAS111518[[#This Row],[CÓDIGO]],PRODUCTOS31316[],3,FALSE)</f>
        <v>ADAPTADOR DE CELULAR PARA MICROSCOPIO</v>
      </c>
      <c r="T939" s="2">
        <v>1</v>
      </c>
      <c r="U939" s="2"/>
      <c r="V939" s="2"/>
      <c r="W939" s="2"/>
      <c r="X939" s="2"/>
      <c r="Y939" s="7"/>
      <c r="Z939" s="2"/>
      <c r="AA939" s="1"/>
      <c r="AC939" s="2"/>
      <c r="AE939" s="1"/>
      <c r="AG939" s="2"/>
    </row>
    <row r="940" spans="1:33" ht="49.95" customHeight="1" x14ac:dyDescent="0.3">
      <c r="A940" s="2" t="s">
        <v>3190</v>
      </c>
      <c r="C940" s="1" t="s">
        <v>2008</v>
      </c>
      <c r="D940" s="1" t="s">
        <v>1752</v>
      </c>
      <c r="E940" s="1" t="s">
        <v>3191</v>
      </c>
      <c r="F940" s="147" t="s">
        <v>30</v>
      </c>
      <c r="G940" s="2">
        <v>0</v>
      </c>
      <c r="H940" s="14">
        <f>SUMIF(ENTRADAS71417[CÓDIGO],PRODUCTOS31316[[#This Row],[CÓDIGO]],ENTRADAS71417[CANTIDAD])</f>
        <v>1</v>
      </c>
      <c r="I940" s="11">
        <f>SUMIF(SALIDAS111518[CÓDIGO],PRODUCTOS31316[[#This Row],[CÓDIGO]],SALIDAS111518[CANTIDAD])</f>
        <v>1</v>
      </c>
      <c r="J940" s="6">
        <f>PRODUCTOS31316[[#This Row],[EXISTENCIAS]]+PRODUCTOS31316[[#This Row],[ENTRADAS]]-PRODUCTOS31316[[#This Row],[SALIDAS]]</f>
        <v>0</v>
      </c>
      <c r="L940" s="2"/>
      <c r="M940" s="2"/>
      <c r="N940" s="2">
        <v>8012</v>
      </c>
      <c r="O940" s="311" t="s">
        <v>2454</v>
      </c>
      <c r="P940" s="16">
        <v>46087</v>
      </c>
      <c r="Q940" s="311" t="s">
        <v>25</v>
      </c>
      <c r="R940" s="2">
        <f>VLOOKUP(SALIDAS111518[[#This Row],[CÓDIGO]],PRODUCTOS31316[],2,FALSE)</f>
        <v>0</v>
      </c>
      <c r="S940" s="1" t="str">
        <f>VLOOKUP(SALIDAS111518[[#This Row],[CÓDIGO]],PRODUCTOS31316[],3,FALSE)</f>
        <v>BOLSA TELA MAS CAMPO</v>
      </c>
      <c r="T940" s="2">
        <v>1</v>
      </c>
      <c r="U940" s="2"/>
      <c r="V940" s="2"/>
      <c r="W940" s="2"/>
      <c r="X940" s="2"/>
      <c r="Y940" s="7"/>
      <c r="Z940" s="2"/>
      <c r="AA940" s="1"/>
      <c r="AC940" s="2"/>
      <c r="AE940" s="1"/>
      <c r="AG940" s="2"/>
    </row>
    <row r="941" spans="1:33" ht="49.95" customHeight="1" x14ac:dyDescent="0.3">
      <c r="A941" s="2" t="s">
        <v>3197</v>
      </c>
      <c r="C941" s="1" t="s">
        <v>3198</v>
      </c>
      <c r="D941" s="1" t="s">
        <v>1177</v>
      </c>
      <c r="E941" s="188" t="s">
        <v>2087</v>
      </c>
      <c r="F941" s="147" t="s">
        <v>30</v>
      </c>
      <c r="G941" s="2">
        <v>0</v>
      </c>
      <c r="H941" s="14">
        <f>SUMIF(ENTRADAS71417[CÓDIGO],PRODUCTOS31316[[#This Row],[CÓDIGO]],ENTRADAS71417[CANTIDAD])</f>
        <v>0</v>
      </c>
      <c r="I941" s="11">
        <f>SUMIF(SALIDAS111518[CÓDIGO],PRODUCTOS31316[[#This Row],[CÓDIGO]],SALIDAS111518[CANTIDAD])</f>
        <v>0</v>
      </c>
      <c r="J941" s="6">
        <f>PRODUCTOS31316[[#This Row],[EXISTENCIAS]]+PRODUCTOS31316[[#This Row],[ENTRADAS]]-PRODUCTOS31316[[#This Row],[SALIDAS]]</f>
        <v>0</v>
      </c>
      <c r="L941" s="311" t="s">
        <v>3520</v>
      </c>
      <c r="M941" s="311" t="s">
        <v>4250</v>
      </c>
      <c r="N941" s="312" t="s">
        <v>4334</v>
      </c>
      <c r="O941" s="312" t="s">
        <v>3822</v>
      </c>
      <c r="P941" s="16">
        <v>46087</v>
      </c>
      <c r="Q941" s="311" t="s">
        <v>2382</v>
      </c>
      <c r="R941" s="2">
        <f>VLOOKUP(SALIDAS111518[[#This Row],[CÓDIGO]],PRODUCTOS31316[],2,FALSE)</f>
        <v>1</v>
      </c>
      <c r="S941" s="1" t="str">
        <f>VLOOKUP(SALIDAS111518[[#This Row],[CÓDIGO]],PRODUCTOS31316[],3,FALSE)</f>
        <v>TERMO DE TRANSPORTE 1 LITRO</v>
      </c>
      <c r="T941" s="2">
        <v>1</v>
      </c>
      <c r="U941" s="2">
        <v>410</v>
      </c>
      <c r="V941" s="2"/>
      <c r="W941" s="311" t="s">
        <v>2823</v>
      </c>
      <c r="X941" s="2"/>
      <c r="Y941" s="7"/>
      <c r="Z941" s="2"/>
      <c r="AA941" s="1"/>
      <c r="AC941" s="2"/>
      <c r="AE941" s="1"/>
      <c r="AG941" s="2"/>
    </row>
    <row r="942" spans="1:33" ht="49.95" customHeight="1" x14ac:dyDescent="0.3">
      <c r="A942" s="203" t="s">
        <v>3202</v>
      </c>
      <c r="C942" s="1" t="s">
        <v>3203</v>
      </c>
      <c r="D942" s="1" t="s">
        <v>467</v>
      </c>
      <c r="E942" s="1" t="s">
        <v>467</v>
      </c>
      <c r="F942" s="147" t="s">
        <v>30</v>
      </c>
      <c r="G942" s="2">
        <v>114</v>
      </c>
      <c r="H942" s="14">
        <f>SUMIF(ENTRADAS71417[CÓDIGO],PRODUCTOS31316[[#This Row],[CÓDIGO]],ENTRADAS71417[CANTIDAD])</f>
        <v>63</v>
      </c>
      <c r="I942" s="11">
        <f>SUMIF(SALIDAS111518[CÓDIGO],PRODUCTOS31316[[#This Row],[CÓDIGO]],SALIDAS111518[CANTIDAD])</f>
        <v>29</v>
      </c>
      <c r="J942" s="6">
        <f>PRODUCTOS31316[[#This Row],[EXISTENCIAS]]+PRODUCTOS31316[[#This Row],[ENTRADAS]]-PRODUCTOS31316[[#This Row],[SALIDAS]]</f>
        <v>148</v>
      </c>
      <c r="L942" s="311" t="s">
        <v>3521</v>
      </c>
      <c r="M942" s="311" t="s">
        <v>4250</v>
      </c>
      <c r="N942" s="1" t="s">
        <v>4338</v>
      </c>
      <c r="O942" s="311" t="s">
        <v>2885</v>
      </c>
      <c r="P942" s="16">
        <v>46090</v>
      </c>
      <c r="Q942" s="311" t="s">
        <v>2300</v>
      </c>
      <c r="R942" s="2">
        <f>VLOOKUP(SALIDAS111518[[#This Row],[CÓDIGO]],PRODUCTOS31316[],2,FALSE)</f>
        <v>26043</v>
      </c>
      <c r="S942" s="1" t="str">
        <f>VLOOKUP(SALIDAS111518[[#This Row],[CÓDIGO]],PRODUCTOS31316[],3,FALSE)</f>
        <v>FUNDAS DE INSEMINACIÓN 3W/ 0,50</v>
      </c>
      <c r="T942" s="2">
        <v>4</v>
      </c>
      <c r="U942" s="2">
        <v>411</v>
      </c>
      <c r="V942" s="2"/>
      <c r="W942" s="2"/>
      <c r="X942" s="2"/>
      <c r="Y942" s="7"/>
      <c r="Z942" s="2"/>
      <c r="AA942" s="1"/>
      <c r="AC942" s="2"/>
      <c r="AE942" s="1"/>
      <c r="AG942" s="2"/>
    </row>
    <row r="943" spans="1:33" ht="49.95" customHeight="1" x14ac:dyDescent="0.3">
      <c r="A943" s="2" t="s">
        <v>3204</v>
      </c>
      <c r="B943" s="1">
        <v>26647</v>
      </c>
      <c r="C943" s="216" t="s">
        <v>3218</v>
      </c>
      <c r="D943" s="1" t="s">
        <v>156</v>
      </c>
      <c r="E943" s="1" t="s">
        <v>2020</v>
      </c>
      <c r="F943" s="147" t="s">
        <v>30</v>
      </c>
      <c r="G943" s="2">
        <v>12</v>
      </c>
      <c r="H943" s="14">
        <f>SUMIF(ENTRADAS71417[CÓDIGO],PRODUCTOS31316[[#This Row],[CÓDIGO]],ENTRADAS71417[CANTIDAD])</f>
        <v>0</v>
      </c>
      <c r="I943" s="11">
        <f>SUMIF(SALIDAS111518[CÓDIGO],PRODUCTOS31316[[#This Row],[CÓDIGO]],SALIDAS111518[CANTIDAD])</f>
        <v>1</v>
      </c>
      <c r="J943" s="6">
        <f>PRODUCTOS31316[[#This Row],[EXISTENCIAS]]+PRODUCTOS31316[[#This Row],[ENTRADAS]]-PRODUCTOS31316[[#This Row],[SALIDAS]]</f>
        <v>11</v>
      </c>
      <c r="L943" s="2" t="s">
        <v>3520</v>
      </c>
      <c r="M943" s="2" t="s">
        <v>4250</v>
      </c>
      <c r="N943" s="1" t="s">
        <v>4339</v>
      </c>
      <c r="O943" s="1" t="s">
        <v>2445</v>
      </c>
      <c r="P943" s="16">
        <v>46090</v>
      </c>
      <c r="Q943" s="2" t="s">
        <v>3709</v>
      </c>
      <c r="R943" s="2" t="str">
        <f>VLOOKUP(SALIDAS111518[[#This Row],[CÓDIGO]],PRODUCTOS31316[],2,FALSE)</f>
        <v>13408-010</v>
      </c>
      <c r="S943" s="1" t="str">
        <f>VLOOKUP(SALIDAS111518[[#This Row],[CÓDIGO]],PRODUCTOS31316[],3,FALSE)</f>
        <v>PAJUELA TRANSPARENTE 0.50/ PAQ. X 2500 MARCA MINITUBE</v>
      </c>
      <c r="T943" s="2">
        <v>2</v>
      </c>
      <c r="U943" s="2">
        <v>413</v>
      </c>
      <c r="V943" s="2"/>
      <c r="W943" s="2"/>
      <c r="X943" s="2"/>
      <c r="Y943" s="7"/>
      <c r="Z943" s="2"/>
      <c r="AA943" s="1"/>
      <c r="AC943" s="2"/>
      <c r="AE943" s="1"/>
      <c r="AG943" s="2"/>
    </row>
    <row r="944" spans="1:33" ht="49.95" customHeight="1" x14ac:dyDescent="0.3">
      <c r="A944" s="2" t="s">
        <v>3205</v>
      </c>
      <c r="B944" s="1">
        <v>5232</v>
      </c>
      <c r="C944" s="216" t="s">
        <v>3219</v>
      </c>
      <c r="D944" s="1" t="s">
        <v>156</v>
      </c>
      <c r="E944" s="1" t="s">
        <v>2020</v>
      </c>
      <c r="F944" s="147" t="s">
        <v>30</v>
      </c>
      <c r="G944" s="2">
        <v>2</v>
      </c>
      <c r="H944" s="14">
        <f>SUMIF(ENTRADAS71417[CÓDIGO],PRODUCTOS31316[[#This Row],[CÓDIGO]],ENTRADAS71417[CANTIDAD])</f>
        <v>0</v>
      </c>
      <c r="I944" s="11">
        <f>SUMIF(SALIDAS111518[CÓDIGO],PRODUCTOS31316[[#This Row],[CÓDIGO]],SALIDAS111518[CANTIDAD])</f>
        <v>2</v>
      </c>
      <c r="J944" s="6">
        <f>PRODUCTOS31316[[#This Row],[EXISTENCIAS]]+PRODUCTOS31316[[#This Row],[ENTRADAS]]-PRODUCTOS31316[[#This Row],[SALIDAS]]</f>
        <v>0</v>
      </c>
      <c r="L944" s="2" t="s">
        <v>3520</v>
      </c>
      <c r="M944" s="2" t="s">
        <v>4250</v>
      </c>
      <c r="N944" s="1" t="s">
        <v>4342</v>
      </c>
      <c r="O944" s="2" t="s">
        <v>2723</v>
      </c>
      <c r="P944" s="16">
        <v>46090</v>
      </c>
      <c r="Q944" s="2" t="s">
        <v>70</v>
      </c>
      <c r="R944" s="2">
        <f>VLOOKUP(SALIDAS111518[[#This Row],[CÓDIGO]],PRODUCTOS31316[],2,FALSE)</f>
        <v>25458</v>
      </c>
      <c r="S944" s="1" t="str">
        <f>VLOOKUP(SALIDAS111518[[#This Row],[CÓDIGO]],PRODUCTOS31316[],3,FALSE)</f>
        <v>FILTROS PARA OPU 100 UL</v>
      </c>
      <c r="T944" s="2">
        <v>10</v>
      </c>
      <c r="U944" s="2">
        <v>414</v>
      </c>
      <c r="V944" s="2"/>
      <c r="W944" s="2"/>
      <c r="X944" s="2"/>
      <c r="Y944" s="7"/>
      <c r="Z944" s="2"/>
      <c r="AA944" s="1"/>
      <c r="AC944" s="2"/>
      <c r="AE944" s="1"/>
      <c r="AG944" s="2"/>
    </row>
    <row r="945" spans="1:33" ht="49.95" customHeight="1" x14ac:dyDescent="0.3">
      <c r="A945" s="2" t="s">
        <v>3206</v>
      </c>
      <c r="B945" s="1">
        <v>430165</v>
      </c>
      <c r="C945" s="1" t="s">
        <v>3207</v>
      </c>
      <c r="D945" s="1" t="s">
        <v>769</v>
      </c>
      <c r="E945" s="1" t="s">
        <v>249</v>
      </c>
      <c r="F945" s="188" t="s">
        <v>377</v>
      </c>
      <c r="G945" s="2">
        <v>0</v>
      </c>
      <c r="H945" s="14">
        <f>SUMIF(ENTRADAS71417[CÓDIGO],PRODUCTOS31316[[#This Row],[CÓDIGO]],ENTRADAS71417[CANTIDAD])</f>
        <v>0</v>
      </c>
      <c r="I945" s="11">
        <f>SUMIF(SALIDAS111518[CÓDIGO],PRODUCTOS31316[[#This Row],[CÓDIGO]],SALIDAS111518[CANTIDAD])</f>
        <v>0</v>
      </c>
      <c r="J945" s="6">
        <f>PRODUCTOS31316[[#This Row],[EXISTENCIAS]]+PRODUCTOS31316[[#This Row],[ENTRADAS]]-PRODUCTOS31316[[#This Row],[SALIDAS]]</f>
        <v>0</v>
      </c>
      <c r="L945" s="2"/>
      <c r="M945" s="2"/>
      <c r="N945" s="2">
        <v>8016</v>
      </c>
      <c r="O945" s="2" t="s">
        <v>2723</v>
      </c>
      <c r="P945" s="16">
        <v>46090</v>
      </c>
      <c r="Q945" s="2" t="s">
        <v>58</v>
      </c>
      <c r="R945" s="2" t="str">
        <f>VLOOKUP(SALIDAS111518[[#This Row],[CÓDIGO]],PRODUCTOS31316[],2,FALSE)</f>
        <v>TNB-0001-16</v>
      </c>
      <c r="S945" s="1" t="str">
        <f>VLOOKUP(SALIDAS111518[[#This Row],[CÓDIGO]],PRODUCTOS31316[],3,FALSE)</f>
        <v>CAMISA SANITARIA PARA OPU ASPIRACIÓN FOLICULAR</v>
      </c>
      <c r="T945" s="2">
        <v>1</v>
      </c>
      <c r="U945" s="2"/>
      <c r="V945" s="2"/>
      <c r="W945" s="2"/>
      <c r="X945" s="2"/>
      <c r="Y945" s="7"/>
      <c r="Z945" s="2"/>
      <c r="AA945" s="1"/>
      <c r="AC945" s="2"/>
      <c r="AE945" s="1"/>
      <c r="AG945" s="2"/>
    </row>
    <row r="946" spans="1:33" ht="49.95" customHeight="1" x14ac:dyDescent="0.3">
      <c r="A946" s="208" t="s">
        <v>3211</v>
      </c>
      <c r="B946" s="188" t="s">
        <v>3210</v>
      </c>
      <c r="C946" s="216" t="s">
        <v>3212</v>
      </c>
      <c r="D946" s="188" t="s">
        <v>467</v>
      </c>
      <c r="E946" s="188" t="s">
        <v>467</v>
      </c>
      <c r="F946" s="188" t="s">
        <v>30</v>
      </c>
      <c r="G946" s="31">
        <v>5</v>
      </c>
      <c r="H946" s="14">
        <f>SUMIF(ENTRADAS71417[CÓDIGO],PRODUCTOS31316[[#This Row],[CÓDIGO]],ENTRADAS71417[CANTIDAD])</f>
        <v>11</v>
      </c>
      <c r="I946" s="11">
        <f>SUMIF(SALIDAS111518[CÓDIGO],PRODUCTOS31316[[#This Row],[CÓDIGO]],SALIDAS111518[CANTIDAD])</f>
        <v>14</v>
      </c>
      <c r="J946" s="6">
        <f>PRODUCTOS31316[[#This Row],[EXISTENCIAS]]+PRODUCTOS31316[[#This Row],[ENTRADAS]]-PRODUCTOS31316[[#This Row],[SALIDAS]]</f>
        <v>2</v>
      </c>
      <c r="L946" s="2"/>
      <c r="M946" s="2"/>
      <c r="N946" s="2">
        <v>8016</v>
      </c>
      <c r="O946" s="2" t="s">
        <v>2723</v>
      </c>
      <c r="P946" s="16">
        <v>46090</v>
      </c>
      <c r="Q946" s="2" t="s">
        <v>33</v>
      </c>
      <c r="R946" s="2" t="str">
        <f>VLOOKUP(SALIDAS111518[[#This Row],[CÓDIGO]],PRODUCTOS31316[],2,FALSE)</f>
        <v>LA-120 /506003</v>
      </c>
      <c r="S946" s="1" t="str">
        <f>VLOOKUP(SALIDAS111518[[#This Row],[CÓDIGO]],PRODUCTOS31316[],3,FALSE)</f>
        <v>LíNEA PARA OPU 1,2 METROS</v>
      </c>
      <c r="T946" s="2">
        <v>10</v>
      </c>
      <c r="U946" s="2"/>
      <c r="V946" s="2"/>
      <c r="W946" s="2"/>
      <c r="X946" s="2"/>
      <c r="Y946" s="7"/>
      <c r="Z946" s="2"/>
      <c r="AA946" s="1"/>
      <c r="AC946" s="2"/>
      <c r="AE946" s="1"/>
      <c r="AG946" s="2"/>
    </row>
    <row r="947" spans="1:33" ht="49.95" customHeight="1" x14ac:dyDescent="0.3">
      <c r="A947" s="208" t="s">
        <v>3213</v>
      </c>
      <c r="B947" s="188" t="s">
        <v>3215</v>
      </c>
      <c r="C947" s="216" t="s">
        <v>3214</v>
      </c>
      <c r="D947" s="188" t="s">
        <v>467</v>
      </c>
      <c r="E947" s="188" t="s">
        <v>467</v>
      </c>
      <c r="F947" s="188" t="s">
        <v>30</v>
      </c>
      <c r="G947" s="2">
        <v>9</v>
      </c>
      <c r="H947" s="14">
        <f>SUMIF(ENTRADAS71417[CÓDIGO],PRODUCTOS31316[[#This Row],[CÓDIGO]],ENTRADAS71417[CANTIDAD])</f>
        <v>1</v>
      </c>
      <c r="I947" s="11">
        <f>SUMIF(SALIDAS111518[CÓDIGO],PRODUCTOS31316[[#This Row],[CÓDIGO]],SALIDAS111518[CANTIDAD])</f>
        <v>4</v>
      </c>
      <c r="J947" s="6">
        <f>PRODUCTOS31316[[#This Row],[EXISTENCIAS]]+PRODUCTOS31316[[#This Row],[ENTRADAS]]-PRODUCTOS31316[[#This Row],[SALIDAS]]</f>
        <v>6</v>
      </c>
      <c r="L947" s="2" t="s">
        <v>3520</v>
      </c>
      <c r="M947" s="2" t="s">
        <v>4250</v>
      </c>
      <c r="N947" s="1" t="s">
        <v>4347</v>
      </c>
      <c r="O947" s="2" t="s">
        <v>3422</v>
      </c>
      <c r="P947" s="16">
        <v>46090</v>
      </c>
      <c r="Q947" s="2" t="s">
        <v>153</v>
      </c>
      <c r="R947" s="2">
        <f>VLOOKUP(SALIDAS111518[[#This Row],[CÓDIGO]],PRODUCTOS31316[],2,FALSE)</f>
        <v>1132</v>
      </c>
      <c r="S947" s="1" t="str">
        <f>VLOOKUP(SALIDAS111518[[#This Row],[CÓDIGO]],PRODUCTOS31316[],3,FALSE)</f>
        <v>PISTOLA QUICKLOCK CLASIC</v>
      </c>
      <c r="T947" s="2">
        <v>1</v>
      </c>
      <c r="U947" s="2">
        <v>416</v>
      </c>
      <c r="V947" s="2"/>
      <c r="W947" s="2"/>
      <c r="X947" s="56"/>
      <c r="Y947" s="7"/>
      <c r="Z947" s="2"/>
      <c r="AA947" s="1"/>
      <c r="AC947" s="2"/>
      <c r="AE947" s="1"/>
      <c r="AG947" s="2"/>
    </row>
    <row r="948" spans="1:33" ht="49.95" customHeight="1" x14ac:dyDescent="0.3">
      <c r="A948" s="2" t="s">
        <v>3223</v>
      </c>
      <c r="B948" s="1">
        <v>26878</v>
      </c>
      <c r="C948" s="1" t="s">
        <v>3224</v>
      </c>
      <c r="D948" s="1" t="s">
        <v>442</v>
      </c>
      <c r="E948" s="1" t="s">
        <v>442</v>
      </c>
      <c r="F948" s="189" t="s">
        <v>30</v>
      </c>
      <c r="G948" s="2">
        <v>2</v>
      </c>
      <c r="H948" s="14">
        <f>SUMIF(ENTRADAS71417[CÓDIGO],PRODUCTOS31316[[#This Row],[CÓDIGO]],ENTRADAS71417[CANTIDAD])</f>
        <v>0</v>
      </c>
      <c r="I948" s="11">
        <f>SUMIF(SALIDAS111518[CÓDIGO],PRODUCTOS31316[[#This Row],[CÓDIGO]],SALIDAS111518[CANTIDAD])</f>
        <v>1</v>
      </c>
      <c r="J948" s="6">
        <f>PRODUCTOS31316[[#This Row],[EXISTENCIAS]]+PRODUCTOS31316[[#This Row],[ENTRADAS]]-PRODUCTOS31316[[#This Row],[SALIDAS]]</f>
        <v>1</v>
      </c>
      <c r="L948" s="2"/>
      <c r="M948" s="2"/>
      <c r="N948" s="2">
        <v>8020</v>
      </c>
      <c r="O948" s="2" t="s">
        <v>3422</v>
      </c>
      <c r="P948" s="16">
        <v>46090</v>
      </c>
      <c r="Q948" s="2" t="s">
        <v>273</v>
      </c>
      <c r="R948" s="2">
        <f>VLOOKUP(SALIDAS111518[[#This Row],[CÓDIGO]],PRODUCTOS31316[],2,FALSE)</f>
        <v>1003514</v>
      </c>
      <c r="S948" s="1" t="str">
        <f>VLOOKUP(SALIDAS111518[[#This Row],[CÓDIGO]],PRODUCTOS31316[],3,FALSE)</f>
        <v>JALEA CONDUCTIVA (GEL ULTRASONICO) GALON X 3785 ML AZUL</v>
      </c>
      <c r="T948" s="2">
        <v>1</v>
      </c>
      <c r="U948" s="2"/>
      <c r="V948" s="2"/>
      <c r="W948" s="2"/>
      <c r="X948" s="56"/>
      <c r="Y948" s="7"/>
      <c r="Z948" s="2"/>
      <c r="AA948" s="1"/>
      <c r="AC948" s="2"/>
      <c r="AE948" s="1"/>
      <c r="AG948" s="2"/>
    </row>
    <row r="949" spans="1:33" ht="49.95" customHeight="1" x14ac:dyDescent="0.3">
      <c r="A949" s="2" t="s">
        <v>3225</v>
      </c>
      <c r="B949" s="1" t="s">
        <v>3226</v>
      </c>
      <c r="C949" s="1" t="s">
        <v>3227</v>
      </c>
      <c r="D949" s="1" t="s">
        <v>442</v>
      </c>
      <c r="E949" s="1" t="s">
        <v>442</v>
      </c>
      <c r="F949" s="189" t="s">
        <v>30</v>
      </c>
      <c r="G949" s="2">
        <v>2</v>
      </c>
      <c r="H949" s="14">
        <f>SUMIF(ENTRADAS71417[CÓDIGO],PRODUCTOS31316[[#This Row],[CÓDIGO]],ENTRADAS71417[CANTIDAD])</f>
        <v>0</v>
      </c>
      <c r="I949" s="11">
        <f>SUMIF(SALIDAS111518[CÓDIGO],PRODUCTOS31316[[#This Row],[CÓDIGO]],SALIDAS111518[CANTIDAD])</f>
        <v>0</v>
      </c>
      <c r="J949" s="6">
        <f>PRODUCTOS31316[[#This Row],[EXISTENCIAS]]+PRODUCTOS31316[[#This Row],[ENTRADAS]]-PRODUCTOS31316[[#This Row],[SALIDAS]]</f>
        <v>2</v>
      </c>
      <c r="L949" s="2" t="s">
        <v>3520</v>
      </c>
      <c r="M949" s="2" t="s">
        <v>4250</v>
      </c>
      <c r="N949" s="1" t="s">
        <v>4351</v>
      </c>
      <c r="O949" s="2" t="s">
        <v>2796</v>
      </c>
      <c r="P949" s="16">
        <v>46090</v>
      </c>
      <c r="Q949" s="2" t="s">
        <v>3308</v>
      </c>
      <c r="R949" s="2">
        <f>VLOOKUP(SALIDAS111518[[#This Row],[CÓDIGO]],PRODUCTOS31316[],2,FALSE)</f>
        <v>50</v>
      </c>
      <c r="S949" s="1" t="str">
        <f>VLOOKUP(SALIDAS111518[[#This Row],[CÓDIGO]],PRODUCTOS31316[],3,FALSE)</f>
        <v>MAXI FILTRO</v>
      </c>
      <c r="T949" s="2">
        <v>2</v>
      </c>
      <c r="U949" s="2">
        <v>419</v>
      </c>
      <c r="V949" s="2"/>
      <c r="W949" s="2" t="s">
        <v>3412</v>
      </c>
      <c r="X949" s="56"/>
      <c r="Y949" s="7"/>
      <c r="Z949" s="2"/>
      <c r="AA949" s="1"/>
      <c r="AC949" s="2"/>
      <c r="AE949" s="1"/>
      <c r="AG949" s="2"/>
    </row>
    <row r="950" spans="1:33" ht="49.95" customHeight="1" x14ac:dyDescent="0.3">
      <c r="A950" s="2" t="s">
        <v>3228</v>
      </c>
      <c r="B950" s="1">
        <v>9018121000</v>
      </c>
      <c r="C950" s="216" t="s">
        <v>3229</v>
      </c>
      <c r="D950" s="1" t="s">
        <v>1886</v>
      </c>
      <c r="E950" s="1" t="s">
        <v>1886</v>
      </c>
      <c r="F950" s="189"/>
      <c r="G950" s="2">
        <v>0</v>
      </c>
      <c r="H950" s="14">
        <f>SUMIF(ENTRADAS71417[CÓDIGO],PRODUCTOS31316[[#This Row],[CÓDIGO]],ENTRADAS71417[CANTIDAD])</f>
        <v>0</v>
      </c>
      <c r="I950" s="11">
        <f>SUMIF(SALIDAS111518[CÓDIGO],PRODUCTOS31316[[#This Row],[CÓDIGO]],SALIDAS111518[CANTIDAD])</f>
        <v>0</v>
      </c>
      <c r="J950" s="6">
        <f>PRODUCTOS31316[[#This Row],[EXISTENCIAS]]+PRODUCTOS31316[[#This Row],[ENTRADAS]]-PRODUCTOS31316[[#This Row],[SALIDAS]]</f>
        <v>0</v>
      </c>
      <c r="L950" s="2"/>
      <c r="M950" s="2"/>
      <c r="N950" s="2">
        <v>8021</v>
      </c>
      <c r="O950" s="2" t="s">
        <v>2796</v>
      </c>
      <c r="P950" s="16">
        <v>46090</v>
      </c>
      <c r="Q950" s="2" t="s">
        <v>2364</v>
      </c>
      <c r="R950" s="2">
        <f>VLOOKUP(SALIDAS111518[[#This Row],[CÓDIGO]],PRODUCTOS31316[],2,FALSE)</f>
        <v>0</v>
      </c>
      <c r="S950" s="1" t="str">
        <f>VLOOKUP(SALIDAS111518[[#This Row],[CÓDIGO]],PRODUCTOS31316[],3,FALSE)</f>
        <v>CORTAPAJILLAS WTA</v>
      </c>
      <c r="T950" s="2">
        <v>1</v>
      </c>
      <c r="U950" s="2"/>
      <c r="V950" s="2"/>
      <c r="W950" s="2"/>
      <c r="X950" s="56"/>
      <c r="Y950" s="7"/>
      <c r="Z950" s="2"/>
      <c r="AA950" s="1"/>
      <c r="AC950" s="2"/>
      <c r="AE950" s="1"/>
      <c r="AG950" s="2"/>
    </row>
    <row r="951" spans="1:33" ht="49.95" customHeight="1" x14ac:dyDescent="0.3">
      <c r="A951" s="2" t="s">
        <v>3233</v>
      </c>
      <c r="B951" s="1" t="s">
        <v>3235</v>
      </c>
      <c r="C951" s="216" t="s">
        <v>3234</v>
      </c>
      <c r="D951" s="1" t="s">
        <v>2650</v>
      </c>
      <c r="E951" s="1" t="s">
        <v>2389</v>
      </c>
      <c r="F951" s="191" t="s">
        <v>30</v>
      </c>
      <c r="G951" s="2">
        <v>4</v>
      </c>
      <c r="H951" s="14">
        <f>SUMIF(ENTRADAS71417[CÓDIGO],PRODUCTOS31316[[#This Row],[CÓDIGO]],ENTRADAS71417[CANTIDAD])</f>
        <v>10</v>
      </c>
      <c r="I951" s="11">
        <f>SUMIF(SALIDAS111518[CÓDIGO],PRODUCTOS31316[[#This Row],[CÓDIGO]],SALIDAS111518[CANTIDAD])</f>
        <v>10</v>
      </c>
      <c r="J951" s="6">
        <f>PRODUCTOS31316[[#This Row],[EXISTENCIAS]]+PRODUCTOS31316[[#This Row],[ENTRADAS]]-PRODUCTOS31316[[#This Row],[SALIDAS]]</f>
        <v>4</v>
      </c>
      <c r="L951" s="2"/>
      <c r="M951" s="2"/>
      <c r="N951" s="2">
        <v>8021</v>
      </c>
      <c r="O951" s="2" t="s">
        <v>2796</v>
      </c>
      <c r="P951" s="16">
        <v>46090</v>
      </c>
      <c r="Q951" s="2" t="s">
        <v>167</v>
      </c>
      <c r="R951" s="2" t="str">
        <f>VLOOKUP(SALIDAS111518[[#This Row],[CÓDIGO]],PRODUCTOS31316[],2,FALSE)</f>
        <v>50050-1</v>
      </c>
      <c r="S951" s="1" t="str">
        <f>VLOOKUP(SALIDAS111518[[#This Row],[CÓDIGO]],PRODUCTOS31316[],3,FALSE)</f>
        <v>TUBO CONICO PLUG, AUTOCLAVABLE ESTERIL  TAPA ROSCA DE 50 ML</v>
      </c>
      <c r="T951" s="2">
        <v>2</v>
      </c>
      <c r="U951" s="2"/>
      <c r="V951" s="2"/>
      <c r="W951" s="2"/>
      <c r="X951" s="2"/>
      <c r="Y951" s="7"/>
      <c r="Z951" s="2"/>
      <c r="AA951" s="1"/>
      <c r="AC951" s="2"/>
      <c r="AE951" s="1"/>
      <c r="AG951" s="2"/>
    </row>
    <row r="952" spans="1:33" ht="49.95" customHeight="1" x14ac:dyDescent="0.3">
      <c r="A952" s="209" t="s">
        <v>3237</v>
      </c>
      <c r="B952" s="191" t="s">
        <v>3238</v>
      </c>
      <c r="C952" s="216" t="s">
        <v>3246</v>
      </c>
      <c r="D952" s="253" t="s">
        <v>3243</v>
      </c>
      <c r="E952" s="191" t="s">
        <v>177</v>
      </c>
      <c r="F952" s="191" t="s">
        <v>139</v>
      </c>
      <c r="G952" s="2">
        <v>2</v>
      </c>
      <c r="H952" s="14">
        <f>SUMIF(ENTRADAS71417[CÓDIGO],PRODUCTOS31316[[#This Row],[CÓDIGO]],ENTRADAS71417[CANTIDAD])</f>
        <v>100</v>
      </c>
      <c r="I952" s="11">
        <f>SUMIF(SALIDAS111518[CÓDIGO],PRODUCTOS31316[[#This Row],[CÓDIGO]],SALIDAS111518[CANTIDAD])</f>
        <v>20</v>
      </c>
      <c r="J952" s="6">
        <f>PRODUCTOS31316[[#This Row],[EXISTENCIAS]]+PRODUCTOS31316[[#This Row],[ENTRADAS]]-PRODUCTOS31316[[#This Row],[SALIDAS]]</f>
        <v>82</v>
      </c>
      <c r="L952" s="2"/>
      <c r="M952" s="2"/>
      <c r="N952" s="2">
        <v>8021</v>
      </c>
      <c r="O952" s="2" t="s">
        <v>2796</v>
      </c>
      <c r="P952" s="16">
        <v>46090</v>
      </c>
      <c r="Q952" s="2" t="s">
        <v>333</v>
      </c>
      <c r="R952" s="2" t="str">
        <f>VLOOKUP(SALIDAS111518[[#This Row],[CÓDIGO]],PRODUCTOS31316[],2,FALSE)</f>
        <v>CTB15</v>
      </c>
      <c r="S952" s="1" t="str">
        <f>VLOOKUP(SALIDAS111518[[#This Row],[CÓDIGO]],PRODUCTOS31316[],3,FALSE)</f>
        <v>TUBO CÓNICO DE 15 ML, TAPA ROSCA ESTÉRIL  RCF MAX: 10000xg, 
graduados, PCR puro. VENCE: 03/04/2028</v>
      </c>
      <c r="T952" s="2">
        <v>2</v>
      </c>
      <c r="U952" s="2"/>
      <c r="V952" s="2"/>
      <c r="W952" s="2"/>
      <c r="X952" s="2"/>
      <c r="Y952" s="7"/>
      <c r="Z952" s="2"/>
      <c r="AA952" s="1"/>
      <c r="AC952" s="2"/>
      <c r="AE952" s="1"/>
      <c r="AG952" s="2"/>
    </row>
    <row r="953" spans="1:33" ht="49.95" customHeight="1" x14ac:dyDescent="0.3">
      <c r="A953" s="209" t="s">
        <v>3241</v>
      </c>
      <c r="B953" s="191" t="s">
        <v>3239</v>
      </c>
      <c r="C953" s="191" t="s">
        <v>3245</v>
      </c>
      <c r="D953" s="191" t="s">
        <v>3243</v>
      </c>
      <c r="E953" s="191" t="s">
        <v>177</v>
      </c>
      <c r="F953" s="191" t="s">
        <v>139</v>
      </c>
      <c r="G953" s="2">
        <v>0</v>
      </c>
      <c r="H953" s="14">
        <f>SUMIF(ENTRADAS71417[CÓDIGO],PRODUCTOS31316[[#This Row],[CÓDIGO]],ENTRADAS71417[CANTIDAD])</f>
        <v>300</v>
      </c>
      <c r="I953" s="11">
        <f>SUMIF(SALIDAS111518[CÓDIGO],PRODUCTOS31316[[#This Row],[CÓDIGO]],SALIDAS111518[CANTIDAD])</f>
        <v>80</v>
      </c>
      <c r="J953" s="6">
        <f>PRODUCTOS31316[[#This Row],[EXISTENCIAS]]+PRODUCTOS31316[[#This Row],[ENTRADAS]]-PRODUCTOS31316[[#This Row],[SALIDAS]]</f>
        <v>220</v>
      </c>
      <c r="L953" s="2" t="s">
        <v>3520</v>
      </c>
      <c r="M953" s="2" t="s">
        <v>4250</v>
      </c>
      <c r="N953" s="1" t="s">
        <v>4352</v>
      </c>
      <c r="O953" s="2" t="s">
        <v>3885</v>
      </c>
      <c r="P953" s="16">
        <v>46090</v>
      </c>
      <c r="Q953" s="2" t="s">
        <v>3142</v>
      </c>
      <c r="R953" s="2">
        <f>VLOOKUP(SALIDAS111518[[#This Row],[CÓDIGO]],PRODUCTOS31316[],2,FALSE)</f>
        <v>16301</v>
      </c>
      <c r="S953" s="1" t="str">
        <f>VLOOKUP(SALIDAS111518[[#This Row],[CÓDIGO]],PRODUCTOS31316[],3,FALSE)</f>
        <v>PISTOLA DE TRANSFERENCIA DE EMBRIONES 0,25 DE MANGO DE ALUMINIO</v>
      </c>
      <c r="T953" s="2">
        <v>1</v>
      </c>
      <c r="U953" s="2">
        <v>420</v>
      </c>
      <c r="V953" s="2"/>
      <c r="W953" s="2" t="s">
        <v>3412</v>
      </c>
      <c r="X953" s="2"/>
      <c r="Y953" s="7"/>
      <c r="Z953" s="2"/>
      <c r="AA953" s="1"/>
      <c r="AC953" s="2"/>
      <c r="AE953" s="1"/>
      <c r="AG953" s="2"/>
    </row>
    <row r="954" spans="1:33" ht="49.95" customHeight="1" x14ac:dyDescent="0.3">
      <c r="A954" s="209" t="s">
        <v>3242</v>
      </c>
      <c r="B954" s="191" t="s">
        <v>3240</v>
      </c>
      <c r="C954" s="216" t="s">
        <v>3244</v>
      </c>
      <c r="D954" s="191" t="s">
        <v>3243</v>
      </c>
      <c r="E954" s="191" t="s">
        <v>177</v>
      </c>
      <c r="F954" s="191" t="s">
        <v>139</v>
      </c>
      <c r="G954" s="2">
        <v>5</v>
      </c>
      <c r="H954" s="14">
        <f>SUMIF(ENTRADAS71417[CÓDIGO],PRODUCTOS31316[[#This Row],[CÓDIGO]],ENTRADAS71417[CANTIDAD])</f>
        <v>50</v>
      </c>
      <c r="I954" s="11">
        <f>SUMIF(SALIDAS111518[CÓDIGO],PRODUCTOS31316[[#This Row],[CÓDIGO]],SALIDAS111518[CANTIDAD])</f>
        <v>55</v>
      </c>
      <c r="J954" s="6">
        <f>PRODUCTOS31316[[#This Row],[EXISTENCIAS]]+PRODUCTOS31316[[#This Row],[ENTRADAS]]-PRODUCTOS31316[[#This Row],[SALIDAS]]</f>
        <v>0</v>
      </c>
      <c r="L954" s="2" t="s">
        <v>3520</v>
      </c>
      <c r="M954" s="2" t="s">
        <v>4250</v>
      </c>
      <c r="N954" s="1" t="s">
        <v>4353</v>
      </c>
      <c r="O954" s="314" t="s">
        <v>1058</v>
      </c>
      <c r="P954" s="16">
        <v>46090</v>
      </c>
      <c r="Q954" s="2" t="s">
        <v>2755</v>
      </c>
      <c r="R954" s="2" t="str">
        <f>VLOOKUP(SALIDAS111518[[#This Row],[CÓDIGO]],PRODUCTOS31316[],2,FALSE)</f>
        <v>MSLDO05</v>
      </c>
      <c r="S954" s="1" t="str">
        <f>VLOOKUP(SALIDAS111518[[#This Row],[CÓDIGO]],PRODUCTOS31316[],3,FALSE)</f>
        <v>TERMO DE RECOLECCIÓN DE SEMEN/ USO VETERINARIO</v>
      </c>
      <c r="T954" s="2">
        <v>1</v>
      </c>
      <c r="U954" s="2">
        <v>421</v>
      </c>
      <c r="V954" s="2"/>
      <c r="W954" s="2" t="s">
        <v>3412</v>
      </c>
      <c r="X954" s="2"/>
      <c r="Y954" s="7"/>
      <c r="Z954" s="2"/>
      <c r="AA954" s="1"/>
      <c r="AC954" s="2"/>
      <c r="AE954" s="1"/>
      <c r="AG954" s="2"/>
    </row>
    <row r="955" spans="1:33" ht="49.95" customHeight="1" x14ac:dyDescent="0.3">
      <c r="A955" s="2" t="s">
        <v>3248</v>
      </c>
      <c r="B955" s="1">
        <v>200167</v>
      </c>
      <c r="C955" s="216" t="s">
        <v>1999</v>
      </c>
      <c r="D955" s="1" t="s">
        <v>3249</v>
      </c>
      <c r="E955" s="193" t="s">
        <v>2744</v>
      </c>
      <c r="F955" s="1" t="s">
        <v>30</v>
      </c>
      <c r="G955" s="2">
        <v>2</v>
      </c>
      <c r="H955" s="14">
        <f>SUMIF(ENTRADAS71417[CÓDIGO],PRODUCTOS31316[[#This Row],[CÓDIGO]],ENTRADAS71417[CANTIDAD])</f>
        <v>1</v>
      </c>
      <c r="I955" s="11">
        <f>SUMIF(SALIDAS111518[CÓDIGO],PRODUCTOS31316[[#This Row],[CÓDIGO]],SALIDAS111518[CANTIDAD])</f>
        <v>2</v>
      </c>
      <c r="J955" s="6">
        <f>PRODUCTOS31316[[#This Row],[EXISTENCIAS]]+PRODUCTOS31316[[#This Row],[ENTRADAS]]-PRODUCTOS31316[[#This Row],[SALIDAS]]</f>
        <v>1</v>
      </c>
      <c r="L955" s="2" t="s">
        <v>3521</v>
      </c>
      <c r="M955" s="2" t="s">
        <v>4250</v>
      </c>
      <c r="N955" s="1" t="s">
        <v>4358</v>
      </c>
      <c r="O955" s="1" t="s">
        <v>4354</v>
      </c>
      <c r="P955" s="16">
        <v>46091</v>
      </c>
      <c r="Q955" s="2" t="s">
        <v>2755</v>
      </c>
      <c r="R955" s="2" t="str">
        <f>VLOOKUP(SALIDAS111518[[#This Row],[CÓDIGO]],PRODUCTOS31316[],2,FALSE)</f>
        <v>MSLDO05</v>
      </c>
      <c r="S955" s="1" t="str">
        <f>VLOOKUP(SALIDAS111518[[#This Row],[CÓDIGO]],PRODUCTOS31316[],3,FALSE)</f>
        <v>TERMO DE RECOLECCIÓN DE SEMEN/ USO VETERINARIO</v>
      </c>
      <c r="T955" s="2">
        <v>1</v>
      </c>
      <c r="U955" s="2">
        <v>422</v>
      </c>
      <c r="V955" s="2"/>
      <c r="W955" s="2"/>
      <c r="X955" s="2"/>
      <c r="Y955" s="7"/>
      <c r="Z955" s="2"/>
      <c r="AA955" s="1"/>
      <c r="AC955" s="2"/>
      <c r="AE955" s="1"/>
      <c r="AG955" s="2"/>
    </row>
    <row r="956" spans="1:33" ht="49.95" customHeight="1" x14ac:dyDescent="0.3">
      <c r="A956" s="2" t="s">
        <v>3264</v>
      </c>
      <c r="B956" s="1">
        <v>8806095429977</v>
      </c>
      <c r="C956" s="1" t="s">
        <v>3265</v>
      </c>
      <c r="D956" s="1" t="s">
        <v>3079</v>
      </c>
      <c r="E956" s="196" t="s">
        <v>3080</v>
      </c>
      <c r="F956" s="1" t="s">
        <v>30</v>
      </c>
      <c r="G956" s="2">
        <v>0</v>
      </c>
      <c r="H956" s="14">
        <f>SUMIF(ENTRADAS71417[CÓDIGO],PRODUCTOS31316[[#This Row],[CÓDIGO]],ENTRADAS71417[CANTIDAD])</f>
        <v>0</v>
      </c>
      <c r="I956" s="11">
        <f>SUMIF(SALIDAS111518[CÓDIGO],PRODUCTOS31316[[#This Row],[CÓDIGO]],SALIDAS111518[CANTIDAD])</f>
        <v>0</v>
      </c>
      <c r="J956" s="6">
        <f>PRODUCTOS31316[[#This Row],[EXISTENCIAS]]+PRODUCTOS31316[[#This Row],[ENTRADAS]]-PRODUCTOS31316[[#This Row],[SALIDAS]]</f>
        <v>0</v>
      </c>
      <c r="L956" s="2" t="s">
        <v>3520</v>
      </c>
      <c r="M956" s="2" t="s">
        <v>4250</v>
      </c>
      <c r="N956" s="1" t="s">
        <v>4359</v>
      </c>
      <c r="O956" s="2" t="s">
        <v>2925</v>
      </c>
      <c r="P956" s="16">
        <v>46091</v>
      </c>
      <c r="Q956" s="2" t="s">
        <v>36</v>
      </c>
      <c r="R956" s="2">
        <f>VLOOKUP(SALIDAS111518[[#This Row],[CÓDIGO]],PRODUCTOS31316[],2,FALSE)</f>
        <v>1</v>
      </c>
      <c r="S956" s="1" t="str">
        <f>VLOOKUP(SALIDAS111518[[#This Row],[CÓDIGO]],PRODUCTOS31316[],3,FALSE)</f>
        <v xml:space="preserve">PARCHE ESTROTECT </v>
      </c>
      <c r="T956" s="2">
        <v>12</v>
      </c>
      <c r="U956" s="2">
        <v>423</v>
      </c>
      <c r="V956" s="2"/>
      <c r="W956" s="2"/>
      <c r="X956" s="2"/>
      <c r="Y956" s="7"/>
      <c r="Z956" s="2"/>
      <c r="AA956" s="1"/>
      <c r="AC956" s="2"/>
      <c r="AE956" s="1"/>
      <c r="AG956" s="2"/>
    </row>
    <row r="957" spans="1:33" ht="49.95" customHeight="1" x14ac:dyDescent="0.3">
      <c r="A957" s="197" t="s">
        <v>3266</v>
      </c>
      <c r="B957" s="196" t="s">
        <v>3268</v>
      </c>
      <c r="C957" s="216" t="s">
        <v>3267</v>
      </c>
      <c r="D957" s="196" t="s">
        <v>1501</v>
      </c>
      <c r="E957" s="196" t="s">
        <v>1501</v>
      </c>
      <c r="F957" s="196" t="s">
        <v>30</v>
      </c>
      <c r="G957" s="2">
        <v>1</v>
      </c>
      <c r="H957" s="14">
        <f>SUMIF(ENTRADAS71417[CÓDIGO],PRODUCTOS31316[[#This Row],[CÓDIGO]],ENTRADAS71417[CANTIDAD])</f>
        <v>0</v>
      </c>
      <c r="I957" s="11">
        <f>SUMIF(SALIDAS111518[CÓDIGO],PRODUCTOS31316[[#This Row],[CÓDIGO]],SALIDAS111518[CANTIDAD])</f>
        <v>0</v>
      </c>
      <c r="J957" s="6">
        <f>PRODUCTOS31316[[#This Row],[EXISTENCIAS]]+PRODUCTOS31316[[#This Row],[ENTRADAS]]-PRODUCTOS31316[[#This Row],[SALIDAS]]</f>
        <v>1</v>
      </c>
      <c r="L957" s="2" t="s">
        <v>3521</v>
      </c>
      <c r="M957" s="2" t="s">
        <v>4250</v>
      </c>
      <c r="N957" s="1" t="s">
        <v>4360</v>
      </c>
      <c r="O957" s="2" t="s">
        <v>3443</v>
      </c>
      <c r="P957" s="16">
        <v>46091</v>
      </c>
      <c r="Q957" s="2" t="s">
        <v>104</v>
      </c>
      <c r="R957" s="2">
        <f>VLOOKUP(SALIDAS111518[[#This Row],[CÓDIGO]],PRODUCTOS31316[],2,FALSE)</f>
        <v>0</v>
      </c>
      <c r="S957" s="1" t="str">
        <f>VLOOKUP(SALIDAS111518[[#This Row],[CÓDIGO]],PRODUCTOS31316[],3,FALSE)</f>
        <v>ISPERM CHIPS (500 TESTS PER BOX) PAQ. X 50 UND</v>
      </c>
      <c r="T957" s="2">
        <v>10</v>
      </c>
      <c r="U957" s="2"/>
      <c r="V957" s="2"/>
      <c r="W957" s="2"/>
      <c r="X957" s="2"/>
      <c r="Y957" s="7"/>
      <c r="Z957" s="2"/>
      <c r="AA957" s="1"/>
      <c r="AC957" s="2"/>
      <c r="AE957" s="1"/>
      <c r="AG957" s="2"/>
    </row>
    <row r="958" spans="1:33" ht="49.95" customHeight="1" x14ac:dyDescent="0.3">
      <c r="A958" s="197" t="s">
        <v>3269</v>
      </c>
      <c r="B958" s="196"/>
      <c r="C958" s="216" t="s">
        <v>3271</v>
      </c>
      <c r="D958" s="196" t="s">
        <v>822</v>
      </c>
      <c r="E958" s="196" t="s">
        <v>3270</v>
      </c>
      <c r="F958" s="196" t="s">
        <v>30</v>
      </c>
      <c r="G958" s="2">
        <v>0</v>
      </c>
      <c r="H958" s="14">
        <f>SUMIF(ENTRADAS71417[CÓDIGO],PRODUCTOS31316[[#This Row],[CÓDIGO]],ENTRADAS71417[CANTIDAD])</f>
        <v>0</v>
      </c>
      <c r="I958" s="11">
        <f>SUMIF(SALIDAS111518[CÓDIGO],PRODUCTOS31316[[#This Row],[CÓDIGO]],SALIDAS111518[CANTIDAD])</f>
        <v>0</v>
      </c>
      <c r="J958" s="6">
        <f>PRODUCTOS31316[[#This Row],[EXISTENCIAS]]+PRODUCTOS31316[[#This Row],[ENTRADAS]]-PRODUCTOS31316[[#This Row],[SALIDAS]]</f>
        <v>0</v>
      </c>
      <c r="L958" s="2" t="s">
        <v>3521</v>
      </c>
      <c r="M958" s="2" t="s">
        <v>4250</v>
      </c>
      <c r="N958" s="1" t="s">
        <v>4370</v>
      </c>
      <c r="O958" s="1" t="s">
        <v>4355</v>
      </c>
      <c r="P958" s="16">
        <v>46091</v>
      </c>
      <c r="Q958" s="2" t="s">
        <v>2412</v>
      </c>
      <c r="R958" s="2" t="str">
        <f>VLOOKUP(SALIDAS111518[[#This Row],[CÓDIGO]],PRODUCTOS31316[],2,FALSE)</f>
        <v>PTC</v>
      </c>
      <c r="S958" s="1" t="str">
        <f>VLOOKUP(SALIDAS111518[[#This Row],[CÓDIGO]],PRODUCTOS31316[],3,FALSE)</f>
        <v>PISTOLA DE INSEMINACIÓN ARTIFICIAL CON CÁMARA</v>
      </c>
      <c r="T958" s="2">
        <v>1</v>
      </c>
      <c r="U958" s="2" t="s">
        <v>4369</v>
      </c>
      <c r="V958" s="2"/>
      <c r="W958" s="2" t="s">
        <v>3412</v>
      </c>
      <c r="X958" s="2"/>
      <c r="Y958" s="7"/>
      <c r="Z958" s="2"/>
      <c r="AA958" s="1"/>
      <c r="AC958" s="2"/>
      <c r="AE958" s="1"/>
      <c r="AG958" s="2"/>
    </row>
    <row r="959" spans="1:33" ht="49.95" customHeight="1" x14ac:dyDescent="0.3">
      <c r="A959" s="198" t="s">
        <v>3273</v>
      </c>
      <c r="B959" s="196">
        <v>4452</v>
      </c>
      <c r="C959" s="216" t="s">
        <v>3274</v>
      </c>
      <c r="D959" s="199" t="s">
        <v>2554</v>
      </c>
      <c r="E959" s="199" t="s">
        <v>410</v>
      </c>
      <c r="F959" s="199" t="s">
        <v>30</v>
      </c>
      <c r="G959" s="2">
        <v>1</v>
      </c>
      <c r="H959" s="14">
        <f>SUMIF(ENTRADAS71417[CÓDIGO],PRODUCTOS31316[[#This Row],[CÓDIGO]],ENTRADAS71417[CANTIDAD])</f>
        <v>1</v>
      </c>
      <c r="I959" s="11">
        <f>SUMIF(SALIDAS111518[CÓDIGO],PRODUCTOS31316[[#This Row],[CÓDIGO]],SALIDAS111518[CANTIDAD])</f>
        <v>2</v>
      </c>
      <c r="J959" s="6">
        <f>PRODUCTOS31316[[#This Row],[EXISTENCIAS]]+PRODUCTOS31316[[#This Row],[ENTRADAS]]-PRODUCTOS31316[[#This Row],[SALIDAS]]</f>
        <v>0</v>
      </c>
      <c r="L959" s="2"/>
      <c r="M959" s="2"/>
      <c r="N959" s="2">
        <v>8028</v>
      </c>
      <c r="O959" s="1" t="s">
        <v>4355</v>
      </c>
      <c r="P959" s="16">
        <v>46091</v>
      </c>
      <c r="Q959" s="2" t="s">
        <v>2755</v>
      </c>
      <c r="R959" s="2" t="str">
        <f>VLOOKUP(SALIDAS111518[[#This Row],[CÓDIGO]],PRODUCTOS31316[],2,FALSE)</f>
        <v>MSLDO05</v>
      </c>
      <c r="S959" s="1" t="str">
        <f>VLOOKUP(SALIDAS111518[[#This Row],[CÓDIGO]],PRODUCTOS31316[],3,FALSE)</f>
        <v>TERMO DE RECOLECCIÓN DE SEMEN/ USO VETERINARIO</v>
      </c>
      <c r="T959" s="2">
        <v>1</v>
      </c>
      <c r="U959" s="2"/>
      <c r="V959" s="2"/>
      <c r="W959" s="2"/>
      <c r="X959" s="2"/>
      <c r="Y959" s="7"/>
      <c r="Z959" s="2"/>
      <c r="AA959" s="1"/>
      <c r="AC959" s="2"/>
      <c r="AE959" s="1"/>
      <c r="AG959" s="2"/>
    </row>
    <row r="960" spans="1:33" ht="49.95" customHeight="1" x14ac:dyDescent="0.3">
      <c r="A960" s="198" t="s">
        <v>3275</v>
      </c>
      <c r="B960" s="196"/>
      <c r="C960" s="243" t="s">
        <v>3448</v>
      </c>
      <c r="D960" s="199" t="s">
        <v>1752</v>
      </c>
      <c r="E960" s="1" t="s">
        <v>2393</v>
      </c>
      <c r="F960" s="199" t="s">
        <v>30</v>
      </c>
      <c r="G960" s="31">
        <v>1</v>
      </c>
      <c r="H960" s="14">
        <f>SUMIF(ENTRADAS71417[CÓDIGO],PRODUCTOS31316[[#This Row],[CÓDIGO]],ENTRADAS71417[CANTIDAD])</f>
        <v>3</v>
      </c>
      <c r="I960" s="11">
        <f>SUMIF(SALIDAS111518[CÓDIGO],PRODUCTOS31316[[#This Row],[CÓDIGO]],SALIDAS111518[CANTIDAD])</f>
        <v>7</v>
      </c>
      <c r="J960" s="6">
        <f>PRODUCTOS31316[[#This Row],[EXISTENCIAS]]+PRODUCTOS31316[[#This Row],[ENTRADAS]]-PRODUCTOS31316[[#This Row],[SALIDAS]]</f>
        <v>-3</v>
      </c>
      <c r="L960" s="2"/>
      <c r="M960" s="2"/>
      <c r="N960" s="2">
        <v>8028</v>
      </c>
      <c r="O960" s="1" t="s">
        <v>4355</v>
      </c>
      <c r="P960" s="16">
        <v>46091</v>
      </c>
      <c r="Q960" s="2" t="s">
        <v>3095</v>
      </c>
      <c r="R960" s="2">
        <f>VLOOKUP(SALIDAS111518[[#This Row],[CÓDIGO]],PRODUCTOS31316[],2,FALSE)</f>
        <v>0</v>
      </c>
      <c r="S960" s="1" t="str">
        <f>VLOOKUP(SALIDAS111518[[#This Row],[CÓDIGO]],PRODUCTOS31316[],3,FALSE)</f>
        <v>GORRA MAS CAMPO</v>
      </c>
      <c r="T960" s="2">
        <v>2</v>
      </c>
      <c r="U960" s="2"/>
      <c r="V960" s="2"/>
      <c r="W960" s="2"/>
      <c r="X960" s="2"/>
      <c r="Y960" s="7"/>
      <c r="Z960" s="2"/>
      <c r="AA960" s="1"/>
      <c r="AC960" s="2"/>
      <c r="AE960" s="1"/>
      <c r="AG960" s="2"/>
    </row>
    <row r="961" spans="1:33" ht="49.95" customHeight="1" x14ac:dyDescent="0.3">
      <c r="A961" s="210" t="s">
        <v>3278</v>
      </c>
      <c r="B961" s="202" t="s">
        <v>3279</v>
      </c>
      <c r="C961" s="216" t="s">
        <v>3281</v>
      </c>
      <c r="D961" s="202" t="s">
        <v>3280</v>
      </c>
      <c r="E961" s="202" t="s">
        <v>177</v>
      </c>
      <c r="F961" s="202" t="s">
        <v>365</v>
      </c>
      <c r="G961" s="2">
        <v>0</v>
      </c>
      <c r="H961" s="14">
        <f>SUMIF(ENTRADAS71417[CÓDIGO],PRODUCTOS31316[[#This Row],[CÓDIGO]],ENTRADAS71417[CANTIDAD])</f>
        <v>0</v>
      </c>
      <c r="I961" s="11">
        <f>SUMIF(SALIDAS111518[CÓDIGO],PRODUCTOS31316[[#This Row],[CÓDIGO]],SALIDAS111518[CANTIDAD])</f>
        <v>0</v>
      </c>
      <c r="J961" s="6">
        <f>PRODUCTOS31316[[#This Row],[EXISTENCIAS]]+PRODUCTOS31316[[#This Row],[ENTRADAS]]-PRODUCTOS31316[[#This Row],[SALIDAS]]</f>
        <v>0</v>
      </c>
      <c r="L961" s="2" t="s">
        <v>3520</v>
      </c>
      <c r="M961" s="2" t="s">
        <v>4250</v>
      </c>
      <c r="N961" s="1" t="s">
        <v>4361</v>
      </c>
      <c r="O961" s="2" t="s">
        <v>2690</v>
      </c>
      <c r="P961" s="16">
        <v>46091</v>
      </c>
      <c r="Q961" s="2" t="s">
        <v>3142</v>
      </c>
      <c r="R961" s="2">
        <f>VLOOKUP(SALIDAS111518[[#This Row],[CÓDIGO]],PRODUCTOS31316[],2,FALSE)</f>
        <v>16301</v>
      </c>
      <c r="S961" s="1" t="str">
        <f>VLOOKUP(SALIDAS111518[[#This Row],[CÓDIGO]],PRODUCTOS31316[],3,FALSE)</f>
        <v>PISTOLA DE TRANSFERENCIA DE EMBRIONES 0,25 DE MANGO DE ALUMINIO</v>
      </c>
      <c r="T961" s="2">
        <v>1</v>
      </c>
      <c r="U961" s="2">
        <v>425</v>
      </c>
      <c r="V961" s="2"/>
      <c r="W961" s="2"/>
      <c r="X961" s="2"/>
      <c r="Y961" s="7"/>
      <c r="Z961" s="2"/>
      <c r="AA961" s="1"/>
      <c r="AC961" s="2"/>
      <c r="AE961" s="1"/>
      <c r="AG961" s="2"/>
    </row>
    <row r="962" spans="1:33" ht="49.95" customHeight="1" x14ac:dyDescent="0.3">
      <c r="A962" s="201" t="s">
        <v>3282</v>
      </c>
      <c r="B962" s="212" t="s">
        <v>3284</v>
      </c>
      <c r="C962" s="214" t="s">
        <v>3300</v>
      </c>
      <c r="D962" s="212" t="s">
        <v>467</v>
      </c>
      <c r="E962" s="212" t="s">
        <v>467</v>
      </c>
      <c r="F962" s="212" t="s">
        <v>30</v>
      </c>
      <c r="G962" s="2">
        <v>2</v>
      </c>
      <c r="H962" s="14">
        <f>SUMIF(ENTRADAS71417[CÓDIGO],PRODUCTOS31316[[#This Row],[CÓDIGO]],ENTRADAS71417[CANTIDAD])</f>
        <v>3</v>
      </c>
      <c r="I962" s="11">
        <f>SUMIF(SALIDAS111518[CÓDIGO],PRODUCTOS31316[[#This Row],[CÓDIGO]],SALIDAS111518[CANTIDAD])</f>
        <v>2</v>
      </c>
      <c r="J962" s="6">
        <f>PRODUCTOS31316[[#This Row],[EXISTENCIAS]]+PRODUCTOS31316[[#This Row],[ENTRADAS]]-PRODUCTOS31316[[#This Row],[SALIDAS]]</f>
        <v>3</v>
      </c>
      <c r="L962" s="2"/>
      <c r="M962" s="2"/>
      <c r="N962" s="2">
        <v>8030</v>
      </c>
      <c r="O962" s="2" t="s">
        <v>2690</v>
      </c>
      <c r="P962" s="16">
        <v>46091</v>
      </c>
      <c r="Q962" s="2" t="s">
        <v>15</v>
      </c>
      <c r="R962" s="2" t="str">
        <f>VLOOKUP(SALIDAS111518[[#This Row],[CÓDIGO]],PRODUCTOS31316[],2,FALSE)</f>
        <v>BTE-025PT/ 504002</v>
      </c>
      <c r="S962" s="1" t="str">
        <f>VLOOKUP(SALIDAS111518[[#This Row],[CÓDIGO]],PRODUCTOS31316[],3,FALSE)</f>
        <v>FUNDAS PARA TRANSFERENCIA DE EMBRIONES</v>
      </c>
      <c r="T962" s="2">
        <v>3</v>
      </c>
      <c r="U962" s="2"/>
      <c r="V962" s="2"/>
      <c r="W962" s="2"/>
      <c r="X962" s="2"/>
      <c r="Y962" s="7"/>
      <c r="Z962" s="2"/>
      <c r="AA962" s="1"/>
      <c r="AC962" s="2"/>
      <c r="AE962" s="1"/>
      <c r="AG962" s="2"/>
    </row>
    <row r="963" spans="1:33" ht="49.95" customHeight="1" x14ac:dyDescent="0.3">
      <c r="A963" s="211" t="s">
        <v>3286</v>
      </c>
      <c r="B963" s="212"/>
      <c r="C963" s="212" t="s">
        <v>3285</v>
      </c>
      <c r="D963" s="212" t="s">
        <v>467</v>
      </c>
      <c r="E963" s="212" t="s">
        <v>467</v>
      </c>
      <c r="F963" s="212" t="s">
        <v>30</v>
      </c>
      <c r="G963" s="31">
        <f>12+1+1</f>
        <v>14</v>
      </c>
      <c r="H963" s="14">
        <f>SUMIF(ENTRADAS71417[CÓDIGO],PRODUCTOS31316[[#This Row],[CÓDIGO]],ENTRADAS71417[CANTIDAD])</f>
        <v>82</v>
      </c>
      <c r="I963" s="11">
        <f>SUMIF(SALIDAS111518[CÓDIGO],PRODUCTOS31316[[#This Row],[CÓDIGO]],SALIDAS111518[CANTIDAD])</f>
        <v>80</v>
      </c>
      <c r="J963" s="6">
        <f>PRODUCTOS31316[[#This Row],[EXISTENCIAS]]+PRODUCTOS31316[[#This Row],[ENTRADAS]]-PRODUCTOS31316[[#This Row],[SALIDAS]]</f>
        <v>16</v>
      </c>
      <c r="L963" s="2"/>
      <c r="M963" s="2"/>
      <c r="N963" s="2">
        <v>8030</v>
      </c>
      <c r="O963" s="2" t="s">
        <v>2690</v>
      </c>
      <c r="P963" s="16">
        <v>46091</v>
      </c>
      <c r="Q963" s="2" t="s">
        <v>1779</v>
      </c>
      <c r="R963" s="2">
        <f>VLOOKUP(SALIDAS111518[[#This Row],[CÓDIGO]],PRODUCTOS31316[],2,FALSE)</f>
        <v>5563</v>
      </c>
      <c r="S963" s="1" t="str">
        <f>VLOOKUP(SALIDAS111518[[#This Row],[CÓDIGO]],PRODUCTOS31316[],3,FALSE)</f>
        <v>CAMISA SANITARIA ROLLO X 80</v>
      </c>
      <c r="T963" s="2">
        <v>2</v>
      </c>
      <c r="U963" s="2"/>
      <c r="V963" s="2"/>
      <c r="W963" s="2"/>
      <c r="X963" s="2"/>
      <c r="Y963" s="7"/>
      <c r="Z963" s="2"/>
      <c r="AA963" s="1"/>
      <c r="AC963" s="2"/>
      <c r="AE963" s="1"/>
      <c r="AG963" s="2"/>
    </row>
    <row r="964" spans="1:33" ht="49.95" customHeight="1" x14ac:dyDescent="0.3">
      <c r="A964" s="211" t="s">
        <v>3287</v>
      </c>
      <c r="B964" s="212"/>
      <c r="C964" s="216" t="s">
        <v>3288</v>
      </c>
      <c r="D964" s="212" t="s">
        <v>467</v>
      </c>
      <c r="E964" s="212" t="s">
        <v>467</v>
      </c>
      <c r="F964" s="212" t="s">
        <v>30</v>
      </c>
      <c r="G964" s="2">
        <v>1</v>
      </c>
      <c r="H964" s="14">
        <f>SUMIF(ENTRADAS71417[CÓDIGO],PRODUCTOS31316[[#This Row],[CÓDIGO]],ENTRADAS71417[CANTIDAD])</f>
        <v>0</v>
      </c>
      <c r="I964" s="11">
        <f>SUMIF(SALIDAS111518[CÓDIGO],PRODUCTOS31316[[#This Row],[CÓDIGO]],SALIDAS111518[CANTIDAD])</f>
        <v>1</v>
      </c>
      <c r="J964" s="6">
        <f>PRODUCTOS31316[[#This Row],[EXISTENCIAS]]+PRODUCTOS31316[[#This Row],[ENTRADAS]]-PRODUCTOS31316[[#This Row],[SALIDAS]]</f>
        <v>0</v>
      </c>
      <c r="L964" s="2" t="s">
        <v>3521</v>
      </c>
      <c r="M964" s="2" t="s">
        <v>4250</v>
      </c>
      <c r="N964" s="1" t="s">
        <v>4362</v>
      </c>
      <c r="O964" s="2" t="s">
        <v>4356</v>
      </c>
      <c r="P964" s="16">
        <v>46091</v>
      </c>
      <c r="Q964" s="2" t="s">
        <v>3365</v>
      </c>
      <c r="R964" s="2">
        <f>VLOOKUP(SALIDAS111518[[#This Row],[CÓDIGO]],PRODUCTOS31316[],2,FALSE)</f>
        <v>0</v>
      </c>
      <c r="S964" s="1" t="str">
        <f>VLOOKUP(SALIDAS111518[[#This Row],[CÓDIGO]],PRODUCTOS31316[],3,FALSE)</f>
        <v>MANGA DE PROTECCIÓN PALPACIÓN MAS CAMPO</v>
      </c>
      <c r="T964" s="2">
        <v>3</v>
      </c>
      <c r="U964" s="2">
        <v>412</v>
      </c>
      <c r="V964" s="2"/>
      <c r="W964" s="2" t="s">
        <v>2823</v>
      </c>
      <c r="X964" s="2"/>
      <c r="Y964" s="7"/>
      <c r="Z964" s="2"/>
      <c r="AA964" s="1"/>
      <c r="AC964" s="2"/>
      <c r="AE964" s="1"/>
      <c r="AG964" s="2"/>
    </row>
    <row r="965" spans="1:33" ht="49.95" customHeight="1" x14ac:dyDescent="0.3">
      <c r="A965" s="211" t="s">
        <v>3289</v>
      </c>
      <c r="B965" s="212"/>
      <c r="C965" s="216" t="s">
        <v>3298</v>
      </c>
      <c r="D965" s="212" t="s">
        <v>467</v>
      </c>
      <c r="E965" s="212" t="s">
        <v>467</v>
      </c>
      <c r="F965" s="212" t="s">
        <v>30</v>
      </c>
      <c r="G965" s="2">
        <v>0</v>
      </c>
      <c r="H965" s="14">
        <f>SUMIF(ENTRADAS71417[CÓDIGO],PRODUCTOS31316[[#This Row],[CÓDIGO]],ENTRADAS71417[CANTIDAD])</f>
        <v>0</v>
      </c>
      <c r="I965" s="11">
        <f>SUMIF(SALIDAS111518[CÓDIGO],PRODUCTOS31316[[#This Row],[CÓDIGO]],SALIDAS111518[CANTIDAD])</f>
        <v>0</v>
      </c>
      <c r="J965" s="6">
        <f>PRODUCTOS31316[[#This Row],[EXISTENCIAS]]+PRODUCTOS31316[[#This Row],[ENTRADAS]]-PRODUCTOS31316[[#This Row],[SALIDAS]]</f>
        <v>0</v>
      </c>
      <c r="L965" s="2" t="s">
        <v>3520</v>
      </c>
      <c r="M965" s="2" t="s">
        <v>4250</v>
      </c>
      <c r="N965" s="1" t="s">
        <v>4363</v>
      </c>
      <c r="O965" s="320" t="s">
        <v>4491</v>
      </c>
      <c r="P965" s="16">
        <v>46091</v>
      </c>
      <c r="Q965" s="2" t="s">
        <v>104</v>
      </c>
      <c r="R965" s="2">
        <f>VLOOKUP(SALIDAS111518[[#This Row],[CÓDIGO]],PRODUCTOS31316[],2,FALSE)</f>
        <v>0</v>
      </c>
      <c r="S965" s="1" t="str">
        <f>VLOOKUP(SALIDAS111518[[#This Row],[CÓDIGO]],PRODUCTOS31316[],3,FALSE)</f>
        <v>ISPERM CHIPS (500 TESTS PER BOX) PAQ. X 50 UND</v>
      </c>
      <c r="T965" s="2">
        <v>1</v>
      </c>
      <c r="U965" s="2">
        <v>426</v>
      </c>
      <c r="V965" s="2"/>
      <c r="W965" s="2"/>
      <c r="X965" s="2"/>
      <c r="Y965" s="7"/>
      <c r="Z965" s="2"/>
      <c r="AA965" s="1"/>
      <c r="AC965" s="2"/>
      <c r="AE965" s="1"/>
      <c r="AG965" s="2"/>
    </row>
    <row r="966" spans="1:33" ht="49.95" customHeight="1" x14ac:dyDescent="0.3">
      <c r="A966" s="211" t="s">
        <v>3290</v>
      </c>
      <c r="B966" s="212"/>
      <c r="C966" s="216" t="s">
        <v>3291</v>
      </c>
      <c r="D966" s="212" t="s">
        <v>467</v>
      </c>
      <c r="E966" s="212" t="s">
        <v>467</v>
      </c>
      <c r="F966" s="212" t="s">
        <v>30</v>
      </c>
      <c r="G966" s="2">
        <v>1</v>
      </c>
      <c r="H966" s="14">
        <f>SUMIF(ENTRADAS71417[CÓDIGO],PRODUCTOS31316[[#This Row],[CÓDIGO]],ENTRADAS71417[CANTIDAD])</f>
        <v>0</v>
      </c>
      <c r="I966" s="11">
        <f>SUMIF(SALIDAS111518[CÓDIGO],PRODUCTOS31316[[#This Row],[CÓDIGO]],SALIDAS111518[CANTIDAD])</f>
        <v>0</v>
      </c>
      <c r="J966" s="6">
        <f>PRODUCTOS31316[[#This Row],[EXISTENCIAS]]+PRODUCTOS31316[[#This Row],[ENTRADAS]]-PRODUCTOS31316[[#This Row],[SALIDAS]]</f>
        <v>1</v>
      </c>
      <c r="L966" s="2"/>
      <c r="M966" s="2"/>
      <c r="N966" s="2">
        <v>8024</v>
      </c>
      <c r="O966" s="1" t="s">
        <v>4357</v>
      </c>
      <c r="P966" s="16">
        <v>46091</v>
      </c>
      <c r="Q966" s="2" t="s">
        <v>3237</v>
      </c>
      <c r="R966" s="2" t="str">
        <f>VLOOKUP(SALIDAS111518[[#This Row],[CÓDIGO]],PRODUCTOS31316[],2,FALSE)</f>
        <v>1111-3800</v>
      </c>
      <c r="S966" s="1" t="str">
        <f>VLOOKUP(SALIDAS111518[[#This Row],[CÓDIGO]],PRODUCTOS31316[],3,FALSE)</f>
        <v>RACK DE PUNTAS 10 UL NO ESTERIL/ LT N1394910O/ N139103M</v>
      </c>
      <c r="T966" s="2">
        <v>1</v>
      </c>
      <c r="U966" s="2"/>
      <c r="V966" s="2"/>
      <c r="W966" s="2"/>
      <c r="X966" s="2"/>
      <c r="Y966" s="7"/>
      <c r="Z966" s="2"/>
      <c r="AA966" s="1"/>
      <c r="AC966" s="2"/>
      <c r="AE966" s="1"/>
      <c r="AG966" s="2"/>
    </row>
    <row r="967" spans="1:33" ht="49.95" customHeight="1" x14ac:dyDescent="0.3">
      <c r="A967" s="211" t="s">
        <v>3292</v>
      </c>
      <c r="B967" s="212"/>
      <c r="C967" s="212" t="s">
        <v>3293</v>
      </c>
      <c r="D967" s="212" t="s">
        <v>3042</v>
      </c>
      <c r="E967" s="212" t="s">
        <v>467</v>
      </c>
      <c r="F967" s="212" t="s">
        <v>30</v>
      </c>
      <c r="G967" s="2">
        <v>2</v>
      </c>
      <c r="H967" s="14">
        <f>SUMIF(ENTRADAS71417[CÓDIGO],PRODUCTOS31316[[#This Row],[CÓDIGO]],ENTRADAS71417[CANTIDAD])</f>
        <v>0</v>
      </c>
      <c r="I967" s="11">
        <f>SUMIF(SALIDAS111518[CÓDIGO],PRODUCTOS31316[[#This Row],[CÓDIGO]],SALIDAS111518[CANTIDAD])</f>
        <v>0</v>
      </c>
      <c r="J967" s="6">
        <f>PRODUCTOS31316[[#This Row],[EXISTENCIAS]]+PRODUCTOS31316[[#This Row],[ENTRADAS]]-PRODUCTOS31316[[#This Row],[SALIDAS]]</f>
        <v>2</v>
      </c>
      <c r="L967" s="2" t="s">
        <v>3520</v>
      </c>
      <c r="M967" s="2" t="s">
        <v>4250</v>
      </c>
      <c r="N967" s="1" t="s">
        <v>4364</v>
      </c>
      <c r="O967" s="2" t="s">
        <v>2356</v>
      </c>
      <c r="P967" s="16">
        <v>46091</v>
      </c>
      <c r="Q967" s="2" t="s">
        <v>15</v>
      </c>
      <c r="R967" s="2" t="str">
        <f>VLOOKUP(SALIDAS111518[[#This Row],[CÓDIGO]],PRODUCTOS31316[],2,FALSE)</f>
        <v>BTE-025PT/ 504002</v>
      </c>
      <c r="S967" s="1" t="str">
        <f>VLOOKUP(SALIDAS111518[[#This Row],[CÓDIGO]],PRODUCTOS31316[],3,FALSE)</f>
        <v>FUNDAS PARA TRANSFERENCIA DE EMBRIONES</v>
      </c>
      <c r="T967" s="2">
        <v>100</v>
      </c>
      <c r="U967" s="2">
        <v>427</v>
      </c>
      <c r="V967" s="2"/>
      <c r="W967" s="2"/>
      <c r="X967" s="2"/>
      <c r="Y967" s="7"/>
      <c r="Z967" s="2"/>
      <c r="AA967" s="1"/>
      <c r="AC967" s="2"/>
      <c r="AE967" s="1"/>
      <c r="AG967" s="2"/>
    </row>
    <row r="968" spans="1:33" ht="49.95" customHeight="1" x14ac:dyDescent="0.3">
      <c r="A968" s="213" t="s">
        <v>3301</v>
      </c>
      <c r="B968" s="212" t="s">
        <v>3284</v>
      </c>
      <c r="C968" s="222" t="s">
        <v>3302</v>
      </c>
      <c r="D968" s="212" t="s">
        <v>467</v>
      </c>
      <c r="E968" s="212" t="s">
        <v>467</v>
      </c>
      <c r="F968" s="212" t="s">
        <v>30</v>
      </c>
      <c r="G968" s="2">
        <v>0</v>
      </c>
      <c r="H968" s="14">
        <f>SUMIF(ENTRADAS71417[CÓDIGO],PRODUCTOS31316[[#This Row],[CÓDIGO]],ENTRADAS71417[CANTIDAD])</f>
        <v>3</v>
      </c>
      <c r="I968" s="11">
        <f>SUMIF(SALIDAS111518[CÓDIGO],PRODUCTOS31316[[#This Row],[CÓDIGO]],SALIDAS111518[CANTIDAD])</f>
        <v>3</v>
      </c>
      <c r="J968" s="6">
        <f>PRODUCTOS31316[[#This Row],[EXISTENCIAS]]+PRODUCTOS31316[[#This Row],[ENTRADAS]]-PRODUCTOS31316[[#This Row],[SALIDAS]]</f>
        <v>0</v>
      </c>
      <c r="L968" s="2"/>
      <c r="M968" s="2"/>
      <c r="N968" s="2">
        <v>8032</v>
      </c>
      <c r="O968" s="2" t="s">
        <v>2356</v>
      </c>
      <c r="P968" s="16">
        <v>46091</v>
      </c>
      <c r="Q968" s="2" t="s">
        <v>1779</v>
      </c>
      <c r="R968" s="2">
        <f>VLOOKUP(SALIDAS111518[[#This Row],[CÓDIGO]],PRODUCTOS31316[],2,FALSE)</f>
        <v>5563</v>
      </c>
      <c r="S968" s="1" t="str">
        <f>VLOOKUP(SALIDAS111518[[#This Row],[CÓDIGO]],PRODUCTOS31316[],3,FALSE)</f>
        <v>CAMISA SANITARIA ROLLO X 80</v>
      </c>
      <c r="T968" s="2">
        <v>5</v>
      </c>
      <c r="U968" s="2"/>
      <c r="V968" s="2"/>
      <c r="W968" s="2"/>
      <c r="X968" s="2"/>
      <c r="Y968" s="7"/>
      <c r="Z968" s="2"/>
      <c r="AA968" s="1"/>
      <c r="AC968" s="2"/>
      <c r="AE968" s="1"/>
      <c r="AG968" s="2"/>
    </row>
    <row r="969" spans="1:33" ht="49.95" customHeight="1" x14ac:dyDescent="0.3">
      <c r="A969" s="217" t="s">
        <v>3303</v>
      </c>
      <c r="B969" s="212">
        <v>10</v>
      </c>
      <c r="C969" s="216" t="s">
        <v>3304</v>
      </c>
      <c r="D969" s="216" t="s">
        <v>618</v>
      </c>
      <c r="E969" s="216" t="s">
        <v>618</v>
      </c>
      <c r="F969" s="216" t="s">
        <v>30</v>
      </c>
      <c r="G969" s="2">
        <v>9</v>
      </c>
      <c r="H969" s="14">
        <f>SUMIF(ENTRADAS71417[CÓDIGO],PRODUCTOS31316[[#This Row],[CÓDIGO]],ENTRADAS71417[CANTIDAD])</f>
        <v>240</v>
      </c>
      <c r="I969" s="11">
        <f>SUMIF(SALIDAS111518[CÓDIGO],PRODUCTOS31316[[#This Row],[CÓDIGO]],SALIDAS111518[CANTIDAD])</f>
        <v>76</v>
      </c>
      <c r="J969" s="6">
        <f>PRODUCTOS31316[[#This Row],[EXISTENCIAS]]+PRODUCTOS31316[[#This Row],[ENTRADAS]]-PRODUCTOS31316[[#This Row],[SALIDAS]]</f>
        <v>173</v>
      </c>
      <c r="L969" s="2"/>
      <c r="M969" s="2"/>
      <c r="N969" s="2">
        <v>8032</v>
      </c>
      <c r="O969" s="2" t="s">
        <v>2356</v>
      </c>
      <c r="P969" s="16">
        <v>46091</v>
      </c>
      <c r="Q969" s="2" t="s">
        <v>3142</v>
      </c>
      <c r="R969" s="2">
        <f>VLOOKUP(SALIDAS111518[[#This Row],[CÓDIGO]],PRODUCTOS31316[],2,FALSE)</f>
        <v>16301</v>
      </c>
      <c r="S969" s="1" t="str">
        <f>VLOOKUP(SALIDAS111518[[#This Row],[CÓDIGO]],PRODUCTOS31316[],3,FALSE)</f>
        <v>PISTOLA DE TRANSFERENCIA DE EMBRIONES 0,25 DE MANGO DE ALUMINIO</v>
      </c>
      <c r="T969" s="2">
        <v>2</v>
      </c>
      <c r="U969" s="2"/>
      <c r="V969" s="2"/>
      <c r="W969" s="2"/>
      <c r="X969" s="2"/>
      <c r="Y969" s="7"/>
      <c r="Z969" s="2"/>
      <c r="AA969" s="1"/>
      <c r="AC969" s="2"/>
      <c r="AE969" s="1"/>
      <c r="AG969" s="2"/>
    </row>
    <row r="970" spans="1:33" ht="49.95" customHeight="1" x14ac:dyDescent="0.3">
      <c r="A970" s="213" t="s">
        <v>3307</v>
      </c>
      <c r="B970" s="212">
        <v>25</v>
      </c>
      <c r="C970" s="216" t="s">
        <v>3305</v>
      </c>
      <c r="D970" s="216" t="s">
        <v>618</v>
      </c>
      <c r="E970" s="216" t="s">
        <v>618</v>
      </c>
      <c r="F970" s="216" t="s">
        <v>30</v>
      </c>
      <c r="G970" s="2">
        <v>19</v>
      </c>
      <c r="H970" s="14">
        <f>SUMIF(ENTRADAS71417[CÓDIGO],PRODUCTOS31316[[#This Row],[CÓDIGO]],ENTRADAS71417[CANTIDAD])</f>
        <v>0</v>
      </c>
      <c r="I970" s="11">
        <f>SUMIF(SALIDAS111518[CÓDIGO],PRODUCTOS31316[[#This Row],[CÓDIGO]],SALIDAS111518[CANTIDAD])</f>
        <v>3</v>
      </c>
      <c r="J970" s="6">
        <f>PRODUCTOS31316[[#This Row],[EXISTENCIAS]]+PRODUCTOS31316[[#This Row],[ENTRADAS]]-PRODUCTOS31316[[#This Row],[SALIDAS]]</f>
        <v>16</v>
      </c>
      <c r="L970" s="2" t="s">
        <v>3520</v>
      </c>
      <c r="M970" s="2" t="s">
        <v>4250</v>
      </c>
      <c r="N970" s="1" t="s">
        <v>4366</v>
      </c>
      <c r="O970" s="2" t="s">
        <v>3070</v>
      </c>
      <c r="P970" s="16">
        <v>46091</v>
      </c>
      <c r="Q970" s="2" t="s">
        <v>168</v>
      </c>
      <c r="R970" s="2">
        <f>VLOOKUP(SALIDAS111518[[#This Row],[CÓDIGO]],PRODUCTOS31316[],2,FALSE)</f>
        <v>4840</v>
      </c>
      <c r="S970" s="1" t="str">
        <f>VLOOKUP(SALIDAS111518[[#This Row],[CÓDIGO]],PRODUCTOS31316[],3,FALSE)</f>
        <v>PUNTAS BLANCAS UNIVERSALES, PLÁSTICAS, LIBRES DE DNASAS, RNASA Y PIROGENOS, RANGO DE 0.1 A 10UL. (CORTAS).</v>
      </c>
      <c r="T970" s="2">
        <v>1</v>
      </c>
      <c r="U970" s="2">
        <v>428</v>
      </c>
      <c r="V970" s="2"/>
      <c r="W970" s="2"/>
      <c r="X970" s="2"/>
      <c r="Y970" s="7"/>
      <c r="Z970" s="2"/>
      <c r="AA970" s="1"/>
      <c r="AC970" s="2"/>
      <c r="AE970" s="1"/>
      <c r="AG970" s="2"/>
    </row>
    <row r="971" spans="1:33" ht="49.95" customHeight="1" x14ac:dyDescent="0.3">
      <c r="A971" s="217" t="s">
        <v>3308</v>
      </c>
      <c r="B971" s="212">
        <v>50</v>
      </c>
      <c r="C971" s="216" t="s">
        <v>1498</v>
      </c>
      <c r="D971" s="216" t="s">
        <v>618</v>
      </c>
      <c r="E971" s="216" t="s">
        <v>618</v>
      </c>
      <c r="F971" s="216" t="s">
        <v>30</v>
      </c>
      <c r="G971" s="31">
        <f>9+5</f>
        <v>14</v>
      </c>
      <c r="H971" s="14">
        <f>SUMIF(ENTRADAS71417[CÓDIGO],PRODUCTOS31316[[#This Row],[CÓDIGO]],ENTRADAS71417[CANTIDAD])</f>
        <v>10</v>
      </c>
      <c r="I971" s="11">
        <f>SUMIF(SALIDAS111518[CÓDIGO],PRODUCTOS31316[[#This Row],[CÓDIGO]],SALIDAS111518[CANTIDAD])</f>
        <v>22</v>
      </c>
      <c r="J971" s="6">
        <f>PRODUCTOS31316[[#This Row],[EXISTENCIAS]]+PRODUCTOS31316[[#This Row],[ENTRADAS]]-PRODUCTOS31316[[#This Row],[SALIDAS]]</f>
        <v>2</v>
      </c>
      <c r="L971" s="2"/>
      <c r="M971" s="2"/>
      <c r="N971" s="2">
        <v>8033</v>
      </c>
      <c r="O971" s="2" t="s">
        <v>3070</v>
      </c>
      <c r="P971" s="16">
        <v>46091</v>
      </c>
      <c r="Q971" s="2" t="s">
        <v>3709</v>
      </c>
      <c r="R971" s="2" t="str">
        <f>VLOOKUP(SALIDAS111518[[#This Row],[CÓDIGO]],PRODUCTOS31316[],2,FALSE)</f>
        <v>13408-010</v>
      </c>
      <c r="S971" s="1" t="str">
        <f>VLOOKUP(SALIDAS111518[[#This Row],[CÓDIGO]],PRODUCTOS31316[],3,FALSE)</f>
        <v>PAJUELA TRANSPARENTE 0.50/ PAQ. X 2500 MARCA MINITUBE</v>
      </c>
      <c r="T971" s="2">
        <v>1</v>
      </c>
      <c r="U971" s="2"/>
      <c r="V971" s="2"/>
      <c r="W971" s="2"/>
      <c r="X971" s="2"/>
      <c r="Y971" s="7"/>
      <c r="Z971" s="2"/>
      <c r="AA971" s="1"/>
      <c r="AC971" s="2"/>
      <c r="AE971" s="1"/>
      <c r="AG971" s="2"/>
    </row>
    <row r="972" spans="1:33" ht="49.95" customHeight="1" x14ac:dyDescent="0.3">
      <c r="A972" s="213" t="s">
        <v>3309</v>
      </c>
      <c r="B972" s="212">
        <v>60</v>
      </c>
      <c r="C972" s="318" t="s">
        <v>3306</v>
      </c>
      <c r="D972" s="216" t="s">
        <v>618</v>
      </c>
      <c r="E972" s="216" t="s">
        <v>618</v>
      </c>
      <c r="F972" s="216" t="s">
        <v>30</v>
      </c>
      <c r="G972" s="31">
        <v>2</v>
      </c>
      <c r="H972" s="14">
        <f>SUMIF(ENTRADAS71417[CÓDIGO],PRODUCTOS31316[[#This Row],[CÓDIGO]],ENTRADAS71417[CANTIDAD])</f>
        <v>46</v>
      </c>
      <c r="I972" s="11">
        <f>SUMIF(SALIDAS111518[CÓDIGO],PRODUCTOS31316[[#This Row],[CÓDIGO]],SALIDAS111518[CANTIDAD])</f>
        <v>16</v>
      </c>
      <c r="J972" s="6">
        <f>PRODUCTOS31316[[#This Row],[EXISTENCIAS]]+PRODUCTOS31316[[#This Row],[ENTRADAS]]-PRODUCTOS31316[[#This Row],[SALIDAS]]</f>
        <v>32</v>
      </c>
      <c r="L972" s="2" t="s">
        <v>3520</v>
      </c>
      <c r="M972" s="2" t="s">
        <v>4250</v>
      </c>
      <c r="N972" s="1" t="s">
        <v>4368</v>
      </c>
      <c r="O972" s="1" t="s">
        <v>4365</v>
      </c>
      <c r="P972" s="16">
        <v>46091</v>
      </c>
      <c r="Q972" s="2" t="s">
        <v>15</v>
      </c>
      <c r="R972" s="2" t="str">
        <f>VLOOKUP(SALIDAS111518[[#This Row],[CÓDIGO]],PRODUCTOS31316[],2,FALSE)</f>
        <v>BTE-025PT/ 504002</v>
      </c>
      <c r="S972" s="1" t="str">
        <f>VLOOKUP(SALIDAS111518[[#This Row],[CÓDIGO]],PRODUCTOS31316[],3,FALSE)</f>
        <v>FUNDAS PARA TRANSFERENCIA DE EMBRIONES</v>
      </c>
      <c r="T972" s="2">
        <v>20</v>
      </c>
      <c r="U972" s="2" t="s">
        <v>4367</v>
      </c>
      <c r="V972" s="2"/>
      <c r="W972" s="2"/>
      <c r="X972" s="2"/>
      <c r="Y972" s="7"/>
      <c r="Z972" s="2"/>
      <c r="AA972" s="1"/>
      <c r="AC972" s="2"/>
      <c r="AE972" s="1"/>
      <c r="AG972" s="2"/>
    </row>
    <row r="973" spans="1:33" ht="49.95" customHeight="1" x14ac:dyDescent="0.3">
      <c r="A973" s="217" t="s">
        <v>3317</v>
      </c>
      <c r="B973" s="218">
        <v>9013001</v>
      </c>
      <c r="C973" s="216" t="s">
        <v>3318</v>
      </c>
      <c r="D973" s="216" t="s">
        <v>18</v>
      </c>
      <c r="E973" s="216" t="s">
        <v>18</v>
      </c>
      <c r="F973" s="216" t="s">
        <v>30</v>
      </c>
      <c r="G973" s="2">
        <v>0</v>
      </c>
      <c r="H973" s="14">
        <f>SUMIF(ENTRADAS71417[CÓDIGO],PRODUCTOS31316[[#This Row],[CÓDIGO]],ENTRADAS71417[CANTIDAD])</f>
        <v>0</v>
      </c>
      <c r="I973" s="11">
        <f>SUMIF(SALIDAS111518[CÓDIGO],PRODUCTOS31316[[#This Row],[CÓDIGO]],SALIDAS111518[CANTIDAD])</f>
        <v>0</v>
      </c>
      <c r="J973" s="6">
        <f>PRODUCTOS31316[[#This Row],[EXISTENCIAS]]+PRODUCTOS31316[[#This Row],[ENTRADAS]]-PRODUCTOS31316[[#This Row],[SALIDAS]]</f>
        <v>0</v>
      </c>
      <c r="L973" s="2"/>
      <c r="M973" s="2"/>
      <c r="N973" s="2">
        <v>8034</v>
      </c>
      <c r="O973" s="2" t="s">
        <v>4365</v>
      </c>
      <c r="P973" s="16">
        <v>46091</v>
      </c>
      <c r="Q973" s="2" t="s">
        <v>1779</v>
      </c>
      <c r="R973" s="2">
        <f>VLOOKUP(SALIDAS111518[[#This Row],[CÓDIGO]],PRODUCTOS31316[],2,FALSE)</f>
        <v>5563</v>
      </c>
      <c r="S973" s="1" t="str">
        <f>VLOOKUP(SALIDAS111518[[#This Row],[CÓDIGO]],PRODUCTOS31316[],3,FALSE)</f>
        <v>CAMISA SANITARIA ROLLO X 80</v>
      </c>
      <c r="T973" s="2">
        <v>2</v>
      </c>
      <c r="U973" s="2"/>
      <c r="V973" s="2"/>
      <c r="W973" s="2"/>
      <c r="X973" s="2"/>
      <c r="Y973" s="7"/>
      <c r="Z973" s="2"/>
      <c r="AA973" s="1"/>
      <c r="AC973" s="2"/>
      <c r="AE973" s="1"/>
      <c r="AG973" s="2"/>
    </row>
    <row r="974" spans="1:33" ht="49.95" customHeight="1" x14ac:dyDescent="0.3">
      <c r="A974" s="217" t="s">
        <v>3319</v>
      </c>
      <c r="B974" s="218">
        <v>9013002</v>
      </c>
      <c r="C974" s="283" t="s">
        <v>3888</v>
      </c>
      <c r="D974" s="216" t="s">
        <v>18</v>
      </c>
      <c r="E974" s="216" t="s">
        <v>18</v>
      </c>
      <c r="F974" s="216" t="s">
        <v>30</v>
      </c>
      <c r="G974" s="2">
        <v>0</v>
      </c>
      <c r="H974" s="14">
        <f>SUMIF(ENTRADAS71417[CÓDIGO],PRODUCTOS31316[[#This Row],[CÓDIGO]],ENTRADAS71417[CANTIDAD])</f>
        <v>7</v>
      </c>
      <c r="I974" s="11">
        <f>SUMIF(SALIDAS111518[CÓDIGO],PRODUCTOS31316[[#This Row],[CÓDIGO]],SALIDAS111518[CANTIDAD])</f>
        <v>4</v>
      </c>
      <c r="J974" s="6">
        <f>PRODUCTOS31316[[#This Row],[EXISTENCIAS]]+PRODUCTOS31316[[#This Row],[ENTRADAS]]-PRODUCTOS31316[[#This Row],[SALIDAS]]</f>
        <v>3</v>
      </c>
      <c r="L974" s="2" t="s">
        <v>3520</v>
      </c>
      <c r="M974" s="2" t="s">
        <v>4250</v>
      </c>
      <c r="N974" s="313" t="s">
        <v>4401</v>
      </c>
      <c r="O974" s="314" t="s">
        <v>2706</v>
      </c>
      <c r="P974" s="16">
        <v>46093</v>
      </c>
      <c r="Q974" s="2" t="s">
        <v>15</v>
      </c>
      <c r="R974" s="2" t="str">
        <f>VLOOKUP(SALIDAS111518[[#This Row],[CÓDIGO]],PRODUCTOS31316[],2,FALSE)</f>
        <v>BTE-025PT/ 504002</v>
      </c>
      <c r="S974" s="1" t="str">
        <f>VLOOKUP(SALIDAS111518[[#This Row],[CÓDIGO]],PRODUCTOS31316[],3,FALSE)</f>
        <v>FUNDAS PARA TRANSFERENCIA DE EMBRIONES</v>
      </c>
      <c r="T974" s="2">
        <v>100</v>
      </c>
      <c r="U974" s="2">
        <v>443</v>
      </c>
      <c r="V974" s="2"/>
      <c r="W974" s="2"/>
      <c r="X974" s="2"/>
      <c r="Y974" s="7"/>
      <c r="Z974" s="2"/>
      <c r="AA974" s="1"/>
      <c r="AC974" s="2"/>
      <c r="AE974" s="1"/>
      <c r="AG974" s="2"/>
    </row>
    <row r="975" spans="1:33" ht="49.95" customHeight="1" x14ac:dyDescent="0.3">
      <c r="A975" s="217" t="s">
        <v>3320</v>
      </c>
      <c r="B975" s="218">
        <v>9014002</v>
      </c>
      <c r="C975" s="220" t="s">
        <v>3321</v>
      </c>
      <c r="D975" s="216" t="s">
        <v>18</v>
      </c>
      <c r="E975" s="216" t="s">
        <v>18</v>
      </c>
      <c r="F975" s="216" t="s">
        <v>184</v>
      </c>
      <c r="G975" s="2">
        <v>2</v>
      </c>
      <c r="H975" s="14">
        <f>SUMIF(ENTRADAS71417[CÓDIGO],PRODUCTOS31316[[#This Row],[CÓDIGO]],ENTRADAS71417[CANTIDAD])</f>
        <v>0</v>
      </c>
      <c r="I975" s="11">
        <f>SUMIF(SALIDAS111518[CÓDIGO],PRODUCTOS31316[[#This Row],[CÓDIGO]],SALIDAS111518[CANTIDAD])</f>
        <v>0</v>
      </c>
      <c r="J975" s="6">
        <f>PRODUCTOS31316[[#This Row],[EXISTENCIAS]]+PRODUCTOS31316[[#This Row],[ENTRADAS]]-PRODUCTOS31316[[#This Row],[SALIDAS]]</f>
        <v>2</v>
      </c>
      <c r="L975" s="2" t="s">
        <v>3521</v>
      </c>
      <c r="M975" s="2" t="s">
        <v>4250</v>
      </c>
      <c r="N975" s="1" t="s">
        <v>4378</v>
      </c>
      <c r="O975" s="2" t="s">
        <v>4375</v>
      </c>
      <c r="P975" s="16">
        <v>46092</v>
      </c>
      <c r="Q975" s="2" t="s">
        <v>3142</v>
      </c>
      <c r="R975" s="2">
        <f>VLOOKUP(SALIDAS111518[[#This Row],[CÓDIGO]],PRODUCTOS31316[],2,FALSE)</f>
        <v>16301</v>
      </c>
      <c r="S975" s="1" t="str">
        <f>VLOOKUP(SALIDAS111518[[#This Row],[CÓDIGO]],PRODUCTOS31316[],3,FALSE)</f>
        <v>PISTOLA DE TRANSFERENCIA DE EMBRIONES 0,25 DE MANGO DE ALUMINIO</v>
      </c>
      <c r="T975" s="2">
        <v>2</v>
      </c>
      <c r="U975" s="2" t="s">
        <v>4381</v>
      </c>
      <c r="V975" s="2"/>
      <c r="W975" s="2"/>
      <c r="X975" s="2"/>
      <c r="Y975" s="7"/>
      <c r="Z975" s="2"/>
      <c r="AA975" s="1"/>
      <c r="AC975" s="2"/>
      <c r="AE975" s="1"/>
      <c r="AG975" s="2"/>
    </row>
    <row r="976" spans="1:33" ht="49.95" customHeight="1" x14ac:dyDescent="0.3">
      <c r="A976" s="217" t="s">
        <v>3322</v>
      </c>
      <c r="B976" s="218">
        <v>9014001</v>
      </c>
      <c r="C976" s="220" t="s">
        <v>3321</v>
      </c>
      <c r="D976" s="216" t="s">
        <v>18</v>
      </c>
      <c r="E976" s="216" t="s">
        <v>18</v>
      </c>
      <c r="F976" s="216" t="s">
        <v>30</v>
      </c>
      <c r="G976" s="2">
        <v>39</v>
      </c>
      <c r="H976" s="14">
        <f>SUMIF(ENTRADAS71417[CÓDIGO],PRODUCTOS31316[[#This Row],[CÓDIGO]],ENTRADAS71417[CANTIDAD])</f>
        <v>0</v>
      </c>
      <c r="I976" s="11">
        <f>SUMIF(SALIDAS111518[CÓDIGO],PRODUCTOS31316[[#This Row],[CÓDIGO]],SALIDAS111518[CANTIDAD])</f>
        <v>30</v>
      </c>
      <c r="J976" s="6">
        <f>PRODUCTOS31316[[#This Row],[EXISTENCIAS]]+PRODUCTOS31316[[#This Row],[ENTRADAS]]-PRODUCTOS31316[[#This Row],[SALIDAS]]</f>
        <v>9</v>
      </c>
      <c r="L976" s="2" t="s">
        <v>3521</v>
      </c>
      <c r="M976" s="2" t="s">
        <v>4250</v>
      </c>
      <c r="N976" s="1" t="s">
        <v>4380</v>
      </c>
      <c r="O976" s="2" t="s">
        <v>4376</v>
      </c>
      <c r="P976" s="16">
        <v>46092</v>
      </c>
      <c r="Q976" s="2" t="s">
        <v>15</v>
      </c>
      <c r="R976" s="2" t="str">
        <f>VLOOKUP(SALIDAS111518[[#This Row],[CÓDIGO]],PRODUCTOS31316[],2,FALSE)</f>
        <v>BTE-025PT/ 504002</v>
      </c>
      <c r="S976" s="1" t="str">
        <f>VLOOKUP(SALIDAS111518[[#This Row],[CÓDIGO]],PRODUCTOS31316[],3,FALSE)</f>
        <v>FUNDAS PARA TRANSFERENCIA DE EMBRIONES</v>
      </c>
      <c r="T976" s="2">
        <v>4</v>
      </c>
      <c r="U976" s="2">
        <v>432</v>
      </c>
      <c r="V976" s="2"/>
      <c r="W976" s="2"/>
      <c r="X976" s="2"/>
      <c r="Y976" s="7"/>
      <c r="Z976" s="2"/>
      <c r="AA976" s="1"/>
      <c r="AC976" s="2"/>
      <c r="AE976" s="1"/>
      <c r="AG976" s="2"/>
    </row>
    <row r="977" spans="1:33" ht="49.95" customHeight="1" x14ac:dyDescent="0.3">
      <c r="A977" s="217" t="s">
        <v>3323</v>
      </c>
      <c r="B977" s="218">
        <v>9006007</v>
      </c>
      <c r="C977" s="216" t="s">
        <v>3324</v>
      </c>
      <c r="D977" s="216" t="s">
        <v>18</v>
      </c>
      <c r="E977" s="216" t="s">
        <v>18</v>
      </c>
      <c r="F977" s="216" t="s">
        <v>41</v>
      </c>
      <c r="G977" s="2">
        <v>10</v>
      </c>
      <c r="H977" s="14">
        <f>SUMIF(ENTRADAS71417[CÓDIGO],PRODUCTOS31316[[#This Row],[CÓDIGO]],ENTRADAS71417[CANTIDAD])</f>
        <v>0</v>
      </c>
      <c r="I977" s="11">
        <f>SUMIF(SALIDAS111518[CÓDIGO],PRODUCTOS31316[[#This Row],[CÓDIGO]],SALIDAS111518[CANTIDAD])</f>
        <v>10</v>
      </c>
      <c r="J977" s="6">
        <f>PRODUCTOS31316[[#This Row],[EXISTENCIAS]]+PRODUCTOS31316[[#This Row],[ENTRADAS]]-PRODUCTOS31316[[#This Row],[SALIDAS]]</f>
        <v>0</v>
      </c>
      <c r="L977" s="2"/>
      <c r="M977" s="2"/>
      <c r="N977" s="2">
        <v>8038</v>
      </c>
      <c r="O977" s="2" t="s">
        <v>4376</v>
      </c>
      <c r="P977" s="16">
        <v>46092</v>
      </c>
      <c r="Q977" s="2" t="s">
        <v>1779</v>
      </c>
      <c r="R977" s="2">
        <f>VLOOKUP(SALIDAS111518[[#This Row],[CÓDIGO]],PRODUCTOS31316[],2,FALSE)</f>
        <v>5563</v>
      </c>
      <c r="S977" s="1" t="str">
        <f>VLOOKUP(SALIDAS111518[[#This Row],[CÓDIGO]],PRODUCTOS31316[],3,FALSE)</f>
        <v>CAMISA SANITARIA ROLLO X 80</v>
      </c>
      <c r="T977" s="2">
        <v>1</v>
      </c>
      <c r="U977" s="2"/>
      <c r="V977" s="2"/>
      <c r="W977" s="2"/>
      <c r="X977" s="2"/>
      <c r="Y977" s="7"/>
      <c r="Z977" s="2"/>
      <c r="AA977" s="1"/>
      <c r="AC977" s="2"/>
      <c r="AE977" s="1"/>
      <c r="AG977" s="2"/>
    </row>
    <row r="978" spans="1:33" ht="49.95" customHeight="1" x14ac:dyDescent="0.3">
      <c r="A978" s="217" t="s">
        <v>3325</v>
      </c>
      <c r="B978" s="218">
        <v>9006001</v>
      </c>
      <c r="C978" s="216" t="s">
        <v>3326</v>
      </c>
      <c r="D978" s="216" t="s">
        <v>18</v>
      </c>
      <c r="E978" s="216" t="s">
        <v>18</v>
      </c>
      <c r="F978" s="216" t="s">
        <v>41</v>
      </c>
      <c r="G978" s="2">
        <v>9</v>
      </c>
      <c r="H978" s="14">
        <f>SUMIF(ENTRADAS71417[CÓDIGO],PRODUCTOS31316[[#This Row],[CÓDIGO]],ENTRADAS71417[CANTIDAD])</f>
        <v>0</v>
      </c>
      <c r="I978" s="11">
        <f>SUMIF(SALIDAS111518[CÓDIGO],PRODUCTOS31316[[#This Row],[CÓDIGO]],SALIDAS111518[CANTIDAD])</f>
        <v>9</v>
      </c>
      <c r="J978" s="6">
        <f>PRODUCTOS31316[[#This Row],[EXISTENCIAS]]+PRODUCTOS31316[[#This Row],[ENTRADAS]]-PRODUCTOS31316[[#This Row],[SALIDAS]]</f>
        <v>0</v>
      </c>
      <c r="L978" s="2" t="s">
        <v>3520</v>
      </c>
      <c r="M978" s="2" t="s">
        <v>4250</v>
      </c>
      <c r="N978" s="15">
        <v>14586</v>
      </c>
      <c r="O978" s="54" t="s">
        <v>4379</v>
      </c>
      <c r="P978" s="15"/>
      <c r="Q978" s="2" t="s">
        <v>4377</v>
      </c>
      <c r="R978" s="2" t="e">
        <f>VLOOKUP(SALIDAS111518[[#This Row],[CÓDIGO]],PRODUCTOS31316[],2,FALSE)</f>
        <v>#N/A</v>
      </c>
      <c r="S978" s="1" t="e">
        <f>VLOOKUP(SALIDAS111518[[#This Row],[CÓDIGO]],PRODUCTOS31316[],3,FALSE)</f>
        <v>#N/A</v>
      </c>
      <c r="T978" s="2"/>
      <c r="U978" s="2"/>
      <c r="V978" s="2"/>
      <c r="W978" s="2" t="s">
        <v>2823</v>
      </c>
      <c r="X978" s="2"/>
      <c r="Y978" s="7"/>
      <c r="Z978" s="2"/>
      <c r="AA978" s="1"/>
      <c r="AC978" s="2"/>
      <c r="AE978" s="1"/>
      <c r="AG978" s="2"/>
    </row>
    <row r="979" spans="1:33" ht="49.95" customHeight="1" x14ac:dyDescent="0.3">
      <c r="A979" s="217" t="s">
        <v>3327</v>
      </c>
      <c r="B979" s="218">
        <v>9006006</v>
      </c>
      <c r="C979" s="220" t="s">
        <v>3337</v>
      </c>
      <c r="D979" s="216" t="s">
        <v>18</v>
      </c>
      <c r="E979" s="216" t="s">
        <v>18</v>
      </c>
      <c r="F979" s="216" t="s">
        <v>41</v>
      </c>
      <c r="G979" s="2">
        <v>10</v>
      </c>
      <c r="H979" s="14">
        <f>SUMIF(ENTRADAS71417[CÓDIGO],PRODUCTOS31316[[#This Row],[CÓDIGO]],ENTRADAS71417[CANTIDAD])</f>
        <v>0</v>
      </c>
      <c r="I979" s="11">
        <f>SUMIF(SALIDAS111518[CÓDIGO],PRODUCTOS31316[[#This Row],[CÓDIGO]],SALIDAS111518[CANTIDAD])</f>
        <v>8</v>
      </c>
      <c r="J979" s="6">
        <f>PRODUCTOS31316[[#This Row],[EXISTENCIAS]]+PRODUCTOS31316[[#This Row],[ENTRADAS]]-PRODUCTOS31316[[#This Row],[SALIDAS]]</f>
        <v>2</v>
      </c>
      <c r="L979" s="2" t="s">
        <v>3520</v>
      </c>
      <c r="M979" s="2" t="s">
        <v>4250</v>
      </c>
      <c r="N979" s="1" t="s">
        <v>4384</v>
      </c>
      <c r="O979" s="2" t="s">
        <v>2695</v>
      </c>
      <c r="P979" s="16">
        <v>46092</v>
      </c>
      <c r="Q979" s="2" t="s">
        <v>168</v>
      </c>
      <c r="R979" s="2">
        <f>VLOOKUP(SALIDAS111518[[#This Row],[CÓDIGO]],PRODUCTOS31316[],2,FALSE)</f>
        <v>4840</v>
      </c>
      <c r="S979" s="1" t="str">
        <f>VLOOKUP(SALIDAS111518[[#This Row],[CÓDIGO]],PRODUCTOS31316[],3,FALSE)</f>
        <v>PUNTAS BLANCAS UNIVERSALES, PLÁSTICAS, LIBRES DE DNASAS, RNASA Y PIROGENOS, RANGO DE 0.1 A 10UL. (CORTAS).</v>
      </c>
      <c r="T979" s="2">
        <v>4</v>
      </c>
      <c r="U979" s="1" t="s">
        <v>4383</v>
      </c>
      <c r="V979" s="2"/>
      <c r="W979" s="2"/>
      <c r="X979" s="2"/>
      <c r="Y979" s="7"/>
      <c r="Z979" s="2"/>
      <c r="AA979" s="1"/>
      <c r="AC979" s="2"/>
      <c r="AE979" s="1"/>
      <c r="AG979" s="2"/>
    </row>
    <row r="980" spans="1:33" ht="49.95" customHeight="1" x14ac:dyDescent="0.3">
      <c r="A980" s="217" t="s">
        <v>3328</v>
      </c>
      <c r="B980" s="218">
        <v>9006004</v>
      </c>
      <c r="C980" s="216" t="s">
        <v>3329</v>
      </c>
      <c r="D980" s="216" t="s">
        <v>18</v>
      </c>
      <c r="E980" s="216" t="s">
        <v>18</v>
      </c>
      <c r="F980" s="216" t="s">
        <v>41</v>
      </c>
      <c r="G980" s="2">
        <v>4</v>
      </c>
      <c r="H980" s="14">
        <f>SUMIF(ENTRADAS71417[CÓDIGO],PRODUCTOS31316[[#This Row],[CÓDIGO]],ENTRADAS71417[CANTIDAD])</f>
        <v>0</v>
      </c>
      <c r="I980" s="11">
        <f>SUMIF(SALIDAS111518[CÓDIGO],PRODUCTOS31316[[#This Row],[CÓDIGO]],SALIDAS111518[CANTIDAD])</f>
        <v>4</v>
      </c>
      <c r="J980" s="6">
        <f>PRODUCTOS31316[[#This Row],[EXISTENCIAS]]+PRODUCTOS31316[[#This Row],[ENTRADAS]]-PRODUCTOS31316[[#This Row],[SALIDAS]]</f>
        <v>0</v>
      </c>
      <c r="L980" s="2"/>
      <c r="M980" s="2"/>
      <c r="N980" s="2">
        <v>8039</v>
      </c>
      <c r="O980" s="2" t="s">
        <v>2695</v>
      </c>
      <c r="P980" s="16">
        <v>46092</v>
      </c>
      <c r="Q980" s="2" t="s">
        <v>602</v>
      </c>
      <c r="R980" s="2">
        <f>VLOOKUP(SALIDAS111518[[#This Row],[CÓDIGO]],PRODUCTOS31316[],2,FALSE)</f>
        <v>4845</v>
      </c>
      <c r="S980" s="1" t="str">
        <f>VLOOKUP(SALIDAS111518[[#This Row],[CÓDIGO]],PRODUCTOS31316[],3,FALSE)</f>
        <v>PUNTAS AMARILLAS, UNIVERSALES. PLASTICAS, NO ESTERIL. LIBRES DE RNASE, DNASE Y PYROGENOS. RANGO DE 1-200UL. BOLSA X1000UDS.</v>
      </c>
      <c r="T980" s="2">
        <v>10</v>
      </c>
      <c r="U980" s="2"/>
      <c r="V980" s="2"/>
      <c r="W980" s="2"/>
      <c r="X980" s="2"/>
      <c r="Y980" s="7"/>
      <c r="Z980" s="2"/>
      <c r="AA980" s="1"/>
      <c r="AC980" s="2"/>
      <c r="AE980" s="1"/>
      <c r="AG980" s="2"/>
    </row>
    <row r="981" spans="1:33" ht="49.95" customHeight="1" x14ac:dyDescent="0.3">
      <c r="A981" s="217" t="s">
        <v>3330</v>
      </c>
      <c r="B981" s="218">
        <v>9006003</v>
      </c>
      <c r="C981" s="220" t="s">
        <v>3331</v>
      </c>
      <c r="D981" s="216" t="s">
        <v>18</v>
      </c>
      <c r="E981" s="216" t="s">
        <v>18</v>
      </c>
      <c r="F981" s="216" t="s">
        <v>41</v>
      </c>
      <c r="G981" s="2">
        <v>5</v>
      </c>
      <c r="H981" s="14">
        <f>SUMIF(ENTRADAS71417[CÓDIGO],PRODUCTOS31316[[#This Row],[CÓDIGO]],ENTRADAS71417[CANTIDAD])</f>
        <v>0</v>
      </c>
      <c r="I981" s="11">
        <f>SUMIF(SALIDAS111518[CÓDIGO],PRODUCTOS31316[[#This Row],[CÓDIGO]],SALIDAS111518[CANTIDAD])</f>
        <v>2</v>
      </c>
      <c r="J981" s="6">
        <f>PRODUCTOS31316[[#This Row],[EXISTENCIAS]]+PRODUCTOS31316[[#This Row],[ENTRADAS]]-PRODUCTOS31316[[#This Row],[SALIDAS]]</f>
        <v>3</v>
      </c>
      <c r="L981" s="2"/>
      <c r="M981" s="2"/>
      <c r="N981" s="314" t="s">
        <v>4382</v>
      </c>
      <c r="O981" s="2" t="s">
        <v>2695</v>
      </c>
      <c r="P981" s="16">
        <v>46097</v>
      </c>
      <c r="Q981" s="2" t="s">
        <v>168</v>
      </c>
      <c r="R981" s="2">
        <f>VLOOKUP(SALIDAS111518[[#This Row],[CÓDIGO]],PRODUCTOS31316[],2,FALSE)</f>
        <v>4840</v>
      </c>
      <c r="S981" s="1" t="str">
        <f>VLOOKUP(SALIDAS111518[[#This Row],[CÓDIGO]],PRODUCTOS31316[],3,FALSE)</f>
        <v>PUNTAS BLANCAS UNIVERSALES, PLÁSTICAS, LIBRES DE DNASAS, RNASA Y PIROGENOS, RANGO DE 0.1 A 10UL. (CORTAS).</v>
      </c>
      <c r="T981" s="2">
        <v>6</v>
      </c>
      <c r="U981" s="2" t="s">
        <v>1446</v>
      </c>
      <c r="V981" s="2"/>
      <c r="W981" s="2"/>
      <c r="X981" s="2"/>
      <c r="Y981" s="7"/>
      <c r="Z981" s="2"/>
      <c r="AA981" s="1"/>
      <c r="AC981" s="2"/>
      <c r="AE981" s="1"/>
      <c r="AG981" s="2"/>
    </row>
    <row r="982" spans="1:33" ht="49.95" customHeight="1" x14ac:dyDescent="0.3">
      <c r="A982" s="219" t="s">
        <v>3335</v>
      </c>
      <c r="B982" s="218"/>
      <c r="C982" s="220" t="s">
        <v>3336</v>
      </c>
      <c r="D982" s="220" t="s">
        <v>380</v>
      </c>
      <c r="E982" s="220" t="s">
        <v>380</v>
      </c>
      <c r="F982" s="220" t="s">
        <v>30</v>
      </c>
      <c r="G982" s="2">
        <v>10</v>
      </c>
      <c r="H982" s="14">
        <f>SUMIF(ENTRADAS71417[CÓDIGO],PRODUCTOS31316[[#This Row],[CÓDIGO]],ENTRADAS71417[CANTIDAD])</f>
        <v>0</v>
      </c>
      <c r="I982" s="11">
        <f>SUMIF(SALIDAS111518[CÓDIGO],PRODUCTOS31316[[#This Row],[CÓDIGO]],SALIDAS111518[CANTIDAD])</f>
        <v>0</v>
      </c>
      <c r="J982" s="6">
        <f>PRODUCTOS31316[[#This Row],[EXISTENCIAS]]+PRODUCTOS31316[[#This Row],[ENTRADAS]]-PRODUCTOS31316[[#This Row],[SALIDAS]]</f>
        <v>10</v>
      </c>
      <c r="L982" s="2" t="s">
        <v>3520</v>
      </c>
      <c r="M982" s="2" t="s">
        <v>4250</v>
      </c>
      <c r="N982" s="1" t="s">
        <v>4385</v>
      </c>
      <c r="O982" s="1" t="s">
        <v>2765</v>
      </c>
      <c r="P982" s="16">
        <v>46092</v>
      </c>
      <c r="Q982" s="2" t="s">
        <v>4228</v>
      </c>
      <c r="R982" s="2" t="str">
        <f>VLOOKUP(SALIDAS111518[[#This Row],[CÓDIGO]],PRODUCTOS31316[],2,FALSE)</f>
        <v>YM222AQ0013700</v>
      </c>
      <c r="S982" s="1" t="str">
        <f>VLOOKUP(SALIDAS111518[[#This Row],[CÓDIGO]],PRODUCTOS31316[],3,FALSE)</f>
        <v>MICROPIPETA 20 - 200 UL</v>
      </c>
      <c r="T982" s="2">
        <v>1</v>
      </c>
      <c r="U982" s="2">
        <v>434</v>
      </c>
      <c r="V982" s="2"/>
      <c r="W982" s="2"/>
      <c r="X982" s="2"/>
      <c r="Y982" s="7"/>
      <c r="Z982" s="2"/>
      <c r="AA982" s="1"/>
      <c r="AC982" s="2"/>
      <c r="AE982" s="1"/>
      <c r="AG982" s="2"/>
    </row>
    <row r="983" spans="1:33" ht="49.95" customHeight="1" x14ac:dyDescent="0.3">
      <c r="A983" s="221" t="s">
        <v>3339</v>
      </c>
      <c r="B983" s="212"/>
      <c r="C983" s="222" t="s">
        <v>3340</v>
      </c>
      <c r="D983" s="222" t="s">
        <v>634</v>
      </c>
      <c r="E983" s="222" t="s">
        <v>634</v>
      </c>
      <c r="F983" s="222" t="s">
        <v>30</v>
      </c>
      <c r="G983" s="2">
        <v>0</v>
      </c>
      <c r="H983" s="14">
        <f>SUMIF(ENTRADAS71417[CÓDIGO],PRODUCTOS31316[[#This Row],[CÓDIGO]],ENTRADAS71417[CANTIDAD])</f>
        <v>0</v>
      </c>
      <c r="I983" s="11">
        <f>SUMIF(SALIDAS111518[CÓDIGO],PRODUCTOS31316[[#This Row],[CÓDIGO]],SALIDAS111518[CANTIDAD])</f>
        <v>0</v>
      </c>
      <c r="J983" s="6">
        <f>PRODUCTOS31316[[#This Row],[EXISTENCIAS]]+PRODUCTOS31316[[#This Row],[ENTRADAS]]-PRODUCTOS31316[[#This Row],[SALIDAS]]</f>
        <v>0</v>
      </c>
      <c r="L983" s="314" t="s">
        <v>3520</v>
      </c>
      <c r="M983" s="314" t="s">
        <v>4250</v>
      </c>
      <c r="N983" s="313" t="s">
        <v>4390</v>
      </c>
      <c r="O983" s="313" t="s">
        <v>2703</v>
      </c>
      <c r="P983" s="16">
        <v>46093</v>
      </c>
      <c r="Q983" s="314" t="s">
        <v>913</v>
      </c>
      <c r="R983" s="2" t="str">
        <f>VLOOKUP(SALIDAS111518[[#This Row],[CÓDIGO]],PRODUCTOS31316[],2,FALSE)</f>
        <v>HC-R069</v>
      </c>
      <c r="S983" s="1" t="str">
        <f>VLOOKUP(SALIDAS111518[[#This Row],[CÓDIGO]],PRODUCTOS31316[],3,FALSE)</f>
        <v>MICROSCOPIO CON PLATINA Y PANTALLA 7"</v>
      </c>
      <c r="T983" s="2">
        <v>1</v>
      </c>
      <c r="U983" s="2">
        <v>435</v>
      </c>
      <c r="V983" s="2"/>
      <c r="W983" s="2"/>
      <c r="X983" s="58"/>
      <c r="Y983" s="7"/>
      <c r="Z983" s="2"/>
      <c r="AA983" s="1"/>
      <c r="AC983" s="2"/>
      <c r="AE983" s="1"/>
      <c r="AG983" s="2"/>
    </row>
    <row r="984" spans="1:33" ht="49.95" customHeight="1" x14ac:dyDescent="0.3">
      <c r="A984" s="221" t="s">
        <v>3341</v>
      </c>
      <c r="B984" s="212">
        <v>1116610001</v>
      </c>
      <c r="C984" s="222" t="s">
        <v>3343</v>
      </c>
      <c r="D984" s="222" t="s">
        <v>639</v>
      </c>
      <c r="E984" s="222" t="s">
        <v>640</v>
      </c>
      <c r="F984" s="222" t="s">
        <v>3342</v>
      </c>
      <c r="G984" s="2">
        <v>0</v>
      </c>
      <c r="H984" s="14">
        <f>SUMIF(ENTRADAS71417[CÓDIGO],PRODUCTOS31316[[#This Row],[CÓDIGO]],ENTRADAS71417[CANTIDAD])</f>
        <v>0</v>
      </c>
      <c r="I984" s="11">
        <f>SUMIF(SALIDAS111518[CÓDIGO],PRODUCTOS31316[[#This Row],[CÓDIGO]],SALIDAS111518[CANTIDAD])</f>
        <v>0</v>
      </c>
      <c r="J984" s="6">
        <f>PRODUCTOS31316[[#This Row],[EXISTENCIAS]]+PRODUCTOS31316[[#This Row],[ENTRADAS]]-PRODUCTOS31316[[#This Row],[SALIDAS]]</f>
        <v>0</v>
      </c>
      <c r="L984" s="2"/>
      <c r="M984" s="2"/>
      <c r="N984" s="2">
        <v>8042</v>
      </c>
      <c r="O984" s="313" t="s">
        <v>2703</v>
      </c>
      <c r="P984" s="16">
        <v>46093</v>
      </c>
      <c r="Q984" s="314" t="s">
        <v>1631</v>
      </c>
      <c r="R984" s="2" t="str">
        <f>VLOOKUP(SALIDAS111518[[#This Row],[CÓDIGO]],PRODUCTOS31316[],2,FALSE)</f>
        <v>7101-CRAL</v>
      </c>
      <c r="S984" s="1" t="str">
        <f>VLOOKUP(SALIDAS111518[[#This Row],[CÓDIGO]],PRODUCTOS31316[],3,FALSE)</f>
        <v>LAMINA PORTA OBJETOS LISA EN VIDRIO 26X76MM, BORDE ESMERILADO</v>
      </c>
      <c r="T984" s="2">
        <v>1</v>
      </c>
      <c r="U984" s="2"/>
      <c r="V984" s="2"/>
      <c r="W984" s="2"/>
      <c r="X984" s="2"/>
      <c r="Y984" s="7"/>
      <c r="Z984" s="2"/>
      <c r="AA984" s="1"/>
      <c r="AC984" s="2"/>
      <c r="AE984" s="1"/>
      <c r="AG984" s="2"/>
    </row>
    <row r="985" spans="1:33" ht="49.95" customHeight="1" x14ac:dyDescent="0.3">
      <c r="A985" s="221" t="s">
        <v>3344</v>
      </c>
      <c r="B985" s="212">
        <v>18958</v>
      </c>
      <c r="C985" s="222" t="s">
        <v>3345</v>
      </c>
      <c r="D985" s="222" t="s">
        <v>442</v>
      </c>
      <c r="E985" s="222" t="s">
        <v>442</v>
      </c>
      <c r="F985" s="222" t="s">
        <v>30</v>
      </c>
      <c r="G985" s="2">
        <v>0</v>
      </c>
      <c r="H985" s="14">
        <f>SUMIF(ENTRADAS71417[CÓDIGO],PRODUCTOS31316[[#This Row],[CÓDIGO]],ENTRADAS71417[CANTIDAD])</f>
        <v>0</v>
      </c>
      <c r="I985" s="11">
        <f>SUMIF(SALIDAS111518[CÓDIGO],PRODUCTOS31316[[#This Row],[CÓDIGO]],SALIDAS111518[CANTIDAD])</f>
        <v>0</v>
      </c>
      <c r="J985" s="6">
        <f>PRODUCTOS31316[[#This Row],[EXISTENCIAS]]+PRODUCTOS31316[[#This Row],[ENTRADAS]]-PRODUCTOS31316[[#This Row],[SALIDAS]]</f>
        <v>0</v>
      </c>
      <c r="L985" s="2"/>
      <c r="M985" s="2"/>
      <c r="N985" s="2">
        <v>8042</v>
      </c>
      <c r="O985" s="313" t="s">
        <v>2703</v>
      </c>
      <c r="P985" s="16">
        <v>46093</v>
      </c>
      <c r="Q985" s="314" t="s">
        <v>1637</v>
      </c>
      <c r="R985" s="2" t="str">
        <f>VLOOKUP(SALIDAS111518[[#This Row],[CÓDIGO]],PRODUCTOS31316[],2,FALSE)</f>
        <v>P22X22</v>
      </c>
      <c r="S985" s="1" t="str">
        <f>VLOOKUP(SALIDAS111518[[#This Row],[CÓDIGO]],PRODUCTOS31316[],3,FALSE)</f>
        <v>LAMINA CUBRE OBJETO EN VIDRIO 22X22</v>
      </c>
      <c r="T985" s="2">
        <v>1</v>
      </c>
      <c r="U985" s="2"/>
      <c r="V985" s="2"/>
      <c r="W985" s="2"/>
      <c r="X985" s="2"/>
      <c r="Y985" s="7"/>
      <c r="Z985" s="2"/>
      <c r="AA985" s="1"/>
      <c r="AC985" s="2"/>
      <c r="AE985" s="1"/>
      <c r="AG985" s="2"/>
    </row>
    <row r="986" spans="1:33" ht="49.95" customHeight="1" x14ac:dyDescent="0.3">
      <c r="A986" s="221" t="s">
        <v>3346</v>
      </c>
      <c r="B986" s="222" t="s">
        <v>3349</v>
      </c>
      <c r="C986" s="222" t="s">
        <v>3347</v>
      </c>
      <c r="D986" s="222" t="s">
        <v>467</v>
      </c>
      <c r="E986" s="222" t="s">
        <v>467</v>
      </c>
      <c r="F986" s="222" t="s">
        <v>30</v>
      </c>
      <c r="G986" s="2">
        <v>1</v>
      </c>
      <c r="H986" s="14">
        <f>SUMIF(ENTRADAS71417[CÓDIGO],PRODUCTOS31316[[#This Row],[CÓDIGO]],ENTRADAS71417[CANTIDAD])</f>
        <v>20</v>
      </c>
      <c r="I986" s="11">
        <f>SUMIF(SALIDAS111518[CÓDIGO],PRODUCTOS31316[[#This Row],[CÓDIGO]],SALIDAS111518[CANTIDAD])</f>
        <v>21</v>
      </c>
      <c r="J986" s="6">
        <f>PRODUCTOS31316[[#This Row],[EXISTENCIAS]]+PRODUCTOS31316[[#This Row],[ENTRADAS]]-PRODUCTOS31316[[#This Row],[SALIDAS]]</f>
        <v>0</v>
      </c>
      <c r="L986" s="2"/>
      <c r="M986" s="2"/>
      <c r="N986" s="2">
        <v>8042</v>
      </c>
      <c r="O986" s="313" t="s">
        <v>2703</v>
      </c>
      <c r="P986" s="16">
        <v>46093</v>
      </c>
      <c r="Q986" s="314" t="s">
        <v>104</v>
      </c>
      <c r="R986" s="2">
        <f>VLOOKUP(SALIDAS111518[[#This Row],[CÓDIGO]],PRODUCTOS31316[],2,FALSE)</f>
        <v>0</v>
      </c>
      <c r="S986" s="1" t="str">
        <f>VLOOKUP(SALIDAS111518[[#This Row],[CÓDIGO]],PRODUCTOS31316[],3,FALSE)</f>
        <v>ISPERM CHIPS (500 TESTS PER BOX) PAQ. X 50 UND</v>
      </c>
      <c r="T986" s="2">
        <v>1</v>
      </c>
      <c r="U986" s="2"/>
      <c r="V986" s="2"/>
      <c r="W986" s="2"/>
      <c r="X986" s="2"/>
      <c r="Y986" s="7"/>
      <c r="Z986" s="2"/>
      <c r="AA986" s="1"/>
      <c r="AC986" s="2"/>
      <c r="AE986" s="1"/>
      <c r="AG986" s="2"/>
    </row>
    <row r="987" spans="1:33" ht="49.95" customHeight="1" x14ac:dyDescent="0.3">
      <c r="A987" s="221" t="s">
        <v>3348</v>
      </c>
      <c r="B987" s="222" t="s">
        <v>3350</v>
      </c>
      <c r="C987" s="222" t="s">
        <v>3358</v>
      </c>
      <c r="D987" s="222" t="s">
        <v>467</v>
      </c>
      <c r="E987" s="222" t="s">
        <v>467</v>
      </c>
      <c r="F987" s="222" t="s">
        <v>30</v>
      </c>
      <c r="G987" s="2">
        <v>1</v>
      </c>
      <c r="H987" s="14">
        <f>SUMIF(ENTRADAS71417[CÓDIGO],PRODUCTOS31316[[#This Row],[CÓDIGO]],ENTRADAS71417[CANTIDAD])</f>
        <v>0</v>
      </c>
      <c r="I987" s="11">
        <f>SUMIF(SALIDAS111518[CÓDIGO],PRODUCTOS31316[[#This Row],[CÓDIGO]],SALIDAS111518[CANTIDAD])</f>
        <v>0</v>
      </c>
      <c r="J987" s="6">
        <f>PRODUCTOS31316[[#This Row],[EXISTENCIAS]]+PRODUCTOS31316[[#This Row],[ENTRADAS]]-PRODUCTOS31316[[#This Row],[SALIDAS]]</f>
        <v>1</v>
      </c>
      <c r="L987" s="2"/>
      <c r="M987" s="2"/>
      <c r="N987" s="2">
        <v>8042</v>
      </c>
      <c r="O987" s="313" t="s">
        <v>2703</v>
      </c>
      <c r="P987" s="16">
        <v>46093</v>
      </c>
      <c r="Q987" s="314" t="s">
        <v>3095</v>
      </c>
      <c r="R987" s="2">
        <f>VLOOKUP(SALIDAS111518[[#This Row],[CÓDIGO]],PRODUCTOS31316[],2,FALSE)</f>
        <v>0</v>
      </c>
      <c r="S987" s="1" t="str">
        <f>VLOOKUP(SALIDAS111518[[#This Row],[CÓDIGO]],PRODUCTOS31316[],3,FALSE)</f>
        <v>GORRA MAS CAMPO</v>
      </c>
      <c r="T987" s="2">
        <v>1</v>
      </c>
      <c r="U987" s="2"/>
      <c r="V987" s="2"/>
      <c r="W987" s="2"/>
      <c r="X987" s="2"/>
      <c r="Y987" s="7"/>
      <c r="Z987" s="2"/>
      <c r="AA987" s="1"/>
      <c r="AC987" s="2"/>
      <c r="AE987" s="1"/>
      <c r="AG987" s="2"/>
    </row>
    <row r="988" spans="1:33" ht="49.95" customHeight="1" x14ac:dyDescent="0.3">
      <c r="A988" s="221" t="s">
        <v>3351</v>
      </c>
      <c r="B988" s="222" t="s">
        <v>3352</v>
      </c>
      <c r="C988" s="222" t="s">
        <v>3353</v>
      </c>
      <c r="D988" s="222" t="s">
        <v>467</v>
      </c>
      <c r="E988" s="222" t="s">
        <v>467</v>
      </c>
      <c r="F988" s="222" t="s">
        <v>30</v>
      </c>
      <c r="G988" s="2">
        <v>1</v>
      </c>
      <c r="H988" s="14">
        <f>SUMIF(ENTRADAS71417[CÓDIGO],PRODUCTOS31316[[#This Row],[CÓDIGO]],ENTRADAS71417[CANTIDAD])</f>
        <v>0</v>
      </c>
      <c r="I988" s="11">
        <f>SUMIF(SALIDAS111518[CÓDIGO],PRODUCTOS31316[[#This Row],[CÓDIGO]],SALIDAS111518[CANTIDAD])</f>
        <v>0</v>
      </c>
      <c r="J988" s="6">
        <f>PRODUCTOS31316[[#This Row],[EXISTENCIAS]]+PRODUCTOS31316[[#This Row],[ENTRADAS]]-PRODUCTOS31316[[#This Row],[SALIDAS]]</f>
        <v>1</v>
      </c>
      <c r="L988" s="314" t="s">
        <v>3520</v>
      </c>
      <c r="M988" s="314" t="s">
        <v>4250</v>
      </c>
      <c r="N988" s="313" t="s">
        <v>4409</v>
      </c>
      <c r="O988" s="314" t="s">
        <v>3073</v>
      </c>
      <c r="P988" s="16">
        <v>46093</v>
      </c>
      <c r="Q988" s="314" t="s">
        <v>3241</v>
      </c>
      <c r="R988" s="2" t="str">
        <f>VLOOKUP(SALIDAS111518[[#This Row],[CÓDIGO]],PRODUCTOS31316[],2,FALSE)</f>
        <v>1111-3810</v>
      </c>
      <c r="S988" s="1" t="str">
        <f>VLOOKUP(SALIDAS111518[[#This Row],[CÓDIGO]],PRODUCTOS31316[],3,FALSE)</f>
        <v>RACK DE PUNTAS 10 UL ESTERIL/ VEN 2030-01-31</v>
      </c>
      <c r="T988" s="2">
        <v>60</v>
      </c>
      <c r="U988" s="2">
        <v>439</v>
      </c>
      <c r="V988" s="2"/>
      <c r="W988" s="2"/>
      <c r="X988" s="2"/>
      <c r="Y988" s="7"/>
      <c r="Z988" s="2"/>
      <c r="AA988" s="1"/>
      <c r="AC988" s="2"/>
      <c r="AE988" s="1"/>
      <c r="AG988" s="2"/>
    </row>
    <row r="989" spans="1:33" ht="49.95" customHeight="1" x14ac:dyDescent="0.3">
      <c r="A989" s="221" t="s">
        <v>3354</v>
      </c>
      <c r="B989" s="222" t="s">
        <v>3356</v>
      </c>
      <c r="C989" s="251" t="s">
        <v>3357</v>
      </c>
      <c r="D989" s="222" t="s">
        <v>467</v>
      </c>
      <c r="E989" s="222" t="s">
        <v>467</v>
      </c>
      <c r="F989" s="222" t="s">
        <v>30</v>
      </c>
      <c r="G989" s="2">
        <v>5</v>
      </c>
      <c r="H989" s="14">
        <f>SUMIF(ENTRADAS71417[CÓDIGO],PRODUCTOS31316[[#This Row],[CÓDIGO]],ENTRADAS71417[CANTIDAD])</f>
        <v>5</v>
      </c>
      <c r="I989" s="11">
        <f>SUMIF(SALIDAS111518[CÓDIGO],PRODUCTOS31316[[#This Row],[CÓDIGO]],SALIDAS111518[CANTIDAD])</f>
        <v>10</v>
      </c>
      <c r="J989" s="6">
        <f>PRODUCTOS31316[[#This Row],[EXISTENCIAS]]+PRODUCTOS31316[[#This Row],[ENTRADAS]]-PRODUCTOS31316[[#This Row],[SALIDAS]]</f>
        <v>0</v>
      </c>
      <c r="L989" s="2"/>
      <c r="M989" s="2"/>
      <c r="N989" s="2">
        <v>8050</v>
      </c>
      <c r="O989" s="314" t="s">
        <v>3073</v>
      </c>
      <c r="P989" s="16">
        <v>46093</v>
      </c>
      <c r="Q989" s="314" t="s">
        <v>3242</v>
      </c>
      <c r="R989" s="2" t="str">
        <f>VLOOKUP(SALIDAS111518[[#This Row],[CÓDIGO]],PRODUCTOS31316[],2,FALSE)</f>
        <v>1111-1800</v>
      </c>
      <c r="S989" s="1" t="str">
        <f>VLOOKUP(SALIDAS111518[[#This Row],[CÓDIGO]],PRODUCTOS31316[],3,FALSE)</f>
        <v>RACK DE PUNTAS 200 UL NO ESTERIL/   LT M1355851</v>
      </c>
      <c r="T989" s="2">
        <v>30</v>
      </c>
      <c r="U989" s="2"/>
      <c r="V989" s="2"/>
      <c r="W989" s="2"/>
      <c r="X989" s="2"/>
      <c r="Y989" s="7"/>
      <c r="Z989" s="2"/>
      <c r="AA989" s="1"/>
      <c r="AC989" s="2"/>
      <c r="AE989" s="1"/>
      <c r="AG989" s="2"/>
    </row>
    <row r="990" spans="1:33" ht="49.95" customHeight="1" x14ac:dyDescent="0.3">
      <c r="A990" s="223" t="s">
        <v>3355</v>
      </c>
      <c r="B990" s="1">
        <v>140681</v>
      </c>
      <c r="C990" s="224" t="s">
        <v>3362</v>
      </c>
      <c r="D990" s="224" t="s">
        <v>3167</v>
      </c>
      <c r="E990" s="224" t="s">
        <v>957</v>
      </c>
      <c r="F990" s="224" t="s">
        <v>172</v>
      </c>
      <c r="G990" s="2">
        <v>14</v>
      </c>
      <c r="H990" s="14">
        <f>SUMIF(ENTRADAS71417[CÓDIGO],PRODUCTOS31316[[#This Row],[CÓDIGO]],ENTRADAS71417[CANTIDAD])</f>
        <v>500</v>
      </c>
      <c r="I990" s="11">
        <f>SUMIF(SALIDAS111518[CÓDIGO],PRODUCTOS31316[[#This Row],[CÓDIGO]],SALIDAS111518[CANTIDAD])</f>
        <v>486</v>
      </c>
      <c r="J990" s="6">
        <f>PRODUCTOS31316[[#This Row],[EXISTENCIAS]]+PRODUCTOS31316[[#This Row],[ENTRADAS]]-PRODUCTOS31316[[#This Row],[SALIDAS]]</f>
        <v>28</v>
      </c>
      <c r="L990" s="2"/>
      <c r="M990" s="2"/>
      <c r="N990" s="2">
        <v>8050</v>
      </c>
      <c r="O990" s="314" t="s">
        <v>3073</v>
      </c>
      <c r="P990" s="16">
        <v>46093</v>
      </c>
      <c r="Q990" s="314" t="s">
        <v>3539</v>
      </c>
      <c r="R990" s="2">
        <f>VLOOKUP(SALIDAS111518[[#This Row],[CÓDIGO]],PRODUCTOS31316[],2,FALSE)</f>
        <v>2</v>
      </c>
      <c r="S990" s="1" t="str">
        <f>VLOOKUP(SALIDAS111518[[#This Row],[CÓDIGO]],PRODUCTOS31316[],3,FALSE)</f>
        <v>REGLILLA PARA MEDIR NITRÓGENO</v>
      </c>
      <c r="T990" s="2">
        <v>1</v>
      </c>
      <c r="U990" s="2"/>
      <c r="V990" s="2"/>
      <c r="W990" s="2"/>
      <c r="X990" s="2"/>
      <c r="Y990" s="7"/>
      <c r="Z990" s="2"/>
      <c r="AA990" s="1"/>
      <c r="AC990" s="2"/>
      <c r="AE990" s="1"/>
      <c r="AG990" s="2"/>
    </row>
    <row r="991" spans="1:33" ht="49.95" customHeight="1" x14ac:dyDescent="0.3">
      <c r="A991" s="225" t="s">
        <v>3363</v>
      </c>
      <c r="B991" s="1">
        <v>76311</v>
      </c>
      <c r="C991" s="226" t="s">
        <v>3364</v>
      </c>
      <c r="D991" s="226" t="s">
        <v>2913</v>
      </c>
      <c r="E991" s="226" t="s">
        <v>2913</v>
      </c>
      <c r="F991" s="226" t="s">
        <v>30</v>
      </c>
      <c r="G991" s="2">
        <v>0</v>
      </c>
      <c r="H991" s="14">
        <f>SUMIF(ENTRADAS71417[CÓDIGO],PRODUCTOS31316[[#This Row],[CÓDIGO]],ENTRADAS71417[CANTIDAD])</f>
        <v>1</v>
      </c>
      <c r="I991" s="11">
        <f>SUMIF(SALIDAS111518[CÓDIGO],PRODUCTOS31316[[#This Row],[CÓDIGO]],SALIDAS111518[CANTIDAD])</f>
        <v>1</v>
      </c>
      <c r="J991" s="6">
        <f>PRODUCTOS31316[[#This Row],[EXISTENCIAS]]+PRODUCTOS31316[[#This Row],[ENTRADAS]]-PRODUCTOS31316[[#This Row],[SALIDAS]]</f>
        <v>0</v>
      </c>
      <c r="L991" s="314" t="s">
        <v>3521</v>
      </c>
      <c r="M991" s="314" t="s">
        <v>4250</v>
      </c>
      <c r="N991" s="313" t="s">
        <v>4391</v>
      </c>
      <c r="O991" s="314" t="s">
        <v>4388</v>
      </c>
      <c r="P991" s="16">
        <v>46093</v>
      </c>
      <c r="Q991" s="314" t="s">
        <v>47</v>
      </c>
      <c r="R991" s="2">
        <f>VLOOKUP(SALIDAS111518[[#This Row],[CÓDIGO]],PRODUCTOS31316[],2,FALSE)</f>
        <v>1135</v>
      </c>
      <c r="S991" s="1" t="str">
        <f>VLOOKUP(SALIDAS111518[[#This Row],[CÓDIGO]],PRODUCTOS31316[],3,FALSE)</f>
        <v>TRILADYL</v>
      </c>
      <c r="T991" s="2">
        <v>1</v>
      </c>
      <c r="U991" s="2">
        <v>436</v>
      </c>
      <c r="V991" s="2"/>
      <c r="W991" s="2"/>
      <c r="X991" s="2"/>
      <c r="Y991" s="7"/>
      <c r="Z991" s="2"/>
      <c r="AA991" s="1"/>
      <c r="AC991" s="2"/>
      <c r="AE991" s="1"/>
      <c r="AG991" s="2"/>
    </row>
    <row r="992" spans="1:33" ht="49.95" customHeight="1" x14ac:dyDescent="0.3">
      <c r="A992" s="225" t="s">
        <v>3365</v>
      </c>
      <c r="C992" s="226" t="s">
        <v>3366</v>
      </c>
      <c r="D992" s="226" t="s">
        <v>467</v>
      </c>
      <c r="E992" s="226" t="s">
        <v>467</v>
      </c>
      <c r="F992" s="226" t="s">
        <v>30</v>
      </c>
      <c r="G992" s="31">
        <f>78+1</f>
        <v>79</v>
      </c>
      <c r="H992" s="14">
        <f>SUMIF(ENTRADAS71417[CÓDIGO],PRODUCTOS31316[[#This Row],[CÓDIGO]],ENTRADAS71417[CANTIDAD])</f>
        <v>0</v>
      </c>
      <c r="I992" s="11">
        <f>SUMIF(SALIDAS111518[CÓDIGO],PRODUCTOS31316[[#This Row],[CÓDIGO]],SALIDAS111518[CANTIDAD])</f>
        <v>69</v>
      </c>
      <c r="J992" s="6">
        <f>PRODUCTOS31316[[#This Row],[EXISTENCIAS]]+PRODUCTOS31316[[#This Row],[ENTRADAS]]-PRODUCTOS31316[[#This Row],[SALIDAS]]</f>
        <v>10</v>
      </c>
      <c r="L992" s="314" t="s">
        <v>3520</v>
      </c>
      <c r="M992" s="314" t="s">
        <v>4250</v>
      </c>
      <c r="N992" s="318" t="s">
        <v>4492</v>
      </c>
      <c r="O992" s="314" t="s">
        <v>1058</v>
      </c>
      <c r="P992" s="16">
        <v>46092</v>
      </c>
      <c r="Q992" s="314" t="s">
        <v>2829</v>
      </c>
      <c r="R992" s="2">
        <f>VLOOKUP(SALIDAS111518[[#This Row],[CÓDIGO]],PRODUCTOS31316[],2,FALSE)</f>
        <v>5565</v>
      </c>
      <c r="S992" s="1" t="str">
        <f>VLOOKUP(SALIDAS111518[[#This Row],[CÓDIGO]],PRODUCTOS31316[],3,FALSE)</f>
        <v>PAJILLAS TRANSPARENTES 0,25</v>
      </c>
      <c r="T992" s="2">
        <v>1</v>
      </c>
      <c r="U992" s="2">
        <v>453</v>
      </c>
      <c r="V992" s="2"/>
      <c r="W992" s="314" t="s">
        <v>3412</v>
      </c>
      <c r="X992" s="2"/>
      <c r="Y992" s="7"/>
      <c r="Z992" s="2"/>
      <c r="AA992" s="1"/>
      <c r="AC992" s="2"/>
      <c r="AE992" s="1"/>
      <c r="AG992" s="2"/>
    </row>
    <row r="993" spans="1:33" ht="49.95" customHeight="1" x14ac:dyDescent="0.3">
      <c r="A993" s="225" t="s">
        <v>3367</v>
      </c>
      <c r="C993" s="257" t="s">
        <v>3515</v>
      </c>
      <c r="D993" s="257" t="s">
        <v>467</v>
      </c>
      <c r="E993" s="257" t="s">
        <v>467</v>
      </c>
      <c r="F993" s="226"/>
      <c r="G993" s="2">
        <v>0</v>
      </c>
      <c r="H993" s="14">
        <f>SUMIF(ENTRADAS71417[CÓDIGO],PRODUCTOS31316[[#This Row],[CÓDIGO]],ENTRADAS71417[CANTIDAD])</f>
        <v>0</v>
      </c>
      <c r="I993" s="11">
        <f>SUMIF(SALIDAS111518[CÓDIGO],PRODUCTOS31316[[#This Row],[CÓDIGO]],SALIDAS111518[CANTIDAD])</f>
        <v>0</v>
      </c>
      <c r="J993" s="6">
        <f>PRODUCTOS31316[[#This Row],[EXISTENCIAS]]+PRODUCTOS31316[[#This Row],[ENTRADAS]]-PRODUCTOS31316[[#This Row],[SALIDAS]]</f>
        <v>0</v>
      </c>
      <c r="L993" s="2"/>
      <c r="M993" s="2"/>
      <c r="N993" s="2">
        <v>8086</v>
      </c>
      <c r="O993" s="314" t="s">
        <v>1058</v>
      </c>
      <c r="P993" s="16">
        <v>46092</v>
      </c>
      <c r="Q993" s="314" t="s">
        <v>369</v>
      </c>
      <c r="R993" s="2">
        <f>VLOOKUP(SALIDAS111518[[#This Row],[CÓDIGO]],PRODUCTOS31316[],2,FALSE)</f>
        <v>0</v>
      </c>
      <c r="S993" s="1" t="str">
        <f>VLOOKUP(SALIDAS111518[[#This Row],[CÓDIGO]],PRODUCTOS31316[],3,FALSE)</f>
        <v>FUNDA UNIVERSAL PARA I.A. RANURADA</v>
      </c>
      <c r="T993" s="2">
        <v>1</v>
      </c>
      <c r="U993" s="2"/>
      <c r="V993" s="2"/>
      <c r="W993" s="2"/>
      <c r="X993" s="2"/>
      <c r="Y993" s="7"/>
      <c r="Z993" s="2"/>
      <c r="AA993" s="1"/>
      <c r="AC993" s="2"/>
      <c r="AE993" s="1"/>
      <c r="AG993" s="2"/>
    </row>
    <row r="994" spans="1:33" ht="49.95" customHeight="1" x14ac:dyDescent="0.3">
      <c r="A994" s="225" t="s">
        <v>3368</v>
      </c>
      <c r="B994" s="226" t="s">
        <v>3369</v>
      </c>
      <c r="C994" s="226" t="s">
        <v>3370</v>
      </c>
      <c r="D994" s="226" t="s">
        <v>3371</v>
      </c>
      <c r="E994" s="226" t="s">
        <v>410</v>
      </c>
      <c r="F994" s="226" t="s">
        <v>30</v>
      </c>
      <c r="G994" s="2">
        <v>0</v>
      </c>
      <c r="H994" s="14">
        <f>SUMIF(ENTRADAS71417[CÓDIGO],PRODUCTOS31316[[#This Row],[CÓDIGO]],ENTRADAS71417[CANTIDAD])</f>
        <v>0</v>
      </c>
      <c r="I994" s="11">
        <f>SUMIF(SALIDAS111518[CÓDIGO],PRODUCTOS31316[[#This Row],[CÓDIGO]],SALIDAS111518[CANTIDAD])</f>
        <v>0</v>
      </c>
      <c r="J994" s="6">
        <f>PRODUCTOS31316[[#This Row],[EXISTENCIAS]]+PRODUCTOS31316[[#This Row],[ENTRADAS]]-PRODUCTOS31316[[#This Row],[SALIDAS]]</f>
        <v>0</v>
      </c>
      <c r="L994" s="2"/>
      <c r="M994" s="2"/>
      <c r="N994" s="2">
        <v>8086</v>
      </c>
      <c r="O994" s="317" t="s">
        <v>1058</v>
      </c>
      <c r="P994" s="16">
        <v>46092</v>
      </c>
      <c r="Q994" s="314" t="s">
        <v>2246</v>
      </c>
      <c r="R994" s="2" t="str">
        <f>VLOOKUP(SALIDAS111518[[#This Row],[CÓDIGO]],PRODUCTOS31316[],2,FALSE)</f>
        <v>00051076-02</v>
      </c>
      <c r="S994" s="1" t="str">
        <f>VLOOKUP(SALIDAS111518[[#This Row],[CÓDIGO]],PRODUCTOS31316[],3,FALSE)</f>
        <v>LIDOCAÍNA  HCL 2 % X 100 ML/ 2025-12-16</v>
      </c>
      <c r="T994" s="2">
        <v>1</v>
      </c>
      <c r="U994" s="2"/>
      <c r="V994" s="2"/>
      <c r="W994" s="2"/>
      <c r="X994" s="2"/>
      <c r="Y994" s="7"/>
      <c r="Z994" s="2"/>
      <c r="AA994" s="1"/>
      <c r="AC994" s="2"/>
      <c r="AE994" s="1"/>
      <c r="AG994" s="2"/>
    </row>
    <row r="995" spans="1:33" ht="49.95" customHeight="1" x14ac:dyDescent="0.3">
      <c r="A995" s="225" t="s">
        <v>3375</v>
      </c>
      <c r="B995" s="275" t="s">
        <v>2742</v>
      </c>
      <c r="C995" s="275" t="s">
        <v>2743</v>
      </c>
      <c r="D995" s="226" t="s">
        <v>103</v>
      </c>
      <c r="E995" s="226" t="s">
        <v>2020</v>
      </c>
      <c r="F995" s="226" t="s">
        <v>30</v>
      </c>
      <c r="G995" s="2">
        <v>0</v>
      </c>
      <c r="H995" s="14">
        <f>SUMIF(ENTRADAS71417[CÓDIGO],PRODUCTOS31316[[#This Row],[CÓDIGO]],ENTRADAS71417[CANTIDAD])</f>
        <v>20</v>
      </c>
      <c r="I995" s="11">
        <f>SUMIF(SALIDAS111518[CÓDIGO],PRODUCTOS31316[[#This Row],[CÓDIGO]],SALIDAS111518[CANTIDAD])</f>
        <v>20</v>
      </c>
      <c r="J995" s="6">
        <f>PRODUCTOS31316[[#This Row],[EXISTENCIAS]]+PRODUCTOS31316[[#This Row],[ENTRADAS]]-PRODUCTOS31316[[#This Row],[SALIDAS]]</f>
        <v>0</v>
      </c>
      <c r="L995" s="314" t="s">
        <v>3520</v>
      </c>
      <c r="M995" s="314" t="s">
        <v>4250</v>
      </c>
      <c r="N995" s="313" t="s">
        <v>4414</v>
      </c>
      <c r="O995" s="313" t="s">
        <v>4389</v>
      </c>
      <c r="P995" s="16">
        <v>46094</v>
      </c>
      <c r="Q995" s="314" t="s">
        <v>2755</v>
      </c>
      <c r="R995" s="2" t="str">
        <f>VLOOKUP(SALIDAS111518[[#This Row],[CÓDIGO]],PRODUCTOS31316[],2,FALSE)</f>
        <v>MSLDO05</v>
      </c>
      <c r="S995" s="1" t="str">
        <f>VLOOKUP(SALIDAS111518[[#This Row],[CÓDIGO]],PRODUCTOS31316[],3,FALSE)</f>
        <v>TERMO DE RECOLECCIÓN DE SEMEN/ USO VETERINARIO</v>
      </c>
      <c r="T995" s="2">
        <v>1</v>
      </c>
      <c r="U995" s="2">
        <v>438</v>
      </c>
      <c r="V995" s="2"/>
      <c r="W995" s="2"/>
      <c r="X995" s="2"/>
      <c r="Y995" s="7"/>
      <c r="Z995" s="2"/>
      <c r="AA995" s="1"/>
      <c r="AC995" s="2"/>
      <c r="AE995" s="1"/>
      <c r="AG995" s="2"/>
    </row>
    <row r="996" spans="1:33" ht="49.95" customHeight="1" x14ac:dyDescent="0.3">
      <c r="A996" s="225" t="s">
        <v>3376</v>
      </c>
      <c r="B996" s="226"/>
      <c r="C996" s="226" t="s">
        <v>3377</v>
      </c>
      <c r="D996" s="226" t="s">
        <v>2372</v>
      </c>
      <c r="E996" s="226" t="s">
        <v>3378</v>
      </c>
      <c r="F996" s="226" t="s">
        <v>30</v>
      </c>
      <c r="G996" s="2">
        <v>360</v>
      </c>
      <c r="H996" s="14">
        <f>SUMIF(ENTRADAS71417[CÓDIGO],PRODUCTOS31316[[#This Row],[CÓDIGO]],ENTRADAS71417[CANTIDAD])</f>
        <v>0</v>
      </c>
      <c r="I996" s="11">
        <f>SUMIF(SALIDAS111518[CÓDIGO],PRODUCTOS31316[[#This Row],[CÓDIGO]],SALIDAS111518[CANTIDAD])</f>
        <v>45</v>
      </c>
      <c r="J996" s="6">
        <f>PRODUCTOS31316[[#This Row],[EXISTENCIAS]]+PRODUCTOS31316[[#This Row],[ENTRADAS]]-PRODUCTOS31316[[#This Row],[SALIDAS]]</f>
        <v>315</v>
      </c>
      <c r="L996" s="314" t="s">
        <v>3521</v>
      </c>
      <c r="M996" s="314" t="s">
        <v>4250</v>
      </c>
      <c r="N996" s="313" t="s">
        <v>4393</v>
      </c>
      <c r="O996" s="313" t="s">
        <v>4392</v>
      </c>
      <c r="P996" s="16">
        <v>45728</v>
      </c>
      <c r="Q996" s="314" t="s">
        <v>2382</v>
      </c>
      <c r="R996" s="2">
        <f>VLOOKUP(SALIDAS111518[[#This Row],[CÓDIGO]],PRODUCTOS31316[],2,FALSE)</f>
        <v>1</v>
      </c>
      <c r="S996" s="1" t="str">
        <f>VLOOKUP(SALIDAS111518[[#This Row],[CÓDIGO]],PRODUCTOS31316[],3,FALSE)</f>
        <v>TERMO DE TRANSPORTE 1 LITRO</v>
      </c>
      <c r="T996" s="2">
        <v>1</v>
      </c>
      <c r="U996" s="2">
        <v>437</v>
      </c>
      <c r="V996" s="2"/>
      <c r="W996" s="2"/>
      <c r="X996" s="2"/>
      <c r="Y996" s="7"/>
      <c r="Z996" s="2"/>
      <c r="AA996" s="1"/>
      <c r="AC996" s="2"/>
      <c r="AE996" s="1"/>
      <c r="AG996" s="2"/>
    </row>
    <row r="997" spans="1:33" ht="49.95" customHeight="1" x14ac:dyDescent="0.3">
      <c r="A997" s="232" t="s">
        <v>3391</v>
      </c>
      <c r="B997" s="226">
        <v>17025</v>
      </c>
      <c r="C997" s="231" t="s">
        <v>3392</v>
      </c>
      <c r="D997" s="231" t="s">
        <v>103</v>
      </c>
      <c r="E997" s="231" t="s">
        <v>2020</v>
      </c>
      <c r="F997" s="226" t="s">
        <v>30</v>
      </c>
      <c r="G997" s="2">
        <v>0</v>
      </c>
      <c r="H997" s="14">
        <f>SUMIF(ENTRADAS71417[CÓDIGO],PRODUCTOS31316[[#This Row],[CÓDIGO]],ENTRADAS71417[CANTIDAD])</f>
        <v>0</v>
      </c>
      <c r="I997" s="11">
        <f>SUMIF(SALIDAS111518[CÓDIGO],PRODUCTOS31316[[#This Row],[CÓDIGO]],SALIDAS111518[CANTIDAD])</f>
        <v>0</v>
      </c>
      <c r="J997" s="6">
        <f>PRODUCTOS31316[[#This Row],[EXISTENCIAS]]+PRODUCTOS31316[[#This Row],[ENTRADAS]]-PRODUCTOS31316[[#This Row],[SALIDAS]]</f>
        <v>0</v>
      </c>
      <c r="L997" s="314" t="s">
        <v>3521</v>
      </c>
      <c r="M997" s="314" t="s">
        <v>4250</v>
      </c>
      <c r="N997" s="357" t="s">
        <v>4801</v>
      </c>
      <c r="O997" s="344" t="s">
        <v>3485</v>
      </c>
      <c r="P997" s="16">
        <v>46132</v>
      </c>
      <c r="Q997" s="339" t="s">
        <v>4742</v>
      </c>
      <c r="R997" s="2" t="str">
        <f>VLOOKUP(SALIDAS111518[[#This Row],[CÓDIGO]],PRODUCTOS31316[],2,FALSE)</f>
        <v>BLX-S100</v>
      </c>
      <c r="S997" s="1" t="str">
        <f>VLOOKUP(SALIDAS111518[[#This Row],[CÓDIGO]],PRODUCTOS31316[],3,FALSE)</f>
        <v>ECOGRAFO BLX-S100 CON TABLET</v>
      </c>
      <c r="T997" s="2">
        <v>1</v>
      </c>
      <c r="U997" s="2" t="s">
        <v>5030</v>
      </c>
      <c r="V997" s="2"/>
      <c r="W997" s="314" t="s">
        <v>2823</v>
      </c>
      <c r="X997" s="2"/>
      <c r="Y997" s="7"/>
      <c r="Z997" s="2"/>
      <c r="AA997" s="1"/>
      <c r="AC997" s="2"/>
      <c r="AE997" s="1"/>
      <c r="AG997" s="2"/>
    </row>
    <row r="998" spans="1:33" ht="49.95" customHeight="1" x14ac:dyDescent="0.3">
      <c r="A998" s="232" t="s">
        <v>3393</v>
      </c>
      <c r="B998" s="226">
        <v>17026</v>
      </c>
      <c r="C998" s="231" t="s">
        <v>3394</v>
      </c>
      <c r="D998" s="231" t="s">
        <v>103</v>
      </c>
      <c r="E998" s="231" t="s">
        <v>2020</v>
      </c>
      <c r="F998" s="226" t="s">
        <v>30</v>
      </c>
      <c r="G998" s="2">
        <v>6</v>
      </c>
      <c r="H998" s="14">
        <f>SUMIF(ENTRADAS71417[CÓDIGO],PRODUCTOS31316[[#This Row],[CÓDIGO]],ENTRADAS71417[CANTIDAD])</f>
        <v>0</v>
      </c>
      <c r="I998" s="11">
        <f>SUMIF(SALIDAS111518[CÓDIGO],PRODUCTOS31316[[#This Row],[CÓDIGO]],SALIDAS111518[CANTIDAD])</f>
        <v>6</v>
      </c>
      <c r="J998" s="6">
        <f>PRODUCTOS31316[[#This Row],[EXISTENCIAS]]+PRODUCTOS31316[[#This Row],[ENTRADAS]]-PRODUCTOS31316[[#This Row],[SALIDAS]]</f>
        <v>0</v>
      </c>
      <c r="L998" s="2"/>
      <c r="M998" s="2"/>
      <c r="N998" s="2">
        <v>8234</v>
      </c>
      <c r="O998" s="313" t="s">
        <v>3485</v>
      </c>
      <c r="P998" s="16">
        <v>46132</v>
      </c>
      <c r="Q998" s="314" t="s">
        <v>3273</v>
      </c>
      <c r="R998" s="2">
        <f>VLOOKUP(SALIDAS111518[[#This Row],[CÓDIGO]],PRODUCTOS31316[],2,FALSE)</f>
        <v>4452</v>
      </c>
      <c r="S998" s="1" t="str">
        <f>VLOOKUP(SALIDAS111518[[#This Row],[CÓDIGO]],PRODUCTOS31316[],3,FALSE)</f>
        <v>TERMO NITROGENO ET- 11</v>
      </c>
      <c r="T998" s="2">
        <v>1</v>
      </c>
      <c r="U998" s="2"/>
      <c r="V998" s="2"/>
      <c r="W998" s="2"/>
      <c r="X998" s="2"/>
      <c r="Y998" s="7"/>
      <c r="Z998" s="2"/>
      <c r="AA998" s="1"/>
      <c r="AC998" s="2"/>
      <c r="AE998" s="1"/>
      <c r="AG998" s="2"/>
    </row>
    <row r="999" spans="1:33" ht="49.95" customHeight="1" x14ac:dyDescent="0.3">
      <c r="A999" s="232" t="s">
        <v>3395</v>
      </c>
      <c r="B999" s="226">
        <v>17062</v>
      </c>
      <c r="C999" s="231" t="s">
        <v>3396</v>
      </c>
      <c r="D999" s="231" t="s">
        <v>103</v>
      </c>
      <c r="E999" s="231" t="s">
        <v>2020</v>
      </c>
      <c r="F999" s="226" t="s">
        <v>30</v>
      </c>
      <c r="G999" s="2">
        <v>10</v>
      </c>
      <c r="H999" s="14">
        <f>SUMIF(ENTRADAS71417[CÓDIGO],PRODUCTOS31316[[#This Row],[CÓDIGO]],ENTRADAS71417[CANTIDAD])</f>
        <v>0</v>
      </c>
      <c r="I999" s="11">
        <f>SUMIF(SALIDAS111518[CÓDIGO],PRODUCTOS31316[[#This Row],[CÓDIGO]],SALIDAS111518[CANTIDAD])</f>
        <v>10</v>
      </c>
      <c r="J999" s="6">
        <f>PRODUCTOS31316[[#This Row],[EXISTENCIAS]]+PRODUCTOS31316[[#This Row],[ENTRADAS]]-PRODUCTOS31316[[#This Row],[SALIDAS]]</f>
        <v>0</v>
      </c>
      <c r="L999" s="2"/>
      <c r="M999" s="2"/>
      <c r="N999" s="2">
        <v>8234</v>
      </c>
      <c r="O999" s="313" t="s">
        <v>3485</v>
      </c>
      <c r="P999" s="16">
        <v>46132</v>
      </c>
      <c r="Q999" s="339" t="s">
        <v>3095</v>
      </c>
      <c r="R999" s="2">
        <f>VLOOKUP(SALIDAS111518[[#This Row],[CÓDIGO]],PRODUCTOS31316[],2,FALSE)</f>
        <v>0</v>
      </c>
      <c r="S999" s="1" t="str">
        <f>VLOOKUP(SALIDAS111518[[#This Row],[CÓDIGO]],PRODUCTOS31316[],3,FALSE)</f>
        <v>GORRA MAS CAMPO</v>
      </c>
      <c r="T999" s="2">
        <v>1</v>
      </c>
      <c r="U999" s="2"/>
      <c r="V999" s="2"/>
      <c r="W999" s="2"/>
      <c r="X999" s="2"/>
      <c r="Y999" s="7"/>
      <c r="Z999" s="2"/>
      <c r="AA999" s="1"/>
      <c r="AC999" s="2"/>
      <c r="AE999" s="1"/>
      <c r="AG999" s="2"/>
    </row>
    <row r="1000" spans="1:33" ht="49.95" customHeight="1" x14ac:dyDescent="0.3">
      <c r="A1000" s="232" t="s">
        <v>3397</v>
      </c>
      <c r="B1000" s="226">
        <v>13407</v>
      </c>
      <c r="C1000" s="231" t="s">
        <v>2894</v>
      </c>
      <c r="D1000" s="231" t="s">
        <v>103</v>
      </c>
      <c r="E1000" s="231" t="s">
        <v>2020</v>
      </c>
      <c r="F1000" s="231" t="s">
        <v>359</v>
      </c>
      <c r="G1000" s="2">
        <v>0</v>
      </c>
      <c r="H1000" s="14">
        <f>SUMIF(ENTRADAS71417[CÓDIGO],PRODUCTOS31316[[#This Row],[CÓDIGO]],ENTRADAS71417[CANTIDAD])</f>
        <v>20</v>
      </c>
      <c r="I1000" s="11">
        <f>SUMIF(SALIDAS111518[CÓDIGO],PRODUCTOS31316[[#This Row],[CÓDIGO]],SALIDAS111518[CANTIDAD])</f>
        <v>10</v>
      </c>
      <c r="J1000" s="6">
        <f>PRODUCTOS31316[[#This Row],[EXISTENCIAS]]+PRODUCTOS31316[[#This Row],[ENTRADAS]]-PRODUCTOS31316[[#This Row],[SALIDAS]]</f>
        <v>10</v>
      </c>
      <c r="L1000" s="2"/>
      <c r="M1000" s="2"/>
      <c r="N1000" s="2">
        <v>8234</v>
      </c>
      <c r="O1000" s="313" t="s">
        <v>3485</v>
      </c>
      <c r="P1000" s="16">
        <v>46132</v>
      </c>
      <c r="Q1000" s="339" t="s">
        <v>3376</v>
      </c>
      <c r="R1000" s="2">
        <f>VLOOKUP(SALIDAS111518[[#This Row],[CÓDIGO]],PRODUCTOS31316[],2,FALSE)</f>
        <v>0</v>
      </c>
      <c r="S1000" s="1" t="str">
        <f>VLOOKUP(SALIDAS111518[[#This Row],[CÓDIGO]],PRODUCTOS31316[],3,FALSE)</f>
        <v>TERMO DE 380 ML MAS CAMPO</v>
      </c>
      <c r="T1000" s="2">
        <v>1</v>
      </c>
      <c r="U1000" s="2"/>
      <c r="V1000" s="2"/>
      <c r="W1000" s="2"/>
      <c r="X1000" s="2"/>
      <c r="Y1000" s="7"/>
      <c r="Z1000" s="2"/>
      <c r="AA1000" s="1"/>
      <c r="AC1000" s="2"/>
      <c r="AE1000" s="1"/>
      <c r="AG1000" s="2"/>
    </row>
    <row r="1001" spans="1:33" ht="49.95" customHeight="1" x14ac:dyDescent="0.3">
      <c r="A1001" s="232" t="s">
        <v>3398</v>
      </c>
      <c r="B1001" s="226">
        <v>13408</v>
      </c>
      <c r="C1001" s="231" t="s">
        <v>2891</v>
      </c>
      <c r="D1001" s="231" t="s">
        <v>103</v>
      </c>
      <c r="E1001" s="231" t="s">
        <v>2020</v>
      </c>
      <c r="F1001" s="231" t="s">
        <v>422</v>
      </c>
      <c r="G1001" s="2">
        <v>0</v>
      </c>
      <c r="H1001" s="14">
        <f>SUMIF(ENTRADAS71417[CÓDIGO],PRODUCTOS31316[[#This Row],[CÓDIGO]],ENTRADAS71417[CANTIDAD])</f>
        <v>20</v>
      </c>
      <c r="I1001" s="11">
        <f>SUMIF(SALIDAS111518[CÓDIGO],PRODUCTOS31316[[#This Row],[CÓDIGO]],SALIDAS111518[CANTIDAD])</f>
        <v>17</v>
      </c>
      <c r="J1001" s="6">
        <f>PRODUCTOS31316[[#This Row],[EXISTENCIAS]]+PRODUCTOS31316[[#This Row],[ENTRADAS]]-PRODUCTOS31316[[#This Row],[SALIDAS]]</f>
        <v>3</v>
      </c>
      <c r="L1001" s="314" t="s">
        <v>3520</v>
      </c>
      <c r="M1001" s="314" t="s">
        <v>4250</v>
      </c>
      <c r="N1001" s="359" t="s">
        <v>4926</v>
      </c>
      <c r="O1001" s="314" t="s">
        <v>3789</v>
      </c>
      <c r="P1001" s="16">
        <v>46132</v>
      </c>
      <c r="Q1001" s="339" t="s">
        <v>4745</v>
      </c>
      <c r="R1001" s="2" t="str">
        <f>VLOOKUP(SALIDAS111518[[#This Row],[CÓDIGO]],PRODUCTOS31316[],2,FALSE)</f>
        <v>415501-0101-003</v>
      </c>
      <c r="S1001" s="1" t="str">
        <f>VLOOKUP(SALIDAS111518[[#This Row],[CÓDIGO]],PRODUCTOS31316[],3,FALSE)</f>
        <v>PRIMOSTAR 1 FIX BINOCULAR ABBE 0.93W MARCA: ZEISS</v>
      </c>
      <c r="T1001" s="2">
        <v>1</v>
      </c>
      <c r="U1001" s="2">
        <v>715</v>
      </c>
      <c r="V1001" s="2"/>
      <c r="W1001" s="2"/>
      <c r="X1001" s="2"/>
      <c r="Y1001" s="7"/>
      <c r="Z1001" s="2"/>
      <c r="AA1001" s="1"/>
      <c r="AC1001" s="2"/>
      <c r="AE1001" s="1"/>
      <c r="AG1001" s="2"/>
    </row>
    <row r="1002" spans="1:33" ht="49.95" customHeight="1" x14ac:dyDescent="0.3">
      <c r="A1002" s="232" t="s">
        <v>3399</v>
      </c>
      <c r="B1002" s="226">
        <v>13400</v>
      </c>
      <c r="C1002" s="231" t="s">
        <v>3400</v>
      </c>
      <c r="D1002" s="231" t="s">
        <v>103</v>
      </c>
      <c r="E1002" s="231" t="s">
        <v>2020</v>
      </c>
      <c r="F1002" s="231" t="s">
        <v>2036</v>
      </c>
      <c r="G1002" s="2">
        <v>8</v>
      </c>
      <c r="H1002" s="14">
        <f>SUMIF(ENTRADAS71417[CÓDIGO],PRODUCTOS31316[[#This Row],[CÓDIGO]],ENTRADAS71417[CANTIDAD])</f>
        <v>0</v>
      </c>
      <c r="I1002" s="11">
        <f>SUMIF(SALIDAS111518[CÓDIGO],PRODUCTOS31316[[#This Row],[CÓDIGO]],SALIDAS111518[CANTIDAD])</f>
        <v>5</v>
      </c>
      <c r="J1002" s="6">
        <f>PRODUCTOS31316[[#This Row],[EXISTENCIAS]]+PRODUCTOS31316[[#This Row],[ENTRADAS]]-PRODUCTOS31316[[#This Row],[SALIDAS]]</f>
        <v>3</v>
      </c>
      <c r="L1002" s="314" t="s">
        <v>3520</v>
      </c>
      <c r="M1002" s="314" t="s">
        <v>4250</v>
      </c>
      <c r="N1002" s="313" t="s">
        <v>4398</v>
      </c>
      <c r="O1002" s="314" t="s">
        <v>2780</v>
      </c>
      <c r="P1002" s="16">
        <v>46093</v>
      </c>
      <c r="Q1002" s="314" t="s">
        <v>500</v>
      </c>
      <c r="R1002" s="2">
        <f>VLOOKUP(SALIDAS111518[[#This Row],[CÓDIGO]],PRODUCTOS31316[],2,FALSE)</f>
        <v>15933</v>
      </c>
      <c r="S1002" s="1" t="str">
        <f>VLOOKUP(SALIDAS111518[[#This Row],[CÓDIGO]],PRODUCTOS31316[],3,FALSE)</f>
        <v>DISPOSITIVO ENTROMETRIX</v>
      </c>
      <c r="T1002" s="2">
        <v>1</v>
      </c>
      <c r="U1002" s="2">
        <v>440</v>
      </c>
      <c r="V1002" s="2"/>
      <c r="W1002" s="2"/>
      <c r="X1002" s="2"/>
      <c r="Y1002" s="7"/>
      <c r="Z1002" s="2"/>
      <c r="AA1002" s="1"/>
      <c r="AC1002" s="2"/>
      <c r="AE1002" s="1"/>
      <c r="AG1002" s="2"/>
    </row>
    <row r="1003" spans="1:33" ht="49.95" customHeight="1" x14ac:dyDescent="0.3">
      <c r="A1003" s="232" t="s">
        <v>3401</v>
      </c>
      <c r="B1003" s="226">
        <v>13400</v>
      </c>
      <c r="C1003" s="231" t="s">
        <v>3402</v>
      </c>
      <c r="D1003" s="231" t="s">
        <v>103</v>
      </c>
      <c r="E1003" s="231" t="s">
        <v>2020</v>
      </c>
      <c r="F1003" s="231" t="s">
        <v>2036</v>
      </c>
      <c r="G1003" s="2">
        <v>1</v>
      </c>
      <c r="H1003" s="14">
        <f>SUMIF(ENTRADAS71417[CÓDIGO],PRODUCTOS31316[[#This Row],[CÓDIGO]],ENTRADAS71417[CANTIDAD])</f>
        <v>0</v>
      </c>
      <c r="I1003" s="11">
        <f>SUMIF(SALIDAS111518[CÓDIGO],PRODUCTOS31316[[#This Row],[CÓDIGO]],SALIDAS111518[CANTIDAD])</f>
        <v>0</v>
      </c>
      <c r="J1003" s="6">
        <f>PRODUCTOS31316[[#This Row],[EXISTENCIAS]]+PRODUCTOS31316[[#This Row],[ENTRADAS]]-PRODUCTOS31316[[#This Row],[SALIDAS]]</f>
        <v>1</v>
      </c>
      <c r="L1003" s="314" t="s">
        <v>3520</v>
      </c>
      <c r="M1003" s="314" t="s">
        <v>4250</v>
      </c>
      <c r="N1003" s="313" t="s">
        <v>4411</v>
      </c>
      <c r="O1003" s="314" t="s">
        <v>3176</v>
      </c>
      <c r="P1003" s="316">
        <v>46093</v>
      </c>
      <c r="Q1003" s="314" t="s">
        <v>15</v>
      </c>
      <c r="R1003" s="2" t="str">
        <f>VLOOKUP(SALIDAS111518[[#This Row],[CÓDIGO]],PRODUCTOS31316[],2,FALSE)</f>
        <v>BTE-025PT/ 504002</v>
      </c>
      <c r="S1003" s="1" t="str">
        <f>VLOOKUP(SALIDAS111518[[#This Row],[CÓDIGO]],PRODUCTOS31316[],3,FALSE)</f>
        <v>FUNDAS PARA TRANSFERENCIA DE EMBRIONES</v>
      </c>
      <c r="T1003" s="2">
        <v>30</v>
      </c>
      <c r="U1003" s="2">
        <v>448</v>
      </c>
      <c r="V1003" s="2"/>
      <c r="W1003" s="314" t="s">
        <v>2823</v>
      </c>
      <c r="X1003" s="2"/>
      <c r="Y1003" s="7"/>
      <c r="Z1003" s="2"/>
      <c r="AA1003" s="1"/>
      <c r="AC1003" s="2"/>
      <c r="AE1003" s="1"/>
      <c r="AG1003" s="2"/>
    </row>
    <row r="1004" spans="1:33" ht="49.95" customHeight="1" x14ac:dyDescent="0.3">
      <c r="A1004" s="232" t="s">
        <v>3403</v>
      </c>
      <c r="B1004" s="226">
        <v>13408</v>
      </c>
      <c r="C1004" s="231" t="s">
        <v>3404</v>
      </c>
      <c r="D1004" s="231" t="s">
        <v>103</v>
      </c>
      <c r="E1004" s="231" t="s">
        <v>2020</v>
      </c>
      <c r="F1004" s="231" t="s">
        <v>647</v>
      </c>
      <c r="G1004" s="2">
        <v>0</v>
      </c>
      <c r="H1004" s="14">
        <f>SUMIF(ENTRADAS71417[CÓDIGO],PRODUCTOS31316[[#This Row],[CÓDIGO]],ENTRADAS71417[CANTIDAD])</f>
        <v>0</v>
      </c>
      <c r="I1004" s="11">
        <f>SUMIF(SALIDAS111518[CÓDIGO],PRODUCTOS31316[[#This Row],[CÓDIGO]],SALIDAS111518[CANTIDAD])</f>
        <v>0</v>
      </c>
      <c r="J1004" s="6">
        <f>PRODUCTOS31316[[#This Row],[EXISTENCIAS]]+PRODUCTOS31316[[#This Row],[ENTRADAS]]-PRODUCTOS31316[[#This Row],[SALIDAS]]</f>
        <v>0</v>
      </c>
      <c r="L1004" s="2"/>
      <c r="M1004" s="2"/>
      <c r="N1004" s="2">
        <v>8045</v>
      </c>
      <c r="O1004" s="314" t="s">
        <v>3176</v>
      </c>
      <c r="P1004" s="316">
        <v>46093</v>
      </c>
      <c r="Q1004" s="314" t="s">
        <v>1779</v>
      </c>
      <c r="R1004" s="2">
        <f>VLOOKUP(SALIDAS111518[[#This Row],[CÓDIGO]],PRODUCTOS31316[],2,FALSE)</f>
        <v>5563</v>
      </c>
      <c r="S1004" s="1" t="str">
        <f>VLOOKUP(SALIDAS111518[[#This Row],[CÓDIGO]],PRODUCTOS31316[],3,FALSE)</f>
        <v>CAMISA SANITARIA ROLLO X 80</v>
      </c>
      <c r="T1004" s="2">
        <v>2</v>
      </c>
      <c r="U1004" s="2"/>
      <c r="V1004" s="2"/>
      <c r="W1004" s="2"/>
      <c r="X1004" s="2"/>
      <c r="Y1004" s="7"/>
      <c r="Z1004" s="2"/>
      <c r="AA1004" s="1"/>
      <c r="AC1004" s="2"/>
      <c r="AE1004" s="1"/>
      <c r="AG1004" s="2"/>
    </row>
    <row r="1005" spans="1:33" ht="49.95" customHeight="1" x14ac:dyDescent="0.3">
      <c r="A1005" s="232" t="s">
        <v>3405</v>
      </c>
      <c r="B1005" s="275" t="s">
        <v>3659</v>
      </c>
      <c r="C1005" s="231" t="s">
        <v>2592</v>
      </c>
      <c r="D1005" s="231" t="s">
        <v>103</v>
      </c>
      <c r="E1005" s="231" t="s">
        <v>2020</v>
      </c>
      <c r="F1005" s="231" t="s">
        <v>30</v>
      </c>
      <c r="G1005" s="2">
        <v>32</v>
      </c>
      <c r="H1005" s="14">
        <f>SUMIF(ENTRADAS71417[CÓDIGO],PRODUCTOS31316[[#This Row],[CÓDIGO]],ENTRADAS71417[CANTIDAD])</f>
        <v>250</v>
      </c>
      <c r="I1005" s="11">
        <f>SUMIF(SALIDAS111518[CÓDIGO],PRODUCTOS31316[[#This Row],[CÓDIGO]],SALIDAS111518[CANTIDAD])</f>
        <v>91</v>
      </c>
      <c r="J1005" s="6">
        <f>PRODUCTOS31316[[#This Row],[EXISTENCIAS]]+PRODUCTOS31316[[#This Row],[ENTRADAS]]-PRODUCTOS31316[[#This Row],[SALIDAS]]</f>
        <v>191</v>
      </c>
      <c r="L1005" s="314" t="s">
        <v>3520</v>
      </c>
      <c r="M1005" s="314" t="s">
        <v>4250</v>
      </c>
      <c r="N1005" s="313" t="s">
        <v>4397</v>
      </c>
      <c r="O1005" s="314" t="s">
        <v>3187</v>
      </c>
      <c r="P1005" s="316">
        <v>46093</v>
      </c>
      <c r="Q1005" s="314" t="s">
        <v>15</v>
      </c>
      <c r="R1005" s="2" t="str">
        <f>VLOOKUP(SALIDAS111518[[#This Row],[CÓDIGO]],PRODUCTOS31316[],2,FALSE)</f>
        <v>BTE-025PT/ 504002</v>
      </c>
      <c r="S1005" s="1" t="str">
        <f>VLOOKUP(SALIDAS111518[[#This Row],[CÓDIGO]],PRODUCTOS31316[],3,FALSE)</f>
        <v>FUNDAS PARA TRANSFERENCIA DE EMBRIONES</v>
      </c>
      <c r="T1005" s="2">
        <v>20</v>
      </c>
      <c r="U1005" s="2">
        <v>441</v>
      </c>
      <c r="V1005" s="2"/>
      <c r="W1005" s="2"/>
      <c r="X1005" s="2"/>
      <c r="Y1005" s="7"/>
      <c r="Z1005" s="2"/>
      <c r="AA1005" s="1"/>
      <c r="AC1005" s="2"/>
      <c r="AE1005" s="1"/>
      <c r="AG1005" s="2"/>
    </row>
    <row r="1006" spans="1:33" ht="49.95" customHeight="1" x14ac:dyDescent="0.3">
      <c r="A1006" s="232" t="s">
        <v>3406</v>
      </c>
      <c r="B1006" s="238" t="s">
        <v>3407</v>
      </c>
      <c r="C1006" s="238" t="s">
        <v>3408</v>
      </c>
      <c r="D1006" s="231" t="s">
        <v>103</v>
      </c>
      <c r="E1006" s="231" t="s">
        <v>2020</v>
      </c>
      <c r="F1006" s="231" t="s">
        <v>30</v>
      </c>
      <c r="G1006" s="2">
        <v>2</v>
      </c>
      <c r="H1006" s="14">
        <f>SUMIF(ENTRADAS71417[CÓDIGO],PRODUCTOS31316[[#This Row],[CÓDIGO]],ENTRADAS71417[CANTIDAD])</f>
        <v>0</v>
      </c>
      <c r="I1006" s="11">
        <f>SUMIF(SALIDAS111518[CÓDIGO],PRODUCTOS31316[[#This Row],[CÓDIGO]],SALIDAS111518[CANTIDAD])</f>
        <v>1</v>
      </c>
      <c r="J1006" s="6">
        <f>PRODUCTOS31316[[#This Row],[EXISTENCIAS]]+PRODUCTOS31316[[#This Row],[ENTRADAS]]-PRODUCTOS31316[[#This Row],[SALIDAS]]</f>
        <v>1</v>
      </c>
      <c r="L1006" s="2"/>
      <c r="M1006" s="2"/>
      <c r="N1006" s="2">
        <v>8046</v>
      </c>
      <c r="O1006" s="314" t="s">
        <v>3187</v>
      </c>
      <c r="P1006" s="314" t="s">
        <v>4396</v>
      </c>
      <c r="Q1006" s="314" t="s">
        <v>3142</v>
      </c>
      <c r="R1006" s="2">
        <f>VLOOKUP(SALIDAS111518[[#This Row],[CÓDIGO]],PRODUCTOS31316[],2,FALSE)</f>
        <v>16301</v>
      </c>
      <c r="S1006" s="1" t="str">
        <f>VLOOKUP(SALIDAS111518[[#This Row],[CÓDIGO]],PRODUCTOS31316[],3,FALSE)</f>
        <v>PISTOLA DE TRANSFERENCIA DE EMBRIONES 0,25 DE MANGO DE ALUMINIO</v>
      </c>
      <c r="T1006" s="2">
        <v>1</v>
      </c>
      <c r="U1006" s="2"/>
      <c r="V1006" s="2"/>
      <c r="W1006" s="2"/>
      <c r="X1006" s="2"/>
      <c r="Y1006" s="7"/>
      <c r="Z1006" s="2"/>
      <c r="AA1006" s="1"/>
      <c r="AC1006" s="2"/>
      <c r="AE1006" s="1"/>
      <c r="AG1006" s="2"/>
    </row>
    <row r="1007" spans="1:33" ht="49.95" customHeight="1" x14ac:dyDescent="0.3">
      <c r="A1007" s="236" t="s">
        <v>3417</v>
      </c>
      <c r="B1007" s="237" t="s">
        <v>3418</v>
      </c>
      <c r="C1007" s="237" t="s">
        <v>3419</v>
      </c>
      <c r="D1007" s="237" t="s">
        <v>2909</v>
      </c>
      <c r="E1007" s="237" t="s">
        <v>2892</v>
      </c>
      <c r="F1007" s="237" t="s">
        <v>30</v>
      </c>
      <c r="G1007" s="2">
        <v>0</v>
      </c>
      <c r="H1007" s="14">
        <f>SUMIF(ENTRADAS71417[CÓDIGO],PRODUCTOS31316[[#This Row],[CÓDIGO]],ENTRADAS71417[CANTIDAD])</f>
        <v>1</v>
      </c>
      <c r="I1007" s="11">
        <f>SUMIF(SALIDAS111518[CÓDIGO],PRODUCTOS31316[[#This Row],[CÓDIGO]],SALIDAS111518[CANTIDAD])</f>
        <v>1</v>
      </c>
      <c r="J1007" s="6">
        <f>PRODUCTOS31316[[#This Row],[EXISTENCIAS]]+PRODUCTOS31316[[#This Row],[ENTRADAS]]-PRODUCTOS31316[[#This Row],[SALIDAS]]</f>
        <v>0</v>
      </c>
      <c r="L1007" s="314" t="s">
        <v>3521</v>
      </c>
      <c r="M1007" s="314" t="s">
        <v>4250</v>
      </c>
      <c r="N1007" s="313" t="s">
        <v>4400</v>
      </c>
      <c r="O1007" s="313" t="s">
        <v>4399</v>
      </c>
      <c r="P1007" s="16">
        <v>46094</v>
      </c>
      <c r="Q1007" s="314" t="s">
        <v>153</v>
      </c>
      <c r="R1007" s="2">
        <f>VLOOKUP(SALIDAS111518[[#This Row],[CÓDIGO]],PRODUCTOS31316[],2,FALSE)</f>
        <v>1132</v>
      </c>
      <c r="S1007" s="1" t="str">
        <f>VLOOKUP(SALIDAS111518[[#This Row],[CÓDIGO]],PRODUCTOS31316[],3,FALSE)</f>
        <v>PISTOLA QUICKLOCK CLASIC</v>
      </c>
      <c r="T1007" s="2">
        <v>1</v>
      </c>
      <c r="U1007" s="2">
        <v>442</v>
      </c>
      <c r="V1007" s="2"/>
      <c r="W1007" s="2"/>
      <c r="X1007" s="2"/>
      <c r="Y1007" s="7"/>
      <c r="Z1007" s="2"/>
      <c r="AA1007" s="1"/>
      <c r="AC1007" s="2"/>
      <c r="AE1007" s="1"/>
      <c r="AG1007" s="2"/>
    </row>
    <row r="1008" spans="1:33" ht="49.95" customHeight="1" x14ac:dyDescent="0.3">
      <c r="A1008" s="240" t="s">
        <v>3427</v>
      </c>
      <c r="B1008" s="237"/>
      <c r="C1008" s="239" t="s">
        <v>3428</v>
      </c>
      <c r="D1008" s="239" t="s">
        <v>1886</v>
      </c>
      <c r="E1008" s="239" t="s">
        <v>1886</v>
      </c>
      <c r="F1008" s="239" t="s">
        <v>30</v>
      </c>
      <c r="G1008" s="2">
        <v>0</v>
      </c>
      <c r="H1008" s="14">
        <f>SUMIF(ENTRADAS71417[CÓDIGO],PRODUCTOS31316[[#This Row],[CÓDIGO]],ENTRADAS71417[CANTIDAD])</f>
        <v>3</v>
      </c>
      <c r="I1008" s="11">
        <f>SUMIF(SALIDAS111518[CÓDIGO],PRODUCTOS31316[[#This Row],[CÓDIGO]],SALIDAS111518[CANTIDAD])</f>
        <v>2</v>
      </c>
      <c r="J1008" s="6">
        <f>PRODUCTOS31316[[#This Row],[EXISTENCIAS]]+PRODUCTOS31316[[#This Row],[ENTRADAS]]-PRODUCTOS31316[[#This Row],[SALIDAS]]</f>
        <v>1</v>
      </c>
      <c r="L1008" s="314" t="s">
        <v>3520</v>
      </c>
      <c r="M1008" s="314" t="s">
        <v>4250</v>
      </c>
      <c r="N1008" s="313" t="s">
        <v>4404</v>
      </c>
      <c r="O1008" s="314" t="s">
        <v>2710</v>
      </c>
      <c r="P1008" s="16">
        <v>46094</v>
      </c>
      <c r="Q1008" s="314" t="s">
        <v>36</v>
      </c>
      <c r="R1008" s="2">
        <f>VLOOKUP(SALIDAS111518[[#This Row],[CÓDIGO]],PRODUCTOS31316[],2,FALSE)</f>
        <v>1</v>
      </c>
      <c r="S1008" s="1" t="str">
        <f>VLOOKUP(SALIDAS111518[[#This Row],[CÓDIGO]],PRODUCTOS31316[],3,FALSE)</f>
        <v xml:space="preserve">PARCHE ESTROTECT </v>
      </c>
      <c r="T1008" s="2">
        <v>2</v>
      </c>
      <c r="U1008" s="2">
        <v>444</v>
      </c>
      <c r="V1008" s="2"/>
      <c r="W1008" s="2"/>
      <c r="X1008" s="2"/>
      <c r="Y1008" s="7"/>
      <c r="Z1008" s="2"/>
      <c r="AA1008" s="1"/>
      <c r="AC1008" s="2"/>
      <c r="AE1008" s="1"/>
      <c r="AG1008" s="2"/>
    </row>
    <row r="1009" spans="1:33" ht="49.95" customHeight="1" x14ac:dyDescent="0.3">
      <c r="A1009" s="240" t="s">
        <v>3429</v>
      </c>
      <c r="B1009" s="237"/>
      <c r="C1009" s="239" t="s">
        <v>3430</v>
      </c>
      <c r="D1009" s="239" t="s">
        <v>1886</v>
      </c>
      <c r="E1009" s="239" t="s">
        <v>1886</v>
      </c>
      <c r="F1009" s="239" t="s">
        <v>30</v>
      </c>
      <c r="G1009" s="2">
        <v>0</v>
      </c>
      <c r="H1009" s="14">
        <f>SUMIF(ENTRADAS71417[CÓDIGO],PRODUCTOS31316[[#This Row],[CÓDIGO]],ENTRADAS71417[CANTIDAD])</f>
        <v>0</v>
      </c>
      <c r="I1009" s="11">
        <f>SUMIF(SALIDAS111518[CÓDIGO],PRODUCTOS31316[[#This Row],[CÓDIGO]],SALIDAS111518[CANTIDAD])</f>
        <v>0</v>
      </c>
      <c r="J1009" s="6">
        <f>PRODUCTOS31316[[#This Row],[EXISTENCIAS]]+PRODUCTOS31316[[#This Row],[ENTRADAS]]-PRODUCTOS31316[[#This Row],[SALIDAS]]</f>
        <v>0</v>
      </c>
      <c r="L1009" s="314" t="s">
        <v>3520</v>
      </c>
      <c r="M1009" s="314" t="s">
        <v>4250</v>
      </c>
      <c r="N1009" s="313" t="s">
        <v>4425</v>
      </c>
      <c r="O1009" s="314" t="s">
        <v>2241</v>
      </c>
      <c r="P1009" s="16">
        <v>46094</v>
      </c>
      <c r="Q1009" s="314" t="s">
        <v>2401</v>
      </c>
      <c r="R1009" s="2">
        <f>VLOOKUP(SALIDAS111518[[#This Row],[CÓDIGO]],PRODUCTOS31316[],2,FALSE)</f>
        <v>5540</v>
      </c>
      <c r="S1009" s="1" t="str">
        <f>VLOOKUP(SALIDAS111518[[#This Row],[CÓDIGO]],PRODUCTOS31316[],3,FALSE)</f>
        <v xml:space="preserve">FUNDAS DE TRANSFERENCIA AZUL PUNTA METÁLICA 21"                 </v>
      </c>
      <c r="T1009" s="2">
        <v>5</v>
      </c>
      <c r="U1009" s="314" t="s">
        <v>4424</v>
      </c>
      <c r="V1009" s="2"/>
      <c r="W1009" s="324" t="s">
        <v>3412</v>
      </c>
      <c r="X1009" s="2"/>
      <c r="Y1009" s="7"/>
      <c r="Z1009" s="2"/>
      <c r="AA1009" s="1"/>
      <c r="AC1009" s="2"/>
      <c r="AE1009" s="1"/>
      <c r="AG1009" s="2"/>
    </row>
    <row r="1010" spans="1:33" ht="49.95" customHeight="1" x14ac:dyDescent="0.3">
      <c r="A1010" s="240" t="s">
        <v>3431</v>
      </c>
      <c r="B1010" s="237">
        <v>9013005</v>
      </c>
      <c r="C1010" s="290" t="s">
        <v>3912</v>
      </c>
      <c r="D1010" s="239" t="s">
        <v>18</v>
      </c>
      <c r="E1010" s="239" t="s">
        <v>18</v>
      </c>
      <c r="F1010" s="239" t="s">
        <v>30</v>
      </c>
      <c r="G1010" s="2">
        <v>1</v>
      </c>
      <c r="H1010" s="14">
        <f>SUMIF(ENTRADAS71417[CÓDIGO],PRODUCTOS31316[[#This Row],[CÓDIGO]],ENTRADAS71417[CANTIDAD])</f>
        <v>2</v>
      </c>
      <c r="I1010" s="11">
        <f>SUMIF(SALIDAS111518[CÓDIGO],PRODUCTOS31316[[#This Row],[CÓDIGO]],SALIDAS111518[CANTIDAD])</f>
        <v>2</v>
      </c>
      <c r="J1010" s="6">
        <f>PRODUCTOS31316[[#This Row],[EXISTENCIAS]]+PRODUCTOS31316[[#This Row],[ENTRADAS]]-PRODUCTOS31316[[#This Row],[SALIDAS]]</f>
        <v>1</v>
      </c>
      <c r="L1010" s="2"/>
      <c r="M1010" s="2"/>
      <c r="N1010" s="2">
        <v>8060</v>
      </c>
      <c r="O1010" s="314" t="s">
        <v>2241</v>
      </c>
      <c r="P1010" s="16">
        <v>46094</v>
      </c>
      <c r="Q1010" s="314" t="s">
        <v>104</v>
      </c>
      <c r="R1010" s="2">
        <f>VLOOKUP(SALIDAS111518[[#This Row],[CÓDIGO]],PRODUCTOS31316[],2,FALSE)</f>
        <v>0</v>
      </c>
      <c r="S1010" s="1" t="str">
        <f>VLOOKUP(SALIDAS111518[[#This Row],[CÓDIGO]],PRODUCTOS31316[],3,FALSE)</f>
        <v>ISPERM CHIPS (500 TESTS PER BOX) PAQ. X 50 UND</v>
      </c>
      <c r="T1010" s="2">
        <v>1</v>
      </c>
      <c r="U1010" s="2"/>
      <c r="V1010" s="2"/>
      <c r="W1010" s="2"/>
      <c r="X1010" s="2"/>
      <c r="Y1010" s="7"/>
      <c r="Z1010" s="2"/>
      <c r="AA1010" s="1"/>
      <c r="AC1010" s="2"/>
      <c r="AE1010" s="1"/>
      <c r="AG1010" s="2"/>
    </row>
    <row r="1011" spans="1:33" ht="49.95" customHeight="1" x14ac:dyDescent="0.3">
      <c r="A1011" s="240" t="s">
        <v>3432</v>
      </c>
      <c r="B1011" s="239" t="s">
        <v>3433</v>
      </c>
      <c r="C1011" s="239" t="s">
        <v>3434</v>
      </c>
      <c r="D1011" s="239" t="s">
        <v>646</v>
      </c>
      <c r="E1011" s="239" t="s">
        <v>646</v>
      </c>
      <c r="F1011" s="239" t="s">
        <v>30</v>
      </c>
      <c r="G1011" s="2">
        <v>7</v>
      </c>
      <c r="H1011" s="14">
        <f>SUMIF(ENTRADAS71417[CÓDIGO],PRODUCTOS31316[[#This Row],[CÓDIGO]],ENTRADAS71417[CANTIDAD])</f>
        <v>0</v>
      </c>
      <c r="I1011" s="11">
        <f>SUMIF(SALIDAS111518[CÓDIGO],PRODUCTOS31316[[#This Row],[CÓDIGO]],SALIDAS111518[CANTIDAD])</f>
        <v>4</v>
      </c>
      <c r="J1011" s="6">
        <f>PRODUCTOS31316[[#This Row],[EXISTENCIAS]]+PRODUCTOS31316[[#This Row],[ENTRADAS]]-PRODUCTOS31316[[#This Row],[SALIDAS]]</f>
        <v>3</v>
      </c>
      <c r="L1011" s="2"/>
      <c r="M1011" s="2"/>
      <c r="N1011" s="2">
        <v>8060</v>
      </c>
      <c r="O1011" s="314" t="s">
        <v>2241</v>
      </c>
      <c r="P1011" s="16">
        <v>46094</v>
      </c>
      <c r="Q1011" s="314" t="s">
        <v>369</v>
      </c>
      <c r="R1011" s="2">
        <f>VLOOKUP(SALIDAS111518[[#This Row],[CÓDIGO]],PRODUCTOS31316[],2,FALSE)</f>
        <v>0</v>
      </c>
      <c r="S1011" s="1" t="str">
        <f>VLOOKUP(SALIDAS111518[[#This Row],[CÓDIGO]],PRODUCTOS31316[],3,FALSE)</f>
        <v>FUNDA UNIVERSAL PARA I.A. RANURADA</v>
      </c>
      <c r="T1011" s="2">
        <v>10</v>
      </c>
      <c r="U1011" s="2"/>
      <c r="V1011" s="2"/>
      <c r="W1011" s="2"/>
      <c r="X1011" s="2"/>
      <c r="Y1011" s="7"/>
      <c r="Z1011" s="2"/>
      <c r="AA1011" s="1"/>
      <c r="AC1011" s="2"/>
      <c r="AE1011" s="1"/>
      <c r="AG1011" s="2"/>
    </row>
    <row r="1012" spans="1:33" ht="49.95" customHeight="1" x14ac:dyDescent="0.3">
      <c r="A1012" s="240" t="s">
        <v>3435</v>
      </c>
      <c r="B1012" s="239" t="s">
        <v>3436</v>
      </c>
      <c r="C1012" s="239" t="s">
        <v>3437</v>
      </c>
      <c r="D1012" s="239" t="s">
        <v>646</v>
      </c>
      <c r="E1012" s="239" t="s">
        <v>646</v>
      </c>
      <c r="F1012" s="239" t="s">
        <v>30</v>
      </c>
      <c r="G1012" s="2">
        <v>4</v>
      </c>
      <c r="H1012" s="14">
        <f>SUMIF(ENTRADAS71417[CÓDIGO],PRODUCTOS31316[[#This Row],[CÓDIGO]],ENTRADAS71417[CANTIDAD])</f>
        <v>0</v>
      </c>
      <c r="I1012" s="11">
        <f>SUMIF(SALIDAS111518[CÓDIGO],PRODUCTOS31316[[#This Row],[CÓDIGO]],SALIDAS111518[CANTIDAD])</f>
        <v>1</v>
      </c>
      <c r="J1012" s="6">
        <f>PRODUCTOS31316[[#This Row],[EXISTENCIAS]]+PRODUCTOS31316[[#This Row],[ENTRADAS]]-PRODUCTOS31316[[#This Row],[SALIDAS]]</f>
        <v>3</v>
      </c>
      <c r="L1012" s="2"/>
      <c r="M1012" s="2"/>
      <c r="N1012" s="2">
        <v>8060</v>
      </c>
      <c r="O1012" s="314" t="s">
        <v>2241</v>
      </c>
      <c r="P1012" s="16">
        <v>46094</v>
      </c>
      <c r="Q1012" s="314" t="s">
        <v>2295</v>
      </c>
      <c r="R1012" s="2" t="str">
        <f>VLOOKUP(SALIDAS111518[[#This Row],[CÓDIGO]],PRODUCTOS31316[],2,FALSE)</f>
        <v>B00992</v>
      </c>
      <c r="S1012" s="1" t="str">
        <f>VLOOKUP(SALIDAS111518[[#This Row],[CÓDIGO]],PRODUCTOS31316[],3,FALSE)</f>
        <v>BOLSA WHRIL-PAK 7 OZ</v>
      </c>
      <c r="T1012" s="2">
        <v>50</v>
      </c>
      <c r="U1012" s="2"/>
      <c r="V1012" s="2"/>
      <c r="W1012" s="2"/>
      <c r="X1012" s="2"/>
      <c r="Y1012" s="7"/>
      <c r="Z1012" s="2"/>
      <c r="AA1012" s="1"/>
      <c r="AC1012" s="2"/>
      <c r="AE1012" s="1"/>
      <c r="AG1012" s="2"/>
    </row>
    <row r="1013" spans="1:33" ht="49.95" customHeight="1" x14ac:dyDescent="0.3">
      <c r="A1013" s="242" t="s">
        <v>3457</v>
      </c>
      <c r="B1013" s="239"/>
      <c r="C1013" s="241" t="s">
        <v>3438</v>
      </c>
      <c r="D1013" s="241" t="s">
        <v>2909</v>
      </c>
      <c r="E1013" s="241" t="s">
        <v>2909</v>
      </c>
      <c r="F1013" s="241" t="s">
        <v>30</v>
      </c>
      <c r="G1013" s="2">
        <v>30</v>
      </c>
      <c r="H1013" s="14">
        <f>SUMIF(ENTRADAS71417[CÓDIGO],PRODUCTOS31316[[#This Row],[CÓDIGO]],ENTRADAS71417[CANTIDAD])</f>
        <v>0</v>
      </c>
      <c r="I1013" s="11">
        <f>SUMIF(SALIDAS111518[CÓDIGO],PRODUCTOS31316[[#This Row],[CÓDIGO]],SALIDAS111518[CANTIDAD])</f>
        <v>3</v>
      </c>
      <c r="J1013" s="6">
        <f>PRODUCTOS31316[[#This Row],[EXISTENCIAS]]+PRODUCTOS31316[[#This Row],[ENTRADAS]]-PRODUCTOS31316[[#This Row],[SALIDAS]]</f>
        <v>27</v>
      </c>
      <c r="L1013" s="2"/>
      <c r="M1013" s="2"/>
      <c r="N1013" s="2">
        <v>8060</v>
      </c>
      <c r="O1013" s="314" t="s">
        <v>2241</v>
      </c>
      <c r="P1013" s="16">
        <v>46094</v>
      </c>
      <c r="Q1013" s="314" t="s">
        <v>153</v>
      </c>
      <c r="R1013" s="2">
        <f>VLOOKUP(SALIDAS111518[[#This Row],[CÓDIGO]],PRODUCTOS31316[],2,FALSE)</f>
        <v>1132</v>
      </c>
      <c r="S1013" s="1" t="str">
        <f>VLOOKUP(SALIDAS111518[[#This Row],[CÓDIGO]],PRODUCTOS31316[],3,FALSE)</f>
        <v>PISTOLA QUICKLOCK CLASIC</v>
      </c>
      <c r="T1013" s="2">
        <v>1</v>
      </c>
      <c r="U1013" s="2"/>
      <c r="V1013" s="2"/>
      <c r="W1013" s="2"/>
      <c r="X1013" s="2"/>
      <c r="Y1013" s="7"/>
      <c r="Z1013" s="2"/>
      <c r="AA1013" s="1"/>
      <c r="AC1013" s="2"/>
      <c r="AE1013" s="1"/>
      <c r="AG1013" s="2"/>
    </row>
    <row r="1014" spans="1:33" ht="49.95" customHeight="1" x14ac:dyDescent="0.3">
      <c r="A1014" s="242" t="s">
        <v>3440</v>
      </c>
      <c r="B1014" s="243" t="s">
        <v>3441</v>
      </c>
      <c r="C1014" s="243" t="s">
        <v>3442</v>
      </c>
      <c r="D1014" s="243" t="s">
        <v>2650</v>
      </c>
      <c r="E1014" s="243" t="s">
        <v>2389</v>
      </c>
      <c r="F1014" s="243" t="s">
        <v>30</v>
      </c>
      <c r="G1014" s="2">
        <v>1</v>
      </c>
      <c r="H1014" s="14">
        <f>SUMIF(ENTRADAS71417[CÓDIGO],PRODUCTOS31316[[#This Row],[CÓDIGO]],ENTRADAS71417[CANTIDAD])</f>
        <v>2</v>
      </c>
      <c r="I1014" s="11">
        <f>SUMIF(SALIDAS111518[CÓDIGO],PRODUCTOS31316[[#This Row],[CÓDIGO]],SALIDAS111518[CANTIDAD])</f>
        <v>2</v>
      </c>
      <c r="J1014" s="6">
        <f>PRODUCTOS31316[[#This Row],[EXISTENCIAS]]+PRODUCTOS31316[[#This Row],[ENTRADAS]]-PRODUCTOS31316[[#This Row],[SALIDAS]]</f>
        <v>1</v>
      </c>
      <c r="L1014" s="314" t="s">
        <v>3520</v>
      </c>
      <c r="M1014" s="314" t="s">
        <v>4250</v>
      </c>
      <c r="N1014" s="313" t="s">
        <v>4405</v>
      </c>
      <c r="O1014" s="314" t="s">
        <v>3069</v>
      </c>
      <c r="P1014" s="16">
        <v>46094</v>
      </c>
      <c r="Q1014" s="314" t="s">
        <v>2401</v>
      </c>
      <c r="R1014" s="2">
        <f>VLOOKUP(SALIDAS111518[[#This Row],[CÓDIGO]],PRODUCTOS31316[],2,FALSE)</f>
        <v>5540</v>
      </c>
      <c r="S1014" s="1" t="str">
        <f>VLOOKUP(SALIDAS111518[[#This Row],[CÓDIGO]],PRODUCTOS31316[],3,FALSE)</f>
        <v xml:space="preserve">FUNDAS DE TRANSFERENCIA AZUL PUNTA METÁLICA 21"                 </v>
      </c>
      <c r="T1014" s="2">
        <v>5</v>
      </c>
      <c r="U1014" s="2">
        <v>445</v>
      </c>
      <c r="V1014" s="2"/>
      <c r="W1014" s="2"/>
      <c r="X1014" s="2"/>
      <c r="Y1014" s="7"/>
      <c r="Z1014" s="2"/>
      <c r="AA1014" s="1"/>
      <c r="AC1014" s="2"/>
      <c r="AE1014" s="1"/>
      <c r="AG1014" s="2"/>
    </row>
    <row r="1015" spans="1:33" ht="49.95" customHeight="1" x14ac:dyDescent="0.3">
      <c r="A1015" s="242" t="s">
        <v>3444</v>
      </c>
      <c r="B1015" s="243"/>
      <c r="C1015" s="243" t="s">
        <v>3445</v>
      </c>
      <c r="D1015" s="243" t="s">
        <v>3447</v>
      </c>
      <c r="E1015" s="243" t="s">
        <v>957</v>
      </c>
      <c r="F1015" s="243" t="s">
        <v>3446</v>
      </c>
      <c r="G1015" s="2">
        <v>0</v>
      </c>
      <c r="H1015" s="14">
        <f>SUMIF(ENTRADAS71417[CÓDIGO],PRODUCTOS31316[[#This Row],[CÓDIGO]],ENTRADAS71417[CANTIDAD])</f>
        <v>0</v>
      </c>
      <c r="I1015" s="11">
        <f>SUMIF(SALIDAS111518[CÓDIGO],PRODUCTOS31316[[#This Row],[CÓDIGO]],SALIDAS111518[CANTIDAD])</f>
        <v>0</v>
      </c>
      <c r="J1015" s="6">
        <f>PRODUCTOS31316[[#This Row],[EXISTENCIAS]]+PRODUCTOS31316[[#This Row],[ENTRADAS]]-PRODUCTOS31316[[#This Row],[SALIDAS]]</f>
        <v>0</v>
      </c>
      <c r="L1015" s="2"/>
      <c r="M1015" s="2"/>
      <c r="N1015" s="2">
        <v>8052</v>
      </c>
      <c r="O1015" s="314" t="s">
        <v>3069</v>
      </c>
      <c r="P1015" s="16">
        <v>46094</v>
      </c>
      <c r="Q1015" s="314" t="s">
        <v>382</v>
      </c>
      <c r="R1015" s="2">
        <f>VLOOKUP(SALIDAS111518[[#This Row],[CÓDIGO]],PRODUCTOS31316[],2,FALSE)</f>
        <v>605032</v>
      </c>
      <c r="S1015" s="1" t="str">
        <f>VLOOKUP(SALIDAS111518[[#This Row],[CÓDIGO]],PRODUCTOS31316[],3,FALSE)</f>
        <v>LUBRICANTE OB, NO ESPERMICIDA</v>
      </c>
      <c r="T1015" s="2">
        <v>1</v>
      </c>
      <c r="U1015" s="2"/>
      <c r="V1015" s="2"/>
      <c r="W1015" s="2"/>
      <c r="X1015" s="2"/>
      <c r="Y1015" s="7"/>
      <c r="Z1015" s="2"/>
      <c r="AA1015" s="1"/>
      <c r="AC1015" s="2"/>
      <c r="AE1015" s="1"/>
      <c r="AG1015" s="2"/>
    </row>
    <row r="1016" spans="1:33" ht="49.95" customHeight="1" x14ac:dyDescent="0.3">
      <c r="A1016" s="242" t="s">
        <v>3449</v>
      </c>
      <c r="B1016" s="243" t="s">
        <v>3450</v>
      </c>
      <c r="C1016" s="243" t="s">
        <v>3455</v>
      </c>
      <c r="D1016" s="243" t="s">
        <v>3048</v>
      </c>
      <c r="E1016" s="243" t="s">
        <v>708</v>
      </c>
      <c r="F1016" s="243" t="s">
        <v>30</v>
      </c>
      <c r="G1016" s="2">
        <v>1</v>
      </c>
      <c r="H1016" s="14">
        <f>SUMIF(ENTRADAS71417[CÓDIGO],PRODUCTOS31316[[#This Row],[CÓDIGO]],ENTRADAS71417[CANTIDAD])</f>
        <v>0</v>
      </c>
      <c r="I1016" s="11">
        <f>SUMIF(SALIDAS111518[CÓDIGO],PRODUCTOS31316[[#This Row],[CÓDIGO]],SALIDAS111518[CANTIDAD])</f>
        <v>1</v>
      </c>
      <c r="J1016" s="6">
        <f>PRODUCTOS31316[[#This Row],[EXISTENCIAS]]+PRODUCTOS31316[[#This Row],[ENTRADAS]]-PRODUCTOS31316[[#This Row],[SALIDAS]]</f>
        <v>0</v>
      </c>
      <c r="L1016" s="2"/>
      <c r="M1016" s="2"/>
      <c r="N1016" s="2"/>
      <c r="O1016" s="314" t="s">
        <v>3069</v>
      </c>
      <c r="P1016" s="16">
        <v>46094</v>
      </c>
      <c r="Q1016" s="314" t="s">
        <v>15</v>
      </c>
      <c r="R1016" s="2" t="str">
        <f>VLOOKUP(SALIDAS111518[[#This Row],[CÓDIGO]],PRODUCTOS31316[],2,FALSE)</f>
        <v>BTE-025PT/ 504002</v>
      </c>
      <c r="S1016" s="1" t="str">
        <f>VLOOKUP(SALIDAS111518[[#This Row],[CÓDIGO]],PRODUCTOS31316[],3,FALSE)</f>
        <v>FUNDAS PARA TRANSFERENCIA DE EMBRIONES</v>
      </c>
      <c r="T1016" s="2">
        <v>0</v>
      </c>
      <c r="U1016" s="344" t="s">
        <v>4787</v>
      </c>
      <c r="V1016" s="2"/>
      <c r="W1016" s="2"/>
      <c r="X1016" s="2"/>
      <c r="Y1016" s="7"/>
      <c r="Z1016" s="2"/>
      <c r="AA1016" s="1"/>
      <c r="AC1016" s="2"/>
      <c r="AE1016" s="1"/>
      <c r="AG1016" s="2"/>
    </row>
    <row r="1017" spans="1:33" ht="49.95" customHeight="1" x14ac:dyDescent="0.3">
      <c r="A1017" s="242" t="s">
        <v>3454</v>
      </c>
      <c r="B1017" s="243" t="s">
        <v>3451</v>
      </c>
      <c r="C1017" s="243" t="s">
        <v>3452</v>
      </c>
      <c r="D1017" s="243" t="s">
        <v>3048</v>
      </c>
      <c r="E1017" s="243" t="s">
        <v>3453</v>
      </c>
      <c r="F1017" s="243" t="s">
        <v>30</v>
      </c>
      <c r="G1017" s="2">
        <v>1</v>
      </c>
      <c r="H1017" s="14">
        <f>SUMIF(ENTRADAS71417[CÓDIGO],PRODUCTOS31316[[#This Row],[CÓDIGO]],ENTRADAS71417[CANTIDAD])</f>
        <v>0</v>
      </c>
      <c r="I1017" s="11">
        <f>SUMIF(SALIDAS111518[CÓDIGO],PRODUCTOS31316[[#This Row],[CÓDIGO]],SALIDAS111518[CANTIDAD])</f>
        <v>1</v>
      </c>
      <c r="J1017" s="6">
        <f>PRODUCTOS31316[[#This Row],[EXISTENCIAS]]+PRODUCTOS31316[[#This Row],[ENTRADAS]]-PRODUCTOS31316[[#This Row],[SALIDAS]]</f>
        <v>0</v>
      </c>
      <c r="L1017" s="314" t="s">
        <v>3520</v>
      </c>
      <c r="M1017" s="314" t="s">
        <v>4250</v>
      </c>
      <c r="N1017" s="313" t="s">
        <v>4406</v>
      </c>
      <c r="O1017" s="313" t="s">
        <v>3195</v>
      </c>
      <c r="P1017" s="16">
        <v>46094</v>
      </c>
      <c r="Q1017" s="314" t="s">
        <v>15</v>
      </c>
      <c r="R1017" s="2" t="str">
        <f>VLOOKUP(SALIDAS111518[[#This Row],[CÓDIGO]],PRODUCTOS31316[],2,FALSE)</f>
        <v>BTE-025PT/ 504002</v>
      </c>
      <c r="S1017" s="1" t="str">
        <f>VLOOKUP(SALIDAS111518[[#This Row],[CÓDIGO]],PRODUCTOS31316[],3,FALSE)</f>
        <v>FUNDAS PARA TRANSFERENCIA DE EMBRIONES</v>
      </c>
      <c r="T1017" s="2">
        <v>40</v>
      </c>
      <c r="U1017" s="2">
        <v>446</v>
      </c>
      <c r="V1017" s="2"/>
      <c r="W1017" s="2"/>
      <c r="X1017" s="2"/>
      <c r="Y1017" s="7"/>
      <c r="Z1017" s="2"/>
      <c r="AA1017" s="1"/>
      <c r="AC1017" s="2"/>
      <c r="AE1017" s="1"/>
      <c r="AG1017" s="2"/>
    </row>
    <row r="1018" spans="1:33" ht="49.95" customHeight="1" x14ac:dyDescent="0.3">
      <c r="A1018" s="245" t="s">
        <v>3456</v>
      </c>
      <c r="B1018" s="243"/>
      <c r="C1018" s="246" t="s">
        <v>3462</v>
      </c>
      <c r="D1018" s="246" t="s">
        <v>467</v>
      </c>
      <c r="E1018" s="246" t="s">
        <v>467</v>
      </c>
      <c r="F1018" s="243" t="s">
        <v>30</v>
      </c>
      <c r="G1018" s="2">
        <v>16</v>
      </c>
      <c r="H1018" s="14">
        <f>SUMIF(ENTRADAS71417[CÓDIGO],PRODUCTOS31316[[#This Row],[CÓDIGO]],ENTRADAS71417[CANTIDAD])</f>
        <v>0</v>
      </c>
      <c r="I1018" s="11">
        <f>SUMIF(SALIDAS111518[CÓDIGO],PRODUCTOS31316[[#This Row],[CÓDIGO]],SALIDAS111518[CANTIDAD])</f>
        <v>0</v>
      </c>
      <c r="J1018" s="6">
        <f>PRODUCTOS31316[[#This Row],[EXISTENCIAS]]+PRODUCTOS31316[[#This Row],[ENTRADAS]]-PRODUCTOS31316[[#This Row],[SALIDAS]]</f>
        <v>16</v>
      </c>
      <c r="L1018" s="2"/>
      <c r="M1018" s="2"/>
      <c r="N1018" s="2">
        <v>8053</v>
      </c>
      <c r="O1018" s="313" t="s">
        <v>3195</v>
      </c>
      <c r="P1018" s="16">
        <v>46094</v>
      </c>
      <c r="Q1018" s="314" t="s">
        <v>1779</v>
      </c>
      <c r="R1018" s="2">
        <f>VLOOKUP(SALIDAS111518[[#This Row],[CÓDIGO]],PRODUCTOS31316[],2,FALSE)</f>
        <v>5563</v>
      </c>
      <c r="S1018" s="1" t="str">
        <f>VLOOKUP(SALIDAS111518[[#This Row],[CÓDIGO]],PRODUCTOS31316[],3,FALSE)</f>
        <v>CAMISA SANITARIA ROLLO X 80</v>
      </c>
      <c r="T1018" s="2">
        <v>3</v>
      </c>
      <c r="U1018" s="2"/>
      <c r="V1018" s="2"/>
      <c r="W1018" s="2"/>
      <c r="X1018" s="2"/>
      <c r="Y1018" s="7"/>
      <c r="Z1018" s="2"/>
      <c r="AA1018" s="1"/>
      <c r="AC1018" s="2"/>
      <c r="AE1018" s="1"/>
      <c r="AG1018" s="2"/>
    </row>
    <row r="1019" spans="1:33" ht="49.95" customHeight="1" x14ac:dyDescent="0.3">
      <c r="A1019" s="245" t="s">
        <v>3463</v>
      </c>
      <c r="B1019" s="246" t="s">
        <v>3465</v>
      </c>
      <c r="C1019" s="246" t="s">
        <v>3464</v>
      </c>
      <c r="D1019" s="246" t="s">
        <v>3200</v>
      </c>
      <c r="E1019" s="246" t="s">
        <v>3200</v>
      </c>
      <c r="F1019" s="246" t="s">
        <v>30</v>
      </c>
      <c r="G1019" s="2">
        <v>4</v>
      </c>
      <c r="H1019" s="14">
        <f>SUMIF(ENTRADAS71417[CÓDIGO],PRODUCTOS31316[[#This Row],[CÓDIGO]],ENTRADAS71417[CANTIDAD])</f>
        <v>0</v>
      </c>
      <c r="I1019" s="11">
        <f>SUMIF(SALIDAS111518[CÓDIGO],PRODUCTOS31316[[#This Row],[CÓDIGO]],SALIDAS111518[CANTIDAD])</f>
        <v>1</v>
      </c>
      <c r="J1019" s="6">
        <f>PRODUCTOS31316[[#This Row],[EXISTENCIAS]]+PRODUCTOS31316[[#This Row],[ENTRADAS]]-PRODUCTOS31316[[#This Row],[SALIDAS]]</f>
        <v>3</v>
      </c>
      <c r="L1019" s="314" t="s">
        <v>3520</v>
      </c>
      <c r="M1019" s="314" t="s">
        <v>4250</v>
      </c>
      <c r="N1019" s="313" t="s">
        <v>4408</v>
      </c>
      <c r="O1019" s="314" t="s">
        <v>94</v>
      </c>
      <c r="P1019" s="16">
        <v>46094</v>
      </c>
      <c r="Q1019" s="314" t="s">
        <v>4140</v>
      </c>
      <c r="R1019" s="2">
        <f>VLOOKUP(SALIDAS111518[[#This Row],[CÓDIGO]],PRODUCTOS31316[],2,FALSE)</f>
        <v>5575</v>
      </c>
      <c r="S1019" s="1" t="str">
        <f>VLOOKUP(SALIDAS111518[[#This Row],[CÓDIGO]],PRODUCTOS31316[],3,FALSE)</f>
        <v>PAJUELA AMARILLA 0.25/ PAQUETE X 2000</v>
      </c>
      <c r="T1019" s="2">
        <v>1</v>
      </c>
      <c r="U1019" s="314" t="s">
        <v>4407</v>
      </c>
      <c r="V1019" s="2"/>
      <c r="W1019" s="2"/>
      <c r="X1019" s="2"/>
      <c r="Y1019" s="7"/>
      <c r="Z1019" s="2"/>
      <c r="AA1019" s="1"/>
      <c r="AC1019" s="2"/>
      <c r="AE1019" s="1"/>
      <c r="AG1019" s="2"/>
    </row>
    <row r="1020" spans="1:33" ht="49.95" customHeight="1" x14ac:dyDescent="0.3">
      <c r="A1020" s="245" t="s">
        <v>3466</v>
      </c>
      <c r="B1020" s="246" t="s">
        <v>3468</v>
      </c>
      <c r="C1020" s="246" t="s">
        <v>3467</v>
      </c>
      <c r="D1020" s="246" t="s">
        <v>3042</v>
      </c>
      <c r="E1020" s="246" t="s">
        <v>3042</v>
      </c>
      <c r="F1020" s="246" t="s">
        <v>30</v>
      </c>
      <c r="G1020" s="2">
        <v>0</v>
      </c>
      <c r="H1020" s="14">
        <f>SUMIF(ENTRADAS71417[CÓDIGO],PRODUCTOS31316[[#This Row],[CÓDIGO]],ENTRADAS71417[CANTIDAD])</f>
        <v>0</v>
      </c>
      <c r="I1020" s="11">
        <f>SUMIF(SALIDAS111518[CÓDIGO],PRODUCTOS31316[[#This Row],[CÓDIGO]],SALIDAS111518[CANTIDAD])</f>
        <v>0</v>
      </c>
      <c r="J1020" s="6">
        <f>PRODUCTOS31316[[#This Row],[EXISTENCIAS]]+PRODUCTOS31316[[#This Row],[ENTRADAS]]-PRODUCTOS31316[[#This Row],[SALIDAS]]</f>
        <v>0</v>
      </c>
      <c r="L1020" s="2"/>
      <c r="M1020" s="2"/>
      <c r="N1020" s="2">
        <v>8054</v>
      </c>
      <c r="O1020" s="314" t="s">
        <v>94</v>
      </c>
      <c r="P1020" s="16">
        <v>46094</v>
      </c>
      <c r="Q1020" s="314" t="s">
        <v>3639</v>
      </c>
      <c r="R1020" s="2">
        <f>VLOOKUP(SALIDAS111518[[#This Row],[CÓDIGO]],PRODUCTOS31316[],2,FALSE)</f>
        <v>5565</v>
      </c>
      <c r="S1020" s="1" t="str">
        <f>VLOOKUP(SALIDAS111518[[#This Row],[CÓDIGO]],PRODUCTOS31316[],3,FALSE)</f>
        <v>PAJUELA TRANSPARENTE 0.25/ PAQ. X 2000 MARCA IMV</v>
      </c>
      <c r="T1020" s="2">
        <v>1</v>
      </c>
      <c r="U1020" s="2"/>
      <c r="V1020" s="2"/>
      <c r="W1020" s="2"/>
      <c r="X1020" s="2"/>
      <c r="Y1020" s="7"/>
      <c r="Z1020" s="2"/>
      <c r="AA1020" s="1"/>
      <c r="AC1020" s="2"/>
      <c r="AE1020" s="1"/>
      <c r="AG1020" s="2"/>
    </row>
    <row r="1021" spans="1:33" ht="49.95" customHeight="1" x14ac:dyDescent="0.3">
      <c r="A1021" s="248" t="s">
        <v>3469</v>
      </c>
      <c r="B1021" s="249" t="s">
        <v>3470</v>
      </c>
      <c r="C1021" s="249" t="s">
        <v>3473</v>
      </c>
      <c r="D1021" s="249" t="s">
        <v>839</v>
      </c>
      <c r="E1021" s="290" t="s">
        <v>3471</v>
      </c>
      <c r="F1021" s="249" t="s">
        <v>3472</v>
      </c>
      <c r="G1021" s="2">
        <v>0</v>
      </c>
      <c r="H1021" s="14">
        <f>SUMIF(ENTRADAS71417[CÓDIGO],PRODUCTOS31316[[#This Row],[CÓDIGO]],ENTRADAS71417[CANTIDAD])</f>
        <v>7</v>
      </c>
      <c r="I1021" s="11">
        <f>SUMIF(SALIDAS111518[CÓDIGO],PRODUCTOS31316[[#This Row],[CÓDIGO]],SALIDAS111518[CANTIDAD])</f>
        <v>7</v>
      </c>
      <c r="J1021" s="6">
        <f>PRODUCTOS31316[[#This Row],[EXISTENCIAS]]+PRODUCTOS31316[[#This Row],[ENTRADAS]]-PRODUCTOS31316[[#This Row],[SALIDAS]]</f>
        <v>0</v>
      </c>
      <c r="L1021" s="314" t="s">
        <v>3520</v>
      </c>
      <c r="M1021" s="314" t="s">
        <v>4250</v>
      </c>
      <c r="N1021" s="313" t="s">
        <v>4410</v>
      </c>
      <c r="O1021" s="314" t="s">
        <v>2871</v>
      </c>
      <c r="P1021" s="16">
        <v>46094</v>
      </c>
      <c r="Q1021" s="314" t="s">
        <v>683</v>
      </c>
      <c r="R1021" s="2">
        <f>VLOOKUP(SALIDAS111518[[#This Row],[CÓDIGO]],PRODUCTOS31316[],2,FALSE)</f>
        <v>109304</v>
      </c>
      <c r="S1021" s="1" t="str">
        <f>VLOOKUP(SALIDAS111518[[#This Row],[CÓDIGO]],PRODUCTOS31316[],3,FALSE)</f>
        <v>EOSINA- NIGROSINA</v>
      </c>
      <c r="T1021" s="2">
        <v>1</v>
      </c>
      <c r="U1021" s="2">
        <v>450</v>
      </c>
      <c r="V1021" s="2"/>
      <c r="W1021" s="2"/>
      <c r="X1021" s="2"/>
      <c r="Y1021" s="7"/>
      <c r="Z1021" s="2"/>
      <c r="AA1021" s="1"/>
      <c r="AC1021" s="2"/>
      <c r="AE1021" s="1"/>
      <c r="AG1021" s="2"/>
    </row>
    <row r="1022" spans="1:33" ht="49.95" customHeight="1" x14ac:dyDescent="0.3">
      <c r="A1022" s="250" t="s">
        <v>3477</v>
      </c>
      <c r="B1022" s="251" t="s">
        <v>3478</v>
      </c>
      <c r="C1022" s="251" t="s">
        <v>3476</v>
      </c>
      <c r="D1022" s="251" t="s">
        <v>467</v>
      </c>
      <c r="E1022" s="251" t="s">
        <v>467</v>
      </c>
      <c r="F1022" s="251" t="s">
        <v>30</v>
      </c>
      <c r="G1022" s="2">
        <v>3</v>
      </c>
      <c r="H1022" s="14">
        <f>SUMIF(ENTRADAS71417[CÓDIGO],PRODUCTOS31316[[#This Row],[CÓDIGO]],ENTRADAS71417[CANTIDAD])</f>
        <v>0</v>
      </c>
      <c r="I1022" s="11">
        <f>SUMIF(SALIDAS111518[CÓDIGO],PRODUCTOS31316[[#This Row],[CÓDIGO]],SALIDAS111518[CANTIDAD])</f>
        <v>3</v>
      </c>
      <c r="J1022" s="6">
        <f>PRODUCTOS31316[[#This Row],[EXISTENCIAS]]+PRODUCTOS31316[[#This Row],[ENTRADAS]]-PRODUCTOS31316[[#This Row],[SALIDAS]]</f>
        <v>0</v>
      </c>
      <c r="L1022" s="314" t="s">
        <v>3520</v>
      </c>
      <c r="M1022" s="314" t="s">
        <v>4250</v>
      </c>
      <c r="N1022" s="313" t="s">
        <v>4413</v>
      </c>
      <c r="O1022" s="350" t="s">
        <v>3159</v>
      </c>
      <c r="P1022" s="16">
        <v>46094</v>
      </c>
      <c r="Q1022" s="314" t="s">
        <v>15</v>
      </c>
      <c r="R1022" s="2" t="str">
        <f>VLOOKUP(SALIDAS111518[[#This Row],[CÓDIGO]],PRODUCTOS31316[],2,FALSE)</f>
        <v>BTE-025PT/ 504002</v>
      </c>
      <c r="S1022" s="1" t="str">
        <f>VLOOKUP(SALIDAS111518[[#This Row],[CÓDIGO]],PRODUCTOS31316[],3,FALSE)</f>
        <v>FUNDAS PARA TRANSFERENCIA DE EMBRIONES</v>
      </c>
      <c r="T1022" s="2">
        <v>400</v>
      </c>
      <c r="U1022" s="313" t="s">
        <v>4412</v>
      </c>
      <c r="V1022" s="2"/>
      <c r="W1022" s="2"/>
      <c r="X1022" s="2"/>
      <c r="Y1022" s="7"/>
      <c r="Z1022" s="2"/>
      <c r="AA1022" s="1"/>
      <c r="AC1022" s="2"/>
      <c r="AE1022" s="1"/>
      <c r="AG1022" s="2"/>
    </row>
    <row r="1023" spans="1:33" ht="49.95" customHeight="1" x14ac:dyDescent="0.3">
      <c r="A1023" s="250" t="s">
        <v>3479</v>
      </c>
      <c r="B1023" s="251" t="s">
        <v>3481</v>
      </c>
      <c r="C1023" s="251" t="s">
        <v>3480</v>
      </c>
      <c r="D1023" s="251" t="s">
        <v>2554</v>
      </c>
      <c r="E1023" s="251" t="s">
        <v>410</v>
      </c>
      <c r="F1023" s="251" t="s">
        <v>30</v>
      </c>
      <c r="G1023" s="2">
        <v>0</v>
      </c>
      <c r="H1023" s="14">
        <f>SUMIF(ENTRADAS71417[CÓDIGO],PRODUCTOS31316[[#This Row],[CÓDIGO]],ENTRADAS71417[CANTIDAD])</f>
        <v>0</v>
      </c>
      <c r="I1023" s="11">
        <f>SUMIF(SALIDAS111518[CÓDIGO],PRODUCTOS31316[[#This Row],[CÓDIGO]],SALIDAS111518[CANTIDAD])</f>
        <v>0</v>
      </c>
      <c r="J1023" s="6">
        <f>PRODUCTOS31316[[#This Row],[EXISTENCIAS]]+PRODUCTOS31316[[#This Row],[ENTRADAS]]-PRODUCTOS31316[[#This Row],[SALIDAS]]</f>
        <v>0</v>
      </c>
      <c r="L1023" s="314" t="s">
        <v>3520</v>
      </c>
      <c r="M1023" s="314" t="s">
        <v>4250</v>
      </c>
      <c r="N1023" s="313" t="s">
        <v>4421</v>
      </c>
      <c r="O1023" s="314" t="s">
        <v>3471</v>
      </c>
      <c r="P1023" s="16">
        <v>46094</v>
      </c>
      <c r="Q1023" s="314" t="s">
        <v>2401</v>
      </c>
      <c r="R1023" s="2">
        <f>VLOOKUP(SALIDAS111518[[#This Row],[CÓDIGO]],PRODUCTOS31316[],2,FALSE)</f>
        <v>5540</v>
      </c>
      <c r="S1023" s="1" t="str">
        <f>VLOOKUP(SALIDAS111518[[#This Row],[CÓDIGO]],PRODUCTOS31316[],3,FALSE)</f>
        <v xml:space="preserve">FUNDAS DE TRANSFERENCIA AZUL PUNTA METÁLICA 21"                 </v>
      </c>
      <c r="T1023" s="2">
        <v>10</v>
      </c>
      <c r="U1023" s="313" t="s">
        <v>4420</v>
      </c>
      <c r="V1023" s="2"/>
      <c r="W1023" s="2"/>
      <c r="X1023" s="2"/>
      <c r="Y1023" s="7"/>
      <c r="Z1023" s="2"/>
      <c r="AA1023" s="1"/>
      <c r="AC1023" s="2"/>
      <c r="AE1023" s="1"/>
      <c r="AG1023" s="2"/>
    </row>
    <row r="1024" spans="1:33" ht="49.95" customHeight="1" x14ac:dyDescent="0.3">
      <c r="A1024" s="252" t="s">
        <v>3487</v>
      </c>
      <c r="B1024" s="246"/>
      <c r="C1024" s="260" t="s">
        <v>3488</v>
      </c>
      <c r="D1024" s="253" t="s">
        <v>3489</v>
      </c>
      <c r="E1024" s="253" t="s">
        <v>3489</v>
      </c>
      <c r="F1024" s="253" t="s">
        <v>30</v>
      </c>
      <c r="G1024" s="2">
        <v>0</v>
      </c>
      <c r="H1024" s="14">
        <f>SUMIF(ENTRADAS71417[CÓDIGO],PRODUCTOS31316[[#This Row],[CÓDIGO]],ENTRADAS71417[CANTIDAD])</f>
        <v>0</v>
      </c>
      <c r="I1024" s="11">
        <f>SUMIF(SALIDAS111518[CÓDIGO],PRODUCTOS31316[[#This Row],[CÓDIGO]],SALIDAS111518[CANTIDAD])</f>
        <v>0</v>
      </c>
      <c r="J1024" s="6">
        <f>PRODUCTOS31316[[#This Row],[EXISTENCIAS]]+PRODUCTOS31316[[#This Row],[ENTRADAS]]-PRODUCTOS31316[[#This Row],[SALIDAS]]</f>
        <v>0</v>
      </c>
      <c r="L1024" s="314" t="s">
        <v>3520</v>
      </c>
      <c r="M1024" s="314" t="s">
        <v>4250</v>
      </c>
      <c r="N1024" s="313" t="s">
        <v>4422</v>
      </c>
      <c r="O1024" s="314" t="s">
        <v>1358</v>
      </c>
      <c r="P1024" s="16">
        <v>46097</v>
      </c>
      <c r="Q1024" s="314" t="s">
        <v>236</v>
      </c>
      <c r="R1024" s="2">
        <f>VLOOKUP(SALIDAS111518[[#This Row],[CÓDIGO]],PRODUCTOS31316[],2,FALSE)</f>
        <v>0</v>
      </c>
      <c r="S1024" s="1" t="str">
        <f>VLOOKUP(SALIDAS111518[[#This Row],[CÓDIGO]],PRODUCTOS31316[],3,FALSE)</f>
        <v>TERMO METÁLICO DESCONGELADOR</v>
      </c>
      <c r="T1024" s="2">
        <v>2</v>
      </c>
      <c r="U1024" s="2">
        <v>454</v>
      </c>
      <c r="V1024" s="2"/>
      <c r="W1024" s="2"/>
      <c r="X1024" s="2"/>
      <c r="Y1024" s="7"/>
      <c r="Z1024" s="2"/>
      <c r="AA1024" s="1"/>
      <c r="AC1024" s="2"/>
      <c r="AE1024" s="1"/>
      <c r="AG1024" s="2"/>
    </row>
    <row r="1025" spans="1:33" ht="49.95" customHeight="1" x14ac:dyDescent="0.3">
      <c r="A1025" s="252" t="s">
        <v>3490</v>
      </c>
      <c r="B1025" s="246"/>
      <c r="C1025" s="253" t="s">
        <v>3491</v>
      </c>
      <c r="D1025" s="253" t="s">
        <v>2909</v>
      </c>
      <c r="E1025" s="253" t="s">
        <v>2892</v>
      </c>
      <c r="F1025" s="253" t="s">
        <v>30</v>
      </c>
      <c r="G1025" s="2">
        <v>0</v>
      </c>
      <c r="H1025" s="14">
        <f>SUMIF(ENTRADAS71417[CÓDIGO],PRODUCTOS31316[[#This Row],[CÓDIGO]],ENTRADAS71417[CANTIDAD])</f>
        <v>0</v>
      </c>
      <c r="I1025" s="11">
        <f>SUMIF(SALIDAS111518[CÓDIGO],PRODUCTOS31316[[#This Row],[CÓDIGO]],SALIDAS111518[CANTIDAD])</f>
        <v>0</v>
      </c>
      <c r="J1025" s="6">
        <f>PRODUCTOS31316[[#This Row],[EXISTENCIAS]]+PRODUCTOS31316[[#This Row],[ENTRADAS]]-PRODUCTOS31316[[#This Row],[SALIDAS]]</f>
        <v>0</v>
      </c>
      <c r="L1025" s="314" t="s">
        <v>3521</v>
      </c>
      <c r="M1025" s="314" t="s">
        <v>4250</v>
      </c>
      <c r="N1025" s="313" t="s">
        <v>4423</v>
      </c>
      <c r="O1025" s="314" t="s">
        <v>3415</v>
      </c>
      <c r="P1025" s="16">
        <v>46097</v>
      </c>
      <c r="Q1025" s="314" t="s">
        <v>104</v>
      </c>
      <c r="R1025" s="2">
        <f>VLOOKUP(SALIDAS111518[[#This Row],[CÓDIGO]],PRODUCTOS31316[],2,FALSE)</f>
        <v>0</v>
      </c>
      <c r="S1025" s="1" t="str">
        <f>VLOOKUP(SALIDAS111518[[#This Row],[CÓDIGO]],PRODUCTOS31316[],3,FALSE)</f>
        <v>ISPERM CHIPS (500 TESTS PER BOX) PAQ. X 50 UND</v>
      </c>
      <c r="T1025" s="2">
        <v>4</v>
      </c>
      <c r="U1025" s="2">
        <v>456</v>
      </c>
      <c r="V1025" s="2"/>
      <c r="W1025" s="2"/>
      <c r="X1025" s="2"/>
      <c r="Y1025" s="7"/>
      <c r="Z1025" s="2"/>
      <c r="AA1025" s="1"/>
      <c r="AC1025" s="2"/>
      <c r="AE1025" s="1"/>
      <c r="AG1025" s="2"/>
    </row>
    <row r="1026" spans="1:33" ht="49.95" customHeight="1" x14ac:dyDescent="0.3">
      <c r="A1026" s="254" t="s">
        <v>3494</v>
      </c>
      <c r="B1026" s="246">
        <v>6</v>
      </c>
      <c r="C1026" s="255" t="s">
        <v>3496</v>
      </c>
      <c r="D1026" s="255" t="s">
        <v>839</v>
      </c>
      <c r="E1026" s="255" t="s">
        <v>3471</v>
      </c>
      <c r="F1026" s="255" t="s">
        <v>30</v>
      </c>
      <c r="G1026" s="2">
        <v>0</v>
      </c>
      <c r="H1026" s="14">
        <f>SUMIF(ENTRADAS71417[CÓDIGO],PRODUCTOS31316[[#This Row],[CÓDIGO]],ENTRADAS71417[CANTIDAD])</f>
        <v>0</v>
      </c>
      <c r="I1026" s="11">
        <f>SUMIF(SALIDAS111518[CÓDIGO],PRODUCTOS31316[[#This Row],[CÓDIGO]],SALIDAS111518[CANTIDAD])</f>
        <v>0</v>
      </c>
      <c r="J1026" s="6">
        <f>PRODUCTOS31316[[#This Row],[EXISTENCIAS]]+PRODUCTOS31316[[#This Row],[ENTRADAS]]-PRODUCTOS31316[[#This Row],[SALIDAS]]</f>
        <v>0</v>
      </c>
      <c r="L1026" s="314" t="s">
        <v>3521</v>
      </c>
      <c r="M1026" s="314" t="s">
        <v>4250</v>
      </c>
      <c r="N1026" s="313" t="s">
        <v>4434</v>
      </c>
      <c r="O1026" s="314" t="s">
        <v>4249</v>
      </c>
      <c r="P1026" s="16">
        <v>46099</v>
      </c>
      <c r="Q1026" s="314" t="s">
        <v>913</v>
      </c>
      <c r="R1026" s="2" t="str">
        <f>VLOOKUP(SALIDAS111518[[#This Row],[CÓDIGO]],PRODUCTOS31316[],2,FALSE)</f>
        <v>HC-R069</v>
      </c>
      <c r="S1026" s="1" t="str">
        <f>VLOOKUP(SALIDAS111518[[#This Row],[CÓDIGO]],PRODUCTOS31316[],3,FALSE)</f>
        <v>MICROSCOPIO CON PLATINA Y PANTALLA 7"</v>
      </c>
      <c r="T1026" s="2">
        <v>1</v>
      </c>
      <c r="U1026" s="2">
        <v>463</v>
      </c>
      <c r="V1026" s="2"/>
      <c r="W1026" s="314" t="s">
        <v>2823</v>
      </c>
      <c r="X1026" s="2"/>
      <c r="Y1026" s="7"/>
      <c r="Z1026" s="2"/>
      <c r="AA1026" s="1"/>
      <c r="AC1026" s="2"/>
      <c r="AE1026" s="1"/>
      <c r="AG1026" s="2"/>
    </row>
    <row r="1027" spans="1:33" ht="49.95" customHeight="1" x14ac:dyDescent="0.3">
      <c r="A1027" s="254" t="s">
        <v>3495</v>
      </c>
      <c r="B1027" s="246">
        <v>16</v>
      </c>
      <c r="C1027" s="255" t="s">
        <v>3497</v>
      </c>
      <c r="D1027" s="255" t="s">
        <v>839</v>
      </c>
      <c r="E1027" s="255" t="s">
        <v>3471</v>
      </c>
      <c r="F1027" s="255" t="s">
        <v>30</v>
      </c>
      <c r="G1027" s="2">
        <v>0</v>
      </c>
      <c r="H1027" s="14">
        <f>SUMIF(ENTRADAS71417[CÓDIGO],PRODUCTOS31316[[#This Row],[CÓDIGO]],ENTRADAS71417[CANTIDAD])</f>
        <v>0</v>
      </c>
      <c r="I1027" s="11">
        <f>SUMIF(SALIDAS111518[CÓDIGO],PRODUCTOS31316[[#This Row],[CÓDIGO]],SALIDAS111518[CANTIDAD])</f>
        <v>0</v>
      </c>
      <c r="J1027" s="6">
        <f>PRODUCTOS31316[[#This Row],[EXISTENCIAS]]+PRODUCTOS31316[[#This Row],[ENTRADAS]]-PRODUCTOS31316[[#This Row],[SALIDAS]]</f>
        <v>0</v>
      </c>
      <c r="L1027" s="314" t="s">
        <v>3520</v>
      </c>
      <c r="M1027" s="314" t="s">
        <v>4250</v>
      </c>
      <c r="N1027" s="313" t="s">
        <v>4428</v>
      </c>
      <c r="O1027" s="313" t="s">
        <v>2977</v>
      </c>
      <c r="P1027" s="16">
        <v>46097</v>
      </c>
      <c r="Q1027" s="314" t="s">
        <v>3002</v>
      </c>
      <c r="R1027" s="2">
        <f>VLOOKUP(SALIDAS111518[[#This Row],[CÓDIGO]],PRODUCTOS31316[],2,FALSE)</f>
        <v>7117</v>
      </c>
      <c r="S1027" s="1" t="str">
        <f>VLOOKUP(SALIDAS111518[[#This Row],[CÓDIGO]],PRODUCTOS31316[],3,FALSE)</f>
        <v>RACK DE CONGELACIÓN 100  PAJILLAS 0,50 (14 x 58 cm)</v>
      </c>
      <c r="T1027" s="2">
        <v>1</v>
      </c>
      <c r="U1027" s="2">
        <v>459</v>
      </c>
      <c r="V1027" s="2"/>
      <c r="W1027" s="2"/>
      <c r="X1027" s="2"/>
      <c r="Y1027" s="7"/>
      <c r="Z1027" s="2"/>
      <c r="AA1027" s="1"/>
      <c r="AC1027" s="2"/>
      <c r="AE1027" s="1"/>
      <c r="AG1027" s="2"/>
    </row>
    <row r="1028" spans="1:33" ht="49.95" customHeight="1" x14ac:dyDescent="0.3">
      <c r="A1028" s="254" t="s">
        <v>3498</v>
      </c>
      <c r="B1028" s="246">
        <v>6985</v>
      </c>
      <c r="C1028" s="257" t="s">
        <v>3499</v>
      </c>
      <c r="D1028" s="257" t="s">
        <v>1385</v>
      </c>
      <c r="E1028" s="255" t="s">
        <v>1385</v>
      </c>
      <c r="F1028" s="255" t="s">
        <v>30</v>
      </c>
      <c r="G1028" s="31">
        <f>1+1+1</f>
        <v>3</v>
      </c>
      <c r="H1028" s="14">
        <f>SUMIF(ENTRADAS71417[CÓDIGO],PRODUCTOS31316[[#This Row],[CÓDIGO]],ENTRADAS71417[CANTIDAD])</f>
        <v>0</v>
      </c>
      <c r="I1028" s="11">
        <f>SUMIF(SALIDAS111518[CÓDIGO],PRODUCTOS31316[[#This Row],[CÓDIGO]],SALIDAS111518[CANTIDAD])</f>
        <v>4</v>
      </c>
      <c r="J1028" s="6">
        <f>PRODUCTOS31316[[#This Row],[EXISTENCIAS]]+PRODUCTOS31316[[#This Row],[ENTRADAS]]-PRODUCTOS31316[[#This Row],[SALIDAS]]</f>
        <v>-1</v>
      </c>
      <c r="L1028" s="314"/>
      <c r="M1028" s="314"/>
      <c r="N1028" s="2">
        <v>8065</v>
      </c>
      <c r="O1028" s="313" t="s">
        <v>2977</v>
      </c>
      <c r="P1028" s="16">
        <v>46097</v>
      </c>
      <c r="Q1028" s="314" t="s">
        <v>3399</v>
      </c>
      <c r="R1028" s="2">
        <f>VLOOKUP(SALIDAS111518[[#This Row],[CÓDIGO]],PRODUCTOS31316[],2,FALSE)</f>
        <v>13400</v>
      </c>
      <c r="S1028" s="1" t="str">
        <f>VLOOKUP(SALIDAS111518[[#This Row],[CÓDIGO]],PRODUCTOS31316[],3,FALSE)</f>
        <v>ESFERAS METALICAS SELLADORAS  0.5 ML</v>
      </c>
      <c r="T1028" s="2">
        <v>2</v>
      </c>
      <c r="U1028" s="2"/>
      <c r="V1028" s="2"/>
      <c r="W1028" s="2"/>
      <c r="X1028" s="2"/>
      <c r="Y1028" s="7"/>
      <c r="Z1028" s="2"/>
      <c r="AA1028" s="1"/>
      <c r="AC1028" s="2"/>
      <c r="AE1028" s="1"/>
      <c r="AG1028" s="2"/>
    </row>
    <row r="1029" spans="1:33" ht="49.95" customHeight="1" x14ac:dyDescent="0.3">
      <c r="A1029" s="256" t="s">
        <v>3500</v>
      </c>
      <c r="B1029" s="246">
        <v>25</v>
      </c>
      <c r="C1029" s="257" t="s">
        <v>3501</v>
      </c>
      <c r="D1029" s="257" t="s">
        <v>839</v>
      </c>
      <c r="E1029" s="257" t="s">
        <v>839</v>
      </c>
      <c r="F1029" s="257" t="s">
        <v>30</v>
      </c>
      <c r="G1029" s="2">
        <v>1</v>
      </c>
      <c r="H1029" s="14">
        <f>SUMIF(ENTRADAS71417[CÓDIGO],PRODUCTOS31316[[#This Row],[CÓDIGO]],ENTRADAS71417[CANTIDAD])</f>
        <v>3</v>
      </c>
      <c r="I1029" s="11">
        <f>SUMIF(SALIDAS111518[CÓDIGO],PRODUCTOS31316[[#This Row],[CÓDIGO]],SALIDAS111518[CANTIDAD])</f>
        <v>3</v>
      </c>
      <c r="J1029" s="6">
        <f>PRODUCTOS31316[[#This Row],[EXISTENCIAS]]+PRODUCTOS31316[[#This Row],[ENTRADAS]]-PRODUCTOS31316[[#This Row],[SALIDAS]]</f>
        <v>1</v>
      </c>
      <c r="L1029" s="2"/>
      <c r="M1029" s="2"/>
      <c r="N1029" s="2">
        <v>8065</v>
      </c>
      <c r="O1029" s="313" t="s">
        <v>2977</v>
      </c>
      <c r="P1029" s="16">
        <v>46097</v>
      </c>
      <c r="Q1029" s="314" t="s">
        <v>104</v>
      </c>
      <c r="R1029" s="2">
        <f>VLOOKUP(SALIDAS111518[[#This Row],[CÓDIGO]],PRODUCTOS31316[],2,FALSE)</f>
        <v>0</v>
      </c>
      <c r="S1029" s="1" t="str">
        <f>VLOOKUP(SALIDAS111518[[#This Row],[CÓDIGO]],PRODUCTOS31316[],3,FALSE)</f>
        <v>ISPERM CHIPS (500 TESTS PER BOX) PAQ. X 50 UND</v>
      </c>
      <c r="T1029" s="2">
        <v>6</v>
      </c>
      <c r="U1029" s="2"/>
      <c r="V1029" s="2"/>
      <c r="W1029" s="2"/>
      <c r="X1029" s="2"/>
      <c r="Y1029" s="7"/>
      <c r="Z1029" s="2"/>
      <c r="AA1029" s="1"/>
      <c r="AC1029" s="2"/>
      <c r="AE1029" s="1"/>
      <c r="AG1029" s="2"/>
    </row>
    <row r="1030" spans="1:33" ht="49.95" customHeight="1" x14ac:dyDescent="0.3">
      <c r="A1030" s="256" t="s">
        <v>3502</v>
      </c>
      <c r="B1030" s="246">
        <v>24</v>
      </c>
      <c r="C1030" s="257" t="s">
        <v>3503</v>
      </c>
      <c r="D1030" s="257" t="s">
        <v>839</v>
      </c>
      <c r="E1030" s="257" t="s">
        <v>839</v>
      </c>
      <c r="F1030" s="257" t="s">
        <v>30</v>
      </c>
      <c r="G1030" s="2">
        <v>1</v>
      </c>
      <c r="H1030" s="14">
        <f>SUMIF(ENTRADAS71417[CÓDIGO],PRODUCTOS31316[[#This Row],[CÓDIGO]],ENTRADAS71417[CANTIDAD])</f>
        <v>3</v>
      </c>
      <c r="I1030" s="11">
        <f>SUMIF(SALIDAS111518[CÓDIGO],PRODUCTOS31316[[#This Row],[CÓDIGO]],SALIDAS111518[CANTIDAD])</f>
        <v>3</v>
      </c>
      <c r="J1030" s="6">
        <f>PRODUCTOS31316[[#This Row],[EXISTENCIAS]]+PRODUCTOS31316[[#This Row],[ENTRADAS]]-PRODUCTOS31316[[#This Row],[SALIDAS]]</f>
        <v>1</v>
      </c>
      <c r="L1030" s="2"/>
      <c r="M1030" s="2"/>
      <c r="N1030" s="2">
        <v>8065</v>
      </c>
      <c r="O1030" s="313" t="s">
        <v>2977</v>
      </c>
      <c r="P1030" s="16">
        <v>46097</v>
      </c>
      <c r="Q1030" s="314" t="s">
        <v>2295</v>
      </c>
      <c r="R1030" s="2" t="str">
        <f>VLOOKUP(SALIDAS111518[[#This Row],[CÓDIGO]],PRODUCTOS31316[],2,FALSE)</f>
        <v>B00992</v>
      </c>
      <c r="S1030" s="1" t="str">
        <f>VLOOKUP(SALIDAS111518[[#This Row],[CÓDIGO]],PRODUCTOS31316[],3,FALSE)</f>
        <v>BOLSA WHRIL-PAK 7 OZ</v>
      </c>
      <c r="T1030" s="2">
        <v>300</v>
      </c>
      <c r="U1030" s="2"/>
      <c r="V1030" s="2"/>
      <c r="W1030" s="2"/>
      <c r="X1030" s="2"/>
      <c r="Y1030" s="7"/>
      <c r="Z1030" s="2"/>
      <c r="AA1030" s="1"/>
      <c r="AC1030" s="2"/>
      <c r="AE1030" s="1"/>
      <c r="AG1030" s="2"/>
    </row>
    <row r="1031" spans="1:33" ht="49.95" customHeight="1" x14ac:dyDescent="0.3">
      <c r="A1031" s="256" t="s">
        <v>3504</v>
      </c>
      <c r="B1031" s="246">
        <v>26</v>
      </c>
      <c r="C1031" s="257" t="s">
        <v>3505</v>
      </c>
      <c r="D1031" s="257" t="s">
        <v>839</v>
      </c>
      <c r="E1031" s="257" t="s">
        <v>839</v>
      </c>
      <c r="F1031" s="257" t="s">
        <v>3510</v>
      </c>
      <c r="G1031" s="2">
        <v>1</v>
      </c>
      <c r="H1031" s="14">
        <f>SUMIF(ENTRADAS71417[CÓDIGO],PRODUCTOS31316[[#This Row],[CÓDIGO]],ENTRADAS71417[CANTIDAD])</f>
        <v>11</v>
      </c>
      <c r="I1031" s="11">
        <f>SUMIF(SALIDAS111518[CÓDIGO],PRODUCTOS31316[[#This Row],[CÓDIGO]],SALIDAS111518[CANTIDAD])</f>
        <v>21</v>
      </c>
      <c r="J1031" s="6">
        <f>PRODUCTOS31316[[#This Row],[EXISTENCIAS]]+PRODUCTOS31316[[#This Row],[ENTRADAS]]-PRODUCTOS31316[[#This Row],[SALIDAS]]</f>
        <v>-9</v>
      </c>
      <c r="L1031" s="2"/>
      <c r="M1031" s="2"/>
      <c r="N1031" s="2">
        <v>8065</v>
      </c>
      <c r="O1031" s="313" t="s">
        <v>2977</v>
      </c>
      <c r="P1031" s="16">
        <v>46097</v>
      </c>
      <c r="Q1031" s="314" t="s">
        <v>411</v>
      </c>
      <c r="R1031" s="2">
        <f>VLOOKUP(SALIDAS111518[[#This Row],[CÓDIGO]],PRODUCTOS31316[],2,FALSE)</f>
        <v>0</v>
      </c>
      <c r="S1031" s="1" t="str">
        <f>VLOOKUP(SALIDAS111518[[#This Row],[CÓDIGO]],PRODUCTOS31316[],3,FALSE)</f>
        <v>BOLSA WHIRL-PAK 4 oz</v>
      </c>
      <c r="T1031" s="2">
        <v>300</v>
      </c>
      <c r="U1031" s="2"/>
      <c r="V1031" s="2"/>
      <c r="W1031" s="2"/>
      <c r="X1031" s="2"/>
      <c r="Y1031" s="7"/>
      <c r="Z1031" s="2"/>
      <c r="AA1031" s="1"/>
      <c r="AC1031" s="2"/>
      <c r="AE1031" s="1"/>
      <c r="AG1031" s="2"/>
    </row>
    <row r="1032" spans="1:33" ht="49.95" customHeight="1" x14ac:dyDescent="0.3">
      <c r="A1032" s="256" t="s">
        <v>3506</v>
      </c>
      <c r="B1032" s="246">
        <v>27</v>
      </c>
      <c r="C1032" s="257" t="s">
        <v>3507</v>
      </c>
      <c r="D1032" s="257" t="s">
        <v>839</v>
      </c>
      <c r="E1032" s="257" t="s">
        <v>839</v>
      </c>
      <c r="F1032" s="257" t="s">
        <v>30</v>
      </c>
      <c r="G1032" s="2">
        <v>1</v>
      </c>
      <c r="H1032" s="14">
        <f>SUMIF(ENTRADAS71417[CÓDIGO],PRODUCTOS31316[[#This Row],[CÓDIGO]],ENTRADAS71417[CANTIDAD])</f>
        <v>3</v>
      </c>
      <c r="I1032" s="11">
        <f>SUMIF(SALIDAS111518[CÓDIGO],PRODUCTOS31316[[#This Row],[CÓDIGO]],SALIDAS111518[CANTIDAD])</f>
        <v>3</v>
      </c>
      <c r="J1032" s="6">
        <f>PRODUCTOS31316[[#This Row],[EXISTENCIAS]]+PRODUCTOS31316[[#This Row],[ENTRADAS]]-PRODUCTOS31316[[#This Row],[SALIDAS]]</f>
        <v>1</v>
      </c>
      <c r="L1032" s="2"/>
      <c r="M1032" s="2"/>
      <c r="N1032" s="2">
        <v>8065</v>
      </c>
      <c r="O1032" s="313" t="s">
        <v>2977</v>
      </c>
      <c r="P1032" s="16">
        <v>46097</v>
      </c>
      <c r="Q1032" s="314" t="s">
        <v>881</v>
      </c>
      <c r="R1032" s="2">
        <f>VLOOKUP(SALIDAS111518[[#This Row],[CÓDIGO]],PRODUCTOS31316[],2,FALSE)</f>
        <v>1095350001</v>
      </c>
      <c r="S1032" s="1" t="str">
        <f>VLOOKUP(SALIDAS111518[[#This Row],[CÓDIGO]],PRODUCTOS31316[],3,FALSE)</f>
        <v>TIRAS INDICADORAS DEL PH PH 0 - 14 INDICADOR UNIVERSAL NO DESTIÑEN 100 STRIPS</v>
      </c>
      <c r="T1032" s="2">
        <v>2</v>
      </c>
      <c r="U1032" s="2"/>
      <c r="V1032" s="2"/>
      <c r="W1032" s="2"/>
      <c r="X1032" s="2"/>
      <c r="Y1032" s="7"/>
      <c r="Z1032" s="2"/>
      <c r="AA1032" s="1"/>
      <c r="AC1032" s="2"/>
      <c r="AE1032" s="1"/>
      <c r="AG1032" s="2"/>
    </row>
    <row r="1033" spans="1:33" ht="49.95" customHeight="1" x14ac:dyDescent="0.3">
      <c r="A1033" s="256" t="s">
        <v>3508</v>
      </c>
      <c r="B1033" s="246">
        <v>28</v>
      </c>
      <c r="C1033" s="257" t="s">
        <v>3509</v>
      </c>
      <c r="D1033" s="257" t="s">
        <v>839</v>
      </c>
      <c r="E1033" s="257" t="s">
        <v>839</v>
      </c>
      <c r="F1033" s="257" t="s">
        <v>30</v>
      </c>
      <c r="G1033" s="2">
        <v>1</v>
      </c>
      <c r="H1033" s="14">
        <f>SUMIF(ENTRADAS71417[CÓDIGO],PRODUCTOS31316[[#This Row],[CÓDIGO]],ENTRADAS71417[CANTIDAD])</f>
        <v>3</v>
      </c>
      <c r="I1033" s="11">
        <f>SUMIF(SALIDAS111518[CÓDIGO],PRODUCTOS31316[[#This Row],[CÓDIGO]],SALIDAS111518[CANTIDAD])</f>
        <v>3</v>
      </c>
      <c r="J1033" s="6">
        <f>PRODUCTOS31316[[#This Row],[EXISTENCIAS]]+PRODUCTOS31316[[#This Row],[ENTRADAS]]-PRODUCTOS31316[[#This Row],[SALIDAS]]</f>
        <v>1</v>
      </c>
      <c r="L1033" s="314" t="s">
        <v>3521</v>
      </c>
      <c r="M1033" s="314" t="s">
        <v>4250</v>
      </c>
      <c r="N1033" s="313" t="s">
        <v>4426</v>
      </c>
      <c r="O1033" s="313" t="s">
        <v>4418</v>
      </c>
      <c r="P1033" s="16">
        <v>46097</v>
      </c>
      <c r="Q1033" s="314" t="s">
        <v>63</v>
      </c>
      <c r="R1033" s="2">
        <f>VLOOKUP(SALIDAS111518[[#This Row],[CÓDIGO]],PRODUCTOS31316[],2,FALSE)</f>
        <v>25458</v>
      </c>
      <c r="S1033" s="1" t="str">
        <f>VLOOKUP(SALIDAS111518[[#This Row],[CÓDIGO]],PRODUCTOS31316[],3,FALSE)</f>
        <v>FILTROS PARA OPU 100 UL</v>
      </c>
      <c r="T1033" s="2">
        <v>1</v>
      </c>
      <c r="U1033" s="2">
        <v>457</v>
      </c>
      <c r="V1033" s="2"/>
      <c r="W1033" s="2"/>
      <c r="X1033" s="2"/>
      <c r="Y1033" s="7"/>
      <c r="Z1033" s="2"/>
      <c r="AA1033" s="1"/>
      <c r="AC1033" s="2"/>
      <c r="AE1033" s="1"/>
      <c r="AG1033" s="2"/>
    </row>
    <row r="1034" spans="1:33" ht="49.95" customHeight="1" x14ac:dyDescent="0.3">
      <c r="A1034" s="256" t="s">
        <v>3511</v>
      </c>
      <c r="B1034" s="257" t="s">
        <v>2912</v>
      </c>
      <c r="C1034" s="257" t="s">
        <v>3512</v>
      </c>
      <c r="D1034" s="257" t="s">
        <v>2913</v>
      </c>
      <c r="E1034" s="257" t="s">
        <v>2913</v>
      </c>
      <c r="F1034" s="257" t="s">
        <v>30</v>
      </c>
      <c r="G1034" s="2">
        <v>0</v>
      </c>
      <c r="H1034" s="14">
        <f>SUMIF(ENTRADAS71417[CÓDIGO],PRODUCTOS31316[[#This Row],[CÓDIGO]],ENTRADAS71417[CANTIDAD])</f>
        <v>0</v>
      </c>
      <c r="I1034" s="11">
        <f>SUMIF(SALIDAS111518[CÓDIGO],PRODUCTOS31316[[#This Row],[CÓDIGO]],SALIDAS111518[CANTIDAD])</f>
        <v>0</v>
      </c>
      <c r="J1034" s="6">
        <f>PRODUCTOS31316[[#This Row],[EXISTENCIAS]]+PRODUCTOS31316[[#This Row],[ENTRADAS]]-PRODUCTOS31316[[#This Row],[SALIDAS]]</f>
        <v>0</v>
      </c>
      <c r="L1034" s="314" t="s">
        <v>3520</v>
      </c>
      <c r="M1034" s="314" t="s">
        <v>4250</v>
      </c>
      <c r="N1034" s="325" t="s">
        <v>4577</v>
      </c>
      <c r="O1034" s="313" t="s">
        <v>3031</v>
      </c>
      <c r="P1034" s="16">
        <v>46097</v>
      </c>
      <c r="Q1034" s="314" t="s">
        <v>104</v>
      </c>
      <c r="R1034" s="2">
        <f>VLOOKUP(SALIDAS111518[[#This Row],[CÓDIGO]],PRODUCTOS31316[],2,FALSE)</f>
        <v>0</v>
      </c>
      <c r="S1034" s="1" t="str">
        <f>VLOOKUP(SALIDAS111518[[#This Row],[CÓDIGO]],PRODUCTOS31316[],3,FALSE)</f>
        <v>ISPERM CHIPS (500 TESTS PER BOX) PAQ. X 50 UND</v>
      </c>
      <c r="T1034" s="2">
        <v>12</v>
      </c>
      <c r="U1034" s="325" t="s">
        <v>4576</v>
      </c>
      <c r="V1034" s="2"/>
      <c r="W1034" s="314" t="s">
        <v>3412</v>
      </c>
      <c r="X1034" s="2"/>
      <c r="Y1034" s="7"/>
      <c r="Z1034" s="2"/>
      <c r="AA1034" s="1"/>
      <c r="AC1034" s="2"/>
      <c r="AE1034" s="1"/>
      <c r="AG1034" s="2"/>
    </row>
    <row r="1035" spans="1:33" ht="49.95" customHeight="1" x14ac:dyDescent="0.3">
      <c r="A1035" s="256" t="s">
        <v>3513</v>
      </c>
      <c r="B1035" s="257"/>
      <c r="C1035" s="257" t="s">
        <v>3514</v>
      </c>
      <c r="D1035" s="257" t="s">
        <v>2913</v>
      </c>
      <c r="E1035" s="257" t="s">
        <v>2913</v>
      </c>
      <c r="F1035" s="257" t="s">
        <v>30</v>
      </c>
      <c r="G1035" s="2">
        <v>0</v>
      </c>
      <c r="H1035" s="14">
        <f>SUMIF(ENTRADAS71417[CÓDIGO],PRODUCTOS31316[[#This Row],[CÓDIGO]],ENTRADAS71417[CANTIDAD])</f>
        <v>0</v>
      </c>
      <c r="I1035" s="11">
        <f>SUMIF(SALIDAS111518[CÓDIGO],PRODUCTOS31316[[#This Row],[CÓDIGO]],SALIDAS111518[CANTIDAD])</f>
        <v>0</v>
      </c>
      <c r="J1035" s="6">
        <f>PRODUCTOS31316[[#This Row],[EXISTENCIAS]]+PRODUCTOS31316[[#This Row],[ENTRADAS]]-PRODUCTOS31316[[#This Row],[SALIDAS]]</f>
        <v>0</v>
      </c>
      <c r="L1035" s="2"/>
      <c r="M1035" s="2"/>
      <c r="N1035" s="2">
        <v>8063</v>
      </c>
      <c r="O1035" s="313" t="s">
        <v>3031</v>
      </c>
      <c r="P1035" s="16">
        <v>46097</v>
      </c>
      <c r="Q1035" s="314" t="s">
        <v>679</v>
      </c>
      <c r="R1035" s="2" t="str">
        <f>VLOOKUP(SALIDAS111518[[#This Row],[CÓDIGO]],PRODUCTOS31316[],2,FALSE)</f>
        <v>P31205</v>
      </c>
      <c r="S1035" s="1" t="str">
        <f>VLOOKUP(SALIDAS111518[[#This Row],[CÓDIGO]],PRODUCTOS31316[],3,FALSE)</f>
        <v>PIPETA PASTEUR 3 ML</v>
      </c>
      <c r="T1035" s="2">
        <v>10</v>
      </c>
      <c r="U1035" s="2"/>
      <c r="V1035" s="2"/>
      <c r="W1035" s="2"/>
      <c r="X1035" s="2"/>
      <c r="Y1035" s="7"/>
      <c r="Z1035" s="2"/>
      <c r="AA1035" s="1"/>
      <c r="AC1035" s="2"/>
      <c r="AE1035" s="1"/>
      <c r="AG1035" s="2"/>
    </row>
    <row r="1036" spans="1:33" ht="49.95" customHeight="1" x14ac:dyDescent="0.3">
      <c r="A1036" s="256" t="s">
        <v>3524</v>
      </c>
      <c r="B1036" s="257" t="s">
        <v>3527</v>
      </c>
      <c r="C1036" s="257" t="s">
        <v>3522</v>
      </c>
      <c r="D1036" s="257" t="s">
        <v>1501</v>
      </c>
      <c r="E1036" s="257" t="s">
        <v>1501</v>
      </c>
      <c r="F1036" s="257" t="s">
        <v>3523</v>
      </c>
      <c r="G1036" s="31">
        <f>1+1</f>
        <v>2</v>
      </c>
      <c r="H1036" s="14">
        <f>SUMIF(ENTRADAS71417[CÓDIGO],PRODUCTOS31316[[#This Row],[CÓDIGO]],ENTRADAS71417[CANTIDAD])</f>
        <v>4</v>
      </c>
      <c r="I1036" s="11">
        <f>SUMIF(SALIDAS111518[CÓDIGO],PRODUCTOS31316[[#This Row],[CÓDIGO]],SALIDAS111518[CANTIDAD])</f>
        <v>2</v>
      </c>
      <c r="J1036" s="6">
        <f>PRODUCTOS31316[[#This Row],[EXISTENCIAS]]+PRODUCTOS31316[[#This Row],[ENTRADAS]]-PRODUCTOS31316[[#This Row],[SALIDAS]]</f>
        <v>4</v>
      </c>
      <c r="L1036" s="2"/>
      <c r="M1036" s="2"/>
      <c r="N1036" s="2">
        <v>8063</v>
      </c>
      <c r="O1036" s="313" t="s">
        <v>3031</v>
      </c>
      <c r="P1036" s="16">
        <v>46097</v>
      </c>
      <c r="Q1036" s="314" t="s">
        <v>2797</v>
      </c>
      <c r="R1036" s="2" t="str">
        <f>VLOOKUP(SALIDAS111518[[#This Row],[CÓDIGO]],PRODUCTOS31316[],2,FALSE)</f>
        <v>PT113</v>
      </c>
      <c r="S1036" s="1" t="str">
        <f>VLOOKUP(SALIDAS111518[[#This Row],[CÓDIGO]],PRODUCTOS31316[],3,FALSE)</f>
        <v>NATURAL FERTILITY X 2 KL</v>
      </c>
      <c r="T1036" s="2">
        <v>2</v>
      </c>
      <c r="U1036" s="2"/>
      <c r="V1036" s="2"/>
      <c r="W1036" s="2"/>
      <c r="X1036" s="2"/>
      <c r="Y1036" s="7"/>
      <c r="Z1036" s="2"/>
      <c r="AA1036" s="1"/>
      <c r="AC1036" s="2"/>
      <c r="AE1036" s="1"/>
      <c r="AG1036" s="2"/>
    </row>
    <row r="1037" spans="1:33" ht="49.95" customHeight="1" x14ac:dyDescent="0.3">
      <c r="A1037" s="256" t="s">
        <v>3525</v>
      </c>
      <c r="B1037" s="257" t="s">
        <v>3528</v>
      </c>
      <c r="C1037" s="257" t="s">
        <v>3526</v>
      </c>
      <c r="D1037" s="257" t="s">
        <v>1501</v>
      </c>
      <c r="E1037" s="257" t="s">
        <v>1501</v>
      </c>
      <c r="F1037" s="257" t="s">
        <v>30</v>
      </c>
      <c r="G1037" s="31">
        <f>74+25</f>
        <v>99</v>
      </c>
      <c r="H1037" s="14">
        <f>SUMIF(ENTRADAS71417[CÓDIGO],PRODUCTOS31316[[#This Row],[CÓDIGO]],ENTRADAS71417[CANTIDAD])</f>
        <v>0</v>
      </c>
      <c r="I1037" s="11">
        <f>SUMIF(SALIDAS111518[CÓDIGO],PRODUCTOS31316[[#This Row],[CÓDIGO]],SALIDAS111518[CANTIDAD])</f>
        <v>50</v>
      </c>
      <c r="J1037" s="6">
        <f>PRODUCTOS31316[[#This Row],[EXISTENCIAS]]+PRODUCTOS31316[[#This Row],[ENTRADAS]]-PRODUCTOS31316[[#This Row],[SALIDAS]]</f>
        <v>49</v>
      </c>
      <c r="L1037" s="314" t="s">
        <v>3520</v>
      </c>
      <c r="M1037" s="314" t="s">
        <v>4250</v>
      </c>
      <c r="N1037" s="313" t="s">
        <v>4427</v>
      </c>
      <c r="O1037" s="313" t="s">
        <v>4419</v>
      </c>
      <c r="P1037" s="16">
        <v>46097</v>
      </c>
      <c r="Q1037" s="314" t="s">
        <v>4402</v>
      </c>
      <c r="R1037" s="2">
        <f>VLOOKUP(SALIDAS111518[[#This Row],[CÓDIGO]],PRODUCTOS31316[],2,FALSE)</f>
        <v>0</v>
      </c>
      <c r="S1037" s="1" t="str">
        <f>VLOOKUP(SALIDAS111518[[#This Row],[CÓDIGO]],PRODUCTOS31316[],3,FALSE)</f>
        <v>PAJILLA TRANSPARENTE DE 0.5 IMV PAQ.X 200 UND</v>
      </c>
      <c r="T1037" s="2">
        <v>1</v>
      </c>
      <c r="U1037" s="2">
        <v>458</v>
      </c>
      <c r="V1037" s="2"/>
      <c r="W1037" s="2"/>
      <c r="X1037" s="2"/>
      <c r="Y1037" s="7"/>
      <c r="Z1037" s="2"/>
      <c r="AA1037" s="1"/>
      <c r="AC1037" s="2"/>
      <c r="AE1037" s="1"/>
      <c r="AG1037" s="2"/>
    </row>
    <row r="1038" spans="1:33" ht="49.95" customHeight="1" x14ac:dyDescent="0.3">
      <c r="A1038" s="256" t="s">
        <v>3530</v>
      </c>
      <c r="B1038" s="257">
        <v>14</v>
      </c>
      <c r="C1038" s="257" t="s">
        <v>3531</v>
      </c>
      <c r="D1038" s="257" t="s">
        <v>839</v>
      </c>
      <c r="E1038" s="257" t="s">
        <v>3471</v>
      </c>
      <c r="F1038" s="257" t="s">
        <v>3532</v>
      </c>
      <c r="G1038" s="2">
        <v>0</v>
      </c>
      <c r="H1038" s="14">
        <f>SUMIF(ENTRADAS71417[CÓDIGO],PRODUCTOS31316[[#This Row],[CÓDIGO]],ENTRADAS71417[CANTIDAD])</f>
        <v>0</v>
      </c>
      <c r="I1038" s="11">
        <f>SUMIF(SALIDAS111518[CÓDIGO],PRODUCTOS31316[[#This Row],[CÓDIGO]],SALIDAS111518[CANTIDAD])</f>
        <v>0</v>
      </c>
      <c r="J1038" s="6">
        <f>PRODUCTOS31316[[#This Row],[EXISTENCIAS]]+PRODUCTOS31316[[#This Row],[ENTRADAS]]-PRODUCTOS31316[[#This Row],[SALIDAS]]</f>
        <v>0</v>
      </c>
      <c r="L1038" s="314" t="s">
        <v>3520</v>
      </c>
      <c r="M1038" s="314" t="s">
        <v>4250</v>
      </c>
      <c r="N1038" s="313" t="s">
        <v>4430</v>
      </c>
      <c r="O1038" s="313" t="s">
        <v>2699</v>
      </c>
      <c r="P1038" s="16">
        <v>46097</v>
      </c>
      <c r="Q1038" s="314" t="s">
        <v>167</v>
      </c>
      <c r="R1038" s="2" t="str">
        <f>VLOOKUP(SALIDAS111518[[#This Row],[CÓDIGO]],PRODUCTOS31316[],2,FALSE)</f>
        <v>50050-1</v>
      </c>
      <c r="S1038" s="1" t="str">
        <f>VLOOKUP(SALIDAS111518[[#This Row],[CÓDIGO]],PRODUCTOS31316[],3,FALSE)</f>
        <v>TUBO CONICO PLUG, AUTOCLAVABLE ESTERIL  TAPA ROSCA DE 50 ML</v>
      </c>
      <c r="T1038" s="2">
        <v>3</v>
      </c>
      <c r="U1038" s="314" t="s">
        <v>4429</v>
      </c>
      <c r="V1038" s="2"/>
      <c r="W1038" s="2"/>
      <c r="X1038" s="2"/>
      <c r="Y1038" s="7"/>
      <c r="Z1038" s="2"/>
      <c r="AA1038" s="1"/>
      <c r="AC1038" s="2"/>
      <c r="AE1038" s="1"/>
      <c r="AG1038" s="2"/>
    </row>
    <row r="1039" spans="1:33" ht="49.95" customHeight="1" x14ac:dyDescent="0.3">
      <c r="A1039" s="261" t="s">
        <v>3539</v>
      </c>
      <c r="B1039" s="257">
        <v>2</v>
      </c>
      <c r="C1039" s="262" t="s">
        <v>3540</v>
      </c>
      <c r="D1039" s="262" t="s">
        <v>822</v>
      </c>
      <c r="E1039" s="262" t="s">
        <v>1421</v>
      </c>
      <c r="F1039" s="262" t="s">
        <v>30</v>
      </c>
      <c r="G1039" s="2">
        <v>6</v>
      </c>
      <c r="H1039" s="14">
        <f>SUMIF(ENTRADAS71417[CÓDIGO],PRODUCTOS31316[[#This Row],[CÓDIGO]],ENTRADAS71417[CANTIDAD])</f>
        <v>0</v>
      </c>
      <c r="I1039" s="11">
        <f>SUMIF(SALIDAS111518[CÓDIGO],PRODUCTOS31316[[#This Row],[CÓDIGO]],SALIDAS111518[CANTIDAD])</f>
        <v>3</v>
      </c>
      <c r="J1039" s="6">
        <f>PRODUCTOS31316[[#This Row],[EXISTENCIAS]]+PRODUCTOS31316[[#This Row],[ENTRADAS]]-PRODUCTOS31316[[#This Row],[SALIDAS]]</f>
        <v>3</v>
      </c>
      <c r="L1039" s="314" t="s">
        <v>3520</v>
      </c>
      <c r="M1039" s="314" t="s">
        <v>4250</v>
      </c>
      <c r="N1039" s="313" t="s">
        <v>4431</v>
      </c>
      <c r="O1039" s="314" t="s">
        <v>2695</v>
      </c>
      <c r="P1039" s="16">
        <v>46097</v>
      </c>
      <c r="Q1039" s="314" t="s">
        <v>153</v>
      </c>
      <c r="R1039" s="2">
        <f>VLOOKUP(SALIDAS111518[[#This Row],[CÓDIGO]],PRODUCTOS31316[],2,FALSE)</f>
        <v>1132</v>
      </c>
      <c r="S1039" s="1" t="str">
        <f>VLOOKUP(SALIDAS111518[[#This Row],[CÓDIGO]],PRODUCTOS31316[],3,FALSE)</f>
        <v>PISTOLA QUICKLOCK CLASIC</v>
      </c>
      <c r="T1039" s="2">
        <v>1</v>
      </c>
      <c r="U1039" s="2">
        <v>461</v>
      </c>
      <c r="V1039" s="2"/>
      <c r="W1039" s="2"/>
      <c r="X1039" s="2"/>
      <c r="Y1039" s="7"/>
      <c r="Z1039" s="2"/>
      <c r="AA1039" s="1"/>
      <c r="AC1039" s="2"/>
      <c r="AE1039" s="1"/>
      <c r="AG1039" s="2"/>
    </row>
    <row r="1040" spans="1:33" ht="49.95" customHeight="1" x14ac:dyDescent="0.3">
      <c r="A1040" s="261" t="s">
        <v>3544</v>
      </c>
      <c r="B1040" s="257">
        <v>11000557</v>
      </c>
      <c r="C1040" s="262" t="s">
        <v>3543</v>
      </c>
      <c r="D1040" s="262" t="s">
        <v>3547</v>
      </c>
      <c r="E1040" s="262" t="s">
        <v>3542</v>
      </c>
      <c r="F1040" s="262" t="s">
        <v>686</v>
      </c>
      <c r="G1040" s="2">
        <v>0</v>
      </c>
      <c r="H1040" s="14">
        <f>SUMIF(ENTRADAS71417[CÓDIGO],PRODUCTOS31316[[#This Row],[CÓDIGO]],ENTRADAS71417[CANTIDAD])</f>
        <v>0</v>
      </c>
      <c r="I1040" s="11">
        <f>SUMIF(SALIDAS111518[CÓDIGO],PRODUCTOS31316[[#This Row],[CÓDIGO]],SALIDAS111518[CANTIDAD])</f>
        <v>0</v>
      </c>
      <c r="J1040" s="6">
        <f>PRODUCTOS31316[[#This Row],[EXISTENCIAS]]+PRODUCTOS31316[[#This Row],[ENTRADAS]]-PRODUCTOS31316[[#This Row],[SALIDAS]]</f>
        <v>0</v>
      </c>
      <c r="L1040" s="2"/>
      <c r="M1040" s="2"/>
      <c r="N1040" s="2">
        <v>8067</v>
      </c>
      <c r="O1040" s="314" t="s">
        <v>2695</v>
      </c>
      <c r="P1040" s="16">
        <v>46097</v>
      </c>
      <c r="Q1040" s="314" t="s">
        <v>369</v>
      </c>
      <c r="R1040" s="2">
        <f>VLOOKUP(SALIDAS111518[[#This Row],[CÓDIGO]],PRODUCTOS31316[],2,FALSE)</f>
        <v>0</v>
      </c>
      <c r="S1040" s="1" t="str">
        <f>VLOOKUP(SALIDAS111518[[#This Row],[CÓDIGO]],PRODUCTOS31316[],3,FALSE)</f>
        <v>FUNDA UNIVERSAL PARA I.A. RANURADA</v>
      </c>
      <c r="T1040" s="2">
        <v>2</v>
      </c>
      <c r="U1040" s="2"/>
      <c r="V1040" s="2"/>
      <c r="W1040" s="2"/>
      <c r="X1040" s="2"/>
      <c r="Y1040" s="7"/>
      <c r="Z1040" s="2"/>
      <c r="AA1040" s="1"/>
      <c r="AC1040" s="2"/>
      <c r="AE1040" s="1"/>
      <c r="AG1040" s="2"/>
    </row>
    <row r="1041" spans="1:33" ht="49.95" customHeight="1" x14ac:dyDescent="0.3">
      <c r="A1041" s="261" t="s">
        <v>3546</v>
      </c>
      <c r="B1041" s="257">
        <v>8014</v>
      </c>
      <c r="C1041" s="262" t="s">
        <v>3545</v>
      </c>
      <c r="D1041" s="262" t="s">
        <v>3547</v>
      </c>
      <c r="E1041" s="262" t="s">
        <v>3542</v>
      </c>
      <c r="F1041" s="262" t="s">
        <v>686</v>
      </c>
      <c r="G1041" s="2">
        <v>0</v>
      </c>
      <c r="H1041" s="14">
        <f>SUMIF(ENTRADAS71417[CÓDIGO],PRODUCTOS31316[[#This Row],[CÓDIGO]],ENTRADAS71417[CANTIDAD])</f>
        <v>0</v>
      </c>
      <c r="I1041" s="11">
        <f>SUMIF(SALIDAS111518[CÓDIGO],PRODUCTOS31316[[#This Row],[CÓDIGO]],SALIDAS111518[CANTIDAD])</f>
        <v>0</v>
      </c>
      <c r="J1041" s="6">
        <f>PRODUCTOS31316[[#This Row],[EXISTENCIAS]]+PRODUCTOS31316[[#This Row],[ENTRADAS]]-PRODUCTOS31316[[#This Row],[SALIDAS]]</f>
        <v>0</v>
      </c>
      <c r="L1041" s="314" t="s">
        <v>3521</v>
      </c>
      <c r="M1041" s="314" t="s">
        <v>4250</v>
      </c>
      <c r="N1041" s="313" t="s">
        <v>4432</v>
      </c>
      <c r="O1041" s="313" t="s">
        <v>2966</v>
      </c>
      <c r="P1041" s="16">
        <v>46097</v>
      </c>
      <c r="Q1041" s="314" t="s">
        <v>2232</v>
      </c>
      <c r="R1041" s="2">
        <f>VLOOKUP(SALIDAS111518[[#This Row],[CÓDIGO]],PRODUCTOS31316[],2,FALSE)</f>
        <v>0</v>
      </c>
      <c r="S1041" s="1" t="str">
        <f>VLOOKUP(SALIDAS111518[[#This Row],[CÓDIGO]],PRODUCTOS31316[],3,FALSE)</f>
        <v>CONO RECOLECTOR</v>
      </c>
      <c r="T1041" s="2">
        <v>1</v>
      </c>
      <c r="U1041" s="313" t="s">
        <v>4433</v>
      </c>
      <c r="V1041" s="2"/>
      <c r="W1041" s="2"/>
      <c r="X1041" s="2"/>
      <c r="Y1041" s="7"/>
      <c r="Z1041" s="2"/>
      <c r="AA1041" s="1"/>
      <c r="AC1041" s="2"/>
      <c r="AE1041" s="1"/>
      <c r="AG1041" s="2"/>
    </row>
    <row r="1042" spans="1:33" ht="49.95" customHeight="1" x14ac:dyDescent="0.3">
      <c r="A1042" s="261" t="s">
        <v>3549</v>
      </c>
      <c r="B1042" s="257">
        <v>1100614</v>
      </c>
      <c r="C1042" s="262" t="s">
        <v>3548</v>
      </c>
      <c r="D1042" s="262" t="s">
        <v>3547</v>
      </c>
      <c r="E1042" s="262" t="s">
        <v>3542</v>
      </c>
      <c r="F1042" s="262" t="s">
        <v>30</v>
      </c>
      <c r="G1042" s="2">
        <v>0</v>
      </c>
      <c r="H1042" s="14">
        <f>SUMIF(ENTRADAS71417[CÓDIGO],PRODUCTOS31316[[#This Row],[CÓDIGO]],ENTRADAS71417[CANTIDAD])</f>
        <v>0</v>
      </c>
      <c r="I1042" s="11">
        <f>SUMIF(SALIDAS111518[CÓDIGO],PRODUCTOS31316[[#This Row],[CÓDIGO]],SALIDAS111518[CANTIDAD])</f>
        <v>0</v>
      </c>
      <c r="J1042" s="6">
        <f>PRODUCTOS31316[[#This Row],[EXISTENCIAS]]+PRODUCTOS31316[[#This Row],[ENTRADAS]]-PRODUCTOS31316[[#This Row],[SALIDAS]]</f>
        <v>0</v>
      </c>
      <c r="L1042" s="2"/>
      <c r="M1042" s="2"/>
      <c r="N1042" s="2">
        <v>8068</v>
      </c>
      <c r="O1042" s="313" t="s">
        <v>2966</v>
      </c>
      <c r="P1042" s="16">
        <v>46097</v>
      </c>
      <c r="Q1042" s="314" t="s">
        <v>333</v>
      </c>
      <c r="R1042" s="2" t="str">
        <f>VLOOKUP(SALIDAS111518[[#This Row],[CÓDIGO]],PRODUCTOS31316[],2,FALSE)</f>
        <v>CTB15</v>
      </c>
      <c r="S1042" s="1" t="str">
        <f>VLOOKUP(SALIDAS111518[[#This Row],[CÓDIGO]],PRODUCTOS31316[],3,FALSE)</f>
        <v>TUBO CÓNICO DE 15 ML, TAPA ROSCA ESTÉRIL  RCF MAX: 10000xg, 
graduados, PCR puro. VENCE: 03/04/2028</v>
      </c>
      <c r="T1042" s="2">
        <v>2</v>
      </c>
      <c r="U1042" s="2"/>
      <c r="V1042" s="2"/>
      <c r="W1042" s="2"/>
      <c r="X1042" s="2"/>
      <c r="Y1042" s="7"/>
      <c r="Z1042" s="2"/>
      <c r="AA1042" s="1"/>
      <c r="AC1042" s="2"/>
      <c r="AE1042" s="1"/>
      <c r="AG1042" s="2"/>
    </row>
    <row r="1043" spans="1:33" ht="49.95" customHeight="1" x14ac:dyDescent="0.3">
      <c r="A1043" s="261" t="s">
        <v>3550</v>
      </c>
      <c r="B1043" s="257">
        <v>9319</v>
      </c>
      <c r="C1043" s="262" t="s">
        <v>3551</v>
      </c>
      <c r="D1043" s="262" t="s">
        <v>3547</v>
      </c>
      <c r="E1043" s="262" t="s">
        <v>3542</v>
      </c>
      <c r="F1043" s="262" t="s">
        <v>686</v>
      </c>
      <c r="G1043" s="2">
        <v>0</v>
      </c>
      <c r="H1043" s="14">
        <f>SUMIF(ENTRADAS71417[CÓDIGO],PRODUCTOS31316[[#This Row],[CÓDIGO]],ENTRADAS71417[CANTIDAD])</f>
        <v>0</v>
      </c>
      <c r="I1043" s="11">
        <f>SUMIF(SALIDAS111518[CÓDIGO],PRODUCTOS31316[[#This Row],[CÓDIGO]],SALIDAS111518[CANTIDAD])</f>
        <v>0</v>
      </c>
      <c r="J1043" s="6">
        <f>PRODUCTOS31316[[#This Row],[EXISTENCIAS]]+PRODUCTOS31316[[#This Row],[ENTRADAS]]-PRODUCTOS31316[[#This Row],[SALIDAS]]</f>
        <v>0</v>
      </c>
      <c r="L1043" s="2"/>
      <c r="M1043" s="2"/>
      <c r="N1043" s="2">
        <v>8068</v>
      </c>
      <c r="O1043" s="313" t="s">
        <v>2966</v>
      </c>
      <c r="P1043" s="16">
        <v>46097</v>
      </c>
      <c r="Q1043" s="314" t="s">
        <v>3168</v>
      </c>
      <c r="R1043" s="2" t="str">
        <f>VLOOKUP(SALIDAS111518[[#This Row],[CÓDIGO]],PRODUCTOS31316[],2,FALSE)</f>
        <v>MCTB015</v>
      </c>
      <c r="S1043" s="1" t="str">
        <f>VLOOKUP(SALIDAS111518[[#This Row],[CÓDIGO]],PRODUCTOS31316[],3,FALSE)</f>
        <v>TUBO CONICO DE 1,5ml PRE ESTERILIZADO LIBRE DE Rnasa y Dnasa No pirogenico No DNA Humano Tapa a Presion</v>
      </c>
      <c r="T1043" s="2">
        <v>1</v>
      </c>
      <c r="U1043" s="2"/>
      <c r="V1043" s="2"/>
      <c r="W1043" s="2"/>
      <c r="X1043" s="2"/>
      <c r="Y1043" s="7"/>
      <c r="Z1043" s="2"/>
      <c r="AA1043" s="1"/>
      <c r="AC1043" s="2"/>
      <c r="AE1043" s="1"/>
      <c r="AG1043" s="2"/>
    </row>
    <row r="1044" spans="1:33" ht="49.95" customHeight="1" x14ac:dyDescent="0.3">
      <c r="A1044" s="261" t="s">
        <v>3552</v>
      </c>
      <c r="B1044" s="257">
        <v>22651</v>
      </c>
      <c r="C1044" s="262" t="s">
        <v>3554</v>
      </c>
      <c r="D1044" s="262" t="s">
        <v>3547</v>
      </c>
      <c r="E1044" s="262" t="s">
        <v>3542</v>
      </c>
      <c r="F1044" s="262" t="s">
        <v>30</v>
      </c>
      <c r="G1044" s="2">
        <v>0</v>
      </c>
      <c r="H1044" s="14">
        <f>SUMIF(ENTRADAS71417[CÓDIGO],PRODUCTOS31316[[#This Row],[CÓDIGO]],ENTRADAS71417[CANTIDAD])</f>
        <v>0</v>
      </c>
      <c r="I1044" s="11">
        <f>SUMIF(SALIDAS111518[CÓDIGO],PRODUCTOS31316[[#This Row],[CÓDIGO]],SALIDAS111518[CANTIDAD])</f>
        <v>0</v>
      </c>
      <c r="J1044" s="6">
        <f>PRODUCTOS31316[[#This Row],[EXISTENCIAS]]+PRODUCTOS31316[[#This Row],[ENTRADAS]]-PRODUCTOS31316[[#This Row],[SALIDAS]]</f>
        <v>0</v>
      </c>
      <c r="L1044" s="2"/>
      <c r="M1044" s="2"/>
      <c r="N1044" s="2">
        <v>8068</v>
      </c>
      <c r="O1044" s="313" t="s">
        <v>2966</v>
      </c>
      <c r="P1044" s="16">
        <v>46097</v>
      </c>
      <c r="Q1044" s="314" t="s">
        <v>33</v>
      </c>
      <c r="R1044" s="2" t="str">
        <f>VLOOKUP(SALIDAS111518[[#This Row],[CÓDIGO]],PRODUCTOS31316[],2,FALSE)</f>
        <v>LA-120 /506003</v>
      </c>
      <c r="S1044" s="1" t="str">
        <f>VLOOKUP(SALIDAS111518[[#This Row],[CÓDIGO]],PRODUCTOS31316[],3,FALSE)</f>
        <v>LíNEA PARA OPU 1,2 METROS</v>
      </c>
      <c r="T1044" s="2">
        <v>4</v>
      </c>
      <c r="U1044" s="2"/>
      <c r="V1044" s="2"/>
      <c r="W1044" s="2"/>
      <c r="X1044" s="2"/>
      <c r="Y1044" s="7"/>
      <c r="Z1044" s="2"/>
      <c r="AA1044" s="1"/>
      <c r="AC1044" s="2"/>
      <c r="AE1044" s="1"/>
      <c r="AG1044" s="2"/>
    </row>
    <row r="1045" spans="1:33" ht="49.95" customHeight="1" x14ac:dyDescent="0.3">
      <c r="A1045" s="261" t="s">
        <v>3553</v>
      </c>
      <c r="B1045" s="257">
        <v>8545</v>
      </c>
      <c r="C1045" s="262" t="s">
        <v>3555</v>
      </c>
      <c r="D1045" s="262" t="s">
        <v>3547</v>
      </c>
      <c r="E1045" s="262" t="s">
        <v>3542</v>
      </c>
      <c r="F1045" s="262" t="s">
        <v>1171</v>
      </c>
      <c r="G1045" s="2">
        <v>0</v>
      </c>
      <c r="H1045" s="14">
        <f>SUMIF(ENTRADAS71417[CÓDIGO],PRODUCTOS31316[[#This Row],[CÓDIGO]],ENTRADAS71417[CANTIDAD])</f>
        <v>0</v>
      </c>
      <c r="I1045" s="11">
        <f>SUMIF(SALIDAS111518[CÓDIGO],PRODUCTOS31316[[#This Row],[CÓDIGO]],SALIDAS111518[CANTIDAD])</f>
        <v>0</v>
      </c>
      <c r="J1045" s="6">
        <f>PRODUCTOS31316[[#This Row],[EXISTENCIAS]]+PRODUCTOS31316[[#This Row],[ENTRADAS]]-PRODUCTOS31316[[#This Row],[SALIDAS]]</f>
        <v>0</v>
      </c>
      <c r="L1045" s="2"/>
      <c r="M1045" s="2"/>
      <c r="N1045" s="2">
        <v>8068</v>
      </c>
      <c r="O1045" s="313" t="s">
        <v>2966</v>
      </c>
      <c r="P1045" s="16">
        <v>46097</v>
      </c>
      <c r="Q1045" s="314" t="s">
        <v>3709</v>
      </c>
      <c r="R1045" s="2" t="str">
        <f>VLOOKUP(SALIDAS111518[[#This Row],[CÓDIGO]],PRODUCTOS31316[],2,FALSE)</f>
        <v>13408-010</v>
      </c>
      <c r="S1045" s="1" t="str">
        <f>VLOOKUP(SALIDAS111518[[#This Row],[CÓDIGO]],PRODUCTOS31316[],3,FALSE)</f>
        <v>PAJUELA TRANSPARENTE 0.50/ PAQ. X 2500 MARCA MINITUBE</v>
      </c>
      <c r="T1045" s="2">
        <v>1</v>
      </c>
      <c r="U1045" s="2"/>
      <c r="V1045" s="2"/>
      <c r="W1045" s="2"/>
      <c r="X1045" s="2"/>
      <c r="Y1045" s="7"/>
      <c r="Z1045" s="2"/>
      <c r="AA1045" s="1"/>
      <c r="AC1045" s="2"/>
      <c r="AE1045" s="1"/>
      <c r="AG1045" s="2"/>
    </row>
    <row r="1046" spans="1:33" ht="49.95" customHeight="1" x14ac:dyDescent="0.3">
      <c r="A1046" s="261" t="s">
        <v>3557</v>
      </c>
      <c r="B1046" s="262" t="s">
        <v>3562</v>
      </c>
      <c r="C1046" s="262" t="s">
        <v>3566</v>
      </c>
      <c r="D1046" s="262" t="s">
        <v>708</v>
      </c>
      <c r="E1046" s="262" t="s">
        <v>708</v>
      </c>
      <c r="F1046" s="262" t="s">
        <v>30</v>
      </c>
      <c r="G1046" s="2">
        <v>1</v>
      </c>
      <c r="H1046" s="14">
        <f>SUMIF(ENTRADAS71417[CÓDIGO],PRODUCTOS31316[[#This Row],[CÓDIGO]],ENTRADAS71417[CANTIDAD])</f>
        <v>0</v>
      </c>
      <c r="I1046" s="11">
        <f>SUMIF(SALIDAS111518[CÓDIGO],PRODUCTOS31316[[#This Row],[CÓDIGO]],SALIDAS111518[CANTIDAD])</f>
        <v>1</v>
      </c>
      <c r="J1046" s="6">
        <f>PRODUCTOS31316[[#This Row],[EXISTENCIAS]]+PRODUCTOS31316[[#This Row],[ENTRADAS]]-PRODUCTOS31316[[#This Row],[SALIDAS]]</f>
        <v>0</v>
      </c>
      <c r="L1046" s="2"/>
      <c r="M1046" s="2"/>
      <c r="N1046" s="2">
        <v>8068</v>
      </c>
      <c r="O1046" s="313" t="s">
        <v>2966</v>
      </c>
      <c r="P1046" s="16">
        <v>46097</v>
      </c>
      <c r="Q1046" s="314" t="s">
        <v>15</v>
      </c>
      <c r="R1046" s="2" t="str">
        <f>VLOOKUP(SALIDAS111518[[#This Row],[CÓDIGO]],PRODUCTOS31316[],2,FALSE)</f>
        <v>BTE-025PT/ 504002</v>
      </c>
      <c r="S1046" s="1" t="str">
        <f>VLOOKUP(SALIDAS111518[[#This Row],[CÓDIGO]],PRODUCTOS31316[],3,FALSE)</f>
        <v>FUNDAS PARA TRANSFERENCIA DE EMBRIONES</v>
      </c>
      <c r="T1046" s="2">
        <v>7</v>
      </c>
      <c r="U1046" s="2"/>
      <c r="V1046" s="2"/>
      <c r="W1046" s="2"/>
      <c r="X1046" s="2"/>
      <c r="Y1046" s="7"/>
      <c r="Z1046" s="2"/>
      <c r="AA1046" s="1"/>
      <c r="AC1046" s="2"/>
      <c r="AE1046" s="1"/>
      <c r="AG1046" s="2"/>
    </row>
    <row r="1047" spans="1:33" ht="49.95" customHeight="1" x14ac:dyDescent="0.3">
      <c r="A1047" s="261" t="s">
        <v>3558</v>
      </c>
      <c r="B1047" s="262" t="s">
        <v>3563</v>
      </c>
      <c r="C1047" s="262" t="s">
        <v>3567</v>
      </c>
      <c r="D1047" s="262" t="s">
        <v>708</v>
      </c>
      <c r="E1047" s="262" t="s">
        <v>708</v>
      </c>
      <c r="F1047" s="262" t="s">
        <v>30</v>
      </c>
      <c r="G1047" s="2">
        <v>1</v>
      </c>
      <c r="H1047" s="14">
        <f>SUMIF(ENTRADAS71417[CÓDIGO],PRODUCTOS31316[[#This Row],[CÓDIGO]],ENTRADAS71417[CANTIDAD])</f>
        <v>0</v>
      </c>
      <c r="I1047" s="11">
        <f>SUMIF(SALIDAS111518[CÓDIGO],PRODUCTOS31316[[#This Row],[CÓDIGO]],SALIDAS111518[CANTIDAD])</f>
        <v>1</v>
      </c>
      <c r="J1047" s="6">
        <f>PRODUCTOS31316[[#This Row],[EXISTENCIAS]]+PRODUCTOS31316[[#This Row],[ENTRADAS]]-PRODUCTOS31316[[#This Row],[SALIDAS]]</f>
        <v>0</v>
      </c>
      <c r="L1047" s="2"/>
      <c r="M1047" s="2"/>
      <c r="N1047" s="2">
        <v>8068</v>
      </c>
      <c r="O1047" s="313" t="s">
        <v>2966</v>
      </c>
      <c r="P1047" s="16">
        <v>46097</v>
      </c>
      <c r="Q1047" s="314" t="s">
        <v>1779</v>
      </c>
      <c r="R1047" s="2">
        <f>VLOOKUP(SALIDAS111518[[#This Row],[CÓDIGO]],PRODUCTOS31316[],2,FALSE)</f>
        <v>5563</v>
      </c>
      <c r="S1047" s="1" t="str">
        <f>VLOOKUP(SALIDAS111518[[#This Row],[CÓDIGO]],PRODUCTOS31316[],3,FALSE)</f>
        <v>CAMISA SANITARIA ROLLO X 80</v>
      </c>
      <c r="T1047" s="2">
        <v>1</v>
      </c>
      <c r="U1047" s="2"/>
      <c r="V1047" s="2"/>
      <c r="W1047" s="2"/>
      <c r="X1047" s="2"/>
      <c r="Y1047" s="7"/>
      <c r="Z1047" s="2"/>
      <c r="AA1047" s="1"/>
      <c r="AC1047" s="2"/>
      <c r="AE1047" s="1"/>
      <c r="AG1047" s="2"/>
    </row>
    <row r="1048" spans="1:33" ht="49.95" customHeight="1" x14ac:dyDescent="0.3">
      <c r="A1048" s="261" t="s">
        <v>3559</v>
      </c>
      <c r="B1048" s="262" t="s">
        <v>3562</v>
      </c>
      <c r="C1048" s="283" t="s">
        <v>3568</v>
      </c>
      <c r="D1048" s="262" t="s">
        <v>708</v>
      </c>
      <c r="E1048" s="262" t="s">
        <v>708</v>
      </c>
      <c r="F1048" s="262" t="s">
        <v>30</v>
      </c>
      <c r="G1048" s="2">
        <v>1</v>
      </c>
      <c r="H1048" s="14">
        <f>SUMIF(ENTRADAS71417[CÓDIGO],PRODUCTOS31316[[#This Row],[CÓDIGO]],ENTRADAS71417[CANTIDAD])</f>
        <v>0</v>
      </c>
      <c r="I1048" s="11">
        <f>SUMIF(SALIDAS111518[CÓDIGO],PRODUCTOS31316[[#This Row],[CÓDIGO]],SALIDAS111518[CANTIDAD])</f>
        <v>0</v>
      </c>
      <c r="J1048" s="6">
        <f>PRODUCTOS31316[[#This Row],[EXISTENCIAS]]+PRODUCTOS31316[[#This Row],[ENTRADAS]]-PRODUCTOS31316[[#This Row],[SALIDAS]]</f>
        <v>1</v>
      </c>
      <c r="L1048" s="314" t="s">
        <v>3520</v>
      </c>
      <c r="M1048" s="314" t="s">
        <v>4250</v>
      </c>
      <c r="N1048" s="313" t="s">
        <v>4437</v>
      </c>
      <c r="O1048" s="313" t="s">
        <v>2445</v>
      </c>
      <c r="P1048" s="16">
        <v>46097</v>
      </c>
      <c r="Q1048" s="314" t="s">
        <v>47</v>
      </c>
      <c r="R1048" s="2">
        <f>VLOOKUP(SALIDAS111518[[#This Row],[CÓDIGO]],PRODUCTOS31316[],2,FALSE)</f>
        <v>1135</v>
      </c>
      <c r="S1048" s="1" t="str">
        <f>VLOOKUP(SALIDAS111518[[#This Row],[CÓDIGO]],PRODUCTOS31316[],3,FALSE)</f>
        <v>TRILADYL</v>
      </c>
      <c r="T1048" s="2">
        <v>1</v>
      </c>
      <c r="U1048" s="2">
        <v>464</v>
      </c>
      <c r="V1048" s="2"/>
      <c r="W1048" s="2"/>
      <c r="X1048" s="2"/>
      <c r="Y1048" s="7"/>
      <c r="Z1048" s="2"/>
      <c r="AA1048" s="1"/>
      <c r="AC1048" s="2"/>
      <c r="AE1048" s="1"/>
      <c r="AG1048" s="2"/>
    </row>
    <row r="1049" spans="1:33" ht="49.95" customHeight="1" x14ac:dyDescent="0.3">
      <c r="A1049" s="261" t="s">
        <v>3560</v>
      </c>
      <c r="B1049" s="262" t="s">
        <v>3564</v>
      </c>
      <c r="C1049" s="262" t="s">
        <v>3569</v>
      </c>
      <c r="D1049" s="262" t="s">
        <v>708</v>
      </c>
      <c r="E1049" s="262" t="s">
        <v>708</v>
      </c>
      <c r="F1049" s="262" t="s">
        <v>30</v>
      </c>
      <c r="G1049" s="2">
        <v>1</v>
      </c>
      <c r="H1049" s="14">
        <f>SUMIF(ENTRADAS71417[CÓDIGO],PRODUCTOS31316[[#This Row],[CÓDIGO]],ENTRADAS71417[CANTIDAD])</f>
        <v>0</v>
      </c>
      <c r="I1049" s="11">
        <f>SUMIF(SALIDAS111518[CÓDIGO],PRODUCTOS31316[[#This Row],[CÓDIGO]],SALIDAS111518[CANTIDAD])</f>
        <v>1</v>
      </c>
      <c r="J1049" s="6">
        <f>PRODUCTOS31316[[#This Row],[EXISTENCIAS]]+PRODUCTOS31316[[#This Row],[ENTRADAS]]-PRODUCTOS31316[[#This Row],[SALIDAS]]</f>
        <v>0</v>
      </c>
      <c r="L1049" s="314" t="s">
        <v>3520</v>
      </c>
      <c r="M1049" s="314" t="s">
        <v>4250</v>
      </c>
      <c r="N1049" s="1" t="s">
        <v>4438</v>
      </c>
      <c r="O1049" s="420" t="s">
        <v>2379</v>
      </c>
      <c r="P1049" s="16">
        <v>46097</v>
      </c>
      <c r="Q1049" s="314" t="s">
        <v>3083</v>
      </c>
      <c r="R1049" s="2">
        <f>VLOOKUP(SALIDAS111518[[#This Row],[CÓDIGO]],PRODUCTOS31316[],2,FALSE)</f>
        <v>0</v>
      </c>
      <c r="S1049" s="1" t="str">
        <f>VLOOKUP(SALIDAS111518[[#This Row],[CÓDIGO]],PRODUCTOS31316[],3,FALSE)</f>
        <v>RECTAL PROBE INTRODUCER</v>
      </c>
      <c r="T1049" s="2">
        <v>1</v>
      </c>
      <c r="U1049" s="2">
        <v>465</v>
      </c>
      <c r="V1049" s="2"/>
      <c r="W1049" s="2"/>
      <c r="X1049" s="2"/>
      <c r="Y1049" s="7"/>
      <c r="Z1049" s="2"/>
      <c r="AA1049" s="1"/>
      <c r="AC1049" s="2"/>
      <c r="AE1049" s="1"/>
      <c r="AG1049" s="2"/>
    </row>
    <row r="1050" spans="1:33" ht="49.95" customHeight="1" x14ac:dyDescent="0.3">
      <c r="A1050" s="261" t="s">
        <v>3561</v>
      </c>
      <c r="B1050" s="262" t="s">
        <v>3565</v>
      </c>
      <c r="C1050" s="262" t="s">
        <v>3570</v>
      </c>
      <c r="D1050" s="262" t="s">
        <v>708</v>
      </c>
      <c r="E1050" s="262" t="s">
        <v>708</v>
      </c>
      <c r="F1050" s="262" t="s">
        <v>30</v>
      </c>
      <c r="G1050" s="2">
        <v>1</v>
      </c>
      <c r="H1050" s="14">
        <f>SUMIF(ENTRADAS71417[CÓDIGO],PRODUCTOS31316[[#This Row],[CÓDIGO]],ENTRADAS71417[CANTIDAD])</f>
        <v>0</v>
      </c>
      <c r="I1050" s="11">
        <f>SUMIF(SALIDAS111518[CÓDIGO],PRODUCTOS31316[[#This Row],[CÓDIGO]],SALIDAS111518[CANTIDAD])</f>
        <v>1</v>
      </c>
      <c r="J1050" s="6">
        <f>PRODUCTOS31316[[#This Row],[EXISTENCIAS]]+PRODUCTOS31316[[#This Row],[ENTRADAS]]-PRODUCTOS31316[[#This Row],[SALIDAS]]</f>
        <v>0</v>
      </c>
      <c r="L1050" s="2"/>
      <c r="M1050" s="2"/>
      <c r="N1050" s="2">
        <v>8070</v>
      </c>
      <c r="O1050" s="313" t="s">
        <v>2379</v>
      </c>
      <c r="P1050" s="16">
        <v>46097</v>
      </c>
      <c r="Q1050" s="314" t="s">
        <v>3202</v>
      </c>
      <c r="R1050" s="2">
        <f>VLOOKUP(SALIDAS111518[[#This Row],[CÓDIGO]],PRODUCTOS31316[],2,FALSE)</f>
        <v>0</v>
      </c>
      <c r="S1050" s="1" t="str">
        <f>VLOOKUP(SALIDAS111518[[#This Row],[CÓDIGO]],PRODUCTOS31316[],3,FALSE)</f>
        <v>CABLE REPUESTO ECOGRAFO S5</v>
      </c>
      <c r="T1050" s="2">
        <v>1</v>
      </c>
      <c r="U1050" s="2"/>
      <c r="V1050" s="2"/>
      <c r="W1050" s="2"/>
      <c r="X1050" s="2"/>
      <c r="Y1050" s="7"/>
      <c r="Z1050" s="2"/>
      <c r="AA1050" s="1"/>
      <c r="AC1050" s="2"/>
      <c r="AE1050" s="1"/>
      <c r="AG1050" s="2"/>
    </row>
    <row r="1051" spans="1:33" ht="49.95" customHeight="1" x14ac:dyDescent="0.3">
      <c r="A1051" s="261" t="s">
        <v>3571</v>
      </c>
      <c r="B1051" s="262"/>
      <c r="C1051" s="262" t="s">
        <v>3572</v>
      </c>
      <c r="D1051" s="262" t="s">
        <v>467</v>
      </c>
      <c r="E1051" s="262" t="s">
        <v>467</v>
      </c>
      <c r="F1051" s="262" t="s">
        <v>30</v>
      </c>
      <c r="G1051" s="2">
        <v>1</v>
      </c>
      <c r="H1051" s="14">
        <f>SUMIF(ENTRADAS71417[CÓDIGO],PRODUCTOS31316[[#This Row],[CÓDIGO]],ENTRADAS71417[CANTIDAD])</f>
        <v>0</v>
      </c>
      <c r="I1051" s="11">
        <f>SUMIF(SALIDAS111518[CÓDIGO],PRODUCTOS31316[[#This Row],[CÓDIGO]],SALIDAS111518[CANTIDAD])</f>
        <v>0</v>
      </c>
      <c r="J1051" s="6">
        <f>PRODUCTOS31316[[#This Row],[EXISTENCIAS]]+PRODUCTOS31316[[#This Row],[ENTRADAS]]-PRODUCTOS31316[[#This Row],[SALIDAS]]</f>
        <v>1</v>
      </c>
      <c r="L1051" s="2"/>
      <c r="M1051" s="2"/>
      <c r="N1051" s="2">
        <v>8070</v>
      </c>
      <c r="O1051" s="313" t="s">
        <v>2379</v>
      </c>
      <c r="P1051" s="16">
        <v>46097</v>
      </c>
      <c r="Q1051" s="2" t="s">
        <v>3202</v>
      </c>
      <c r="R1051" s="2">
        <f>VLOOKUP(SALIDAS111518[[#This Row],[CÓDIGO]],PRODUCTOS31316[],2,FALSE)</f>
        <v>0</v>
      </c>
      <c r="S1051" s="1" t="str">
        <f>VLOOKUP(SALIDAS111518[[#This Row],[CÓDIGO]],PRODUCTOS31316[],3,FALSE)</f>
        <v>CABLE REPUESTO ECOGRAFO S5</v>
      </c>
      <c r="T1051" s="2">
        <v>1</v>
      </c>
      <c r="U1051" s="2"/>
      <c r="V1051" s="2"/>
      <c r="W1051" s="2"/>
      <c r="X1051" s="2"/>
      <c r="Y1051" s="7"/>
      <c r="Z1051" s="2"/>
      <c r="AA1051" s="1"/>
      <c r="AC1051" s="2"/>
      <c r="AE1051" s="1"/>
      <c r="AG1051" s="2"/>
    </row>
    <row r="1052" spans="1:33" ht="49.95" customHeight="1" x14ac:dyDescent="0.3">
      <c r="A1052" s="261" t="s">
        <v>3573</v>
      </c>
      <c r="B1052" s="262"/>
      <c r="C1052" s="262" t="s">
        <v>3574</v>
      </c>
      <c r="D1052" s="262" t="s">
        <v>467</v>
      </c>
      <c r="E1052" s="262" t="s">
        <v>467</v>
      </c>
      <c r="F1052" s="262" t="s">
        <v>30</v>
      </c>
      <c r="G1052" s="2">
        <v>2</v>
      </c>
      <c r="H1052" s="14">
        <f>SUMIF(ENTRADAS71417[CÓDIGO],PRODUCTOS31316[[#This Row],[CÓDIGO]],ENTRADAS71417[CANTIDAD])</f>
        <v>0</v>
      </c>
      <c r="I1052" s="11">
        <f>SUMIF(SALIDAS111518[CÓDIGO],PRODUCTOS31316[[#This Row],[CÓDIGO]],SALIDAS111518[CANTIDAD])</f>
        <v>0</v>
      </c>
      <c r="J1052" s="6">
        <f>PRODUCTOS31316[[#This Row],[EXISTENCIAS]]+PRODUCTOS31316[[#This Row],[ENTRADAS]]-PRODUCTOS31316[[#This Row],[SALIDAS]]</f>
        <v>2</v>
      </c>
      <c r="L1052" s="2" t="s">
        <v>3520</v>
      </c>
      <c r="M1052" s="2" t="s">
        <v>4250</v>
      </c>
      <c r="N1052" s="1" t="s">
        <v>4453</v>
      </c>
      <c r="O1052" s="2" t="s">
        <v>2730</v>
      </c>
      <c r="P1052" s="16">
        <v>46098</v>
      </c>
      <c r="Q1052" s="2" t="s">
        <v>36</v>
      </c>
      <c r="R1052" s="2">
        <f>VLOOKUP(SALIDAS111518[[#This Row],[CÓDIGO]],PRODUCTOS31316[],2,FALSE)</f>
        <v>1</v>
      </c>
      <c r="S1052" s="1" t="str">
        <f>VLOOKUP(SALIDAS111518[[#This Row],[CÓDIGO]],PRODUCTOS31316[],3,FALSE)</f>
        <v xml:space="preserve">PARCHE ESTROTECT </v>
      </c>
      <c r="T1052" s="2">
        <v>3</v>
      </c>
      <c r="U1052" s="2">
        <v>467</v>
      </c>
      <c r="V1052" s="2"/>
      <c r="W1052" s="2"/>
      <c r="X1052" s="2"/>
      <c r="Y1052" s="7"/>
      <c r="Z1052" s="2"/>
      <c r="AA1052" s="1"/>
      <c r="AC1052" s="2"/>
      <c r="AE1052" s="1"/>
      <c r="AG1052" s="2"/>
    </row>
    <row r="1053" spans="1:33" ht="49.95" customHeight="1" x14ac:dyDescent="0.3">
      <c r="A1053" s="261" t="s">
        <v>3575</v>
      </c>
      <c r="B1053" s="262"/>
      <c r="C1053" s="262" t="s">
        <v>3576</v>
      </c>
      <c r="D1053" s="262" t="s">
        <v>467</v>
      </c>
      <c r="E1053" s="262" t="s">
        <v>467</v>
      </c>
      <c r="F1053" s="262" t="s">
        <v>30</v>
      </c>
      <c r="G1053" s="2">
        <v>1</v>
      </c>
      <c r="H1053" s="14">
        <f>SUMIF(ENTRADAS71417[CÓDIGO],PRODUCTOS31316[[#This Row],[CÓDIGO]],ENTRADAS71417[CANTIDAD])</f>
        <v>0</v>
      </c>
      <c r="I1053" s="11">
        <f>SUMIF(SALIDAS111518[CÓDIGO],PRODUCTOS31316[[#This Row],[CÓDIGO]],SALIDAS111518[CANTIDAD])</f>
        <v>0</v>
      </c>
      <c r="J1053" s="6">
        <f>PRODUCTOS31316[[#This Row],[EXISTENCIAS]]+PRODUCTOS31316[[#This Row],[ENTRADAS]]-PRODUCTOS31316[[#This Row],[SALIDAS]]</f>
        <v>1</v>
      </c>
      <c r="L1053" s="2" t="s">
        <v>3520</v>
      </c>
      <c r="M1053" s="2" t="s">
        <v>4250</v>
      </c>
      <c r="N1053" s="1" t="s">
        <v>4454</v>
      </c>
      <c r="O1053" s="2" t="s">
        <v>3119</v>
      </c>
      <c r="P1053" s="16">
        <v>46098</v>
      </c>
      <c r="Q1053" s="2" t="s">
        <v>2401</v>
      </c>
      <c r="R1053" s="2">
        <f>VLOOKUP(SALIDAS111518[[#This Row],[CÓDIGO]],PRODUCTOS31316[],2,FALSE)</f>
        <v>5540</v>
      </c>
      <c r="S1053" s="1" t="str">
        <f>VLOOKUP(SALIDAS111518[[#This Row],[CÓDIGO]],PRODUCTOS31316[],3,FALSE)</f>
        <v xml:space="preserve">FUNDAS DE TRANSFERENCIA AZUL PUNTA METÁLICA 21"                 </v>
      </c>
      <c r="T1053" s="2">
        <v>2</v>
      </c>
      <c r="U1053" s="2">
        <v>466</v>
      </c>
      <c r="V1053" s="2"/>
      <c r="W1053" s="2" t="s">
        <v>2823</v>
      </c>
      <c r="X1053" s="2"/>
      <c r="Y1053" s="7"/>
      <c r="Z1053" s="2"/>
      <c r="AA1053" s="1"/>
      <c r="AC1053" s="2"/>
      <c r="AE1053" s="1"/>
      <c r="AG1053" s="2"/>
    </row>
    <row r="1054" spans="1:33" ht="49.95" customHeight="1" x14ac:dyDescent="0.3">
      <c r="A1054" s="261" t="s">
        <v>3577</v>
      </c>
      <c r="B1054" s="262"/>
      <c r="C1054" s="262" t="s">
        <v>3578</v>
      </c>
      <c r="D1054" s="262" t="s">
        <v>467</v>
      </c>
      <c r="E1054" s="262" t="s">
        <v>467</v>
      </c>
      <c r="F1054" s="262" t="s">
        <v>30</v>
      </c>
      <c r="G1054" s="2">
        <v>1</v>
      </c>
      <c r="H1054" s="14">
        <f>SUMIF(ENTRADAS71417[CÓDIGO],PRODUCTOS31316[[#This Row],[CÓDIGO]],ENTRADAS71417[CANTIDAD])</f>
        <v>2</v>
      </c>
      <c r="I1054" s="11">
        <f>SUMIF(SALIDAS111518[CÓDIGO],PRODUCTOS31316[[#This Row],[CÓDIGO]],SALIDAS111518[CANTIDAD])</f>
        <v>0</v>
      </c>
      <c r="J1054" s="6">
        <f>PRODUCTOS31316[[#This Row],[EXISTENCIAS]]+PRODUCTOS31316[[#This Row],[ENTRADAS]]-PRODUCTOS31316[[#This Row],[SALIDAS]]</f>
        <v>3</v>
      </c>
      <c r="L1054" s="2"/>
      <c r="M1054" s="2"/>
      <c r="N1054" s="2">
        <v>8073</v>
      </c>
      <c r="O1054" s="2" t="s">
        <v>3119</v>
      </c>
      <c r="P1054" s="16">
        <v>46098</v>
      </c>
      <c r="Q1054" s="2" t="s">
        <v>15</v>
      </c>
      <c r="R1054" s="2" t="str">
        <f>VLOOKUP(SALIDAS111518[[#This Row],[CÓDIGO]],PRODUCTOS31316[],2,FALSE)</f>
        <v>BTE-025PT/ 504002</v>
      </c>
      <c r="S1054" s="1" t="str">
        <f>VLOOKUP(SALIDAS111518[[#This Row],[CÓDIGO]],PRODUCTOS31316[],3,FALSE)</f>
        <v>FUNDAS PARA TRANSFERENCIA DE EMBRIONES</v>
      </c>
      <c r="T1054" s="2">
        <v>1</v>
      </c>
      <c r="U1054" s="2"/>
      <c r="V1054" s="2"/>
      <c r="W1054" s="2"/>
      <c r="X1054" s="2"/>
      <c r="Y1054" s="7"/>
      <c r="Z1054" s="2"/>
      <c r="AA1054" s="1"/>
      <c r="AC1054" s="2"/>
      <c r="AE1054" s="1"/>
      <c r="AG1054" s="2"/>
    </row>
    <row r="1055" spans="1:33" ht="49.95" customHeight="1" x14ac:dyDescent="0.3">
      <c r="A1055" s="261" t="s">
        <v>3579</v>
      </c>
      <c r="B1055" s="262"/>
      <c r="C1055" s="262" t="s">
        <v>3580</v>
      </c>
      <c r="D1055" s="262" t="s">
        <v>467</v>
      </c>
      <c r="E1055" s="262" t="s">
        <v>467</v>
      </c>
      <c r="F1055" s="262" t="s">
        <v>30</v>
      </c>
      <c r="G1055" s="2">
        <v>1</v>
      </c>
      <c r="H1055" s="14">
        <f>SUMIF(ENTRADAS71417[CÓDIGO],PRODUCTOS31316[[#This Row],[CÓDIGO]],ENTRADAS71417[CANTIDAD])</f>
        <v>0</v>
      </c>
      <c r="I1055" s="11">
        <f>SUMIF(SALIDAS111518[CÓDIGO],PRODUCTOS31316[[#This Row],[CÓDIGO]],SALIDAS111518[CANTIDAD])</f>
        <v>0</v>
      </c>
      <c r="J1055" s="6">
        <f>PRODUCTOS31316[[#This Row],[EXISTENCIAS]]+PRODUCTOS31316[[#This Row],[ENTRADAS]]-PRODUCTOS31316[[#This Row],[SALIDAS]]</f>
        <v>1</v>
      </c>
      <c r="L1055" s="2"/>
      <c r="M1055" s="2"/>
      <c r="N1055" s="2">
        <v>8073</v>
      </c>
      <c r="O1055" s="2" t="s">
        <v>3119</v>
      </c>
      <c r="P1055" s="16">
        <v>46098</v>
      </c>
      <c r="Q1055" s="2" t="s">
        <v>1779</v>
      </c>
      <c r="R1055" s="2">
        <f>VLOOKUP(SALIDAS111518[[#This Row],[CÓDIGO]],PRODUCTOS31316[],2,FALSE)</f>
        <v>5563</v>
      </c>
      <c r="S1055" s="1" t="str">
        <f>VLOOKUP(SALIDAS111518[[#This Row],[CÓDIGO]],PRODUCTOS31316[],3,FALSE)</f>
        <v>CAMISA SANITARIA ROLLO X 80</v>
      </c>
      <c r="T1055" s="2">
        <v>1</v>
      </c>
      <c r="U1055" s="2"/>
      <c r="V1055" s="2"/>
      <c r="W1055" s="2"/>
      <c r="X1055" s="2"/>
      <c r="Y1055" s="7"/>
      <c r="Z1055" s="2"/>
      <c r="AA1055" s="1"/>
      <c r="AC1055" s="2"/>
      <c r="AE1055" s="1"/>
      <c r="AG1055" s="2"/>
    </row>
    <row r="1056" spans="1:33" ht="49.95" customHeight="1" x14ac:dyDescent="0.3">
      <c r="A1056" s="263" t="s">
        <v>3583</v>
      </c>
      <c r="B1056" s="262"/>
      <c r="C1056" s="264" t="s">
        <v>3584</v>
      </c>
      <c r="D1056" s="265" t="s">
        <v>3588</v>
      </c>
      <c r="E1056" s="265" t="s">
        <v>3610</v>
      </c>
      <c r="F1056" s="262" t="s">
        <v>30</v>
      </c>
      <c r="G1056" s="2">
        <v>4</v>
      </c>
      <c r="H1056" s="14">
        <f>SUMIF(ENTRADAS71417[CÓDIGO],PRODUCTOS31316[[#This Row],[CÓDIGO]],ENTRADAS71417[CANTIDAD])</f>
        <v>0</v>
      </c>
      <c r="I1056" s="11">
        <f>SUMIF(SALIDAS111518[CÓDIGO],PRODUCTOS31316[[#This Row],[CÓDIGO]],SALIDAS111518[CANTIDAD])</f>
        <v>0</v>
      </c>
      <c r="J1056" s="6">
        <f>PRODUCTOS31316[[#This Row],[EXISTENCIAS]]+PRODUCTOS31316[[#This Row],[ENTRADAS]]-PRODUCTOS31316[[#This Row],[SALIDAS]]</f>
        <v>4</v>
      </c>
      <c r="L1056" s="2" t="s">
        <v>3520</v>
      </c>
      <c r="M1056" s="2" t="s">
        <v>4250</v>
      </c>
      <c r="N1056" s="1" t="s">
        <v>4455</v>
      </c>
      <c r="O1056" s="1" t="s">
        <v>4449</v>
      </c>
      <c r="P1056" s="16">
        <v>46098</v>
      </c>
      <c r="Q1056" s="2" t="s">
        <v>1450</v>
      </c>
      <c r="R1056" s="2">
        <f>VLOOKUP(SALIDAS111518[[#This Row],[CÓDIGO]],PRODUCTOS31316[],2,FALSE)</f>
        <v>21499</v>
      </c>
      <c r="S1056" s="1" t="str">
        <f>VLOOKUP(SALIDAS111518[[#This Row],[CÓDIGO]],PRODUCTOS31316[],3,FALSE)</f>
        <v>CALENTADOR DE TUBOS  PORTÁTIL</v>
      </c>
      <c r="T1056" s="2">
        <v>1</v>
      </c>
      <c r="U1056" s="2">
        <v>468</v>
      </c>
      <c r="V1056" s="2"/>
      <c r="W1056" s="2"/>
      <c r="X1056" s="2"/>
      <c r="Y1056" s="7"/>
      <c r="Z1056" s="2"/>
      <c r="AA1056" s="1"/>
      <c r="AC1056" s="2"/>
      <c r="AE1056" s="1"/>
      <c r="AG1056" s="2"/>
    </row>
    <row r="1057" spans="1:33" ht="49.95" customHeight="1" x14ac:dyDescent="0.3">
      <c r="A1057" s="263" t="s">
        <v>3585</v>
      </c>
      <c r="B1057" s="1" t="s">
        <v>3586</v>
      </c>
      <c r="C1057" s="264" t="s">
        <v>3587</v>
      </c>
      <c r="D1057" s="264" t="s">
        <v>839</v>
      </c>
      <c r="E1057" s="264" t="s">
        <v>839</v>
      </c>
      <c r="F1057" s="264" t="s">
        <v>30</v>
      </c>
      <c r="G1057" s="2">
        <v>0</v>
      </c>
      <c r="H1057" s="14">
        <f>SUMIF(ENTRADAS71417[CÓDIGO],PRODUCTOS31316[[#This Row],[CÓDIGO]],ENTRADAS71417[CANTIDAD])</f>
        <v>0</v>
      </c>
      <c r="I1057" s="11">
        <f>SUMIF(SALIDAS111518[CÓDIGO],PRODUCTOS31316[[#This Row],[CÓDIGO]],SALIDAS111518[CANTIDAD])</f>
        <v>0</v>
      </c>
      <c r="J1057" s="6">
        <f>PRODUCTOS31316[[#This Row],[EXISTENCIAS]]+PRODUCTOS31316[[#This Row],[ENTRADAS]]-PRODUCTOS31316[[#This Row],[SALIDAS]]</f>
        <v>0</v>
      </c>
      <c r="L1057" s="2" t="s">
        <v>3521</v>
      </c>
      <c r="M1057" s="2" t="s">
        <v>4250</v>
      </c>
      <c r="N1057" s="320" t="s">
        <v>4511</v>
      </c>
      <c r="O1057" s="2" t="s">
        <v>4450</v>
      </c>
      <c r="P1057" s="16">
        <v>46099</v>
      </c>
      <c r="Q1057" s="2" t="s">
        <v>58</v>
      </c>
      <c r="R1057" s="2" t="str">
        <f>VLOOKUP(SALIDAS111518[[#This Row],[CÓDIGO]],PRODUCTOS31316[],2,FALSE)</f>
        <v>TNB-0001-16</v>
      </c>
      <c r="S1057" s="1" t="str">
        <f>VLOOKUP(SALIDAS111518[[#This Row],[CÓDIGO]],PRODUCTOS31316[],3,FALSE)</f>
        <v>CAMISA SANITARIA PARA OPU ASPIRACIÓN FOLICULAR</v>
      </c>
      <c r="T1057" s="2">
        <v>10</v>
      </c>
      <c r="U1057" s="2">
        <v>471</v>
      </c>
      <c r="V1057" s="2"/>
      <c r="W1057" s="2"/>
      <c r="X1057" s="2"/>
      <c r="Y1057" s="7"/>
      <c r="Z1057" s="2"/>
      <c r="AA1057" s="1"/>
      <c r="AC1057" s="2"/>
      <c r="AE1057" s="1"/>
      <c r="AG1057" s="2"/>
    </row>
    <row r="1058" spans="1:33" ht="49.95" customHeight="1" x14ac:dyDescent="0.3">
      <c r="A1058" s="263" t="s">
        <v>3591</v>
      </c>
      <c r="B1058" s="1">
        <v>9018121000</v>
      </c>
      <c r="C1058" s="264" t="s">
        <v>3592</v>
      </c>
      <c r="D1058" s="264" t="s">
        <v>1886</v>
      </c>
      <c r="E1058" s="264" t="s">
        <v>1886</v>
      </c>
      <c r="F1058" s="264" t="s">
        <v>30</v>
      </c>
      <c r="G1058" s="2">
        <v>1</v>
      </c>
      <c r="H1058" s="14">
        <f>SUMIF(ENTRADAS71417[CÓDIGO],PRODUCTOS31316[[#This Row],[CÓDIGO]],ENTRADAS71417[CANTIDAD])</f>
        <v>1</v>
      </c>
      <c r="I1058" s="11">
        <f>SUMIF(SALIDAS111518[CÓDIGO],PRODUCTOS31316[[#This Row],[CÓDIGO]],SALIDAS111518[CANTIDAD])</f>
        <v>2</v>
      </c>
      <c r="J1058" s="6">
        <f>PRODUCTOS31316[[#This Row],[EXISTENCIAS]]+PRODUCTOS31316[[#This Row],[ENTRADAS]]-PRODUCTOS31316[[#This Row],[SALIDAS]]</f>
        <v>0</v>
      </c>
      <c r="L1058" s="2"/>
      <c r="M1058" s="2"/>
      <c r="N1058" s="2">
        <v>8071</v>
      </c>
      <c r="O1058" s="2" t="s">
        <v>4450</v>
      </c>
      <c r="P1058" s="16">
        <v>46099</v>
      </c>
      <c r="Q1058" s="2" t="s">
        <v>2257</v>
      </c>
      <c r="R1058" s="2">
        <f>VLOOKUP(SALIDAS111518[[#This Row],[CÓDIGO]],PRODUCTOS31316[],2,FALSE)</f>
        <v>9014001</v>
      </c>
      <c r="S1058" s="1" t="str">
        <f>VLOOKUP(SALIDAS111518[[#This Row],[CÓDIGO]],PRODUCTOS31316[],3,FALSE)</f>
        <v>FILTROS OPU 100 UM/ MARCA TED</v>
      </c>
      <c r="T1058" s="2">
        <v>5</v>
      </c>
      <c r="U1058" s="2"/>
      <c r="V1058" s="2"/>
      <c r="W1058" s="2"/>
      <c r="X1058" s="2"/>
      <c r="Y1058" s="7"/>
      <c r="Z1058" s="2"/>
      <c r="AA1058" s="1"/>
      <c r="AC1058" s="2"/>
      <c r="AE1058" s="1"/>
      <c r="AG1058" s="2"/>
    </row>
    <row r="1059" spans="1:33" ht="49.95" customHeight="1" x14ac:dyDescent="0.3">
      <c r="A1059" s="263" t="s">
        <v>3593</v>
      </c>
      <c r="C1059" s="264" t="s">
        <v>3595</v>
      </c>
      <c r="D1059" s="264" t="s">
        <v>3596</v>
      </c>
      <c r="E1059" s="264" t="s">
        <v>3596</v>
      </c>
      <c r="F1059" s="264" t="s">
        <v>30</v>
      </c>
      <c r="G1059" s="2">
        <v>5</v>
      </c>
      <c r="H1059" s="14">
        <f>SUMIF(ENTRADAS71417[CÓDIGO],PRODUCTOS31316[[#This Row],[CÓDIGO]],ENTRADAS71417[CANTIDAD])</f>
        <v>0</v>
      </c>
      <c r="I1059" s="11">
        <f>SUMIF(SALIDAS111518[CÓDIGO],PRODUCTOS31316[[#This Row],[CÓDIGO]],SALIDAS111518[CANTIDAD])</f>
        <v>0</v>
      </c>
      <c r="J1059" s="6">
        <f>PRODUCTOS31316[[#This Row],[EXISTENCIAS]]+PRODUCTOS31316[[#This Row],[ENTRADAS]]-PRODUCTOS31316[[#This Row],[SALIDAS]]</f>
        <v>5</v>
      </c>
      <c r="L1059" s="2"/>
      <c r="M1059" s="2"/>
      <c r="N1059" s="2">
        <v>8071</v>
      </c>
      <c r="O1059" s="2" t="s">
        <v>4450</v>
      </c>
      <c r="P1059" s="16">
        <v>46099</v>
      </c>
      <c r="Q1059" s="2" t="s">
        <v>33</v>
      </c>
      <c r="R1059" s="2" t="str">
        <f>VLOOKUP(SALIDAS111518[[#This Row],[CÓDIGO]],PRODUCTOS31316[],2,FALSE)</f>
        <v>LA-120 /506003</v>
      </c>
      <c r="S1059" s="1" t="str">
        <f>VLOOKUP(SALIDAS111518[[#This Row],[CÓDIGO]],PRODUCTOS31316[],3,FALSE)</f>
        <v>LíNEA PARA OPU 1,2 METROS</v>
      </c>
      <c r="T1059" s="31">
        <v>40</v>
      </c>
      <c r="U1059" s="2"/>
      <c r="V1059" s="2"/>
      <c r="W1059" s="2"/>
      <c r="X1059" s="2"/>
      <c r="Y1059" s="7"/>
      <c r="Z1059" s="2"/>
      <c r="AA1059" s="1"/>
      <c r="AC1059" s="2"/>
      <c r="AE1059" s="1"/>
      <c r="AG1059" s="2"/>
    </row>
    <row r="1060" spans="1:33" ht="49.95" customHeight="1" x14ac:dyDescent="0.3">
      <c r="A1060" s="263" t="s">
        <v>3594</v>
      </c>
      <c r="C1060" s="264" t="s">
        <v>3597</v>
      </c>
      <c r="D1060" s="264" t="s">
        <v>3596</v>
      </c>
      <c r="E1060" s="264" t="s">
        <v>3596</v>
      </c>
      <c r="F1060" s="264" t="s">
        <v>30</v>
      </c>
      <c r="G1060" s="2">
        <v>1</v>
      </c>
      <c r="H1060" s="14">
        <f>SUMIF(ENTRADAS71417[CÓDIGO],PRODUCTOS31316[[#This Row],[CÓDIGO]],ENTRADAS71417[CANTIDAD])</f>
        <v>0</v>
      </c>
      <c r="I1060" s="11">
        <f>SUMIF(SALIDAS111518[CÓDIGO],PRODUCTOS31316[[#This Row],[CÓDIGO]],SALIDAS111518[CANTIDAD])</f>
        <v>1</v>
      </c>
      <c r="J1060" s="6">
        <f>PRODUCTOS31316[[#This Row],[EXISTENCIAS]]+PRODUCTOS31316[[#This Row],[ENTRADAS]]-PRODUCTOS31316[[#This Row],[SALIDAS]]</f>
        <v>0</v>
      </c>
      <c r="L1060" s="2"/>
      <c r="M1060" s="2"/>
      <c r="N1060" s="2">
        <v>8071</v>
      </c>
      <c r="O1060" s="2" t="s">
        <v>4450</v>
      </c>
      <c r="P1060" s="16">
        <v>46099</v>
      </c>
      <c r="Q1060" s="2" t="s">
        <v>273</v>
      </c>
      <c r="R1060" s="2">
        <f>VLOOKUP(SALIDAS111518[[#This Row],[CÓDIGO]],PRODUCTOS31316[],2,FALSE)</f>
        <v>1003514</v>
      </c>
      <c r="S1060" s="1" t="str">
        <f>VLOOKUP(SALIDAS111518[[#This Row],[CÓDIGO]],PRODUCTOS31316[],3,FALSE)</f>
        <v>JALEA CONDUCTIVA (GEL ULTRASONICO) GALON X 3785 ML AZUL</v>
      </c>
      <c r="T1060" s="2">
        <v>2</v>
      </c>
      <c r="U1060" s="2"/>
      <c r="V1060" s="2"/>
      <c r="W1060" s="2"/>
      <c r="X1060" s="2"/>
      <c r="Y1060" s="7"/>
      <c r="Z1060" s="2"/>
      <c r="AA1060" s="1"/>
      <c r="AC1060" s="2"/>
      <c r="AE1060" s="1"/>
      <c r="AG1060" s="2"/>
    </row>
    <row r="1061" spans="1:33" ht="49.95" customHeight="1" x14ac:dyDescent="0.3">
      <c r="A1061" s="263" t="s">
        <v>3599</v>
      </c>
      <c r="C1061" s="264" t="s">
        <v>3600</v>
      </c>
      <c r="D1061" s="264" t="s">
        <v>2913</v>
      </c>
      <c r="E1061" s="264" t="s">
        <v>2913</v>
      </c>
      <c r="F1061" s="264" t="s">
        <v>30</v>
      </c>
      <c r="G1061" s="2">
        <v>1</v>
      </c>
      <c r="H1061" s="14">
        <f>SUMIF(ENTRADAS71417[CÓDIGO],PRODUCTOS31316[[#This Row],[CÓDIGO]],ENTRADAS71417[CANTIDAD])</f>
        <v>3</v>
      </c>
      <c r="I1061" s="11">
        <f>SUMIF(SALIDAS111518[CÓDIGO],PRODUCTOS31316[[#This Row],[CÓDIGO]],SALIDAS111518[CANTIDAD])</f>
        <v>5</v>
      </c>
      <c r="J1061" s="6">
        <f>PRODUCTOS31316[[#This Row],[EXISTENCIAS]]+PRODUCTOS31316[[#This Row],[ENTRADAS]]-PRODUCTOS31316[[#This Row],[SALIDAS]]</f>
        <v>-1</v>
      </c>
      <c r="L1061" s="2"/>
      <c r="M1061" s="2"/>
      <c r="N1061" s="2">
        <v>8071</v>
      </c>
      <c r="O1061" s="2" t="s">
        <v>4450</v>
      </c>
      <c r="P1061" s="16">
        <v>46099</v>
      </c>
      <c r="Q1061" s="2" t="s">
        <v>210</v>
      </c>
      <c r="R1061" s="2">
        <f>VLOOKUP(SALIDAS111518[[#This Row],[CÓDIGO]],PRODUCTOS31316[],2,FALSE)</f>
        <v>101257</v>
      </c>
      <c r="S1061" s="1" t="str">
        <f>VLOOKUP(SALIDAS111518[[#This Row],[CÓDIGO]],PRODUCTOS31316[],3,FALSE)</f>
        <v>MANGA DESECHABLE SUPER SENSITIVA</v>
      </c>
      <c r="T1061" s="2">
        <v>10</v>
      </c>
      <c r="U1061" s="2"/>
      <c r="V1061" s="2"/>
      <c r="W1061" s="2"/>
      <c r="X1061" s="2"/>
      <c r="Y1061" s="7"/>
      <c r="Z1061" s="2"/>
      <c r="AA1061" s="1"/>
      <c r="AC1061" s="2"/>
      <c r="AE1061" s="1"/>
      <c r="AG1061" s="2"/>
    </row>
    <row r="1062" spans="1:33" ht="49.95" customHeight="1" x14ac:dyDescent="0.3">
      <c r="A1062" s="263" t="s">
        <v>3601</v>
      </c>
      <c r="B1062" s="1">
        <v>77053</v>
      </c>
      <c r="C1062" s="264" t="s">
        <v>3602</v>
      </c>
      <c r="D1062" s="264" t="s">
        <v>2913</v>
      </c>
      <c r="E1062" s="264" t="s">
        <v>2913</v>
      </c>
      <c r="F1062" s="264" t="s">
        <v>30</v>
      </c>
      <c r="G1062" s="2">
        <v>0</v>
      </c>
      <c r="H1062" s="14">
        <f>SUMIF(ENTRADAS71417[CÓDIGO],PRODUCTOS31316[[#This Row],[CÓDIGO]],ENTRADAS71417[CANTIDAD])</f>
        <v>0</v>
      </c>
      <c r="I1062" s="11">
        <f>SUMIF(SALIDAS111518[CÓDIGO],PRODUCTOS31316[[#This Row],[CÓDIGO]],SALIDAS111518[CANTIDAD])</f>
        <v>1</v>
      </c>
      <c r="J1062" s="6">
        <f>PRODUCTOS31316[[#This Row],[EXISTENCIAS]]+PRODUCTOS31316[[#This Row],[ENTRADAS]]-PRODUCTOS31316[[#This Row],[SALIDAS]]</f>
        <v>-1</v>
      </c>
      <c r="L1062" s="2"/>
      <c r="M1062" s="2"/>
      <c r="N1062" s="2">
        <v>8071</v>
      </c>
      <c r="O1062" s="2" t="s">
        <v>4450</v>
      </c>
      <c r="P1062" s="16">
        <v>46099</v>
      </c>
      <c r="Q1062" s="2" t="s">
        <v>3233</v>
      </c>
      <c r="R1062" s="2" t="str">
        <f>VLOOKUP(SALIDAS111518[[#This Row],[CÓDIGO]],PRODUCTOS31316[],2,FALSE)</f>
        <v>JA3022</v>
      </c>
      <c r="S1062" s="1" t="str">
        <f>VLOOKUP(SALIDAS111518[[#This Row],[CÓDIGO]],PRODUCTOS31316[],3,FALSE)</f>
        <v>PIPETA AUTOMÁTICA VOLUMEN DE 0.5A 10UL</v>
      </c>
      <c r="T1062" s="2">
        <v>1</v>
      </c>
      <c r="U1062" s="2"/>
      <c r="V1062" s="2"/>
      <c r="W1062" s="2"/>
      <c r="X1062" s="2"/>
      <c r="Y1062" s="7"/>
      <c r="Z1062" s="2"/>
      <c r="AA1062" s="1"/>
      <c r="AC1062" s="2"/>
      <c r="AE1062" s="1"/>
      <c r="AG1062" s="2"/>
    </row>
    <row r="1063" spans="1:33" ht="49.95" customHeight="1" x14ac:dyDescent="0.3">
      <c r="A1063" s="263" t="s">
        <v>3608</v>
      </c>
      <c r="B1063" s="267" t="s">
        <v>3612</v>
      </c>
      <c r="C1063" s="267" t="s">
        <v>3613</v>
      </c>
      <c r="D1063" s="267" t="s">
        <v>3125</v>
      </c>
      <c r="E1063" s="267" t="s">
        <v>3125</v>
      </c>
      <c r="F1063" s="267" t="s">
        <v>30</v>
      </c>
      <c r="G1063" s="2">
        <v>1</v>
      </c>
      <c r="H1063" s="14">
        <f>SUMIF(ENTRADAS71417[CÓDIGO],PRODUCTOS31316[[#This Row],[CÓDIGO]],ENTRADAS71417[CANTIDAD])</f>
        <v>0</v>
      </c>
      <c r="I1063" s="11">
        <f>SUMIF(SALIDAS111518[CÓDIGO],PRODUCTOS31316[[#This Row],[CÓDIGO]],SALIDAS111518[CANTIDAD])</f>
        <v>0</v>
      </c>
      <c r="J1063" s="6">
        <f>PRODUCTOS31316[[#This Row],[EXISTENCIAS]]+PRODUCTOS31316[[#This Row],[ENTRADAS]]-PRODUCTOS31316[[#This Row],[SALIDAS]]</f>
        <v>1</v>
      </c>
      <c r="L1063" s="2"/>
      <c r="M1063" s="2"/>
      <c r="N1063" s="2">
        <v>8071</v>
      </c>
      <c r="O1063" s="2" t="s">
        <v>4450</v>
      </c>
      <c r="P1063" s="16">
        <v>46099</v>
      </c>
      <c r="Q1063" s="2" t="s">
        <v>3440</v>
      </c>
      <c r="R1063" s="2" t="str">
        <f>VLOOKUP(SALIDAS111518[[#This Row],[CÓDIGO]],PRODUCTOS31316[],2,FALSE)</f>
        <v>M100</v>
      </c>
      <c r="S1063" s="1" t="str">
        <f>VLOOKUP(SALIDAS111518[[#This Row],[CÓDIGO]],PRODUCTOS31316[],3,FALSE)</f>
        <v>MICROPIPETA AUTOMATICA VOLUMEN VARIABLE DE 100 - 1000</v>
      </c>
      <c r="T1063" s="2">
        <v>1</v>
      </c>
      <c r="U1063" s="2"/>
      <c r="V1063" s="2"/>
      <c r="W1063" s="2"/>
      <c r="X1063" s="2"/>
      <c r="Y1063" s="7"/>
      <c r="Z1063" s="2"/>
      <c r="AA1063" s="1"/>
      <c r="AC1063" s="2"/>
      <c r="AE1063" s="1"/>
      <c r="AG1063" s="2"/>
    </row>
    <row r="1064" spans="1:33" ht="49.95" customHeight="1" x14ac:dyDescent="0.3">
      <c r="A1064" s="266" t="s">
        <v>3614</v>
      </c>
      <c r="B1064" s="267" t="s">
        <v>3612</v>
      </c>
      <c r="C1064" s="267" t="s">
        <v>3615</v>
      </c>
      <c r="D1064" s="267" t="s">
        <v>3125</v>
      </c>
      <c r="E1064" s="267" t="s">
        <v>3125</v>
      </c>
      <c r="F1064" s="267" t="s">
        <v>30</v>
      </c>
      <c r="G1064" s="2">
        <v>1</v>
      </c>
      <c r="H1064" s="14">
        <f>SUMIF(ENTRADAS71417[CÓDIGO],PRODUCTOS31316[[#This Row],[CÓDIGO]],ENTRADAS71417[CANTIDAD])</f>
        <v>0</v>
      </c>
      <c r="I1064" s="11">
        <f>SUMIF(SALIDAS111518[CÓDIGO],PRODUCTOS31316[[#This Row],[CÓDIGO]],SALIDAS111518[CANTIDAD])</f>
        <v>1</v>
      </c>
      <c r="J1064" s="6">
        <f>PRODUCTOS31316[[#This Row],[EXISTENCIAS]]+PRODUCTOS31316[[#This Row],[ENTRADAS]]-PRODUCTOS31316[[#This Row],[SALIDAS]]</f>
        <v>0</v>
      </c>
      <c r="L1064" s="2"/>
      <c r="M1064" s="2"/>
      <c r="N1064" s="2">
        <v>8071</v>
      </c>
      <c r="O1064" s="317" t="s">
        <v>4450</v>
      </c>
      <c r="P1064" s="16">
        <v>46099</v>
      </c>
      <c r="Q1064" s="2" t="s">
        <v>561</v>
      </c>
      <c r="R1064" s="2">
        <f>VLOOKUP(SALIDAS111518[[#This Row],[CÓDIGO]],PRODUCTOS31316[],2,FALSE)</f>
        <v>502018</v>
      </c>
      <c r="S1064" s="1" t="str">
        <f>VLOOKUP(SALIDAS111518[[#This Row],[CÓDIGO]],PRODUCTOS31316[],3,FALSE)</f>
        <v>PLATINA DE MESA MA 3320/ MA 3322</v>
      </c>
      <c r="T1064" s="2">
        <v>1</v>
      </c>
      <c r="U1064" s="2"/>
      <c r="V1064" s="2"/>
      <c r="W1064" s="2"/>
      <c r="X1064" s="2"/>
      <c r="Y1064" s="7"/>
      <c r="Z1064" s="2"/>
      <c r="AA1064" s="1"/>
      <c r="AC1064" s="2"/>
      <c r="AE1064" s="1"/>
      <c r="AG1064" s="2"/>
    </row>
    <row r="1065" spans="1:33" ht="49.95" customHeight="1" x14ac:dyDescent="0.3">
      <c r="A1065" s="266" t="s">
        <v>3616</v>
      </c>
      <c r="B1065" s="267" t="s">
        <v>3617</v>
      </c>
      <c r="C1065" s="267" t="s">
        <v>3618</v>
      </c>
      <c r="D1065" s="267" t="s">
        <v>3125</v>
      </c>
      <c r="E1065" s="267" t="s">
        <v>3125</v>
      </c>
      <c r="F1065" s="267" t="s">
        <v>30</v>
      </c>
      <c r="G1065" s="2">
        <v>2</v>
      </c>
      <c r="H1065" s="14">
        <f>SUMIF(ENTRADAS71417[CÓDIGO],PRODUCTOS31316[[#This Row],[CÓDIGO]],ENTRADAS71417[CANTIDAD])</f>
        <v>0</v>
      </c>
      <c r="I1065" s="11">
        <f>SUMIF(SALIDAS111518[CÓDIGO],PRODUCTOS31316[[#This Row],[CÓDIGO]],SALIDAS111518[CANTIDAD])</f>
        <v>1</v>
      </c>
      <c r="J1065" s="6">
        <f>PRODUCTOS31316[[#This Row],[EXISTENCIAS]]+PRODUCTOS31316[[#This Row],[ENTRADAS]]-PRODUCTOS31316[[#This Row],[SALIDAS]]</f>
        <v>1</v>
      </c>
      <c r="L1065" s="2"/>
      <c r="M1065" s="2"/>
      <c r="N1065" s="345" t="s">
        <v>4820</v>
      </c>
      <c r="O1065" s="2" t="s">
        <v>4450</v>
      </c>
      <c r="P1065" s="16"/>
      <c r="Q1065" s="2" t="s">
        <v>3033</v>
      </c>
      <c r="R1065" s="2">
        <f>VLOOKUP(SALIDAS111518[[#This Row],[CÓDIGO]],PRODUCTOS31316[],2,FALSE)</f>
        <v>14417</v>
      </c>
      <c r="S1065" s="1" t="str">
        <f>VLOOKUP(SALIDAS111518[[#This Row],[CÓDIGO]],PRODUCTOS31316[],3,FALSE)</f>
        <v>RACK DE ALUMINIO PARA 15 ML</v>
      </c>
      <c r="T1065" s="2"/>
      <c r="U1065" s="350" t="s">
        <v>4896</v>
      </c>
      <c r="V1065" s="2"/>
      <c r="W1065" s="2"/>
      <c r="X1065" s="2"/>
      <c r="Y1065" s="7"/>
      <c r="Z1065" s="2"/>
      <c r="AA1065" s="1"/>
      <c r="AC1065" s="2"/>
      <c r="AE1065" s="1"/>
      <c r="AG1065" s="2"/>
    </row>
    <row r="1066" spans="1:33" ht="49.95" customHeight="1" x14ac:dyDescent="0.3">
      <c r="A1066" s="266" t="s">
        <v>3619</v>
      </c>
      <c r="B1066" s="267" t="s">
        <v>3620</v>
      </c>
      <c r="C1066" s="267" t="s">
        <v>3621</v>
      </c>
      <c r="D1066" s="267" t="s">
        <v>3125</v>
      </c>
      <c r="E1066" s="267" t="s">
        <v>3125</v>
      </c>
      <c r="F1066" s="267" t="s">
        <v>30</v>
      </c>
      <c r="G1066" s="2">
        <v>2</v>
      </c>
      <c r="H1066" s="14">
        <f>SUMIF(ENTRADAS71417[CÓDIGO],PRODUCTOS31316[[#This Row],[CÓDIGO]],ENTRADAS71417[CANTIDAD])</f>
        <v>0</v>
      </c>
      <c r="I1066" s="11">
        <f>SUMIF(SALIDAS111518[CÓDIGO],PRODUCTOS31316[[#This Row],[CÓDIGO]],SALIDAS111518[CANTIDAD])</f>
        <v>0</v>
      </c>
      <c r="J1066" s="6">
        <f>PRODUCTOS31316[[#This Row],[EXISTENCIAS]]+PRODUCTOS31316[[#This Row],[ENTRADAS]]-PRODUCTOS31316[[#This Row],[SALIDAS]]</f>
        <v>2</v>
      </c>
      <c r="L1066" s="2"/>
      <c r="M1066" s="2"/>
      <c r="N1066" s="2">
        <v>8071</v>
      </c>
      <c r="O1066" s="2" t="s">
        <v>4450</v>
      </c>
      <c r="P1066" s="2"/>
      <c r="Q1066" s="330" t="s">
        <v>4451</v>
      </c>
      <c r="R1066" s="2">
        <f>VLOOKUP(SALIDAS111518[[#This Row],[CÓDIGO]],PRODUCTOS31316[],2,FALSE)</f>
        <v>21977</v>
      </c>
      <c r="S1066" s="1" t="str">
        <f>VLOOKUP(SALIDAS111518[[#This Row],[CÓDIGO]],PRODUCTOS31316[],3,FALSE)</f>
        <v>PLATINA CALENTADORA SMZ REDONDA WTA</v>
      </c>
      <c r="T1066" s="2"/>
      <c r="U1066" s="348" t="s">
        <v>4850</v>
      </c>
      <c r="V1066" s="2"/>
      <c r="W1066" s="2"/>
      <c r="X1066" s="2"/>
      <c r="Y1066" s="7"/>
      <c r="Z1066" s="2"/>
      <c r="AA1066" s="1"/>
      <c r="AC1066" s="2"/>
      <c r="AE1066" s="1"/>
      <c r="AG1066" s="2"/>
    </row>
    <row r="1067" spans="1:33" ht="49.95" customHeight="1" x14ac:dyDescent="0.3">
      <c r="A1067" s="266" t="s">
        <v>3622</v>
      </c>
      <c r="B1067" s="267" t="s">
        <v>3623</v>
      </c>
      <c r="C1067" s="267" t="s">
        <v>3626</v>
      </c>
      <c r="D1067" s="267" t="s">
        <v>3125</v>
      </c>
      <c r="E1067" s="267" t="s">
        <v>3125</v>
      </c>
      <c r="F1067" s="267" t="s">
        <v>30</v>
      </c>
      <c r="G1067" s="2">
        <v>1</v>
      </c>
      <c r="H1067" s="14">
        <f>SUMIF(ENTRADAS71417[CÓDIGO],PRODUCTOS31316[[#This Row],[CÓDIGO]],ENTRADAS71417[CANTIDAD])</f>
        <v>0</v>
      </c>
      <c r="I1067" s="11">
        <f>SUMIF(SALIDAS111518[CÓDIGO],PRODUCTOS31316[[#This Row],[CÓDIGO]],SALIDAS111518[CANTIDAD])</f>
        <v>0</v>
      </c>
      <c r="J1067" s="6">
        <f>PRODUCTOS31316[[#This Row],[EXISTENCIAS]]+PRODUCTOS31316[[#This Row],[ENTRADAS]]-PRODUCTOS31316[[#This Row],[SALIDAS]]</f>
        <v>1</v>
      </c>
      <c r="L1067" s="2" t="s">
        <v>3520</v>
      </c>
      <c r="M1067" s="2" t="s">
        <v>4250</v>
      </c>
      <c r="N1067" s="1" t="s">
        <v>4456</v>
      </c>
      <c r="O1067" s="1" t="s">
        <v>3492</v>
      </c>
      <c r="P1067" s="16">
        <v>46098</v>
      </c>
      <c r="Q1067" s="2" t="s">
        <v>15</v>
      </c>
      <c r="R1067" s="2" t="str">
        <f>VLOOKUP(SALIDAS111518[[#This Row],[CÓDIGO]],PRODUCTOS31316[],2,FALSE)</f>
        <v>BTE-025PT/ 504002</v>
      </c>
      <c r="S1067" s="1" t="str">
        <f>VLOOKUP(SALIDAS111518[[#This Row],[CÓDIGO]],PRODUCTOS31316[],3,FALSE)</f>
        <v>FUNDAS PARA TRANSFERENCIA DE EMBRIONES</v>
      </c>
      <c r="T1067" s="2">
        <v>50</v>
      </c>
      <c r="U1067" s="2">
        <v>469</v>
      </c>
      <c r="V1067" s="2"/>
      <c r="W1067" s="2"/>
      <c r="X1067" s="2"/>
      <c r="Y1067" s="7"/>
      <c r="Z1067" s="2"/>
      <c r="AA1067" s="1"/>
      <c r="AC1067" s="2"/>
      <c r="AE1067" s="1"/>
      <c r="AG1067" s="2"/>
    </row>
    <row r="1068" spans="1:33" ht="49.95" customHeight="1" x14ac:dyDescent="0.3">
      <c r="A1068" s="266" t="s">
        <v>3624</v>
      </c>
      <c r="B1068" s="267" t="s">
        <v>3625</v>
      </c>
      <c r="C1068" s="267" t="s">
        <v>3627</v>
      </c>
      <c r="D1068" s="267" t="s">
        <v>3125</v>
      </c>
      <c r="E1068" s="267" t="s">
        <v>3125</v>
      </c>
      <c r="F1068" s="267" t="s">
        <v>30</v>
      </c>
      <c r="G1068" s="2">
        <v>1</v>
      </c>
      <c r="H1068" s="14">
        <f>SUMIF(ENTRADAS71417[CÓDIGO],PRODUCTOS31316[[#This Row],[CÓDIGO]],ENTRADAS71417[CANTIDAD])</f>
        <v>0</v>
      </c>
      <c r="I1068" s="11">
        <f>SUMIF(SALIDAS111518[CÓDIGO],PRODUCTOS31316[[#This Row],[CÓDIGO]],SALIDAS111518[CANTIDAD])</f>
        <v>0</v>
      </c>
      <c r="J1068" s="6">
        <f>PRODUCTOS31316[[#This Row],[EXISTENCIAS]]+PRODUCTOS31316[[#This Row],[ENTRADAS]]-PRODUCTOS31316[[#This Row],[SALIDAS]]</f>
        <v>1</v>
      </c>
      <c r="L1068" s="317" t="s">
        <v>3520</v>
      </c>
      <c r="M1068" s="317" t="s">
        <v>4250</v>
      </c>
      <c r="N1068" s="318" t="s">
        <v>4457</v>
      </c>
      <c r="O1068" s="318" t="s">
        <v>2702</v>
      </c>
      <c r="P1068" s="16">
        <v>46098</v>
      </c>
      <c r="Q1068" s="317" t="s">
        <v>272</v>
      </c>
      <c r="R1068" s="2">
        <f>VLOOKUP(SALIDAS111518[[#This Row],[CÓDIGO]],PRODUCTOS31316[],2,FALSE)</f>
        <v>627161</v>
      </c>
      <c r="S1068" s="1" t="str">
        <f>VLOOKUP(SALIDAS111518[[#This Row],[CÓDIGO]],PRODUCTOS31316[],3,FALSE)</f>
        <v xml:space="preserve">CAJA PETRI 35X10 ESTERIL </v>
      </c>
      <c r="T1068" s="2">
        <v>5</v>
      </c>
      <c r="U1068" s="2">
        <v>472</v>
      </c>
      <c r="V1068" s="2"/>
      <c r="W1068" s="2"/>
      <c r="X1068" s="2"/>
      <c r="Y1068" s="7"/>
      <c r="Z1068" s="2"/>
      <c r="AA1068" s="1"/>
      <c r="AC1068" s="2"/>
      <c r="AE1068" s="1"/>
      <c r="AG1068" s="2"/>
    </row>
    <row r="1069" spans="1:33" ht="49.95" customHeight="1" x14ac:dyDescent="0.3">
      <c r="A1069" s="266" t="s">
        <v>3628</v>
      </c>
      <c r="B1069" s="267" t="s">
        <v>3629</v>
      </c>
      <c r="C1069" s="267" t="s">
        <v>3630</v>
      </c>
      <c r="D1069" s="267" t="s">
        <v>3125</v>
      </c>
      <c r="E1069" s="267" t="s">
        <v>3125</v>
      </c>
      <c r="F1069" s="267" t="s">
        <v>30</v>
      </c>
      <c r="G1069" s="2">
        <v>2</v>
      </c>
      <c r="H1069" s="14">
        <f>SUMIF(ENTRADAS71417[CÓDIGO],PRODUCTOS31316[[#This Row],[CÓDIGO]],ENTRADAS71417[CANTIDAD])</f>
        <v>0</v>
      </c>
      <c r="I1069" s="11">
        <f>SUMIF(SALIDAS111518[CÓDIGO],PRODUCTOS31316[[#This Row],[CÓDIGO]],SALIDAS111518[CANTIDAD])</f>
        <v>0</v>
      </c>
      <c r="J1069" s="6">
        <f>PRODUCTOS31316[[#This Row],[EXISTENCIAS]]+PRODUCTOS31316[[#This Row],[ENTRADAS]]-PRODUCTOS31316[[#This Row],[SALIDAS]]</f>
        <v>2</v>
      </c>
      <c r="L1069" s="2"/>
      <c r="M1069" s="2"/>
      <c r="N1069" s="2">
        <v>8076</v>
      </c>
      <c r="O1069" s="318" t="s">
        <v>2702</v>
      </c>
      <c r="P1069" s="16">
        <v>46098</v>
      </c>
      <c r="Q1069" s="317" t="s">
        <v>3168</v>
      </c>
      <c r="R1069" s="2" t="str">
        <f>VLOOKUP(SALIDAS111518[[#This Row],[CÓDIGO]],PRODUCTOS31316[],2,FALSE)</f>
        <v>MCTB015</v>
      </c>
      <c r="S1069" s="1" t="str">
        <f>VLOOKUP(SALIDAS111518[[#This Row],[CÓDIGO]],PRODUCTOS31316[],3,FALSE)</f>
        <v>TUBO CONICO DE 1,5ml PRE ESTERILIZADO LIBRE DE Rnasa y Dnasa No pirogenico No DNA Humano Tapa a Presion</v>
      </c>
      <c r="T1069" s="2">
        <v>2</v>
      </c>
      <c r="U1069" s="2"/>
      <c r="V1069" s="2"/>
      <c r="W1069" s="2"/>
      <c r="X1069" s="2"/>
      <c r="Y1069" s="7"/>
      <c r="Z1069" s="2"/>
      <c r="AA1069" s="1"/>
      <c r="AC1069" s="2"/>
      <c r="AE1069" s="1"/>
      <c r="AG1069" s="2"/>
    </row>
    <row r="1070" spans="1:33" ht="49.95" customHeight="1" x14ac:dyDescent="0.3">
      <c r="A1070" s="266" t="s">
        <v>3632</v>
      </c>
      <c r="B1070" s="267" t="s">
        <v>3634</v>
      </c>
      <c r="C1070" s="267" t="s">
        <v>3633</v>
      </c>
      <c r="D1070" s="267" t="s">
        <v>1967</v>
      </c>
      <c r="E1070" s="267" t="s">
        <v>2976</v>
      </c>
      <c r="F1070" s="267" t="s">
        <v>30</v>
      </c>
      <c r="G1070" s="2">
        <v>0</v>
      </c>
      <c r="H1070" s="14">
        <f>SUMIF(ENTRADAS71417[CÓDIGO],PRODUCTOS31316[[#This Row],[CÓDIGO]],ENTRADAS71417[CANTIDAD])</f>
        <v>0</v>
      </c>
      <c r="I1070" s="11">
        <f>SUMIF(SALIDAS111518[CÓDIGO],PRODUCTOS31316[[#This Row],[CÓDIGO]],SALIDAS111518[CANTIDAD])</f>
        <v>0</v>
      </c>
      <c r="J1070" s="6">
        <f>PRODUCTOS31316[[#This Row],[EXISTENCIAS]]+PRODUCTOS31316[[#This Row],[ENTRADAS]]-PRODUCTOS31316[[#This Row],[SALIDAS]]</f>
        <v>0</v>
      </c>
      <c r="L1070" s="2"/>
      <c r="M1070" s="2"/>
      <c r="N1070" s="2">
        <v>8076</v>
      </c>
      <c r="O1070" s="318" t="s">
        <v>2702</v>
      </c>
      <c r="P1070" s="16">
        <v>46098</v>
      </c>
      <c r="Q1070" s="317" t="s">
        <v>2235</v>
      </c>
      <c r="R1070" s="2">
        <f>VLOOKUP(SALIDAS111518[[#This Row],[CÓDIGO]],PRODUCTOS31316[],2,FALSE)</f>
        <v>1868703</v>
      </c>
      <c r="S1070" s="1" t="str">
        <f>VLOOKUP(SALIDAS111518[[#This Row],[CÓDIGO]],PRODUCTOS31316[],3,FALSE)</f>
        <v>PARAFILM 38M X 10 CM</v>
      </c>
      <c r="T1070" s="2">
        <v>1</v>
      </c>
      <c r="U1070" s="2"/>
      <c r="V1070" s="2"/>
      <c r="W1070" s="2"/>
      <c r="X1070" s="2"/>
      <c r="Y1070" s="7"/>
      <c r="Z1070" s="2"/>
      <c r="AA1070" s="1"/>
      <c r="AC1070" s="2"/>
      <c r="AE1070" s="1"/>
      <c r="AG1070" s="2"/>
    </row>
    <row r="1071" spans="1:33" ht="49.95" customHeight="1" x14ac:dyDescent="0.3">
      <c r="A1071" s="268" t="s">
        <v>3636</v>
      </c>
      <c r="B1071" s="267">
        <v>6983</v>
      </c>
      <c r="C1071" s="281" t="s">
        <v>3637</v>
      </c>
      <c r="D1071" s="272" t="s">
        <v>1385</v>
      </c>
      <c r="E1071" s="272" t="s">
        <v>1385</v>
      </c>
      <c r="F1071" s="269" t="s">
        <v>30</v>
      </c>
      <c r="G1071" s="2">
        <v>3</v>
      </c>
      <c r="H1071" s="14">
        <f>SUMIF(ENTRADAS71417[CÓDIGO],PRODUCTOS31316[[#This Row],[CÓDIGO]],ENTRADAS71417[CANTIDAD])</f>
        <v>0</v>
      </c>
      <c r="I1071" s="11">
        <f>SUMIF(SALIDAS111518[CÓDIGO],PRODUCTOS31316[[#This Row],[CÓDIGO]],SALIDAS111518[CANTIDAD])</f>
        <v>0</v>
      </c>
      <c r="J1071" s="6">
        <f>PRODUCTOS31316[[#This Row],[EXISTENCIAS]]+PRODUCTOS31316[[#This Row],[ENTRADAS]]-PRODUCTOS31316[[#This Row],[SALIDAS]]</f>
        <v>3</v>
      </c>
      <c r="L1071" s="2"/>
      <c r="M1071" s="2"/>
      <c r="N1071" s="2">
        <v>8076</v>
      </c>
      <c r="O1071" s="318" t="s">
        <v>2702</v>
      </c>
      <c r="P1071" s="16">
        <v>46098</v>
      </c>
      <c r="Q1071" s="317" t="s">
        <v>3327</v>
      </c>
      <c r="R1071" s="2">
        <f>VLOOKUP(SALIDAS111518[[#This Row],[CÓDIGO]],PRODUCTOS31316[],2,FALSE)</f>
        <v>9006006</v>
      </c>
      <c r="S1071" s="1" t="str">
        <f>VLOOKUP(SALIDAS111518[[#This Row],[CÓDIGO]],PRODUCTOS31316[],3,FALSE)</f>
        <v>LACRADOR LARGO PURPURA</v>
      </c>
      <c r="T1071" s="2">
        <v>1</v>
      </c>
      <c r="U1071" s="2"/>
      <c r="V1071" s="2"/>
      <c r="W1071" s="2"/>
      <c r="X1071" s="2"/>
      <c r="Y1071" s="7"/>
      <c r="Z1071" s="2"/>
      <c r="AA1071" s="1"/>
      <c r="AC1071" s="2"/>
      <c r="AE1071" s="1"/>
      <c r="AG1071" s="2"/>
    </row>
    <row r="1072" spans="1:33" ht="49.95" customHeight="1" x14ac:dyDescent="0.3">
      <c r="A1072" s="268" t="s">
        <v>3638</v>
      </c>
      <c r="B1072" s="267"/>
      <c r="C1072" s="269" t="s">
        <v>358</v>
      </c>
      <c r="D1072" s="269" t="s">
        <v>103</v>
      </c>
      <c r="E1072" s="269" t="s">
        <v>233</v>
      </c>
      <c r="F1072" s="269" t="s">
        <v>41</v>
      </c>
      <c r="G1072" s="2">
        <v>20</v>
      </c>
      <c r="H1072" s="14">
        <f>SUMIF(ENTRADAS71417[CÓDIGO],PRODUCTOS31316[[#This Row],[CÓDIGO]],ENTRADAS71417[CANTIDAD])</f>
        <v>0</v>
      </c>
      <c r="I1072" s="11">
        <f>SUMIF(SALIDAS111518[CÓDIGO],PRODUCTOS31316[[#This Row],[CÓDIGO]],SALIDAS111518[CANTIDAD])</f>
        <v>0</v>
      </c>
      <c r="J1072" s="6">
        <f>PRODUCTOS31316[[#This Row],[EXISTENCIAS]]+PRODUCTOS31316[[#This Row],[ENTRADAS]]-PRODUCTOS31316[[#This Row],[SALIDAS]]</f>
        <v>20</v>
      </c>
      <c r="L1072" s="317" t="s">
        <v>3520</v>
      </c>
      <c r="M1072" s="317" t="s">
        <v>4250</v>
      </c>
      <c r="N1072" s="318" t="s">
        <v>4459</v>
      </c>
      <c r="O1072" s="317" t="s">
        <v>2210</v>
      </c>
      <c r="P1072" s="16">
        <v>46099</v>
      </c>
      <c r="Q1072" s="317" t="s">
        <v>369</v>
      </c>
      <c r="R1072" s="2">
        <f>VLOOKUP(SALIDAS111518[[#This Row],[CÓDIGO]],PRODUCTOS31316[],2,FALSE)</f>
        <v>0</v>
      </c>
      <c r="S1072" s="1" t="str">
        <f>VLOOKUP(SALIDAS111518[[#This Row],[CÓDIGO]],PRODUCTOS31316[],3,FALSE)</f>
        <v>FUNDA UNIVERSAL PARA I.A. RANURADA</v>
      </c>
      <c r="T1072" s="2">
        <v>15</v>
      </c>
      <c r="U1072" s="2">
        <v>473</v>
      </c>
      <c r="V1072" s="2"/>
      <c r="W1072" s="2"/>
      <c r="X1072" s="2"/>
      <c r="Y1072" s="7"/>
      <c r="Z1072" s="2"/>
      <c r="AA1072" s="1"/>
      <c r="AC1072" s="2"/>
      <c r="AE1072" s="1"/>
      <c r="AG1072" s="2"/>
    </row>
    <row r="1073" spans="1:33" ht="49.95" customHeight="1" x14ac:dyDescent="0.3">
      <c r="A1073" s="268" t="s">
        <v>3639</v>
      </c>
      <c r="B1073" s="267">
        <v>5565</v>
      </c>
      <c r="C1073" s="275" t="s">
        <v>3660</v>
      </c>
      <c r="D1073" s="275" t="s">
        <v>156</v>
      </c>
      <c r="E1073" s="275" t="s">
        <v>2020</v>
      </c>
      <c r="F1073" s="275" t="s">
        <v>359</v>
      </c>
      <c r="G1073" s="2">
        <v>0</v>
      </c>
      <c r="H1073" s="14">
        <f>SUMIF(ENTRADAS71417[CÓDIGO],PRODUCTOS31316[[#This Row],[CÓDIGO]],ENTRADAS71417[CANTIDAD])</f>
        <v>10</v>
      </c>
      <c r="I1073" s="11">
        <f>SUMIF(SALIDAS111518[CÓDIGO],PRODUCTOS31316[[#This Row],[CÓDIGO]],SALIDAS111518[CANTIDAD])</f>
        <v>11</v>
      </c>
      <c r="J1073" s="6">
        <f>PRODUCTOS31316[[#This Row],[EXISTENCIAS]]+PRODUCTOS31316[[#This Row],[ENTRADAS]]-PRODUCTOS31316[[#This Row],[SALIDAS]]</f>
        <v>-1</v>
      </c>
      <c r="L1073" s="317" t="s">
        <v>3520</v>
      </c>
      <c r="M1073" s="317" t="s">
        <v>4250</v>
      </c>
      <c r="N1073" s="318" t="s">
        <v>4460</v>
      </c>
      <c r="O1073" s="339" t="s">
        <v>2446</v>
      </c>
      <c r="P1073" s="16">
        <v>46099</v>
      </c>
      <c r="Q1073" s="317" t="s">
        <v>15</v>
      </c>
      <c r="R1073" s="2" t="str">
        <f>VLOOKUP(SALIDAS111518[[#This Row],[CÓDIGO]],PRODUCTOS31316[],2,FALSE)</f>
        <v>BTE-025PT/ 504002</v>
      </c>
      <c r="S1073" s="1" t="str">
        <f>VLOOKUP(SALIDAS111518[[#This Row],[CÓDIGO]],PRODUCTOS31316[],3,FALSE)</f>
        <v>FUNDAS PARA TRANSFERENCIA DE EMBRIONES</v>
      </c>
      <c r="T1073" s="2">
        <v>100</v>
      </c>
      <c r="U1073" s="2">
        <v>474</v>
      </c>
      <c r="V1073" s="2"/>
      <c r="W1073" s="2"/>
      <c r="X1073" s="2"/>
      <c r="Y1073" s="7"/>
      <c r="Z1073" s="2"/>
      <c r="AA1073" s="1"/>
      <c r="AC1073" s="2"/>
      <c r="AE1073" s="1"/>
      <c r="AG1073" s="2"/>
    </row>
    <row r="1074" spans="1:33" ht="49.95" customHeight="1" x14ac:dyDescent="0.3">
      <c r="A1074" s="268" t="s">
        <v>3661</v>
      </c>
      <c r="B1074" s="267">
        <v>5584</v>
      </c>
      <c r="C1074" s="275" t="s">
        <v>3664</v>
      </c>
      <c r="D1074" s="275" t="s">
        <v>156</v>
      </c>
      <c r="E1074" s="275" t="s">
        <v>2020</v>
      </c>
      <c r="F1074" s="275" t="s">
        <v>359</v>
      </c>
      <c r="G1074" s="2">
        <v>0</v>
      </c>
      <c r="H1074" s="14">
        <f>SUMIF(ENTRADAS71417[CÓDIGO],PRODUCTOS31316[[#This Row],[CÓDIGO]],ENTRADAS71417[CANTIDAD])</f>
        <v>2</v>
      </c>
      <c r="I1074" s="11">
        <f>SUMIF(SALIDAS111518[CÓDIGO],PRODUCTOS31316[[#This Row],[CÓDIGO]],SALIDAS111518[CANTIDAD])</f>
        <v>0</v>
      </c>
      <c r="J1074" s="6">
        <f>PRODUCTOS31316[[#This Row],[EXISTENCIAS]]+PRODUCTOS31316[[#This Row],[ENTRADAS]]-PRODUCTOS31316[[#This Row],[SALIDAS]]</f>
        <v>2</v>
      </c>
      <c r="L1074" s="2"/>
      <c r="M1074" s="2"/>
      <c r="N1074" s="2">
        <v>8078</v>
      </c>
      <c r="O1074" s="317" t="s">
        <v>2446</v>
      </c>
      <c r="P1074" s="16">
        <v>46099</v>
      </c>
      <c r="Q1074" s="317" t="s">
        <v>1779</v>
      </c>
      <c r="R1074" s="2">
        <f>VLOOKUP(SALIDAS111518[[#This Row],[CÓDIGO]],PRODUCTOS31316[],2,FALSE)</f>
        <v>5563</v>
      </c>
      <c r="S1074" s="1" t="str">
        <f>VLOOKUP(SALIDAS111518[[#This Row],[CÓDIGO]],PRODUCTOS31316[],3,FALSE)</f>
        <v>CAMISA SANITARIA ROLLO X 80</v>
      </c>
      <c r="T1074" s="2">
        <v>6</v>
      </c>
      <c r="U1074" s="2"/>
      <c r="V1074" s="2"/>
      <c r="W1074" s="2"/>
      <c r="X1074" s="2"/>
      <c r="Y1074" s="7"/>
      <c r="Z1074" s="2"/>
      <c r="AA1074" s="1"/>
      <c r="AC1074" s="2"/>
      <c r="AE1074" s="1"/>
      <c r="AG1074" s="2"/>
    </row>
    <row r="1075" spans="1:33" ht="49.95" customHeight="1" x14ac:dyDescent="0.3">
      <c r="A1075" s="276" t="s">
        <v>3662</v>
      </c>
      <c r="B1075" s="267">
        <v>5580</v>
      </c>
      <c r="C1075" s="275" t="s">
        <v>3665</v>
      </c>
      <c r="D1075" s="275" t="s">
        <v>156</v>
      </c>
      <c r="E1075" s="275" t="s">
        <v>2020</v>
      </c>
      <c r="F1075" s="275" t="s">
        <v>359</v>
      </c>
      <c r="G1075" s="2">
        <v>0</v>
      </c>
      <c r="H1075" s="14">
        <f>SUMIF(ENTRADAS71417[CÓDIGO],PRODUCTOS31316[[#This Row],[CÓDIGO]],ENTRADAS71417[CANTIDAD])</f>
        <v>4</v>
      </c>
      <c r="I1075" s="11">
        <f>SUMIF(SALIDAS111518[CÓDIGO],PRODUCTOS31316[[#This Row],[CÓDIGO]],SALIDAS111518[CANTIDAD])</f>
        <v>2</v>
      </c>
      <c r="J1075" s="6">
        <f>PRODUCTOS31316[[#This Row],[EXISTENCIAS]]+PRODUCTOS31316[[#This Row],[ENTRADAS]]-PRODUCTOS31316[[#This Row],[SALIDAS]]</f>
        <v>2</v>
      </c>
      <c r="L1075" s="317" t="s">
        <v>3520</v>
      </c>
      <c r="M1075" s="317" t="s">
        <v>4250</v>
      </c>
      <c r="N1075" s="318" t="s">
        <v>4462</v>
      </c>
      <c r="O1075" s="317" t="s">
        <v>2805</v>
      </c>
      <c r="P1075" s="16">
        <v>46099</v>
      </c>
      <c r="Q1075" s="317" t="s">
        <v>2941</v>
      </c>
      <c r="R1075" s="2">
        <f>VLOOKUP(SALIDAS111518[[#This Row],[CÓDIGO]],PRODUCTOS31316[],2,FALSE)</f>
        <v>1101</v>
      </c>
      <c r="S1075" s="1" t="str">
        <f>VLOOKUP(SALIDAS111518[[#This Row],[CÓDIGO]],PRODUCTOS31316[],3,FALSE)</f>
        <v>ESCROTIMETRO</v>
      </c>
      <c r="T1075" s="2">
        <v>1</v>
      </c>
      <c r="U1075" s="2">
        <v>475</v>
      </c>
      <c r="V1075" s="2"/>
      <c r="W1075" s="2"/>
      <c r="X1075" s="2"/>
      <c r="Y1075" s="7"/>
      <c r="Z1075" s="2"/>
      <c r="AA1075" s="1"/>
      <c r="AC1075" s="2"/>
      <c r="AE1075" s="1"/>
      <c r="AG1075" s="2"/>
    </row>
    <row r="1076" spans="1:33" ht="49.95" customHeight="1" x14ac:dyDescent="0.3">
      <c r="A1076" s="276" t="s">
        <v>3663</v>
      </c>
      <c r="B1076" s="267">
        <v>19179</v>
      </c>
      <c r="C1076" s="275" t="s">
        <v>3666</v>
      </c>
      <c r="D1076" s="275" t="s">
        <v>156</v>
      </c>
      <c r="E1076" s="275" t="s">
        <v>2020</v>
      </c>
      <c r="F1076" s="275" t="s">
        <v>359</v>
      </c>
      <c r="G1076" s="2">
        <v>0</v>
      </c>
      <c r="H1076" s="14">
        <f>SUMIF(ENTRADAS71417[CÓDIGO],PRODUCTOS31316[[#This Row],[CÓDIGO]],ENTRADAS71417[CANTIDAD])</f>
        <v>2</v>
      </c>
      <c r="I1076" s="11">
        <f>SUMIF(SALIDAS111518[CÓDIGO],PRODUCTOS31316[[#This Row],[CÓDIGO]],SALIDAS111518[CANTIDAD])</f>
        <v>0</v>
      </c>
      <c r="J1076" s="6">
        <f>PRODUCTOS31316[[#This Row],[EXISTENCIAS]]+PRODUCTOS31316[[#This Row],[ENTRADAS]]-PRODUCTOS31316[[#This Row],[SALIDAS]]</f>
        <v>2</v>
      </c>
      <c r="L1076" s="2" t="s">
        <v>3521</v>
      </c>
      <c r="M1076" s="317" t="s">
        <v>4250</v>
      </c>
      <c r="N1076" s="1" t="s">
        <v>4914</v>
      </c>
      <c r="O1076" s="355" t="s">
        <v>4463</v>
      </c>
      <c r="P1076" s="16">
        <v>46142</v>
      </c>
      <c r="Q1076" s="317" t="s">
        <v>3301</v>
      </c>
      <c r="R1076" s="2" t="str">
        <f>VLOOKUP(SALIDAS111518[[#This Row],[CÓDIGO]],PRODUCTOS31316[],2,FALSE)</f>
        <v>S7/B-W</v>
      </c>
      <c r="S1076" s="1" t="str">
        <f>VLOOKUP(SALIDAS111518[[#This Row],[CÓDIGO]],PRODUCTOS31316[],3,FALSE)</f>
        <v>ECÓGRAFO S7 B/W ( BLANCO Y NEGRO) BMV - Plataforma BLANCO Y NEGROSIN BATERÍA</v>
      </c>
      <c r="T1076" s="2">
        <v>1</v>
      </c>
      <c r="U1076" s="2">
        <v>707</v>
      </c>
      <c r="V1076" s="2"/>
      <c r="W1076" s="317" t="s">
        <v>2823</v>
      </c>
      <c r="X1076" s="2"/>
      <c r="Y1076" s="7"/>
      <c r="Z1076" s="2"/>
      <c r="AA1076" s="1"/>
      <c r="AC1076" s="2"/>
      <c r="AE1076" s="1"/>
      <c r="AG1076" s="2"/>
    </row>
    <row r="1077" spans="1:33" ht="49.95" customHeight="1" x14ac:dyDescent="0.3">
      <c r="A1077" s="268" t="s">
        <v>3698</v>
      </c>
      <c r="B1077" s="267">
        <v>5577</v>
      </c>
      <c r="C1077" s="275" t="s">
        <v>3667</v>
      </c>
      <c r="D1077" s="275" t="s">
        <v>156</v>
      </c>
      <c r="E1077" s="275" t="s">
        <v>2020</v>
      </c>
      <c r="F1077" s="275" t="s">
        <v>359</v>
      </c>
      <c r="G1077" s="2">
        <v>0</v>
      </c>
      <c r="H1077" s="14">
        <f>SUMIF(ENTRADAS71417[CÓDIGO],PRODUCTOS31316[[#This Row],[CÓDIGO]],ENTRADAS71417[CANTIDAD])</f>
        <v>2</v>
      </c>
      <c r="I1077" s="11">
        <f>SUMIF(SALIDAS111518[CÓDIGO],PRODUCTOS31316[[#This Row],[CÓDIGO]],SALIDAS111518[CANTIDAD])</f>
        <v>0</v>
      </c>
      <c r="J1077" s="6">
        <f>PRODUCTOS31316[[#This Row],[EXISTENCIAS]]+PRODUCTOS31316[[#This Row],[ENTRADAS]]-PRODUCTOS31316[[#This Row],[SALIDAS]]</f>
        <v>2</v>
      </c>
      <c r="L1077" s="2"/>
      <c r="M1077" s="2"/>
      <c r="N1077" s="2">
        <v>8292</v>
      </c>
      <c r="O1077" s="317" t="s">
        <v>4463</v>
      </c>
      <c r="P1077" s="16">
        <v>46142</v>
      </c>
      <c r="Q1077" s="317" t="s">
        <v>3791</v>
      </c>
      <c r="R1077" s="2">
        <f>VLOOKUP(SALIDAS111518[[#This Row],[CÓDIGO]],PRODUCTOS31316[],2,FALSE)</f>
        <v>6936520864546</v>
      </c>
      <c r="S1077" s="1" t="str">
        <f>VLOOKUP(SALIDAS111518[[#This Row],[CÓDIGO]],PRODUCTOS31316[],3,FALSE)</f>
        <v>TABLET 11" HONOR PAD X8A 128 GB</v>
      </c>
      <c r="T1077" s="2">
        <v>1</v>
      </c>
      <c r="U1077" s="2"/>
      <c r="V1077" s="2"/>
      <c r="W1077" s="2"/>
      <c r="X1077" s="2"/>
      <c r="Y1077" s="7"/>
      <c r="Z1077" s="2"/>
      <c r="AA1077" s="1"/>
      <c r="AC1077" s="2"/>
      <c r="AE1077" s="1"/>
      <c r="AG1077" s="2"/>
    </row>
    <row r="1078" spans="1:33" ht="49.95" customHeight="1" x14ac:dyDescent="0.3">
      <c r="A1078" s="276" t="s">
        <v>3699</v>
      </c>
      <c r="B1078" s="267">
        <v>5569</v>
      </c>
      <c r="C1078" s="275" t="s">
        <v>3668</v>
      </c>
      <c r="D1078" s="275" t="s">
        <v>156</v>
      </c>
      <c r="E1078" s="275" t="s">
        <v>2020</v>
      </c>
      <c r="F1078" s="275" t="s">
        <v>359</v>
      </c>
      <c r="G1078" s="2">
        <v>0</v>
      </c>
      <c r="H1078" s="14">
        <f>SUMIF(ENTRADAS71417[CÓDIGO],PRODUCTOS31316[[#This Row],[CÓDIGO]],ENTRADAS71417[CANTIDAD])</f>
        <v>8</v>
      </c>
      <c r="I1078" s="11">
        <f>SUMIF(SALIDAS111518[CÓDIGO],PRODUCTOS31316[[#This Row],[CÓDIGO]],SALIDAS111518[CANTIDAD])</f>
        <v>5</v>
      </c>
      <c r="J1078" s="6">
        <f>PRODUCTOS31316[[#This Row],[EXISTENCIAS]]+PRODUCTOS31316[[#This Row],[ENTRADAS]]-PRODUCTOS31316[[#This Row],[SALIDAS]]</f>
        <v>3</v>
      </c>
      <c r="L1078" s="2"/>
      <c r="M1078" s="2"/>
      <c r="N1078" s="2">
        <v>8292</v>
      </c>
      <c r="O1078" s="317" t="s">
        <v>4463</v>
      </c>
      <c r="P1078" s="16">
        <v>46142</v>
      </c>
      <c r="Q1078" s="317" t="s">
        <v>3286</v>
      </c>
      <c r="R1078" s="2">
        <f>VLOOKUP(SALIDAS111518[[#This Row],[CÓDIGO]],PRODUCTOS31316[],2,FALSE)</f>
        <v>0</v>
      </c>
      <c r="S1078" s="1" t="str">
        <f>VLOOKUP(SALIDAS111518[[#This Row],[CÓDIGO]],PRODUCTOS31316[],3,FALSE)</f>
        <v>CARCASA TABLET BMV</v>
      </c>
      <c r="T1078" s="2">
        <v>1</v>
      </c>
      <c r="U1078" s="2"/>
      <c r="V1078" s="2"/>
      <c r="W1078" s="2"/>
      <c r="X1078" s="2"/>
      <c r="Y1078" s="7"/>
      <c r="Z1078" s="2"/>
      <c r="AA1078" s="1"/>
      <c r="AC1078" s="2"/>
      <c r="AE1078" s="1"/>
      <c r="AG1078" s="2"/>
    </row>
    <row r="1079" spans="1:33" ht="49.95" customHeight="1" x14ac:dyDescent="0.3">
      <c r="A1079" s="276" t="s">
        <v>3700</v>
      </c>
      <c r="B1079" s="267">
        <v>5709</v>
      </c>
      <c r="C1079" s="275" t="s">
        <v>3669</v>
      </c>
      <c r="D1079" s="275" t="s">
        <v>156</v>
      </c>
      <c r="E1079" s="275" t="s">
        <v>2020</v>
      </c>
      <c r="F1079" s="275" t="s">
        <v>359</v>
      </c>
      <c r="G1079" s="2">
        <v>0</v>
      </c>
      <c r="H1079" s="14">
        <f>SUMIF(ENTRADAS71417[CÓDIGO],PRODUCTOS31316[[#This Row],[CÓDIGO]],ENTRADAS71417[CANTIDAD])</f>
        <v>4</v>
      </c>
      <c r="I1079" s="11">
        <f>SUMIF(SALIDAS111518[CÓDIGO],PRODUCTOS31316[[#This Row],[CÓDIGO]],SALIDAS111518[CANTIDAD])</f>
        <v>3</v>
      </c>
      <c r="J1079" s="6">
        <f>PRODUCTOS31316[[#This Row],[EXISTENCIAS]]+PRODUCTOS31316[[#This Row],[ENTRADAS]]-PRODUCTOS31316[[#This Row],[SALIDAS]]</f>
        <v>1</v>
      </c>
      <c r="L1079" s="2"/>
      <c r="M1079" s="2"/>
      <c r="N1079" s="2">
        <v>8292</v>
      </c>
      <c r="O1079" s="317" t="s">
        <v>4463</v>
      </c>
      <c r="P1079" s="16">
        <v>46142</v>
      </c>
      <c r="Q1079" s="355" t="s">
        <v>3095</v>
      </c>
      <c r="R1079" s="2">
        <f>VLOOKUP(SALIDAS111518[[#This Row],[CÓDIGO]],PRODUCTOS31316[],2,FALSE)</f>
        <v>0</v>
      </c>
      <c r="S1079" s="1" t="str">
        <f>VLOOKUP(SALIDAS111518[[#This Row],[CÓDIGO]],PRODUCTOS31316[],3,FALSE)</f>
        <v>GORRA MAS CAMPO</v>
      </c>
      <c r="T1079" s="2">
        <v>1</v>
      </c>
      <c r="U1079" s="2"/>
      <c r="V1079" s="2"/>
      <c r="W1079" s="2"/>
      <c r="X1079" s="2"/>
      <c r="Y1079" s="7"/>
      <c r="Z1079" s="2"/>
      <c r="AA1079" s="1"/>
      <c r="AC1079" s="2"/>
      <c r="AE1079" s="1"/>
      <c r="AG1079" s="2"/>
    </row>
    <row r="1080" spans="1:33" ht="49.95" customHeight="1" x14ac:dyDescent="0.3">
      <c r="A1080" s="268" t="s">
        <v>3701</v>
      </c>
      <c r="B1080" s="267">
        <v>5685</v>
      </c>
      <c r="C1080" s="275" t="s">
        <v>3670</v>
      </c>
      <c r="D1080" s="275" t="s">
        <v>156</v>
      </c>
      <c r="E1080" s="275" t="s">
        <v>2020</v>
      </c>
      <c r="F1080" s="275" t="s">
        <v>359</v>
      </c>
      <c r="G1080" s="2">
        <v>0</v>
      </c>
      <c r="H1080" s="14">
        <f>SUMIF(ENTRADAS71417[CÓDIGO],PRODUCTOS31316[[#This Row],[CÓDIGO]],ENTRADAS71417[CANTIDAD])</f>
        <v>2</v>
      </c>
      <c r="I1080" s="11">
        <f>SUMIF(SALIDAS111518[CÓDIGO],PRODUCTOS31316[[#This Row],[CÓDIGO]],SALIDAS111518[CANTIDAD])</f>
        <v>2</v>
      </c>
      <c r="J1080" s="6">
        <f>PRODUCTOS31316[[#This Row],[EXISTENCIAS]]+PRODUCTOS31316[[#This Row],[ENTRADAS]]-PRODUCTOS31316[[#This Row],[SALIDAS]]</f>
        <v>0</v>
      </c>
      <c r="L1080" s="317" t="s">
        <v>3520</v>
      </c>
      <c r="M1080" s="317" t="s">
        <v>4250</v>
      </c>
      <c r="N1080" s="318" t="s">
        <v>4465</v>
      </c>
      <c r="O1080" s="317" t="s">
        <v>4464</v>
      </c>
      <c r="P1080" s="16">
        <v>46099</v>
      </c>
      <c r="Q1080" s="317" t="s">
        <v>153</v>
      </c>
      <c r="R1080" s="2">
        <f>VLOOKUP(SALIDAS111518[[#This Row],[CÓDIGO]],PRODUCTOS31316[],2,FALSE)</f>
        <v>1132</v>
      </c>
      <c r="S1080" s="1" t="str">
        <f>VLOOKUP(SALIDAS111518[[#This Row],[CÓDIGO]],PRODUCTOS31316[],3,FALSE)</f>
        <v>PISTOLA QUICKLOCK CLASIC</v>
      </c>
      <c r="T1080" s="2">
        <v>1</v>
      </c>
      <c r="U1080" s="2">
        <v>476</v>
      </c>
      <c r="V1080" s="2"/>
      <c r="W1080" s="2"/>
      <c r="X1080" s="2"/>
      <c r="Y1080" s="7"/>
      <c r="Z1080" s="2"/>
      <c r="AA1080" s="1"/>
      <c r="AC1080" s="2"/>
      <c r="AE1080" s="1"/>
      <c r="AG1080" s="2"/>
    </row>
    <row r="1081" spans="1:33" ht="49.95" customHeight="1" x14ac:dyDescent="0.3">
      <c r="A1081" s="276" t="s">
        <v>3702</v>
      </c>
      <c r="B1081" s="267">
        <v>5710</v>
      </c>
      <c r="C1081" s="275" t="s">
        <v>3671</v>
      </c>
      <c r="D1081" s="275" t="s">
        <v>156</v>
      </c>
      <c r="E1081" s="275" t="s">
        <v>2020</v>
      </c>
      <c r="F1081" s="275" t="s">
        <v>359</v>
      </c>
      <c r="G1081" s="2">
        <v>0</v>
      </c>
      <c r="H1081" s="14">
        <f>SUMIF(ENTRADAS71417[CÓDIGO],PRODUCTOS31316[[#This Row],[CÓDIGO]],ENTRADAS71417[CANTIDAD])</f>
        <v>4</v>
      </c>
      <c r="I1081" s="11">
        <f>SUMIF(SALIDAS111518[CÓDIGO],PRODUCTOS31316[[#This Row],[CÓDIGO]],SALIDAS111518[CANTIDAD])</f>
        <v>4</v>
      </c>
      <c r="J1081" s="6">
        <f>PRODUCTOS31316[[#This Row],[EXISTENCIAS]]+PRODUCTOS31316[[#This Row],[ENTRADAS]]-PRODUCTOS31316[[#This Row],[SALIDAS]]</f>
        <v>0</v>
      </c>
      <c r="L1081" s="2"/>
      <c r="M1081" s="2"/>
      <c r="N1081" s="2">
        <v>8080</v>
      </c>
      <c r="O1081" s="317" t="s">
        <v>4464</v>
      </c>
      <c r="P1081" s="16">
        <v>46099</v>
      </c>
      <c r="Q1081" s="317" t="s">
        <v>369</v>
      </c>
      <c r="R1081" s="2">
        <f>VLOOKUP(SALIDAS111518[[#This Row],[CÓDIGO]],PRODUCTOS31316[],2,FALSE)</f>
        <v>0</v>
      </c>
      <c r="S1081" s="1" t="str">
        <f>VLOOKUP(SALIDAS111518[[#This Row],[CÓDIGO]],PRODUCTOS31316[],3,FALSE)</f>
        <v>FUNDA UNIVERSAL PARA I.A. RANURADA</v>
      </c>
      <c r="T1081" s="2">
        <v>1</v>
      </c>
      <c r="U1081" s="2"/>
      <c r="V1081" s="2"/>
      <c r="W1081" s="2"/>
      <c r="X1081" s="2"/>
      <c r="Y1081" s="7"/>
      <c r="Z1081" s="2"/>
      <c r="AA1081" s="1"/>
      <c r="AC1081" s="2"/>
      <c r="AE1081" s="1"/>
      <c r="AG1081" s="2"/>
    </row>
    <row r="1082" spans="1:33" ht="49.95" customHeight="1" x14ac:dyDescent="0.3">
      <c r="A1082" s="276" t="s">
        <v>3703</v>
      </c>
      <c r="B1082" s="275" t="s">
        <v>3673</v>
      </c>
      <c r="C1082" s="275" t="s">
        <v>3674</v>
      </c>
      <c r="D1082" s="275" t="s">
        <v>103</v>
      </c>
      <c r="E1082" s="275" t="s">
        <v>2020</v>
      </c>
      <c r="F1082" s="275" t="s">
        <v>359</v>
      </c>
      <c r="G1082" s="2">
        <v>0</v>
      </c>
      <c r="H1082" s="14">
        <f>SUMIF(ENTRADAS71417[CÓDIGO],PRODUCTOS31316[[#This Row],[CÓDIGO]],ENTRADAS71417[CANTIDAD])</f>
        <v>10</v>
      </c>
      <c r="I1082" s="11">
        <f>SUMIF(SALIDAS111518[CÓDIGO],PRODUCTOS31316[[#This Row],[CÓDIGO]],SALIDAS111518[CANTIDAD])</f>
        <v>11</v>
      </c>
      <c r="J1082" s="6">
        <f>PRODUCTOS31316[[#This Row],[EXISTENCIAS]]+PRODUCTOS31316[[#This Row],[ENTRADAS]]-PRODUCTOS31316[[#This Row],[SALIDAS]]</f>
        <v>-1</v>
      </c>
      <c r="L1082" s="2"/>
      <c r="M1082" s="2"/>
      <c r="N1082" s="2">
        <v>8080</v>
      </c>
      <c r="O1082" s="317" t="s">
        <v>4464</v>
      </c>
      <c r="P1082" s="16">
        <v>46099</v>
      </c>
      <c r="Q1082" s="317" t="s">
        <v>581</v>
      </c>
      <c r="R1082" s="2">
        <f>VLOOKUP(SALIDAS111518[[#This Row],[CÓDIGO]],PRODUCTOS31316[],2,FALSE)</f>
        <v>11571</v>
      </c>
      <c r="S1082" s="1" t="str">
        <f>VLOOKUP(SALIDAS111518[[#This Row],[CÓDIGO]],PRODUCTOS31316[],3,FALSE)</f>
        <v>PINZA COGEPAJILLA</v>
      </c>
      <c r="T1082" s="2">
        <v>1</v>
      </c>
      <c r="U1082" s="2"/>
      <c r="V1082" s="2"/>
      <c r="W1082" s="2"/>
      <c r="X1082" s="2"/>
      <c r="Y1082" s="7"/>
      <c r="Z1082" s="2"/>
      <c r="AA1082" s="1"/>
      <c r="AC1082" s="2"/>
      <c r="AE1082" s="1"/>
      <c r="AG1082" s="2"/>
    </row>
    <row r="1083" spans="1:33" ht="49.95" customHeight="1" x14ac:dyDescent="0.3">
      <c r="A1083" s="268" t="s">
        <v>3704</v>
      </c>
      <c r="B1083" s="275" t="s">
        <v>3675</v>
      </c>
      <c r="C1083" s="275" t="s">
        <v>3676</v>
      </c>
      <c r="D1083" s="275" t="s">
        <v>103</v>
      </c>
      <c r="E1083" s="275" t="s">
        <v>2020</v>
      </c>
      <c r="F1083" s="275" t="s">
        <v>359</v>
      </c>
      <c r="G1083" s="2">
        <v>0</v>
      </c>
      <c r="H1083" s="14">
        <f>SUMIF(ENTRADAS71417[CÓDIGO],PRODUCTOS31316[[#This Row],[CÓDIGO]],ENTRADAS71417[CANTIDAD])</f>
        <v>2</v>
      </c>
      <c r="I1083" s="11">
        <f>SUMIF(SALIDAS111518[CÓDIGO],PRODUCTOS31316[[#This Row],[CÓDIGO]],SALIDAS111518[CANTIDAD])</f>
        <v>0</v>
      </c>
      <c r="J1083" s="6">
        <f>PRODUCTOS31316[[#This Row],[EXISTENCIAS]]+PRODUCTOS31316[[#This Row],[ENTRADAS]]-PRODUCTOS31316[[#This Row],[SALIDAS]]</f>
        <v>2</v>
      </c>
      <c r="L1083" s="2"/>
      <c r="M1083" s="2"/>
      <c r="N1083" s="2">
        <v>8080</v>
      </c>
      <c r="O1083" s="317" t="s">
        <v>4464</v>
      </c>
      <c r="P1083" s="16">
        <v>46099</v>
      </c>
      <c r="Q1083" s="317" t="s">
        <v>236</v>
      </c>
      <c r="R1083" s="2">
        <f>VLOOKUP(SALIDAS111518[[#This Row],[CÓDIGO]],PRODUCTOS31316[],2,FALSE)</f>
        <v>0</v>
      </c>
      <c r="S1083" s="1" t="str">
        <f>VLOOKUP(SALIDAS111518[[#This Row],[CÓDIGO]],PRODUCTOS31316[],3,FALSE)</f>
        <v>TERMO METÁLICO DESCONGELADOR</v>
      </c>
      <c r="T1083" s="2">
        <v>1</v>
      </c>
      <c r="U1083" s="2"/>
      <c r="V1083" s="2"/>
      <c r="W1083" s="2"/>
      <c r="X1083" s="2"/>
      <c r="Y1083" s="7"/>
      <c r="Z1083" s="2"/>
      <c r="AA1083" s="1"/>
      <c r="AC1083" s="2"/>
      <c r="AE1083" s="1"/>
      <c r="AG1083" s="2"/>
    </row>
    <row r="1084" spans="1:33" ht="49.95" customHeight="1" x14ac:dyDescent="0.3">
      <c r="A1084" s="276" t="s">
        <v>3705</v>
      </c>
      <c r="B1084" s="275" t="s">
        <v>3677</v>
      </c>
      <c r="C1084" s="275" t="s">
        <v>3678</v>
      </c>
      <c r="D1084" s="275" t="s">
        <v>103</v>
      </c>
      <c r="E1084" s="275" t="s">
        <v>2020</v>
      </c>
      <c r="F1084" s="275" t="s">
        <v>359</v>
      </c>
      <c r="G1084" s="2">
        <v>0</v>
      </c>
      <c r="H1084" s="14">
        <f>SUMIF(ENTRADAS71417[CÓDIGO],PRODUCTOS31316[[#This Row],[CÓDIGO]],ENTRADAS71417[CANTIDAD])</f>
        <v>2</v>
      </c>
      <c r="I1084" s="11">
        <f>SUMIF(SALIDAS111518[CÓDIGO],PRODUCTOS31316[[#This Row],[CÓDIGO]],SALIDAS111518[CANTIDAD])</f>
        <v>1</v>
      </c>
      <c r="J1084" s="6">
        <f>PRODUCTOS31316[[#This Row],[EXISTENCIAS]]+PRODUCTOS31316[[#This Row],[ENTRADAS]]-PRODUCTOS31316[[#This Row],[SALIDAS]]</f>
        <v>1</v>
      </c>
      <c r="L1084" s="317" t="s">
        <v>3521</v>
      </c>
      <c r="M1084" s="317" t="s">
        <v>4250</v>
      </c>
      <c r="N1084" s="320" t="s">
        <v>4513</v>
      </c>
      <c r="O1084" s="319" t="s">
        <v>4467</v>
      </c>
      <c r="P1084" s="16">
        <v>46105</v>
      </c>
      <c r="Q1084" s="317" t="s">
        <v>3156</v>
      </c>
      <c r="R1084" s="2" t="str">
        <f>VLOOKUP(SALIDAS111518[[#This Row],[CÓDIGO]],PRODUCTOS31316[],2,FALSE)</f>
        <v>ULTRAS</v>
      </c>
      <c r="S1084" s="1" t="str">
        <f>VLOOKUP(SALIDAS111518[[#This Row],[CÓDIGO]],PRODUCTOS31316[],3,FALSE)</f>
        <v>ECOGRAFO ULTRAS SO</v>
      </c>
      <c r="T1084" s="2">
        <v>1</v>
      </c>
      <c r="U1084" s="2">
        <v>494</v>
      </c>
      <c r="V1084" s="2"/>
      <c r="W1084" s="317" t="s">
        <v>3412</v>
      </c>
      <c r="X1084" s="2"/>
      <c r="Y1084" s="7"/>
      <c r="Z1084" s="2"/>
      <c r="AA1084" s="1"/>
      <c r="AC1084" s="2"/>
      <c r="AE1084" s="1"/>
      <c r="AG1084" s="2"/>
    </row>
    <row r="1085" spans="1:33" ht="49.95" customHeight="1" x14ac:dyDescent="0.3">
      <c r="A1085" s="276" t="s">
        <v>3706</v>
      </c>
      <c r="B1085" s="275" t="s">
        <v>3679</v>
      </c>
      <c r="C1085" s="275" t="s">
        <v>3680</v>
      </c>
      <c r="D1085" s="275" t="s">
        <v>103</v>
      </c>
      <c r="E1085" s="275" t="s">
        <v>2020</v>
      </c>
      <c r="F1085" s="275" t="s">
        <v>359</v>
      </c>
      <c r="G1085" s="2">
        <v>0</v>
      </c>
      <c r="H1085" s="14">
        <f>SUMIF(ENTRADAS71417[CÓDIGO],PRODUCTOS31316[[#This Row],[CÓDIGO]],ENTRADAS71417[CANTIDAD])</f>
        <v>2</v>
      </c>
      <c r="I1085" s="11">
        <f>SUMIF(SALIDAS111518[CÓDIGO],PRODUCTOS31316[[#This Row],[CÓDIGO]],SALIDAS111518[CANTIDAD])</f>
        <v>0</v>
      </c>
      <c r="J1085" s="6">
        <f>PRODUCTOS31316[[#This Row],[EXISTENCIAS]]+PRODUCTOS31316[[#This Row],[ENTRADAS]]-PRODUCTOS31316[[#This Row],[SALIDAS]]</f>
        <v>2</v>
      </c>
      <c r="L1085" s="2"/>
      <c r="M1085" s="2"/>
      <c r="N1085" s="2">
        <v>8091</v>
      </c>
      <c r="O1085" s="317" t="s">
        <v>4467</v>
      </c>
      <c r="P1085" s="16">
        <v>46105</v>
      </c>
      <c r="Q1085" s="317" t="s">
        <v>273</v>
      </c>
      <c r="R1085" s="2">
        <f>VLOOKUP(SALIDAS111518[[#This Row],[CÓDIGO]],PRODUCTOS31316[],2,FALSE)</f>
        <v>1003514</v>
      </c>
      <c r="S1085" s="1" t="str">
        <f>VLOOKUP(SALIDAS111518[[#This Row],[CÓDIGO]],PRODUCTOS31316[],3,FALSE)</f>
        <v>JALEA CONDUCTIVA (GEL ULTRASONICO) GALON X 3785 ML AZUL</v>
      </c>
      <c r="T1085" s="2">
        <v>1</v>
      </c>
      <c r="U1085" s="2"/>
      <c r="V1085" s="2"/>
      <c r="W1085" s="2"/>
      <c r="X1085" s="2"/>
      <c r="Y1085" s="7"/>
      <c r="Z1085" s="2"/>
      <c r="AA1085" s="1"/>
      <c r="AC1085" s="2"/>
      <c r="AE1085" s="1"/>
      <c r="AG1085" s="2"/>
    </row>
    <row r="1086" spans="1:33" ht="49.95" customHeight="1" x14ac:dyDescent="0.3">
      <c r="A1086" s="268" t="s">
        <v>3707</v>
      </c>
      <c r="B1086" s="275" t="s">
        <v>3681</v>
      </c>
      <c r="C1086" s="275" t="s">
        <v>3682</v>
      </c>
      <c r="D1086" s="275" t="s">
        <v>103</v>
      </c>
      <c r="E1086" s="275" t="s">
        <v>2020</v>
      </c>
      <c r="F1086" s="275" t="s">
        <v>359</v>
      </c>
      <c r="G1086" s="2">
        <v>0</v>
      </c>
      <c r="H1086" s="14">
        <f>SUMIF(ENTRADAS71417[CÓDIGO],PRODUCTOS31316[[#This Row],[CÓDIGO]],ENTRADAS71417[CANTIDAD])</f>
        <v>2</v>
      </c>
      <c r="I1086" s="11">
        <f>SUMIF(SALIDAS111518[CÓDIGO],PRODUCTOS31316[[#This Row],[CÓDIGO]],SALIDAS111518[CANTIDAD])</f>
        <v>2</v>
      </c>
      <c r="J1086" s="6">
        <f>PRODUCTOS31316[[#This Row],[EXISTENCIAS]]+PRODUCTOS31316[[#This Row],[ENTRADAS]]-PRODUCTOS31316[[#This Row],[SALIDAS]]</f>
        <v>0</v>
      </c>
      <c r="L1086" s="2" t="s">
        <v>3521</v>
      </c>
      <c r="M1086" s="2" t="s">
        <v>4250</v>
      </c>
      <c r="N1086" s="1" t="s">
        <v>4479</v>
      </c>
      <c r="O1086" s="1" t="s">
        <v>4468</v>
      </c>
      <c r="P1086" s="16">
        <v>46100</v>
      </c>
      <c r="Q1086" s="2" t="s">
        <v>369</v>
      </c>
      <c r="R1086" s="2">
        <f>VLOOKUP(SALIDAS111518[[#This Row],[CÓDIGO]],PRODUCTOS31316[],2,FALSE)</f>
        <v>0</v>
      </c>
      <c r="S1086" s="1" t="str">
        <f>VLOOKUP(SALIDAS111518[[#This Row],[CÓDIGO]],PRODUCTOS31316[],3,FALSE)</f>
        <v>FUNDA UNIVERSAL PARA I.A. RANURADA</v>
      </c>
      <c r="T1086" s="2">
        <v>35</v>
      </c>
      <c r="U1086" s="2" t="s">
        <v>4478</v>
      </c>
      <c r="V1086" s="2"/>
      <c r="W1086" s="2"/>
      <c r="X1086" s="2"/>
      <c r="Y1086" s="7"/>
      <c r="Z1086" s="2"/>
      <c r="AA1086" s="1"/>
      <c r="AC1086" s="2"/>
      <c r="AE1086" s="1"/>
      <c r="AG1086" s="2"/>
    </row>
    <row r="1087" spans="1:33" ht="49.95" customHeight="1" x14ac:dyDescent="0.3">
      <c r="A1087" s="276" t="s">
        <v>3708</v>
      </c>
      <c r="B1087" s="275" t="s">
        <v>3683</v>
      </c>
      <c r="C1087" s="275" t="s">
        <v>3684</v>
      </c>
      <c r="D1087" s="275" t="s">
        <v>103</v>
      </c>
      <c r="E1087" s="275" t="s">
        <v>2020</v>
      </c>
      <c r="F1087" s="275" t="s">
        <v>359</v>
      </c>
      <c r="G1087" s="2">
        <v>0</v>
      </c>
      <c r="H1087" s="14">
        <f>SUMIF(ENTRADAS71417[CÓDIGO],PRODUCTOS31316[[#This Row],[CÓDIGO]],ENTRADAS71417[CANTIDAD])</f>
        <v>2</v>
      </c>
      <c r="I1087" s="11">
        <f>SUMIF(SALIDAS111518[CÓDIGO],PRODUCTOS31316[[#This Row],[CÓDIGO]],SALIDAS111518[CANTIDAD])</f>
        <v>2</v>
      </c>
      <c r="J1087" s="6">
        <f>PRODUCTOS31316[[#This Row],[EXISTENCIAS]]+PRODUCTOS31316[[#This Row],[ENTRADAS]]-PRODUCTOS31316[[#This Row],[SALIDAS]]</f>
        <v>0</v>
      </c>
      <c r="L1087" s="2" t="s">
        <v>3521</v>
      </c>
      <c r="M1087" s="2" t="s">
        <v>4250</v>
      </c>
      <c r="N1087" s="1" t="s">
        <v>4480</v>
      </c>
      <c r="O1087" s="1" t="s">
        <v>4469</v>
      </c>
      <c r="P1087" s="16">
        <v>46100</v>
      </c>
      <c r="Q1087" s="2" t="s">
        <v>20</v>
      </c>
      <c r="R1087" s="2" t="str">
        <f>VLOOKUP(SALIDAS111518[[#This Row],[CÓDIGO]],PRODUCTOS31316[],2,FALSE)</f>
        <v>L60</v>
      </c>
      <c r="S1087" s="1" t="str">
        <f>VLOOKUP(SALIDAS111518[[#This Row],[CÓDIGO]],PRODUCTOS31316[],3,FALSE)</f>
        <v>ECOGRAFO POTATIL L60 CON SONDA LINEAL RECTAL</v>
      </c>
      <c r="T1087" s="2">
        <v>2</v>
      </c>
      <c r="U1087" s="2">
        <v>480</v>
      </c>
      <c r="V1087" s="2"/>
      <c r="W1087" s="2" t="s">
        <v>3194</v>
      </c>
      <c r="X1087" s="2"/>
      <c r="Y1087" s="7"/>
      <c r="Z1087" s="2"/>
      <c r="AA1087" s="1"/>
      <c r="AC1087" s="2"/>
      <c r="AE1087" s="1"/>
      <c r="AG1087" s="2"/>
    </row>
    <row r="1088" spans="1:33" ht="49.95" customHeight="1" x14ac:dyDescent="0.3">
      <c r="A1088" s="276" t="s">
        <v>3709</v>
      </c>
      <c r="B1088" s="275" t="s">
        <v>3672</v>
      </c>
      <c r="C1088" s="275" t="s">
        <v>3689</v>
      </c>
      <c r="D1088" s="275" t="s">
        <v>103</v>
      </c>
      <c r="E1088" s="275" t="s">
        <v>2020</v>
      </c>
      <c r="F1088" s="275" t="s">
        <v>422</v>
      </c>
      <c r="G1088" s="2">
        <v>0</v>
      </c>
      <c r="H1088" s="14">
        <f>SUMIF(ENTRADAS71417[CÓDIGO],PRODUCTOS31316[[#This Row],[CÓDIGO]],ENTRADAS71417[CANTIDAD])</f>
        <v>10</v>
      </c>
      <c r="I1088" s="11">
        <f>SUMIF(SALIDAS111518[CÓDIGO],PRODUCTOS31316[[#This Row],[CÓDIGO]],SALIDAS111518[CANTIDAD])</f>
        <v>10</v>
      </c>
      <c r="J1088" s="6">
        <f>PRODUCTOS31316[[#This Row],[EXISTENCIAS]]+PRODUCTOS31316[[#This Row],[ENTRADAS]]-PRODUCTOS31316[[#This Row],[SALIDAS]]</f>
        <v>0</v>
      </c>
      <c r="L1088" s="2"/>
      <c r="M1088" s="2"/>
      <c r="N1088" s="2">
        <v>8082</v>
      </c>
      <c r="O1088" s="1" t="s">
        <v>4469</v>
      </c>
      <c r="P1088" s="16">
        <v>46100</v>
      </c>
      <c r="Q1088" s="2" t="s">
        <v>3095</v>
      </c>
      <c r="R1088" s="2">
        <f>VLOOKUP(SALIDAS111518[[#This Row],[CÓDIGO]],PRODUCTOS31316[],2,FALSE)</f>
        <v>0</v>
      </c>
      <c r="S1088" s="1" t="str">
        <f>VLOOKUP(SALIDAS111518[[#This Row],[CÓDIGO]],PRODUCTOS31316[],3,FALSE)</f>
        <v>GORRA MAS CAMPO</v>
      </c>
      <c r="T1088" s="2">
        <v>1</v>
      </c>
      <c r="U1088" s="2"/>
      <c r="V1088" s="2"/>
      <c r="W1088" s="2"/>
      <c r="X1088" s="2"/>
      <c r="Y1088" s="7"/>
      <c r="Z1088" s="2"/>
      <c r="AA1088" s="1"/>
      <c r="AC1088" s="2"/>
      <c r="AE1088" s="1"/>
      <c r="AG1088" s="2"/>
    </row>
    <row r="1089" spans="1:33" ht="49.95" customHeight="1" x14ac:dyDescent="0.3">
      <c r="A1089" s="268" t="s">
        <v>3710</v>
      </c>
      <c r="B1089" s="275" t="s">
        <v>3685</v>
      </c>
      <c r="C1089" s="275" t="s">
        <v>3688</v>
      </c>
      <c r="D1089" s="275" t="s">
        <v>103</v>
      </c>
      <c r="E1089" s="275" t="s">
        <v>2020</v>
      </c>
      <c r="F1089" s="275" t="s">
        <v>422</v>
      </c>
      <c r="G1089" s="2">
        <v>0</v>
      </c>
      <c r="H1089" s="14">
        <f>SUMIF(ENTRADAS71417[CÓDIGO],PRODUCTOS31316[[#This Row],[CÓDIGO]],ENTRADAS71417[CANTIDAD])</f>
        <v>2</v>
      </c>
      <c r="I1089" s="11">
        <f>SUMIF(SALIDAS111518[CÓDIGO],PRODUCTOS31316[[#This Row],[CÓDIGO]],SALIDAS111518[CANTIDAD])</f>
        <v>2</v>
      </c>
      <c r="J1089" s="6">
        <f>PRODUCTOS31316[[#This Row],[EXISTENCIAS]]+PRODUCTOS31316[[#This Row],[ENTRADAS]]-PRODUCTOS31316[[#This Row],[SALIDAS]]</f>
        <v>0</v>
      </c>
      <c r="L1089" s="2"/>
      <c r="M1089" s="2"/>
      <c r="N1089" s="2">
        <v>8082</v>
      </c>
      <c r="O1089" s="1" t="s">
        <v>4469</v>
      </c>
      <c r="P1089" s="16">
        <v>46100</v>
      </c>
      <c r="Q1089" s="2" t="s">
        <v>25</v>
      </c>
      <c r="R1089" s="2">
        <f>VLOOKUP(SALIDAS111518[[#This Row],[CÓDIGO]],PRODUCTOS31316[],2,FALSE)</f>
        <v>0</v>
      </c>
      <c r="S1089" s="1" t="str">
        <f>VLOOKUP(SALIDAS111518[[#This Row],[CÓDIGO]],PRODUCTOS31316[],3,FALSE)</f>
        <v>BOLSA TELA MAS CAMPO</v>
      </c>
      <c r="T1089" s="2">
        <v>1</v>
      </c>
      <c r="U1089" s="2"/>
      <c r="V1089" s="2"/>
      <c r="W1089" s="2"/>
      <c r="X1089" s="2"/>
      <c r="Y1089" s="7"/>
      <c r="Z1089" s="2"/>
      <c r="AA1089" s="1"/>
      <c r="AC1089" s="2"/>
      <c r="AE1089" s="1"/>
      <c r="AG1089" s="2"/>
    </row>
    <row r="1090" spans="1:33" ht="49.95" customHeight="1" x14ac:dyDescent="0.3">
      <c r="A1090" s="276" t="s">
        <v>3711</v>
      </c>
      <c r="B1090" s="275" t="s">
        <v>3686</v>
      </c>
      <c r="C1090" s="275" t="s">
        <v>3687</v>
      </c>
      <c r="D1090" s="275" t="s">
        <v>103</v>
      </c>
      <c r="E1090" s="275" t="s">
        <v>2020</v>
      </c>
      <c r="F1090" s="275" t="s">
        <v>422</v>
      </c>
      <c r="G1090" s="2">
        <v>0</v>
      </c>
      <c r="H1090" s="14">
        <f>SUMIF(ENTRADAS71417[CÓDIGO],PRODUCTOS31316[[#This Row],[CÓDIGO]],ENTRADAS71417[CANTIDAD])</f>
        <v>2</v>
      </c>
      <c r="I1090" s="11">
        <f>SUMIF(SALIDAS111518[CÓDIGO],PRODUCTOS31316[[#This Row],[CÓDIGO]],SALIDAS111518[CANTIDAD])</f>
        <v>2</v>
      </c>
      <c r="J1090" s="6">
        <f>PRODUCTOS31316[[#This Row],[EXISTENCIAS]]+PRODUCTOS31316[[#This Row],[ENTRADAS]]-PRODUCTOS31316[[#This Row],[SALIDAS]]</f>
        <v>0</v>
      </c>
      <c r="L1090" s="2" t="s">
        <v>3520</v>
      </c>
      <c r="M1090" s="2" t="s">
        <v>4250</v>
      </c>
      <c r="N1090" s="1" t="s">
        <v>4482</v>
      </c>
      <c r="O1090" s="1" t="s">
        <v>2445</v>
      </c>
      <c r="P1090" s="16">
        <v>46100</v>
      </c>
      <c r="Q1090" s="2" t="s">
        <v>3709</v>
      </c>
      <c r="R1090" s="2" t="str">
        <f>VLOOKUP(SALIDAS111518[[#This Row],[CÓDIGO]],PRODUCTOS31316[],2,FALSE)</f>
        <v>13408-010</v>
      </c>
      <c r="S1090" s="1" t="str">
        <f>VLOOKUP(SALIDAS111518[[#This Row],[CÓDIGO]],PRODUCTOS31316[],3,FALSE)</f>
        <v>PAJUELA TRANSPARENTE 0.50/ PAQ. X 2500 MARCA MINITUBE</v>
      </c>
      <c r="T1090" s="2">
        <v>1</v>
      </c>
      <c r="U1090" s="2" t="s">
        <v>4481</v>
      </c>
      <c r="V1090" s="2"/>
      <c r="W1090" s="2"/>
      <c r="X1090" s="2"/>
      <c r="Y1090" s="7"/>
      <c r="Z1090" s="2"/>
      <c r="AA1090" s="1"/>
      <c r="AC1090" s="2"/>
      <c r="AE1090" s="1"/>
      <c r="AG1090" s="2"/>
    </row>
    <row r="1091" spans="1:33" ht="49.95" customHeight="1" x14ac:dyDescent="0.3">
      <c r="A1091" s="276" t="s">
        <v>3712</v>
      </c>
      <c r="B1091" s="275" t="s">
        <v>3696</v>
      </c>
      <c r="C1091" s="275" t="s">
        <v>3697</v>
      </c>
      <c r="D1091" s="275" t="s">
        <v>103</v>
      </c>
      <c r="E1091" s="275" t="s">
        <v>2020</v>
      </c>
      <c r="F1091" s="275" t="s">
        <v>422</v>
      </c>
      <c r="G1091" s="2">
        <v>0</v>
      </c>
      <c r="H1091" s="14">
        <f>SUMIF(ENTRADAS71417[CÓDIGO],PRODUCTOS31316[[#This Row],[CÓDIGO]],ENTRADAS71417[CANTIDAD])</f>
        <v>1</v>
      </c>
      <c r="I1091" s="11">
        <f>SUMIF(SALIDAS111518[CÓDIGO],PRODUCTOS31316[[#This Row],[CÓDIGO]],SALIDAS111518[CANTIDAD])</f>
        <v>1</v>
      </c>
      <c r="J1091" s="6">
        <f>PRODUCTOS31316[[#This Row],[EXISTENCIAS]]+PRODUCTOS31316[[#This Row],[ENTRADAS]]-PRODUCTOS31316[[#This Row],[SALIDAS]]</f>
        <v>0</v>
      </c>
      <c r="L1091" s="2"/>
      <c r="M1091" s="2"/>
      <c r="N1091" s="2">
        <v>8083</v>
      </c>
      <c r="O1091" s="1" t="s">
        <v>2445</v>
      </c>
      <c r="P1091" s="16">
        <v>46100</v>
      </c>
      <c r="Q1091" s="2" t="s">
        <v>3713</v>
      </c>
      <c r="R1091" s="2" t="str">
        <f>VLOOKUP(SALIDAS111518[[#This Row],[CÓDIGO]],PRODUCTOS31316[],2,FALSE)</f>
        <v>13408-074</v>
      </c>
      <c r="S1091" s="1" t="str">
        <f>VLOOKUP(SALIDAS111518[[#This Row],[CÓDIGO]],PRODUCTOS31316[],3,FALSE)</f>
        <v>PAJUELA GRIS 0.50/ PAQ. X 2500 MARCA MINITUBE</v>
      </c>
      <c r="T1091" s="2">
        <v>1</v>
      </c>
      <c r="U1091" s="2"/>
      <c r="V1091" s="2"/>
      <c r="W1091" s="2"/>
      <c r="X1091" s="2"/>
      <c r="Y1091" s="7"/>
      <c r="Z1091" s="2"/>
      <c r="AA1091" s="1"/>
      <c r="AC1091" s="2"/>
      <c r="AE1091" s="1"/>
      <c r="AG1091" s="2"/>
    </row>
    <row r="1092" spans="1:33" ht="49.95" customHeight="1" x14ac:dyDescent="0.3">
      <c r="A1092" s="268" t="s">
        <v>3713</v>
      </c>
      <c r="B1092" s="275" t="s">
        <v>3691</v>
      </c>
      <c r="C1092" s="275" t="s">
        <v>3690</v>
      </c>
      <c r="D1092" s="275" t="s">
        <v>103</v>
      </c>
      <c r="E1092" s="275" t="s">
        <v>2020</v>
      </c>
      <c r="F1092" s="275" t="s">
        <v>422</v>
      </c>
      <c r="G1092" s="2">
        <v>0</v>
      </c>
      <c r="H1092" s="14">
        <f>SUMIF(ENTRADAS71417[CÓDIGO],PRODUCTOS31316[[#This Row],[CÓDIGO]],ENTRADAS71417[CANTIDAD])</f>
        <v>2</v>
      </c>
      <c r="I1092" s="11">
        <f>SUMIF(SALIDAS111518[CÓDIGO],PRODUCTOS31316[[#This Row],[CÓDIGO]],SALIDAS111518[CANTIDAD])</f>
        <v>2</v>
      </c>
      <c r="J1092" s="6">
        <f>PRODUCTOS31316[[#This Row],[EXISTENCIAS]]+PRODUCTOS31316[[#This Row],[ENTRADAS]]-PRODUCTOS31316[[#This Row],[SALIDAS]]</f>
        <v>0</v>
      </c>
      <c r="L1092" s="2" t="s">
        <v>3520</v>
      </c>
      <c r="M1092" s="2" t="s">
        <v>4250</v>
      </c>
      <c r="N1092" s="1" t="s">
        <v>4484</v>
      </c>
      <c r="O1092" s="1" t="s">
        <v>4151</v>
      </c>
      <c r="P1092" s="16">
        <v>46100</v>
      </c>
      <c r="Q1092" s="2" t="s">
        <v>4470</v>
      </c>
      <c r="R1092" s="2" t="str">
        <f>VLOOKUP(SALIDAS111518[[#This Row],[CÓDIGO]],PRODUCTOS31316[],2,FALSE)</f>
        <v>SCN-101-/100</v>
      </c>
      <c r="S1092" s="1" t="str">
        <f>VLOOKUP(SALIDAS111518[[#This Row],[CÓDIGO]],PRODUCTOS31316[],3,FALSE)</f>
        <v>TUERCA DE ACOPLAMIENTO DE FILTRO PARA FRASCO COLECTOR DE SEMEN EQUINO</v>
      </c>
      <c r="T1092" s="2">
        <v>25</v>
      </c>
      <c r="U1092" s="2"/>
      <c r="V1092" s="2"/>
      <c r="W1092" s="2"/>
      <c r="X1092" s="2"/>
      <c r="Y1092" s="7"/>
      <c r="Z1092" s="2"/>
      <c r="AA1092" s="1"/>
      <c r="AC1092" s="2"/>
      <c r="AE1092" s="1"/>
      <c r="AG1092" s="2"/>
    </row>
    <row r="1093" spans="1:33" ht="49.95" customHeight="1" x14ac:dyDescent="0.3">
      <c r="A1093" s="276" t="s">
        <v>3714</v>
      </c>
      <c r="B1093" s="275" t="s">
        <v>3692</v>
      </c>
      <c r="C1093" s="275" t="s">
        <v>3693</v>
      </c>
      <c r="D1093" s="275" t="s">
        <v>103</v>
      </c>
      <c r="E1093" s="275" t="s">
        <v>2020</v>
      </c>
      <c r="F1093" s="275" t="s">
        <v>422</v>
      </c>
      <c r="G1093" s="2">
        <v>0</v>
      </c>
      <c r="H1093" s="14">
        <f>SUMIF(ENTRADAS71417[CÓDIGO],PRODUCTOS31316[[#This Row],[CÓDIGO]],ENTRADAS71417[CANTIDAD])</f>
        <v>2</v>
      </c>
      <c r="I1093" s="11">
        <f>SUMIF(SALIDAS111518[CÓDIGO],PRODUCTOS31316[[#This Row],[CÓDIGO]],SALIDAS111518[CANTIDAD])</f>
        <v>2</v>
      </c>
      <c r="J1093" s="6">
        <f>PRODUCTOS31316[[#This Row],[EXISTENCIAS]]+PRODUCTOS31316[[#This Row],[ENTRADAS]]-PRODUCTOS31316[[#This Row],[SALIDAS]]</f>
        <v>0</v>
      </c>
      <c r="L1093" s="2"/>
      <c r="M1093" s="2"/>
      <c r="N1093" s="2">
        <v>474</v>
      </c>
      <c r="O1093" s="1" t="s">
        <v>4151</v>
      </c>
      <c r="P1093" s="16">
        <v>46100</v>
      </c>
      <c r="Q1093" s="2" t="s">
        <v>4472</v>
      </c>
      <c r="R1093" s="2" t="str">
        <f>VLOOKUP(SALIDAS111518[[#This Row],[CÓDIGO]],PRODUCTOS31316[],2,FALSE)</f>
        <v>CAP-102/100</v>
      </c>
      <c r="S1093" s="1" t="str">
        <f>VLOOKUP(SALIDAS111518[[#This Row],[CÓDIGO]],PRODUCTOS31316[],3,FALSE)</f>
        <v>TAPA DE FRASCO DE RECOLECCION DE SEMEN EQUINO</v>
      </c>
      <c r="T1093" s="2">
        <v>25</v>
      </c>
      <c r="U1093" s="2"/>
      <c r="V1093" s="2"/>
      <c r="W1093" s="2"/>
      <c r="X1093" s="2"/>
      <c r="Y1093" s="7"/>
      <c r="Z1093" s="2"/>
      <c r="AA1093" s="1"/>
      <c r="AC1093" s="2"/>
      <c r="AE1093" s="1"/>
      <c r="AG1093" s="2"/>
    </row>
    <row r="1094" spans="1:33" ht="49.95" customHeight="1" x14ac:dyDescent="0.3">
      <c r="A1094" s="276" t="s">
        <v>3715</v>
      </c>
      <c r="B1094" s="275" t="s">
        <v>3694</v>
      </c>
      <c r="C1094" s="275" t="s">
        <v>3695</v>
      </c>
      <c r="D1094" s="275" t="s">
        <v>103</v>
      </c>
      <c r="E1094" s="275" t="s">
        <v>2020</v>
      </c>
      <c r="F1094" s="275" t="s">
        <v>422</v>
      </c>
      <c r="G1094" s="2">
        <v>0</v>
      </c>
      <c r="H1094" s="14">
        <f>SUMIF(ENTRADAS71417[CÓDIGO],PRODUCTOS31316[[#This Row],[CÓDIGO]],ENTRADAS71417[CANTIDAD])</f>
        <v>1</v>
      </c>
      <c r="I1094" s="11">
        <f>SUMIF(SALIDAS111518[CÓDIGO],PRODUCTOS31316[[#This Row],[CÓDIGO]],SALIDAS111518[CANTIDAD])</f>
        <v>1</v>
      </c>
      <c r="J1094" s="6">
        <f>PRODUCTOS31316[[#This Row],[EXISTENCIAS]]+PRODUCTOS31316[[#This Row],[ENTRADAS]]-PRODUCTOS31316[[#This Row],[SALIDAS]]</f>
        <v>0</v>
      </c>
      <c r="L1094" s="2" t="s">
        <v>3520</v>
      </c>
      <c r="M1094" s="2" t="s">
        <v>4250</v>
      </c>
      <c r="N1094" s="1" t="s">
        <v>4487</v>
      </c>
      <c r="O1094" s="1" t="s">
        <v>2105</v>
      </c>
      <c r="P1094" s="16">
        <v>46100</v>
      </c>
      <c r="Q1094" s="2" t="s">
        <v>104</v>
      </c>
      <c r="R1094" s="2">
        <f>VLOOKUP(SALIDAS111518[[#This Row],[CÓDIGO]],PRODUCTOS31316[],2,FALSE)</f>
        <v>0</v>
      </c>
      <c r="S1094" s="1" t="str">
        <f>VLOOKUP(SALIDAS111518[[#This Row],[CÓDIGO]],PRODUCTOS31316[],3,FALSE)</f>
        <v>ISPERM CHIPS (500 TESTS PER BOX) PAQ. X 50 UND</v>
      </c>
      <c r="T1094" s="2">
        <v>1</v>
      </c>
      <c r="U1094" s="2">
        <v>482</v>
      </c>
      <c r="V1094" s="2"/>
      <c r="W1094" s="2" t="s">
        <v>2228</v>
      </c>
      <c r="X1094" s="2"/>
      <c r="Y1094" s="7"/>
      <c r="Z1094" s="2"/>
      <c r="AA1094" s="1"/>
      <c r="AC1094" s="2"/>
      <c r="AE1094" s="1"/>
      <c r="AG1094" s="2"/>
    </row>
    <row r="1095" spans="1:33" ht="49.95" customHeight="1" x14ac:dyDescent="0.3">
      <c r="A1095" s="276" t="s">
        <v>3752</v>
      </c>
      <c r="B1095" s="267"/>
      <c r="C1095" s="275" t="s">
        <v>3753</v>
      </c>
      <c r="D1095" s="275" t="s">
        <v>1886</v>
      </c>
      <c r="E1095" s="275" t="s">
        <v>1886</v>
      </c>
      <c r="F1095" s="275" t="s">
        <v>30</v>
      </c>
      <c r="G1095" s="2">
        <v>0</v>
      </c>
      <c r="H1095" s="14">
        <f>SUMIF(ENTRADAS71417[CÓDIGO],PRODUCTOS31316[[#This Row],[CÓDIGO]],ENTRADAS71417[CANTIDAD])</f>
        <v>1</v>
      </c>
      <c r="I1095" s="11">
        <f>SUMIF(SALIDAS111518[CÓDIGO],PRODUCTOS31316[[#This Row],[CÓDIGO]],SALIDAS111518[CANTIDAD])</f>
        <v>0</v>
      </c>
      <c r="J1095" s="6">
        <f>PRODUCTOS31316[[#This Row],[EXISTENCIAS]]+PRODUCTOS31316[[#This Row],[ENTRADAS]]-PRODUCTOS31316[[#This Row],[SALIDAS]]</f>
        <v>1</v>
      </c>
      <c r="L1095" s="2" t="s">
        <v>3520</v>
      </c>
      <c r="M1095" s="2" t="s">
        <v>4250</v>
      </c>
      <c r="N1095" s="1" t="s">
        <v>4488</v>
      </c>
      <c r="O1095" s="2" t="s">
        <v>2256</v>
      </c>
      <c r="P1095" s="16">
        <v>46100</v>
      </c>
      <c r="Q1095" s="2" t="s">
        <v>47</v>
      </c>
      <c r="R1095" s="2">
        <f>VLOOKUP(SALIDAS111518[[#This Row],[CÓDIGO]],PRODUCTOS31316[],2,FALSE)</f>
        <v>1135</v>
      </c>
      <c r="S1095" s="1" t="str">
        <f>VLOOKUP(SALIDAS111518[[#This Row],[CÓDIGO]],PRODUCTOS31316[],3,FALSE)</f>
        <v>TRILADYL</v>
      </c>
      <c r="T1095" s="2">
        <v>1</v>
      </c>
      <c r="U1095" s="2">
        <v>483</v>
      </c>
      <c r="V1095" s="2"/>
      <c r="W1095" s="2"/>
      <c r="X1095" s="2"/>
      <c r="Y1095" s="7"/>
      <c r="Z1095" s="2"/>
      <c r="AA1095" s="1"/>
      <c r="AC1095" s="2"/>
      <c r="AE1095" s="1"/>
      <c r="AG1095" s="2"/>
    </row>
    <row r="1096" spans="1:33" ht="49.95" customHeight="1" x14ac:dyDescent="0.3">
      <c r="A1096" s="280" t="s">
        <v>3791</v>
      </c>
      <c r="B1096" s="267">
        <v>6936520864546</v>
      </c>
      <c r="C1096" s="283" t="s">
        <v>3792</v>
      </c>
      <c r="D1096" s="281" t="s">
        <v>3793</v>
      </c>
      <c r="E1096" s="283" t="s">
        <v>3250</v>
      </c>
      <c r="F1096" s="281" t="s">
        <v>30</v>
      </c>
      <c r="G1096" s="2"/>
      <c r="H1096" s="14">
        <f>SUMIF(ENTRADAS71417[CÓDIGO],PRODUCTOS31316[[#This Row],[CÓDIGO]],ENTRADAS71417[CANTIDAD])</f>
        <v>36</v>
      </c>
      <c r="I1096" s="11">
        <f>SUMIF(SALIDAS111518[CÓDIGO],PRODUCTOS31316[[#This Row],[CÓDIGO]],SALIDAS111518[CANTIDAD])</f>
        <v>31</v>
      </c>
      <c r="J1096" s="6">
        <f>PRODUCTOS31316[[#This Row],[EXISTENCIAS]]+PRODUCTOS31316[[#This Row],[ENTRADAS]]-PRODUCTOS31316[[#This Row],[SALIDAS]]</f>
        <v>5</v>
      </c>
      <c r="L1096" s="2" t="s">
        <v>3520</v>
      </c>
      <c r="M1096" s="2" t="s">
        <v>4250</v>
      </c>
      <c r="N1096" s="318" t="s">
        <v>4494</v>
      </c>
      <c r="O1096" s="1" t="s">
        <v>2866</v>
      </c>
      <c r="P1096" s="16">
        <v>46101</v>
      </c>
      <c r="Q1096" s="2" t="s">
        <v>2251</v>
      </c>
      <c r="R1096" s="2">
        <f>VLOOKUP(SALIDAS111518[[#This Row],[CÓDIGO]],PRODUCTOS31316[],2,FALSE)</f>
        <v>7240</v>
      </c>
      <c r="S1096" s="1" t="str">
        <f>VLOOKUP(SALIDAS111518[[#This Row],[CÓDIGO]],PRODUCTOS31316[],3,FALSE)</f>
        <v>PISTOLA DE TE 0,25 MARCA IMV</v>
      </c>
      <c r="T1096" s="2">
        <v>1</v>
      </c>
      <c r="U1096" s="2">
        <v>485</v>
      </c>
      <c r="V1096" s="2"/>
      <c r="W1096" s="2"/>
      <c r="X1096" s="2"/>
      <c r="Y1096" s="7"/>
      <c r="Z1096" s="2"/>
      <c r="AA1096" s="1"/>
      <c r="AC1096" s="2"/>
      <c r="AE1096" s="1"/>
      <c r="AG1096" s="2"/>
    </row>
    <row r="1097" spans="1:33" ht="49.95" customHeight="1" x14ac:dyDescent="0.3">
      <c r="A1097" s="282" t="s">
        <v>3833</v>
      </c>
      <c r="B1097" s="267">
        <v>6932554444525</v>
      </c>
      <c r="C1097" s="283" t="s">
        <v>3834</v>
      </c>
      <c r="D1097" s="283" t="s">
        <v>3835</v>
      </c>
      <c r="E1097" s="283" t="s">
        <v>3250</v>
      </c>
      <c r="F1097" s="283" t="s">
        <v>30</v>
      </c>
      <c r="G1097" s="2"/>
      <c r="H1097" s="14">
        <f>SUMIF(ENTRADAS71417[CÓDIGO],PRODUCTOS31316[[#This Row],[CÓDIGO]],ENTRADAS71417[CANTIDAD])</f>
        <v>1</v>
      </c>
      <c r="I1097" s="11">
        <f>SUMIF(SALIDAS111518[CÓDIGO],PRODUCTOS31316[[#This Row],[CÓDIGO]],SALIDAS111518[CANTIDAD])</f>
        <v>0</v>
      </c>
      <c r="J1097" s="6">
        <f>PRODUCTOS31316[[#This Row],[EXISTENCIAS]]+PRODUCTOS31316[[#This Row],[ENTRADAS]]-PRODUCTOS31316[[#This Row],[SALIDAS]]</f>
        <v>1</v>
      </c>
      <c r="L1097" s="2"/>
      <c r="M1097" s="2"/>
      <c r="N1097" s="2">
        <v>8087</v>
      </c>
      <c r="O1097" s="1" t="s">
        <v>2866</v>
      </c>
      <c r="P1097" s="16">
        <v>46101</v>
      </c>
      <c r="Q1097" s="2" t="s">
        <v>3142</v>
      </c>
      <c r="R1097" s="2">
        <f>VLOOKUP(SALIDAS111518[[#This Row],[CÓDIGO]],PRODUCTOS31316[],2,FALSE)</f>
        <v>16301</v>
      </c>
      <c r="S1097" s="1" t="str">
        <f>VLOOKUP(SALIDAS111518[[#This Row],[CÓDIGO]],PRODUCTOS31316[],3,FALSE)</f>
        <v>PISTOLA DE TRANSFERENCIA DE EMBRIONES 0,25 DE MANGO DE ALUMINIO</v>
      </c>
      <c r="T1097" s="2">
        <v>1</v>
      </c>
      <c r="U1097" s="2"/>
      <c r="V1097" s="2"/>
      <c r="W1097" s="2"/>
      <c r="X1097" s="2"/>
      <c r="Y1097" s="7"/>
      <c r="Z1097" s="2"/>
      <c r="AA1097" s="1"/>
      <c r="AC1097" s="2"/>
      <c r="AE1097" s="1"/>
      <c r="AG1097" s="2"/>
    </row>
    <row r="1098" spans="1:33" ht="49.95" customHeight="1" x14ac:dyDescent="0.3">
      <c r="A1098" s="282" t="s">
        <v>3889</v>
      </c>
      <c r="B1098" s="267">
        <v>9013003</v>
      </c>
      <c r="C1098" s="290" t="s">
        <v>3913</v>
      </c>
      <c r="D1098" s="283" t="s">
        <v>18</v>
      </c>
      <c r="E1098" s="283" t="s">
        <v>18</v>
      </c>
      <c r="F1098" s="283" t="s">
        <v>30</v>
      </c>
      <c r="G1098" s="2"/>
      <c r="H1098" s="14">
        <f>SUMIF(ENTRADAS71417[CÓDIGO],PRODUCTOS31316[[#This Row],[CÓDIGO]],ENTRADAS71417[CANTIDAD])</f>
        <v>1</v>
      </c>
      <c r="I1098" s="11">
        <f>SUMIF(SALIDAS111518[CÓDIGO],PRODUCTOS31316[[#This Row],[CÓDIGO]],SALIDAS111518[CANTIDAD])</f>
        <v>1</v>
      </c>
      <c r="J1098" s="6">
        <f>PRODUCTOS31316[[#This Row],[EXISTENCIAS]]+PRODUCTOS31316[[#This Row],[ENTRADAS]]-PRODUCTOS31316[[#This Row],[SALIDAS]]</f>
        <v>0</v>
      </c>
      <c r="L1098" s="2"/>
      <c r="M1098" s="2"/>
      <c r="N1098" s="318" t="s">
        <v>4495</v>
      </c>
      <c r="O1098" s="359" t="s">
        <v>4392</v>
      </c>
      <c r="P1098" s="16">
        <v>46101</v>
      </c>
      <c r="Q1098" s="317" t="s">
        <v>2382</v>
      </c>
      <c r="R1098" s="2">
        <f>VLOOKUP(SALIDAS111518[[#This Row],[CÓDIGO]],PRODUCTOS31316[],2,FALSE)</f>
        <v>1</v>
      </c>
      <c r="S1098" s="1" t="str">
        <f>VLOOKUP(SALIDAS111518[[#This Row],[CÓDIGO]],PRODUCTOS31316[],3,FALSE)</f>
        <v>TERMO DE TRANSPORTE 1 LITRO</v>
      </c>
      <c r="T1098" s="2"/>
      <c r="U1098" s="2" t="s">
        <v>5002</v>
      </c>
      <c r="V1098" s="2"/>
      <c r="W1098" s="2"/>
      <c r="X1098" s="2"/>
      <c r="Y1098" s="7"/>
      <c r="Z1098" s="2"/>
      <c r="AA1098" s="1"/>
      <c r="AC1098" s="2"/>
      <c r="AE1098" s="1"/>
      <c r="AG1098" s="2"/>
    </row>
    <row r="1099" spans="1:33" ht="49.95" customHeight="1" x14ac:dyDescent="0.3">
      <c r="A1099" s="282" t="s">
        <v>3890</v>
      </c>
      <c r="B1099" s="267">
        <v>9007013</v>
      </c>
      <c r="C1099" s="290" t="s">
        <v>3893</v>
      </c>
      <c r="D1099" s="283" t="s">
        <v>18</v>
      </c>
      <c r="E1099" s="283" t="s">
        <v>18</v>
      </c>
      <c r="F1099" s="283" t="s">
        <v>30</v>
      </c>
      <c r="G1099" s="2"/>
      <c r="H1099" s="14">
        <f>SUMIF(ENTRADAS71417[CÓDIGO],PRODUCTOS31316[[#This Row],[CÓDIGO]],ENTRADAS71417[CANTIDAD])</f>
        <v>1</v>
      </c>
      <c r="I1099" s="11">
        <f>SUMIF(SALIDAS111518[CÓDIGO],PRODUCTOS31316[[#This Row],[CÓDIGO]],SALIDAS111518[CANTIDAD])</f>
        <v>0</v>
      </c>
      <c r="J1099" s="6">
        <f>PRODUCTOS31316[[#This Row],[EXISTENCIAS]]+PRODUCTOS31316[[#This Row],[ENTRADAS]]-PRODUCTOS31316[[#This Row],[SALIDAS]]</f>
        <v>1</v>
      </c>
      <c r="L1099" s="317" t="s">
        <v>3520</v>
      </c>
      <c r="M1099" s="317" t="s">
        <v>4250</v>
      </c>
      <c r="N1099" s="318" t="s">
        <v>4497</v>
      </c>
      <c r="O1099" s="317" t="s">
        <v>4493</v>
      </c>
      <c r="P1099" s="16">
        <v>46101</v>
      </c>
      <c r="Q1099" s="317" t="s">
        <v>15</v>
      </c>
      <c r="R1099" s="2" t="str">
        <f>VLOOKUP(SALIDAS111518[[#This Row],[CÓDIGO]],PRODUCTOS31316[],2,FALSE)</f>
        <v>BTE-025PT/ 504002</v>
      </c>
      <c r="S1099" s="1" t="str">
        <f>VLOOKUP(SALIDAS111518[[#This Row],[CÓDIGO]],PRODUCTOS31316[],3,FALSE)</f>
        <v>FUNDAS PARA TRANSFERENCIA DE EMBRIONES</v>
      </c>
      <c r="T1099" s="2">
        <v>6</v>
      </c>
      <c r="U1099" s="2"/>
      <c r="V1099" s="2"/>
      <c r="W1099" s="2"/>
      <c r="X1099" s="2"/>
      <c r="Y1099" s="7"/>
      <c r="Z1099" s="2"/>
      <c r="AA1099" s="1"/>
      <c r="AC1099" s="2"/>
      <c r="AE1099" s="1"/>
      <c r="AG1099" s="2"/>
    </row>
    <row r="1100" spans="1:33" ht="49.95" customHeight="1" x14ac:dyDescent="0.3">
      <c r="A1100" s="282" t="s">
        <v>3891</v>
      </c>
      <c r="B1100" s="267">
        <v>9015001</v>
      </c>
      <c r="C1100" s="283" t="s">
        <v>3892</v>
      </c>
      <c r="D1100" s="283" t="s">
        <v>18</v>
      </c>
      <c r="E1100" s="283" t="s">
        <v>18</v>
      </c>
      <c r="F1100" s="283" t="s">
        <v>30</v>
      </c>
      <c r="G1100" s="2"/>
      <c r="H1100" s="14">
        <f>SUMIF(ENTRADAS71417[CÓDIGO],PRODUCTOS31316[[#This Row],[CÓDIGO]],ENTRADAS71417[CANTIDAD])</f>
        <v>3</v>
      </c>
      <c r="I1100" s="11">
        <f>SUMIF(SALIDAS111518[CÓDIGO],PRODUCTOS31316[[#This Row],[CÓDIGO]],SALIDAS111518[CANTIDAD])</f>
        <v>0</v>
      </c>
      <c r="J1100" s="6">
        <f>PRODUCTOS31316[[#This Row],[EXISTENCIAS]]+PRODUCTOS31316[[#This Row],[ENTRADAS]]-PRODUCTOS31316[[#This Row],[SALIDAS]]</f>
        <v>3</v>
      </c>
      <c r="L1100" s="2"/>
      <c r="M1100" s="2"/>
      <c r="N1100" s="2">
        <v>8088</v>
      </c>
      <c r="O1100" s="317" t="s">
        <v>4493</v>
      </c>
      <c r="P1100" s="16">
        <v>46101</v>
      </c>
      <c r="Q1100" s="317" t="s">
        <v>273</v>
      </c>
      <c r="R1100" s="2">
        <f>VLOOKUP(SALIDAS111518[[#This Row],[CÓDIGO]],PRODUCTOS31316[],2,FALSE)</f>
        <v>1003514</v>
      </c>
      <c r="S1100" s="1" t="str">
        <f>VLOOKUP(SALIDAS111518[[#This Row],[CÓDIGO]],PRODUCTOS31316[],3,FALSE)</f>
        <v>JALEA CONDUCTIVA (GEL ULTRASONICO) GALON X 3785 ML AZUL</v>
      </c>
      <c r="T1100" s="2">
        <v>1</v>
      </c>
      <c r="U1100" s="2"/>
      <c r="V1100" s="2"/>
      <c r="W1100" s="2"/>
      <c r="X1100" s="2"/>
      <c r="Y1100" s="7"/>
      <c r="Z1100" s="2"/>
      <c r="AA1100" s="1"/>
      <c r="AC1100" s="2"/>
      <c r="AE1100" s="1"/>
      <c r="AG1100" s="2"/>
    </row>
    <row r="1101" spans="1:33" ht="49.95" customHeight="1" x14ac:dyDescent="0.3">
      <c r="A1101" s="288" t="s">
        <v>3929</v>
      </c>
      <c r="B1101" s="267"/>
      <c r="C1101" s="290" t="s">
        <v>3930</v>
      </c>
      <c r="D1101" s="290" t="s">
        <v>839</v>
      </c>
      <c r="E1101" s="290" t="s">
        <v>3471</v>
      </c>
      <c r="F1101" s="290" t="s">
        <v>2956</v>
      </c>
      <c r="G1101" s="2"/>
      <c r="H1101" s="14">
        <f>SUMIF(ENTRADAS71417[CÓDIGO],PRODUCTOS31316[[#This Row],[CÓDIGO]],ENTRADAS71417[CANTIDAD])</f>
        <v>10</v>
      </c>
      <c r="I1101" s="11">
        <f>SUMIF(SALIDAS111518[CÓDIGO],PRODUCTOS31316[[#This Row],[CÓDIGO]],SALIDAS111518[CANTIDAD])</f>
        <v>10</v>
      </c>
      <c r="J1101" s="6">
        <f>PRODUCTOS31316[[#This Row],[EXISTENCIAS]]+PRODUCTOS31316[[#This Row],[ENTRADAS]]-PRODUCTOS31316[[#This Row],[SALIDAS]]</f>
        <v>0</v>
      </c>
      <c r="L1101" s="317" t="s">
        <v>3520</v>
      </c>
      <c r="M1101" s="317" t="s">
        <v>4250</v>
      </c>
      <c r="N1101" s="318" t="s">
        <v>4496</v>
      </c>
      <c r="O1101" s="317" t="s">
        <v>3159</v>
      </c>
      <c r="P1101" s="16">
        <v>46101</v>
      </c>
      <c r="Q1101" s="317" t="s">
        <v>3165</v>
      </c>
      <c r="R1101" s="2">
        <f>VLOOKUP(SALIDAS111518[[#This Row],[CÓDIGO]],PRODUCTOS31316[],2,FALSE)</f>
        <v>30943</v>
      </c>
      <c r="S1101" s="1" t="str">
        <f>VLOOKUP(SALIDAS111518[[#This Row],[CÓDIGO]],PRODUCTOS31316[],3,FALSE)</f>
        <v xml:space="preserve">CAJA PETRI DESECHABLE ESTERIL 90X 15 </v>
      </c>
      <c r="T1101" s="2">
        <v>30</v>
      </c>
      <c r="U1101" s="2">
        <v>488</v>
      </c>
      <c r="V1101" s="2"/>
      <c r="W1101" s="2"/>
      <c r="X1101" s="2"/>
      <c r="Y1101" s="7"/>
      <c r="Z1101" s="2"/>
      <c r="AA1101" s="1"/>
      <c r="AC1101" s="2"/>
      <c r="AE1101" s="1"/>
      <c r="AG1101" s="2"/>
    </row>
    <row r="1102" spans="1:33" ht="49.95" customHeight="1" x14ac:dyDescent="0.3">
      <c r="A1102" s="288" t="s">
        <v>4031</v>
      </c>
      <c r="B1102" s="290" t="s">
        <v>4032</v>
      </c>
      <c r="C1102" s="290" t="s">
        <v>4037</v>
      </c>
      <c r="D1102" s="290" t="s">
        <v>4033</v>
      </c>
      <c r="E1102" s="290" t="s">
        <v>4033</v>
      </c>
      <c r="F1102" s="290" t="s">
        <v>146</v>
      </c>
      <c r="G1102" s="2"/>
      <c r="H1102" s="14">
        <f>SUMIF(ENTRADAS71417[CÓDIGO],PRODUCTOS31316[[#This Row],[CÓDIGO]],ENTRADAS71417[CANTIDAD])</f>
        <v>36</v>
      </c>
      <c r="I1102" s="11">
        <f>SUMIF(SALIDAS111518[CÓDIGO],PRODUCTOS31316[[#This Row],[CÓDIGO]],SALIDAS111518[CANTIDAD])</f>
        <v>17</v>
      </c>
      <c r="J1102" s="6">
        <f>PRODUCTOS31316[[#This Row],[EXISTENCIAS]]+PRODUCTOS31316[[#This Row],[ENTRADAS]]-PRODUCTOS31316[[#This Row],[SALIDAS]]</f>
        <v>19</v>
      </c>
      <c r="L1102" s="2"/>
      <c r="M1102" s="2"/>
      <c r="N1102" s="2">
        <v>8089</v>
      </c>
      <c r="O1102" s="317" t="s">
        <v>3159</v>
      </c>
      <c r="P1102" s="16">
        <v>46101</v>
      </c>
      <c r="Q1102" s="317" t="s">
        <v>3325</v>
      </c>
      <c r="R1102" s="2">
        <f>VLOOKUP(SALIDAS111518[[#This Row],[CÓDIGO]],PRODUCTOS31316[],2,FALSE)</f>
        <v>9006001</v>
      </c>
      <c r="S1102" s="1" t="str">
        <f>VLOOKUP(SALIDAS111518[[#This Row],[CÓDIGO]],PRODUCTOS31316[],3,FALSE)</f>
        <v>LACRADOR LARGO ROJOS</v>
      </c>
      <c r="T1102" s="2">
        <v>3</v>
      </c>
      <c r="U1102" s="2"/>
      <c r="V1102" s="2"/>
      <c r="W1102" s="2"/>
      <c r="X1102" s="2"/>
      <c r="Y1102" s="7"/>
      <c r="Z1102" s="2"/>
      <c r="AA1102" s="1"/>
      <c r="AC1102" s="2"/>
      <c r="AE1102" s="1"/>
      <c r="AG1102" s="2"/>
    </row>
    <row r="1103" spans="1:33" ht="49.95" customHeight="1" x14ac:dyDescent="0.3">
      <c r="A1103" s="288" t="s">
        <v>4140</v>
      </c>
      <c r="B1103" s="267">
        <v>5575</v>
      </c>
      <c r="C1103" s="283" t="s">
        <v>1783</v>
      </c>
      <c r="D1103" s="283" t="s">
        <v>156</v>
      </c>
      <c r="E1103" s="283" t="s">
        <v>2020</v>
      </c>
      <c r="F1103" s="283" t="s">
        <v>359</v>
      </c>
      <c r="G1103" s="2"/>
      <c r="H1103" s="14">
        <f>SUMIF(ENTRADAS71417[CÓDIGO],PRODUCTOS31316[[#This Row],[CÓDIGO]],ENTRADAS71417[CANTIDAD])</f>
        <v>20</v>
      </c>
      <c r="I1103" s="11">
        <f>SUMIF(SALIDAS111518[CÓDIGO],PRODUCTOS31316[[#This Row],[CÓDIGO]],SALIDAS111518[CANTIDAD])</f>
        <v>18</v>
      </c>
      <c r="J1103" s="6">
        <f>PRODUCTOS31316[[#This Row],[EXISTENCIAS]]+PRODUCTOS31316[[#This Row],[ENTRADAS]]-PRODUCTOS31316[[#This Row],[SALIDAS]]</f>
        <v>2</v>
      </c>
      <c r="L1103" s="2"/>
      <c r="M1103" s="2"/>
      <c r="N1103" s="2">
        <v>8089</v>
      </c>
      <c r="O1103" s="317" t="s">
        <v>3159</v>
      </c>
      <c r="P1103" s="16">
        <v>46101</v>
      </c>
      <c r="Q1103" s="317" t="s">
        <v>3703</v>
      </c>
      <c r="R1103" s="2" t="str">
        <f>VLOOKUP(SALIDAS111518[[#This Row],[CÓDIGO]],PRODUCTOS31316[],2,FALSE)</f>
        <v>13407-010</v>
      </c>
      <c r="S1103" s="1" t="str">
        <f>VLOOKUP(SALIDAS111518[[#This Row],[CÓDIGO]],PRODUCTOS31316[],3,FALSE)</f>
        <v>PAJUELA TRANSPARENTES 0.25/ PAQ. X 2000 MARCA MINITUBE</v>
      </c>
      <c r="T1103" s="2">
        <v>1</v>
      </c>
      <c r="U1103" s="2"/>
      <c r="V1103" s="2"/>
      <c r="W1103" s="2"/>
      <c r="X1103" s="2"/>
      <c r="Y1103" s="7"/>
      <c r="Z1103" s="2"/>
      <c r="AA1103" s="1"/>
      <c r="AC1103" s="2"/>
      <c r="AE1103" s="1"/>
      <c r="AG1103" s="2"/>
    </row>
    <row r="1104" spans="1:33" ht="49.95" customHeight="1" x14ac:dyDescent="0.3">
      <c r="A1104" s="307" t="s">
        <v>4253</v>
      </c>
      <c r="B1104" s="267"/>
      <c r="C1104" s="308" t="s">
        <v>4255</v>
      </c>
      <c r="D1104" s="308" t="s">
        <v>467</v>
      </c>
      <c r="E1104" s="308" t="s">
        <v>467</v>
      </c>
      <c r="F1104" s="308" t="s">
        <v>30</v>
      </c>
      <c r="G1104" s="2"/>
      <c r="H1104" s="14">
        <f>SUMIF(ENTRADAS71417[CÓDIGO],PRODUCTOS31316[[#This Row],[CÓDIGO]],ENTRADAS71417[CANTIDAD])</f>
        <v>2</v>
      </c>
      <c r="I1104" s="11">
        <f>SUMIF(SALIDAS111518[CÓDIGO],PRODUCTOS31316[[#This Row],[CÓDIGO]],SALIDAS111518[CANTIDAD])</f>
        <v>0</v>
      </c>
      <c r="J1104" s="6">
        <f>PRODUCTOS31316[[#This Row],[EXISTENCIAS]]+PRODUCTOS31316[[#This Row],[ENTRADAS]]-PRODUCTOS31316[[#This Row],[SALIDAS]]</f>
        <v>2</v>
      </c>
      <c r="L1104" s="317" t="s">
        <v>3521</v>
      </c>
      <c r="M1104" s="317" t="s">
        <v>4250</v>
      </c>
      <c r="N1104" s="424" t="s">
        <v>4504</v>
      </c>
      <c r="O1104" s="340" t="s">
        <v>2298</v>
      </c>
      <c r="P1104" s="16">
        <v>46105</v>
      </c>
      <c r="Q1104" s="317" t="s">
        <v>47</v>
      </c>
      <c r="R1104" s="2">
        <f>VLOOKUP(SALIDAS111518[[#This Row],[CÓDIGO]],PRODUCTOS31316[],2,FALSE)</f>
        <v>1135</v>
      </c>
      <c r="S1104" s="1" t="str">
        <f>VLOOKUP(SALIDAS111518[[#This Row],[CÓDIGO]],PRODUCTOS31316[],3,FALSE)</f>
        <v>TRILADYL</v>
      </c>
      <c r="T1104" s="2">
        <v>1</v>
      </c>
      <c r="U1104" s="150" t="s">
        <v>4503</v>
      </c>
      <c r="V1104" s="2"/>
      <c r="W1104" s="2"/>
      <c r="X1104" s="2"/>
      <c r="Y1104" s="7"/>
      <c r="Z1104" s="2"/>
      <c r="AA1104" s="1"/>
      <c r="AC1104" s="2"/>
      <c r="AE1104" s="1"/>
      <c r="AG1104" s="2"/>
    </row>
    <row r="1105" spans="1:33" ht="49.95" customHeight="1" x14ac:dyDescent="0.3">
      <c r="A1105" s="307" t="s">
        <v>4254</v>
      </c>
      <c r="B1105" s="267"/>
      <c r="C1105" s="349" t="s">
        <v>4256</v>
      </c>
      <c r="D1105" s="308" t="s">
        <v>467</v>
      </c>
      <c r="E1105" s="308" t="s">
        <v>467</v>
      </c>
      <c r="F1105" s="308" t="s">
        <v>30</v>
      </c>
      <c r="G1105" s="2"/>
      <c r="H1105" s="14">
        <f>SUMIF(ENTRADAS71417[CÓDIGO],PRODUCTOS31316[[#This Row],[CÓDIGO]],ENTRADAS71417[CANTIDAD])</f>
        <v>9</v>
      </c>
      <c r="I1105" s="11">
        <f>SUMIF(SALIDAS111518[CÓDIGO],PRODUCTOS31316[[#This Row],[CÓDIGO]],SALIDAS111518[CANTIDAD])</f>
        <v>4</v>
      </c>
      <c r="J1105" s="6">
        <f>PRODUCTOS31316[[#This Row],[EXISTENCIAS]]+PRODUCTOS31316[[#This Row],[ENTRADAS]]-PRODUCTOS31316[[#This Row],[SALIDAS]]</f>
        <v>5</v>
      </c>
      <c r="L1105" s="2"/>
      <c r="M1105" s="2"/>
      <c r="N1105" s="2">
        <v>8090</v>
      </c>
      <c r="O1105" s="318" t="s">
        <v>2298</v>
      </c>
      <c r="P1105" s="317" t="s">
        <v>4498</v>
      </c>
      <c r="Q1105" s="317" t="s">
        <v>3504</v>
      </c>
      <c r="R1105" s="2">
        <f>VLOOKUP(SALIDAS111518[[#This Row],[CÓDIGO]],PRODUCTOS31316[],2,FALSE)</f>
        <v>26</v>
      </c>
      <c r="S1105" s="1" t="str">
        <f>VLOOKUP(SALIDAS111518[[#This Row],[CÓDIGO]],PRODUCTOS31316[],3,FALSE)</f>
        <v>MUCOSA DE PLÁSTICA EQUINA  BOTUPHARMA</v>
      </c>
      <c r="T1105" s="2">
        <v>5</v>
      </c>
      <c r="U1105" s="2"/>
      <c r="V1105" s="2"/>
      <c r="W1105" s="2"/>
      <c r="X1105" s="2"/>
      <c r="Y1105" s="7"/>
      <c r="Z1105" s="2"/>
      <c r="AA1105" s="1"/>
      <c r="AC1105" s="2"/>
      <c r="AE1105" s="1"/>
      <c r="AG1105" s="2"/>
    </row>
    <row r="1106" spans="1:33" ht="49.95" customHeight="1" x14ac:dyDescent="0.3">
      <c r="A1106" s="314" t="s">
        <v>4386</v>
      </c>
      <c r="B1106" s="267">
        <v>754001</v>
      </c>
      <c r="C1106" s="313" t="s">
        <v>4387</v>
      </c>
      <c r="D1106" s="313" t="s">
        <v>1019</v>
      </c>
      <c r="E1106" s="313" t="s">
        <v>957</v>
      </c>
      <c r="F1106" s="318" t="s">
        <v>184</v>
      </c>
      <c r="G1106" s="2"/>
      <c r="H1106" s="14">
        <f>SUMIF(ENTRADAS71417[CÓDIGO],PRODUCTOS31316[[#This Row],[CÓDIGO]],ENTRADAS71417[CANTIDAD])</f>
        <v>225</v>
      </c>
      <c r="I1106" s="11">
        <f>SUMIF(SALIDAS111518[CÓDIGO],PRODUCTOS31316[[#This Row],[CÓDIGO]],SALIDAS111518[CANTIDAD])</f>
        <v>224</v>
      </c>
      <c r="J1106" s="6">
        <f>PRODUCTOS31316[[#This Row],[EXISTENCIAS]]+PRODUCTOS31316[[#This Row],[ENTRADAS]]-PRODUCTOS31316[[#This Row],[SALIDAS]]</f>
        <v>1</v>
      </c>
      <c r="L1106" s="2"/>
      <c r="M1106" s="2"/>
      <c r="N1106" s="326" t="s">
        <v>4604</v>
      </c>
      <c r="O1106" s="318" t="s">
        <v>2298</v>
      </c>
      <c r="P1106" s="317" t="s">
        <v>4498</v>
      </c>
      <c r="Q1106" s="326" t="s">
        <v>2910</v>
      </c>
      <c r="R1106" s="2" t="e">
        <f>VLOOKUP(SALIDAS111518[[#This Row],[CÓDIGO]],PRODUCTOS31316[],2,FALSE)</f>
        <v>#N/A</v>
      </c>
      <c r="S1106" s="1" t="e">
        <f>VLOOKUP(SALIDAS111518[[#This Row],[CÓDIGO]],PRODUCTOS31316[],3,FALSE)</f>
        <v>#N/A</v>
      </c>
      <c r="T1106" s="2">
        <v>1</v>
      </c>
      <c r="U1106" s="2"/>
      <c r="V1106" s="2"/>
      <c r="W1106" s="2"/>
      <c r="X1106" s="17"/>
      <c r="Y1106" s="7"/>
      <c r="Z1106" s="2"/>
      <c r="AA1106" s="1"/>
      <c r="AC1106" s="2"/>
      <c r="AE1106" s="1"/>
      <c r="AG1106" s="2"/>
    </row>
    <row r="1107" spans="1:33" ht="49.95" customHeight="1" x14ac:dyDescent="0.3">
      <c r="A1107" s="314" t="s">
        <v>4402</v>
      </c>
      <c r="B1107" s="267"/>
      <c r="C1107" s="313" t="s">
        <v>4403</v>
      </c>
      <c r="D1107" s="313" t="s">
        <v>156</v>
      </c>
      <c r="E1107" s="313" t="s">
        <v>2020</v>
      </c>
      <c r="F1107" s="313" t="s">
        <v>315</v>
      </c>
      <c r="G1107" s="2"/>
      <c r="H1107" s="14">
        <f>SUMIF(ENTRADAS71417[CÓDIGO],PRODUCTOS31316[[#This Row],[CÓDIGO]],ENTRADAS71417[CANTIDAD])</f>
        <v>20</v>
      </c>
      <c r="I1107" s="11">
        <f>SUMIF(SALIDAS111518[CÓDIGO],PRODUCTOS31316[[#This Row],[CÓDIGO]],SALIDAS111518[CANTIDAD])</f>
        <v>14</v>
      </c>
      <c r="J1107" s="6">
        <f>PRODUCTOS31316[[#This Row],[EXISTENCIAS]]+PRODUCTOS31316[[#This Row],[ENTRADAS]]-PRODUCTOS31316[[#This Row],[SALIDAS]]</f>
        <v>6</v>
      </c>
      <c r="L1107" s="2" t="s">
        <v>3520</v>
      </c>
      <c r="M1107" s="2" t="s">
        <v>4250</v>
      </c>
      <c r="N1107" s="320" t="s">
        <v>4502</v>
      </c>
      <c r="O1107" s="319" t="s">
        <v>2780</v>
      </c>
      <c r="P1107" s="317" t="s">
        <v>4498</v>
      </c>
      <c r="Q1107" s="2" t="s">
        <v>36</v>
      </c>
      <c r="R1107" s="2">
        <f>VLOOKUP(SALIDAS111518[[#This Row],[CÓDIGO]],PRODUCTOS31316[],2,FALSE)</f>
        <v>1</v>
      </c>
      <c r="S1107" s="1" t="str">
        <f>VLOOKUP(SALIDAS111518[[#This Row],[CÓDIGO]],PRODUCTOS31316[],3,FALSE)</f>
        <v xml:space="preserve">PARCHE ESTROTECT </v>
      </c>
      <c r="T1107" s="2">
        <v>1</v>
      </c>
      <c r="U1107" s="2">
        <v>489</v>
      </c>
      <c r="V1107" s="2"/>
      <c r="W1107" s="2"/>
      <c r="X1107" s="2"/>
      <c r="Y1107" s="7"/>
      <c r="Z1107" s="2"/>
      <c r="AA1107" s="1"/>
      <c r="AC1107" s="2"/>
      <c r="AE1107" s="1"/>
      <c r="AG1107" s="2"/>
    </row>
    <row r="1108" spans="1:33" ht="49.95" customHeight="1" x14ac:dyDescent="0.3">
      <c r="A1108" s="314" t="s">
        <v>4417</v>
      </c>
      <c r="B1108" s="267"/>
      <c r="C1108" s="318" t="s">
        <v>4439</v>
      </c>
      <c r="D1108" s="318" t="s">
        <v>4436</v>
      </c>
      <c r="E1108" s="313" t="s">
        <v>4436</v>
      </c>
      <c r="F1108" s="318" t="s">
        <v>30</v>
      </c>
      <c r="G1108" s="2"/>
      <c r="H1108" s="14">
        <f>SUMIF(ENTRADAS71417[CÓDIGO],PRODUCTOS31316[[#This Row],[CÓDIGO]],ENTRADAS71417[CANTIDAD])</f>
        <v>130</v>
      </c>
      <c r="I1108" s="11">
        <f>SUMIF(SALIDAS111518[CÓDIGO],PRODUCTOS31316[[#This Row],[CÓDIGO]],SALIDAS111518[CANTIDAD])</f>
        <v>20</v>
      </c>
      <c r="J1108" s="6">
        <f>PRODUCTOS31316[[#This Row],[EXISTENCIAS]]+PRODUCTOS31316[[#This Row],[ENTRADAS]]-PRODUCTOS31316[[#This Row],[SALIDAS]]</f>
        <v>110</v>
      </c>
      <c r="L1108" s="319" t="s">
        <v>3520</v>
      </c>
      <c r="M1108" s="2" t="s">
        <v>4250</v>
      </c>
      <c r="N1108" s="320" t="s">
        <v>4514</v>
      </c>
      <c r="O1108" s="319" t="s">
        <v>3894</v>
      </c>
      <c r="P1108" s="2" t="s">
        <v>4498</v>
      </c>
      <c r="Q1108" s="2" t="s">
        <v>15</v>
      </c>
      <c r="R1108" s="2" t="str">
        <f>VLOOKUP(SALIDAS111518[[#This Row],[CÓDIGO]],PRODUCTOS31316[],2,FALSE)</f>
        <v>BTE-025PT/ 504002</v>
      </c>
      <c r="S1108" s="1" t="str">
        <f>VLOOKUP(SALIDAS111518[[#This Row],[CÓDIGO]],PRODUCTOS31316[],3,FALSE)</f>
        <v>FUNDAS PARA TRANSFERENCIA DE EMBRIONES</v>
      </c>
      <c r="T1108" s="2">
        <v>6</v>
      </c>
      <c r="U1108" s="2">
        <v>495</v>
      </c>
      <c r="V1108" s="2"/>
      <c r="W1108" s="2" t="s">
        <v>3412</v>
      </c>
      <c r="X1108" s="2"/>
      <c r="Y1108" s="7"/>
      <c r="Z1108" s="2"/>
      <c r="AA1108" s="1"/>
      <c r="AC1108" s="2"/>
      <c r="AE1108" s="1"/>
      <c r="AG1108" s="2"/>
    </row>
    <row r="1109" spans="1:33" ht="49.95" customHeight="1" x14ac:dyDescent="0.3">
      <c r="A1109" s="314" t="s">
        <v>4435</v>
      </c>
      <c r="B1109" s="267"/>
      <c r="C1109" s="318" t="s">
        <v>4446</v>
      </c>
      <c r="D1109" s="318" t="s">
        <v>4436</v>
      </c>
      <c r="E1109" s="313" t="s">
        <v>4436</v>
      </c>
      <c r="F1109" s="318" t="s">
        <v>30</v>
      </c>
      <c r="G1109" s="2"/>
      <c r="H1109" s="14">
        <f>SUMIF(ENTRADAS71417[CÓDIGO],PRODUCTOS31316[[#This Row],[CÓDIGO]],ENTRADAS71417[CANTIDAD])</f>
        <v>50</v>
      </c>
      <c r="I1109" s="11">
        <f>SUMIF(SALIDAS111518[CÓDIGO],PRODUCTOS31316[[#This Row],[CÓDIGO]],SALIDAS111518[CANTIDAD])</f>
        <v>0</v>
      </c>
      <c r="J1109" s="6">
        <f>PRODUCTOS31316[[#This Row],[EXISTENCIAS]]+PRODUCTOS31316[[#This Row],[ENTRADAS]]-PRODUCTOS31316[[#This Row],[SALIDAS]]</f>
        <v>50</v>
      </c>
      <c r="L1109" s="319" t="s">
        <v>3520</v>
      </c>
      <c r="M1109" s="319" t="s">
        <v>4250</v>
      </c>
      <c r="N1109" s="320" t="s">
        <v>4505</v>
      </c>
      <c r="O1109" s="319" t="s">
        <v>3538</v>
      </c>
      <c r="P1109" s="16">
        <v>46105</v>
      </c>
      <c r="Q1109" s="319" t="s">
        <v>2251</v>
      </c>
      <c r="R1109" s="2">
        <f>VLOOKUP(SALIDAS111518[[#This Row],[CÓDIGO]],PRODUCTOS31316[],2,FALSE)</f>
        <v>7240</v>
      </c>
      <c r="S1109" s="1" t="str">
        <f>VLOOKUP(SALIDAS111518[[#This Row],[CÓDIGO]],PRODUCTOS31316[],3,FALSE)</f>
        <v>PISTOLA DE TE 0,25 MARCA IMV</v>
      </c>
      <c r="T1109" s="2">
        <v>2</v>
      </c>
      <c r="U1109" s="2">
        <v>491</v>
      </c>
      <c r="V1109" s="2"/>
      <c r="W1109" s="2"/>
      <c r="X1109" s="2"/>
      <c r="Y1109" s="7"/>
      <c r="Z1109" s="2"/>
      <c r="AA1109" s="1"/>
      <c r="AC1109" s="2"/>
      <c r="AE1109" s="1"/>
      <c r="AG1109" s="2"/>
    </row>
    <row r="1110" spans="1:33" ht="49.95" customHeight="1" x14ac:dyDescent="0.3">
      <c r="A1110" s="317" t="s">
        <v>4447</v>
      </c>
      <c r="B1110" s="267"/>
      <c r="C1110" s="318" t="s">
        <v>4448</v>
      </c>
      <c r="D1110" s="318" t="s">
        <v>4436</v>
      </c>
      <c r="E1110" s="313" t="s">
        <v>4436</v>
      </c>
      <c r="F1110" s="318" t="s">
        <v>30</v>
      </c>
      <c r="G1110" s="2"/>
      <c r="H1110" s="14">
        <f>SUMIF(ENTRADAS71417[CÓDIGO],PRODUCTOS31316[[#This Row],[CÓDIGO]],ENTRADAS71417[CANTIDAD])</f>
        <v>200</v>
      </c>
      <c r="I1110" s="11">
        <f>SUMIF(SALIDAS111518[CÓDIGO],PRODUCTOS31316[[#This Row],[CÓDIGO]],SALIDAS111518[CANTIDAD])</f>
        <v>150</v>
      </c>
      <c r="J1110" s="6">
        <f>PRODUCTOS31316[[#This Row],[EXISTENCIAS]]+PRODUCTOS31316[[#This Row],[ENTRADAS]]-PRODUCTOS31316[[#This Row],[SALIDAS]]</f>
        <v>50</v>
      </c>
      <c r="L1110" s="319" t="s">
        <v>3521</v>
      </c>
      <c r="M1110" s="319" t="s">
        <v>4250</v>
      </c>
      <c r="N1110" s="320" t="s">
        <v>4515</v>
      </c>
      <c r="O1110" s="320" t="s">
        <v>4499</v>
      </c>
      <c r="P1110" s="16">
        <v>46105</v>
      </c>
      <c r="Q1110" s="319" t="s">
        <v>236</v>
      </c>
      <c r="R1110" s="2">
        <f>VLOOKUP(SALIDAS111518[[#This Row],[CÓDIGO]],PRODUCTOS31316[],2,FALSE)</f>
        <v>0</v>
      </c>
      <c r="S1110" s="1" t="str">
        <f>VLOOKUP(SALIDAS111518[[#This Row],[CÓDIGO]],PRODUCTOS31316[],3,FALSE)</f>
        <v>TERMO METÁLICO DESCONGELADOR</v>
      </c>
      <c r="T1110" s="2">
        <v>1</v>
      </c>
      <c r="U1110" s="2">
        <v>496</v>
      </c>
      <c r="V1110" s="2"/>
      <c r="W1110" s="319" t="s">
        <v>3412</v>
      </c>
      <c r="X1110" s="2"/>
      <c r="Y1110" s="7"/>
      <c r="Z1110" s="2"/>
      <c r="AA1110" s="1"/>
      <c r="AC1110" s="2"/>
      <c r="AE1110" s="1"/>
      <c r="AG1110" s="2"/>
    </row>
    <row r="1111" spans="1:33" ht="49.95" customHeight="1" x14ac:dyDescent="0.3">
      <c r="A1111" s="317" t="s">
        <v>4451</v>
      </c>
      <c r="B1111" s="267">
        <v>21977</v>
      </c>
      <c r="C1111" s="318" t="s">
        <v>4452</v>
      </c>
      <c r="D1111" s="318" t="s">
        <v>442</v>
      </c>
      <c r="E1111" s="318" t="s">
        <v>442</v>
      </c>
      <c r="F1111" s="318" t="s">
        <v>30</v>
      </c>
      <c r="G1111" s="2"/>
      <c r="H1111" s="14">
        <f>SUMIF(ENTRADAS71417[CÓDIGO],PRODUCTOS31316[[#This Row],[CÓDIGO]],ENTRADAS71417[CANTIDAD])</f>
        <v>1</v>
      </c>
      <c r="I1111" s="11">
        <f>SUMIF(SALIDAS111518[CÓDIGO],PRODUCTOS31316[[#This Row],[CÓDIGO]],SALIDAS111518[CANTIDAD])</f>
        <v>1</v>
      </c>
      <c r="J1111" s="6">
        <f>PRODUCTOS31316[[#This Row],[EXISTENCIAS]]+PRODUCTOS31316[[#This Row],[ENTRADAS]]-PRODUCTOS31316[[#This Row],[SALIDAS]]</f>
        <v>0</v>
      </c>
      <c r="L1111" s="2"/>
      <c r="M1111" s="2"/>
      <c r="N1111" s="2">
        <v>8095</v>
      </c>
      <c r="O1111" s="320" t="s">
        <v>4499</v>
      </c>
      <c r="P1111" s="16">
        <v>46105</v>
      </c>
      <c r="Q1111" s="319" t="s">
        <v>2382</v>
      </c>
      <c r="R1111" s="2">
        <f>VLOOKUP(SALIDAS111518[[#This Row],[CÓDIGO]],PRODUCTOS31316[],2,FALSE)</f>
        <v>1</v>
      </c>
      <c r="S1111" s="1" t="str">
        <f>VLOOKUP(SALIDAS111518[[#This Row],[CÓDIGO]],PRODUCTOS31316[],3,FALSE)</f>
        <v>TERMO DE TRANSPORTE 1 LITRO</v>
      </c>
      <c r="T1111" s="2">
        <v>1</v>
      </c>
      <c r="U1111" s="2"/>
      <c r="V1111" s="2"/>
      <c r="W1111" s="2"/>
      <c r="X1111" s="2"/>
      <c r="Y1111" s="7"/>
      <c r="Z1111" s="2"/>
      <c r="AA1111" s="1"/>
      <c r="AC1111" s="2"/>
      <c r="AE1111" s="1"/>
      <c r="AG1111" s="2"/>
    </row>
    <row r="1112" spans="1:33" ht="49.95" customHeight="1" x14ac:dyDescent="0.3">
      <c r="A1112" s="317" t="s">
        <v>4470</v>
      </c>
      <c r="B1112" s="318" t="s">
        <v>4471</v>
      </c>
      <c r="C1112" s="318" t="s">
        <v>4474</v>
      </c>
      <c r="D1112" s="318" t="s">
        <v>1501</v>
      </c>
      <c r="E1112" s="318" t="s">
        <v>1501</v>
      </c>
      <c r="F1112" s="318" t="s">
        <v>30</v>
      </c>
      <c r="G1112" s="2"/>
      <c r="H1112" s="14">
        <f>SUMIF(ENTRADAS71417[CÓDIGO],PRODUCTOS31316[[#This Row],[CÓDIGO]],ENTRADAS71417[CANTIDAD])</f>
        <v>100</v>
      </c>
      <c r="I1112" s="11">
        <f>SUMIF(SALIDAS111518[CÓDIGO],PRODUCTOS31316[[#This Row],[CÓDIGO]],SALIDAS111518[CANTIDAD])</f>
        <v>50</v>
      </c>
      <c r="J1112" s="6">
        <f>PRODUCTOS31316[[#This Row],[EXISTENCIAS]]+PRODUCTOS31316[[#This Row],[ENTRADAS]]-PRODUCTOS31316[[#This Row],[SALIDAS]]</f>
        <v>50</v>
      </c>
      <c r="L1112" s="319" t="s">
        <v>3521</v>
      </c>
      <c r="M1112" s="319" t="s">
        <v>4250</v>
      </c>
      <c r="N1112" s="359" t="s">
        <v>4924</v>
      </c>
      <c r="O1112" s="359" t="s">
        <v>4500</v>
      </c>
      <c r="P1112" s="16">
        <v>46128</v>
      </c>
      <c r="Q1112" s="339" t="s">
        <v>4772</v>
      </c>
      <c r="R1112" s="2">
        <f>VLOOKUP(SALIDAS111518[[#This Row],[CÓDIGO]],PRODUCTOS31316[],2,FALSE)</f>
        <v>9002007</v>
      </c>
      <c r="S1112" s="1" t="str">
        <f>VLOOKUP(SALIDAS111518[[#This Row],[CÓDIGO]],PRODUCTOS31316[],3,FALSE)</f>
        <v>FUNDA TERMICA PARA CALENTAR PISTOLAS  BA-10400 MARCA:TED</v>
      </c>
      <c r="T1112" s="2">
        <v>2</v>
      </c>
      <c r="U1112" s="110">
        <v>646</v>
      </c>
      <c r="V1112" s="2"/>
      <c r="W1112" s="2"/>
      <c r="X1112" s="2"/>
      <c r="Y1112" s="7"/>
      <c r="Z1112" s="2"/>
      <c r="AA1112" s="1"/>
      <c r="AC1112" s="2"/>
      <c r="AE1112" s="1"/>
      <c r="AG1112" s="2"/>
    </row>
    <row r="1113" spans="1:33" ht="62.4" customHeight="1" x14ac:dyDescent="0.3">
      <c r="A1113" s="317" t="s">
        <v>4472</v>
      </c>
      <c r="B1113" s="318" t="s">
        <v>4473</v>
      </c>
      <c r="C1113" s="318" t="s">
        <v>4475</v>
      </c>
      <c r="D1113" s="318" t="s">
        <v>1501</v>
      </c>
      <c r="E1113" s="318" t="s">
        <v>1501</v>
      </c>
      <c r="F1113" s="318" t="s">
        <v>30</v>
      </c>
      <c r="G1113" s="2"/>
      <c r="H1113" s="14">
        <f>SUMIF(ENTRADAS71417[CÓDIGO],PRODUCTOS31316[[#This Row],[CÓDIGO]],ENTRADAS71417[CANTIDAD])</f>
        <v>100</v>
      </c>
      <c r="I1113" s="11">
        <f>SUMIF(SALIDAS111518[CÓDIGO],PRODUCTOS31316[[#This Row],[CÓDIGO]],SALIDAS111518[CANTIDAD])</f>
        <v>50</v>
      </c>
      <c r="J1113" s="6">
        <f>PRODUCTOS31316[[#This Row],[EXISTENCIAS]]+PRODUCTOS31316[[#This Row],[ENTRADAS]]-PRODUCTOS31316[[#This Row],[SALIDAS]]</f>
        <v>50</v>
      </c>
      <c r="L1113" s="2"/>
      <c r="M1113" s="2"/>
      <c r="N1113" s="327" t="s">
        <v>4600</v>
      </c>
      <c r="O1113" s="327" t="s">
        <v>4500</v>
      </c>
      <c r="P1113" s="16">
        <v>46106</v>
      </c>
      <c r="Q1113" s="319" t="s">
        <v>2755</v>
      </c>
      <c r="R1113" s="2" t="str">
        <f>VLOOKUP(SALIDAS111518[[#This Row],[CÓDIGO]],PRODUCTOS31316[],2,FALSE)</f>
        <v>MSLDO05</v>
      </c>
      <c r="S1113" s="1" t="str">
        <f>VLOOKUP(SALIDAS111518[[#This Row],[CÓDIGO]],PRODUCTOS31316[],3,FALSE)</f>
        <v>TERMO DE RECOLECCIÓN DE SEMEN/ USO VETERINARIO</v>
      </c>
      <c r="T1113" s="2">
        <v>3</v>
      </c>
      <c r="U1113" s="327" t="s">
        <v>4601</v>
      </c>
      <c r="V1113" s="2"/>
      <c r="W1113" s="2"/>
      <c r="X1113" s="2"/>
      <c r="Y1113" s="7"/>
      <c r="Z1113" s="2"/>
      <c r="AA1113" s="1"/>
      <c r="AC1113" s="2"/>
      <c r="AE1113" s="1"/>
      <c r="AG1113" s="2"/>
    </row>
    <row r="1114" spans="1:33" ht="64.8" customHeight="1" x14ac:dyDescent="0.3">
      <c r="A1114" s="317" t="s">
        <v>4476</v>
      </c>
      <c r="B1114" s="267"/>
      <c r="C1114" s="318" t="s">
        <v>4483</v>
      </c>
      <c r="D1114" s="318" t="s">
        <v>618</v>
      </c>
      <c r="E1114" s="318" t="s">
        <v>618</v>
      </c>
      <c r="F1114" s="318" t="s">
        <v>30</v>
      </c>
      <c r="G1114" s="2"/>
      <c r="H1114" s="14">
        <f>SUMIF(ENTRADAS71417[CÓDIGO],PRODUCTOS31316[[#This Row],[CÓDIGO]],ENTRADAS71417[CANTIDAD])</f>
        <v>10</v>
      </c>
      <c r="I1114" s="11">
        <f>SUMIF(SALIDAS111518[CÓDIGO],PRODUCTOS31316[[#This Row],[CÓDIGO]],SALIDAS111518[CANTIDAD])</f>
        <v>1</v>
      </c>
      <c r="J1114" s="6">
        <f>PRODUCTOS31316[[#This Row],[EXISTENCIAS]]+PRODUCTOS31316[[#This Row],[ENTRADAS]]-PRODUCTOS31316[[#This Row],[SALIDAS]]</f>
        <v>9</v>
      </c>
      <c r="L1114" s="2"/>
      <c r="M1114" s="2"/>
      <c r="N1114" s="2">
        <v>8146</v>
      </c>
      <c r="O1114" s="320" t="s">
        <v>4500</v>
      </c>
      <c r="P1114" s="16">
        <v>46106</v>
      </c>
      <c r="Q1114" s="319" t="s">
        <v>153</v>
      </c>
      <c r="R1114" s="2">
        <f>VLOOKUP(SALIDAS111518[[#This Row],[CÓDIGO]],PRODUCTOS31316[],2,FALSE)</f>
        <v>1132</v>
      </c>
      <c r="S1114" s="1" t="str">
        <f>VLOOKUP(SALIDAS111518[[#This Row],[CÓDIGO]],PRODUCTOS31316[],3,FALSE)</f>
        <v>PISTOLA QUICKLOCK CLASIC</v>
      </c>
      <c r="T1114" s="2">
        <v>8</v>
      </c>
      <c r="U1114" s="2"/>
      <c r="V1114" s="2"/>
      <c r="W1114" s="2"/>
      <c r="X1114" s="2"/>
      <c r="Y1114" s="7"/>
      <c r="Z1114" s="2"/>
      <c r="AA1114" s="1"/>
      <c r="AC1114" s="2"/>
      <c r="AE1114" s="1"/>
      <c r="AG1114" s="2"/>
    </row>
    <row r="1115" spans="1:33" ht="49.95" customHeight="1" x14ac:dyDescent="0.3">
      <c r="A1115" s="319" t="s">
        <v>4546</v>
      </c>
      <c r="B1115" s="267">
        <v>14418</v>
      </c>
      <c r="C1115" s="320" t="s">
        <v>4547</v>
      </c>
      <c r="D1115" s="320" t="s">
        <v>442</v>
      </c>
      <c r="E1115" s="320" t="s">
        <v>442</v>
      </c>
      <c r="F1115" s="320" t="s">
        <v>30</v>
      </c>
      <c r="G1115" s="2"/>
      <c r="H1115" s="14">
        <f>SUMIF(ENTRADAS71417[CÓDIGO],PRODUCTOS31316[[#This Row],[CÓDIGO]],ENTRADAS71417[CANTIDAD])</f>
        <v>3</v>
      </c>
      <c r="I1115" s="11">
        <f>SUMIF(SALIDAS111518[CÓDIGO],PRODUCTOS31316[[#This Row],[CÓDIGO]],SALIDAS111518[CANTIDAD])</f>
        <v>2</v>
      </c>
      <c r="J1115" s="6">
        <f>PRODUCTOS31316[[#This Row],[EXISTENCIAS]]+PRODUCTOS31316[[#This Row],[ENTRADAS]]-PRODUCTOS31316[[#This Row],[SALIDAS]]</f>
        <v>1</v>
      </c>
      <c r="L1115" s="2"/>
      <c r="M1115" s="2"/>
      <c r="N1115" s="2">
        <v>8146</v>
      </c>
      <c r="O1115" s="320" t="s">
        <v>4500</v>
      </c>
      <c r="P1115" s="16">
        <v>46106</v>
      </c>
      <c r="Q1115" s="319" t="s">
        <v>3395</v>
      </c>
      <c r="R1115" s="2">
        <f>VLOOKUP(SALIDAS111518[[#This Row],[CÓDIGO]],PRODUCTOS31316[],2,FALSE)</f>
        <v>17062</v>
      </c>
      <c r="S1115" s="1" t="str">
        <f>VLOOKUP(SALIDAS111518[[#This Row],[CÓDIGO]],PRODUCTOS31316[],3,FALSE)</f>
        <v>CORTAPAJILLAS MARCA MINITUBE</v>
      </c>
      <c r="T1115" s="2">
        <v>6</v>
      </c>
      <c r="U1115" s="2"/>
      <c r="V1115" s="2"/>
      <c r="W1115" s="2"/>
      <c r="X1115" s="2"/>
      <c r="Y1115" s="7"/>
      <c r="Z1115" s="2"/>
      <c r="AA1115" s="1"/>
      <c r="AC1115" s="2"/>
      <c r="AE1115" s="1"/>
      <c r="AG1115" s="2"/>
    </row>
    <row r="1116" spans="1:33" ht="63.6" customHeight="1" x14ac:dyDescent="0.3">
      <c r="A1116" s="324" t="s">
        <v>4574</v>
      </c>
      <c r="B1116" s="267">
        <v>15816</v>
      </c>
      <c r="C1116" s="330" t="s">
        <v>4575</v>
      </c>
      <c r="D1116" s="325" t="s">
        <v>442</v>
      </c>
      <c r="E1116" s="325" t="s">
        <v>442</v>
      </c>
      <c r="F1116" s="325" t="s">
        <v>442</v>
      </c>
      <c r="G1116" s="2"/>
      <c r="H1116" s="14">
        <f>SUMIF(ENTRADAS71417[CÓDIGO],PRODUCTOS31316[[#This Row],[CÓDIGO]],ENTRADAS71417[CANTIDAD])</f>
        <v>5</v>
      </c>
      <c r="I1116" s="11">
        <f>SUMIF(SALIDAS111518[CÓDIGO],PRODUCTOS31316[[#This Row],[CÓDIGO]],SALIDAS111518[CANTIDAD])</f>
        <v>0</v>
      </c>
      <c r="J1116" s="6">
        <f>PRODUCTOS31316[[#This Row],[EXISTENCIAS]]+PRODUCTOS31316[[#This Row],[ENTRADAS]]-PRODUCTOS31316[[#This Row],[SALIDAS]]</f>
        <v>5</v>
      </c>
      <c r="L1116" s="319" t="s">
        <v>3520</v>
      </c>
      <c r="M1116" s="319" t="s">
        <v>4250</v>
      </c>
      <c r="N1116" s="320" t="s">
        <v>4508</v>
      </c>
      <c r="O1116" s="320" t="s">
        <v>2715</v>
      </c>
      <c r="P1116" s="16">
        <v>46105</v>
      </c>
      <c r="Q1116" s="319" t="s">
        <v>104</v>
      </c>
      <c r="R1116" s="2">
        <f>VLOOKUP(SALIDAS111518[[#This Row],[CÓDIGO]],PRODUCTOS31316[],2,FALSE)</f>
        <v>0</v>
      </c>
      <c r="S1116" s="1" t="str">
        <f>VLOOKUP(SALIDAS111518[[#This Row],[CÓDIGO]],PRODUCTOS31316[],3,FALSE)</f>
        <v>ISPERM CHIPS (500 TESTS PER BOX) PAQ. X 50 UND</v>
      </c>
      <c r="T1116" s="2">
        <v>2</v>
      </c>
      <c r="U1116" s="319" t="s">
        <v>4506</v>
      </c>
      <c r="V1116" s="2"/>
      <c r="W1116" s="2"/>
      <c r="X1116" s="2"/>
      <c r="Y1116" s="7"/>
      <c r="Z1116" s="2"/>
      <c r="AA1116" s="1"/>
      <c r="AC1116" s="2"/>
      <c r="AE1116" s="1"/>
      <c r="AG1116" s="2"/>
    </row>
    <row r="1117" spans="1:33" ht="61.8" customHeight="1" x14ac:dyDescent="0.3">
      <c r="A1117" s="326" t="s">
        <v>4627</v>
      </c>
      <c r="B1117" s="267"/>
      <c r="C1117" s="327" t="s">
        <v>4628</v>
      </c>
      <c r="D1117" s="327" t="s">
        <v>2913</v>
      </c>
      <c r="E1117" s="327" t="s">
        <v>2913</v>
      </c>
      <c r="F1117" s="327" t="s">
        <v>30</v>
      </c>
      <c r="G1117" s="2"/>
      <c r="H1117" s="14">
        <f>SUMIF(ENTRADAS71417[CÓDIGO],PRODUCTOS31316[[#This Row],[CÓDIGO]],ENTRADAS71417[CANTIDAD])</f>
        <v>1</v>
      </c>
      <c r="I1117" s="11">
        <f>SUMIF(SALIDAS111518[CÓDIGO],PRODUCTOS31316[[#This Row],[CÓDIGO]],SALIDAS111518[CANTIDAD])</f>
        <v>0</v>
      </c>
      <c r="J1117" s="6">
        <f>PRODUCTOS31316[[#This Row],[EXISTENCIAS]]+PRODUCTOS31316[[#This Row],[ENTRADAS]]-PRODUCTOS31316[[#This Row],[SALIDAS]]</f>
        <v>1</v>
      </c>
      <c r="L1117" s="2"/>
      <c r="M1117" s="2"/>
      <c r="N1117" s="2">
        <v>8096</v>
      </c>
      <c r="O1117" s="320" t="s">
        <v>2715</v>
      </c>
      <c r="P1117" s="16">
        <v>46105</v>
      </c>
      <c r="Q1117" s="319" t="s">
        <v>2232</v>
      </c>
      <c r="R1117" s="2">
        <f>VLOOKUP(SALIDAS111518[[#This Row],[CÓDIGO]],PRODUCTOS31316[],2,FALSE)</f>
        <v>0</v>
      </c>
      <c r="S1117" s="1" t="str">
        <f>VLOOKUP(SALIDAS111518[[#This Row],[CÓDIGO]],PRODUCTOS31316[],3,FALSE)</f>
        <v>CONO RECOLECTOR</v>
      </c>
      <c r="T1117" s="2">
        <v>2</v>
      </c>
      <c r="U1117" s="2"/>
      <c r="V1117" s="2"/>
      <c r="W1117" s="2"/>
      <c r="X1117" s="2"/>
      <c r="Y1117" s="7"/>
      <c r="Z1117" s="2"/>
      <c r="AA1117" s="1"/>
      <c r="AC1117" s="2"/>
      <c r="AE1117" s="1"/>
      <c r="AG1117" s="2"/>
    </row>
    <row r="1118" spans="1:33" ht="49.95" customHeight="1" x14ac:dyDescent="0.3">
      <c r="A1118" s="329" t="s">
        <v>4634</v>
      </c>
      <c r="B1118" s="267"/>
      <c r="C1118" s="330" t="s">
        <v>4635</v>
      </c>
      <c r="D1118" s="330" t="s">
        <v>4636</v>
      </c>
      <c r="E1118" s="330" t="s">
        <v>4633</v>
      </c>
      <c r="F1118" s="330" t="s">
        <v>30</v>
      </c>
      <c r="G1118" s="2"/>
      <c r="H1118" s="14">
        <f>SUMIF(ENTRADAS71417[CÓDIGO],PRODUCTOS31316[[#This Row],[CÓDIGO]],ENTRADAS71417[CANTIDAD])</f>
        <v>175</v>
      </c>
      <c r="I1118" s="11">
        <f>SUMIF(SALIDAS111518[CÓDIGO],PRODUCTOS31316[[#This Row],[CÓDIGO]],SALIDAS111518[CANTIDAD])</f>
        <v>125</v>
      </c>
      <c r="J1118" s="6">
        <f>PRODUCTOS31316[[#This Row],[EXISTENCIAS]]+PRODUCTOS31316[[#This Row],[ENTRADAS]]-PRODUCTOS31316[[#This Row],[SALIDAS]]</f>
        <v>50</v>
      </c>
      <c r="L1118" s="2"/>
      <c r="M1118" s="319" t="s">
        <v>4250</v>
      </c>
      <c r="N1118" s="322" t="s">
        <v>4507</v>
      </c>
      <c r="O1118" s="321" t="s">
        <v>4501</v>
      </c>
      <c r="P1118" s="46">
        <v>46105</v>
      </c>
      <c r="Q1118" s="2"/>
      <c r="R1118" s="2" t="e">
        <f>VLOOKUP(SALIDAS111518[[#This Row],[CÓDIGO]],PRODUCTOS31316[],2,FALSE)</f>
        <v>#N/A</v>
      </c>
      <c r="S1118" s="1" t="e">
        <f>VLOOKUP(SALIDAS111518[[#This Row],[CÓDIGO]],PRODUCTOS31316[],3,FALSE)</f>
        <v>#N/A</v>
      </c>
      <c r="T1118" s="2"/>
      <c r="U1118" s="2"/>
      <c r="V1118" s="2"/>
      <c r="W1118" s="2"/>
      <c r="X1118" s="2"/>
      <c r="Y1118" s="7"/>
      <c r="Z1118" s="2"/>
      <c r="AA1118" s="1"/>
      <c r="AC1118" s="2"/>
      <c r="AE1118" s="1"/>
      <c r="AG1118" s="2"/>
    </row>
    <row r="1119" spans="1:33" ht="49.95" customHeight="1" x14ac:dyDescent="0.3">
      <c r="A1119" s="329" t="s">
        <v>4653</v>
      </c>
      <c r="B1119" s="267">
        <v>38210000</v>
      </c>
      <c r="C1119" s="330" t="s">
        <v>4655</v>
      </c>
      <c r="D1119" s="330" t="s">
        <v>4654</v>
      </c>
      <c r="E1119" s="330" t="s">
        <v>4654</v>
      </c>
      <c r="F1119" s="330" t="s">
        <v>30</v>
      </c>
      <c r="G1119" s="2"/>
      <c r="H1119" s="14">
        <f>SUMIF(ENTRADAS71417[CÓDIGO],PRODUCTOS31316[[#This Row],[CÓDIGO]],ENTRADAS71417[CANTIDAD])</f>
        <v>450</v>
      </c>
      <c r="I1119" s="11">
        <f>SUMIF(SALIDAS111518[CÓDIGO],PRODUCTOS31316[[#This Row],[CÓDIGO]],SALIDAS111518[CANTIDAD])</f>
        <v>35</v>
      </c>
      <c r="J1119" s="6">
        <f>PRODUCTOS31316[[#This Row],[EXISTENCIAS]]+PRODUCTOS31316[[#This Row],[ENTRADAS]]-PRODUCTOS31316[[#This Row],[SALIDAS]]</f>
        <v>415</v>
      </c>
      <c r="L1119" s="319" t="s">
        <v>3520</v>
      </c>
      <c r="M1119" s="319" t="s">
        <v>4250</v>
      </c>
      <c r="N1119" s="320" t="s">
        <v>4532</v>
      </c>
      <c r="O1119" s="319" t="s">
        <v>2267</v>
      </c>
      <c r="P1119" s="16">
        <v>46105</v>
      </c>
      <c r="Q1119" s="319" t="s">
        <v>1779</v>
      </c>
      <c r="R1119" s="2">
        <f>VLOOKUP(SALIDAS111518[[#This Row],[CÓDIGO]],PRODUCTOS31316[],2,FALSE)</f>
        <v>5563</v>
      </c>
      <c r="S1119" s="1" t="str">
        <f>VLOOKUP(SALIDAS111518[[#This Row],[CÓDIGO]],PRODUCTOS31316[],3,FALSE)</f>
        <v>CAMISA SANITARIA ROLLO X 80</v>
      </c>
      <c r="T1119" s="2">
        <v>10</v>
      </c>
      <c r="U1119" s="2">
        <v>493</v>
      </c>
      <c r="V1119" s="2"/>
      <c r="W1119" s="2"/>
      <c r="X1119" s="2"/>
      <c r="Y1119" s="7"/>
      <c r="Z1119" s="2"/>
      <c r="AA1119" s="1"/>
      <c r="AC1119" s="2"/>
      <c r="AE1119" s="1"/>
      <c r="AG1119" s="2"/>
    </row>
    <row r="1120" spans="1:33" ht="49.95" customHeight="1" x14ac:dyDescent="0.3">
      <c r="A1120" s="339" t="s">
        <v>4742</v>
      </c>
      <c r="B1120" s="340" t="s">
        <v>4394</v>
      </c>
      <c r="C1120" s="340" t="s">
        <v>4743</v>
      </c>
      <c r="D1120" s="340" t="s">
        <v>2000</v>
      </c>
      <c r="E1120" s="340" t="s">
        <v>2000</v>
      </c>
      <c r="F1120" s="340" t="s">
        <v>30</v>
      </c>
      <c r="G1120" s="2"/>
      <c r="H1120" s="14">
        <f>SUMIF(ENTRADAS71417[CÓDIGO],PRODUCTOS31316[[#This Row],[CÓDIGO]],ENTRADAS71417[CANTIDAD])</f>
        <v>1</v>
      </c>
      <c r="I1120" s="11">
        <f>SUMIF(SALIDAS111518[CÓDIGO],PRODUCTOS31316[[#This Row],[CÓDIGO]],SALIDAS111518[CANTIDAD])</f>
        <v>1</v>
      </c>
      <c r="J1120" s="6">
        <f>PRODUCTOS31316[[#This Row],[EXISTENCIAS]]+PRODUCTOS31316[[#This Row],[ENTRADAS]]-PRODUCTOS31316[[#This Row],[SALIDAS]]</f>
        <v>0</v>
      </c>
      <c r="L1120" s="2"/>
      <c r="M1120" s="2"/>
      <c r="N1120" s="2">
        <v>8113</v>
      </c>
      <c r="O1120" s="319" t="s">
        <v>2267</v>
      </c>
      <c r="P1120" s="16">
        <v>46105</v>
      </c>
      <c r="Q1120" s="319" t="s">
        <v>2306</v>
      </c>
      <c r="R1120" s="2">
        <f>VLOOKUP(SALIDAS111518[[#This Row],[CÓDIGO]],PRODUCTOS31316[],2,FALSE)</f>
        <v>0</v>
      </c>
      <c r="S1120" s="1" t="str">
        <f>VLOOKUP(SALIDAS111518[[#This Row],[CÓDIGO]],PRODUCTOS31316[],3,FALSE)</f>
        <v>ESCALERILLAS METÁLICAS DE 10 MM</v>
      </c>
      <c r="T1120" s="2">
        <v>2</v>
      </c>
      <c r="U1120" s="2"/>
      <c r="V1120" s="2"/>
      <c r="W1120" s="2"/>
      <c r="X1120" s="2"/>
      <c r="Y1120" s="7"/>
      <c r="Z1120" s="2"/>
      <c r="AA1120" s="1"/>
      <c r="AC1120" s="2"/>
      <c r="AE1120" s="1"/>
      <c r="AG1120" s="2"/>
    </row>
    <row r="1121" spans="1:33" ht="49.95" customHeight="1" x14ac:dyDescent="0.3">
      <c r="A1121" s="339" t="s">
        <v>4745</v>
      </c>
      <c r="B1121" s="340" t="s">
        <v>4746</v>
      </c>
      <c r="C1121" s="340" t="s">
        <v>4747</v>
      </c>
      <c r="D1121" s="340" t="s">
        <v>3048</v>
      </c>
      <c r="E1121" s="340" t="s">
        <v>708</v>
      </c>
      <c r="F1121" s="340" t="s">
        <v>30</v>
      </c>
      <c r="G1121" s="2"/>
      <c r="H1121" s="14">
        <f>SUMIF(ENTRADAS71417[CÓDIGO],PRODUCTOS31316[[#This Row],[CÓDIGO]],ENTRADAS71417[CANTIDAD])</f>
        <v>1</v>
      </c>
      <c r="I1121" s="11">
        <f>SUMIF(SALIDAS111518[CÓDIGO],PRODUCTOS31316[[#This Row],[CÓDIGO]],SALIDAS111518[CANTIDAD])</f>
        <v>1</v>
      </c>
      <c r="J1121" s="6">
        <f>PRODUCTOS31316[[#This Row],[EXISTENCIAS]]+PRODUCTOS31316[[#This Row],[ENTRADAS]]-PRODUCTOS31316[[#This Row],[SALIDAS]]</f>
        <v>0</v>
      </c>
      <c r="L1121" s="2"/>
      <c r="M1121" s="2"/>
      <c r="N1121" s="2">
        <v>8113</v>
      </c>
      <c r="O1121" s="319" t="s">
        <v>2267</v>
      </c>
      <c r="P1121" s="16">
        <v>46105</v>
      </c>
      <c r="Q1121" s="319" t="s">
        <v>455</v>
      </c>
      <c r="R1121" s="2">
        <f>VLOOKUP(SALIDAS111518[[#This Row],[CÓDIGO]],PRODUCTOS31316[],2,FALSE)</f>
        <v>0</v>
      </c>
      <c r="S1121" s="1" t="str">
        <f>VLOOKUP(SALIDAS111518[[#This Row],[CÓDIGO]],PRODUCTOS31316[],3,FALSE)</f>
        <v>ESCALERILLAS PARA GOBLETS DE 13 MM</v>
      </c>
      <c r="T1121" s="2">
        <v>4</v>
      </c>
      <c r="U1121" s="2"/>
      <c r="V1121" s="2"/>
      <c r="W1121" s="2"/>
      <c r="X1121" s="2"/>
      <c r="Y1121" s="7"/>
      <c r="Z1121" s="2"/>
      <c r="AA1121" s="1"/>
      <c r="AC1121" s="2"/>
      <c r="AE1121" s="1"/>
      <c r="AG1121" s="2"/>
    </row>
    <row r="1122" spans="1:33" ht="49.95" customHeight="1" x14ac:dyDescent="0.3">
      <c r="A1122" s="339" t="s">
        <v>4768</v>
      </c>
      <c r="B1122" s="340" t="s">
        <v>4769</v>
      </c>
      <c r="C1122" s="351" t="s">
        <v>4770</v>
      </c>
      <c r="D1122" s="340" t="s">
        <v>2000</v>
      </c>
      <c r="E1122" s="340" t="s">
        <v>2000</v>
      </c>
      <c r="F1122" s="340" t="s">
        <v>30</v>
      </c>
      <c r="G1122" s="2"/>
      <c r="H1122" s="14">
        <f>SUMIF(ENTRADAS71417[CÓDIGO],PRODUCTOS31316[[#This Row],[CÓDIGO]],ENTRADAS71417[CANTIDAD])</f>
        <v>4</v>
      </c>
      <c r="I1122" s="11">
        <f>SUMIF(SALIDAS111518[CÓDIGO],PRODUCTOS31316[[#This Row],[CÓDIGO]],SALIDAS111518[CANTIDAD])</f>
        <v>3</v>
      </c>
      <c r="J1122" s="6">
        <f>PRODUCTOS31316[[#This Row],[EXISTENCIAS]]+PRODUCTOS31316[[#This Row],[ENTRADAS]]-PRODUCTOS31316[[#This Row],[SALIDAS]]</f>
        <v>1</v>
      </c>
      <c r="L1122" s="2"/>
      <c r="M1122" s="2"/>
      <c r="N1122" s="2">
        <v>8113</v>
      </c>
      <c r="O1122" s="319" t="s">
        <v>2267</v>
      </c>
      <c r="P1122" s="16">
        <v>46105</v>
      </c>
      <c r="Q1122" s="319" t="s">
        <v>2257</v>
      </c>
      <c r="R1122" s="2">
        <f>VLOOKUP(SALIDAS111518[[#This Row],[CÓDIGO]],PRODUCTOS31316[],2,FALSE)</f>
        <v>9014001</v>
      </c>
      <c r="S1122" s="1" t="str">
        <f>VLOOKUP(SALIDAS111518[[#This Row],[CÓDIGO]],PRODUCTOS31316[],3,FALSE)</f>
        <v>FILTROS OPU 100 UM/ MARCA TED</v>
      </c>
      <c r="T1122" s="2">
        <v>2</v>
      </c>
      <c r="U1122" s="2"/>
      <c r="V1122" s="2"/>
      <c r="W1122" s="2"/>
      <c r="X1122" s="2"/>
      <c r="Y1122" s="7"/>
      <c r="Z1122" s="2"/>
      <c r="AA1122" s="1"/>
      <c r="AC1122" s="2"/>
      <c r="AE1122" s="1"/>
      <c r="AG1122" s="2"/>
    </row>
    <row r="1123" spans="1:33" ht="49.95" customHeight="1" x14ac:dyDescent="0.3">
      <c r="A1123" s="339" t="s">
        <v>4772</v>
      </c>
      <c r="B1123" s="340">
        <v>9002007</v>
      </c>
      <c r="C1123" s="340" t="s">
        <v>4773</v>
      </c>
      <c r="D1123" s="340" t="s">
        <v>18</v>
      </c>
      <c r="E1123" s="340" t="s">
        <v>18</v>
      </c>
      <c r="F1123" s="340" t="s">
        <v>30</v>
      </c>
      <c r="G1123" s="2"/>
      <c r="H1123" s="14">
        <f>SUMIF(ENTRADAS71417[CÓDIGO],PRODUCTOS31316[[#This Row],[CÓDIGO]],ENTRADAS71417[CANTIDAD])</f>
        <v>10</v>
      </c>
      <c r="I1123" s="11">
        <f>SUMIF(SALIDAS111518[CÓDIGO],PRODUCTOS31316[[#This Row],[CÓDIGO]],SALIDAS111518[CANTIDAD])</f>
        <v>4</v>
      </c>
      <c r="J1123" s="6">
        <f>PRODUCTOS31316[[#This Row],[EXISTENCIAS]]+PRODUCTOS31316[[#This Row],[ENTRADAS]]-PRODUCTOS31316[[#This Row],[SALIDAS]]</f>
        <v>6</v>
      </c>
      <c r="L1123" s="2"/>
      <c r="M1123" s="2"/>
      <c r="N1123" s="2">
        <v>8113</v>
      </c>
      <c r="O1123" s="319" t="s">
        <v>2267</v>
      </c>
      <c r="P1123" s="16">
        <v>46105</v>
      </c>
      <c r="Q1123" s="319" t="s">
        <v>210</v>
      </c>
      <c r="R1123" s="2">
        <f>VLOOKUP(SALIDAS111518[[#This Row],[CÓDIGO]],PRODUCTOS31316[],2,FALSE)</f>
        <v>101257</v>
      </c>
      <c r="S1123" s="1" t="str">
        <f>VLOOKUP(SALIDAS111518[[#This Row],[CÓDIGO]],PRODUCTOS31316[],3,FALSE)</f>
        <v>MANGA DESECHABLE SUPER SENSITIVA</v>
      </c>
      <c r="T1123" s="2">
        <v>10</v>
      </c>
      <c r="U1123" s="2"/>
      <c r="V1123" s="2"/>
      <c r="W1123" s="2"/>
      <c r="X1123" s="2"/>
      <c r="Y1123" s="7"/>
      <c r="Z1123" s="2"/>
      <c r="AA1123" s="1"/>
      <c r="AC1123" s="2"/>
      <c r="AE1123" s="1"/>
      <c r="AG1123" s="2"/>
    </row>
    <row r="1124" spans="1:33" ht="49.95" customHeight="1" x14ac:dyDescent="0.3">
      <c r="A1124" s="339" t="s">
        <v>4774</v>
      </c>
      <c r="B1124" s="340">
        <v>10415</v>
      </c>
      <c r="C1124" s="340" t="s">
        <v>4775</v>
      </c>
      <c r="D1124" s="340" t="s">
        <v>442</v>
      </c>
      <c r="E1124" s="340" t="s">
        <v>442</v>
      </c>
      <c r="F1124" s="340" t="s">
        <v>30</v>
      </c>
      <c r="G1124" s="2"/>
      <c r="H1124" s="14">
        <f>SUMIF(ENTRADAS71417[CÓDIGO],PRODUCTOS31316[[#This Row],[CÓDIGO]],ENTRADAS71417[CANTIDAD])</f>
        <v>20</v>
      </c>
      <c r="I1124" s="11">
        <f>SUMIF(SALIDAS111518[CÓDIGO],PRODUCTOS31316[[#This Row],[CÓDIGO]],SALIDAS111518[CANTIDAD])</f>
        <v>20</v>
      </c>
      <c r="J1124" s="6">
        <f>PRODUCTOS31316[[#This Row],[EXISTENCIAS]]+PRODUCTOS31316[[#This Row],[ENTRADAS]]-PRODUCTOS31316[[#This Row],[SALIDAS]]</f>
        <v>0</v>
      </c>
      <c r="L1124" s="2"/>
      <c r="M1124" s="2"/>
      <c r="N1124" s="2">
        <v>8113</v>
      </c>
      <c r="O1124" s="319" t="s">
        <v>2267</v>
      </c>
      <c r="P1124" s="16">
        <v>46105</v>
      </c>
      <c r="Q1124" s="319" t="s">
        <v>2246</v>
      </c>
      <c r="R1124" s="2" t="str">
        <f>VLOOKUP(SALIDAS111518[[#This Row],[CÓDIGO]],PRODUCTOS31316[],2,FALSE)</f>
        <v>00051076-02</v>
      </c>
      <c r="S1124" s="1" t="str">
        <f>VLOOKUP(SALIDAS111518[[#This Row],[CÓDIGO]],PRODUCTOS31316[],3,FALSE)</f>
        <v>LIDOCAÍNA  HCL 2 % X 100 ML/ 2025-12-16</v>
      </c>
      <c r="T1124" s="2">
        <v>100</v>
      </c>
      <c r="U1124" s="2"/>
      <c r="V1124" s="2"/>
      <c r="W1124" s="2"/>
      <c r="X1124" s="2"/>
      <c r="Y1124" s="7"/>
      <c r="Z1124" s="2"/>
      <c r="AA1124" s="1"/>
      <c r="AC1124" s="2"/>
      <c r="AE1124" s="1"/>
      <c r="AG1124" s="2"/>
    </row>
    <row r="1125" spans="1:33" ht="49.95" customHeight="1" x14ac:dyDescent="0.3">
      <c r="A1125" s="350" t="s">
        <v>4865</v>
      </c>
      <c r="B1125" s="340">
        <v>84433231</v>
      </c>
      <c r="C1125" s="351" t="s">
        <v>4866</v>
      </c>
      <c r="D1125" s="351" t="s">
        <v>1707</v>
      </c>
      <c r="E1125" s="351" t="s">
        <v>1707</v>
      </c>
      <c r="F1125" s="351" t="s">
        <v>30</v>
      </c>
      <c r="G1125" s="2"/>
      <c r="H1125" s="14">
        <f>SUMIF(ENTRADAS71417[CÓDIGO],PRODUCTOS31316[[#This Row],[CÓDIGO]],ENTRADAS71417[CANTIDAD])</f>
        <v>0</v>
      </c>
      <c r="I1125" s="11">
        <f>SUMIF(SALIDAS111518[CÓDIGO],PRODUCTOS31316[[#This Row],[CÓDIGO]],SALIDAS111518[CANTIDAD])</f>
        <v>1</v>
      </c>
      <c r="J1125" s="6">
        <f>PRODUCTOS31316[[#This Row],[EXISTENCIAS]]+PRODUCTOS31316[[#This Row],[ENTRADAS]]-PRODUCTOS31316[[#This Row],[SALIDAS]]</f>
        <v>-1</v>
      </c>
      <c r="L1125" s="2"/>
      <c r="M1125" s="2"/>
      <c r="N1125" s="2">
        <v>8113</v>
      </c>
      <c r="O1125" s="319" t="s">
        <v>2267</v>
      </c>
      <c r="P1125" s="16">
        <v>46105</v>
      </c>
      <c r="Q1125" s="319" t="s">
        <v>272</v>
      </c>
      <c r="R1125" s="2">
        <f>VLOOKUP(SALIDAS111518[[#This Row],[CÓDIGO]],PRODUCTOS31316[],2,FALSE)</f>
        <v>627161</v>
      </c>
      <c r="S1125" s="1" t="str">
        <f>VLOOKUP(SALIDAS111518[[#This Row],[CÓDIGO]],PRODUCTOS31316[],3,FALSE)</f>
        <v xml:space="preserve">CAJA PETRI 35X10 ESTERIL </v>
      </c>
      <c r="T1125" s="2">
        <v>4</v>
      </c>
      <c r="U1125" s="2"/>
      <c r="V1125" s="2"/>
      <c r="W1125" s="2"/>
      <c r="X1125" s="2"/>
      <c r="Y1125" s="7"/>
      <c r="Z1125" s="2"/>
      <c r="AA1125" s="1"/>
      <c r="AC1125" s="2"/>
      <c r="AE1125" s="1"/>
      <c r="AG1125" s="2"/>
    </row>
    <row r="1126" spans="1:33" ht="49.95" customHeight="1" x14ac:dyDescent="0.3">
      <c r="A1126" s="373" t="s">
        <v>5113</v>
      </c>
      <c r="B1126" s="340"/>
      <c r="C1126" s="372" t="s">
        <v>5130</v>
      </c>
      <c r="D1126" s="372" t="s">
        <v>2650</v>
      </c>
      <c r="E1126" s="243" t="s">
        <v>2389</v>
      </c>
      <c r="F1126" s="351" t="s">
        <v>30</v>
      </c>
      <c r="G1126" s="2"/>
      <c r="H1126" s="14">
        <f>SUMIF(ENTRADAS71417[CÓDIGO],PRODUCTOS31316[[#This Row],[CÓDIGO]],ENTRADAS71417[CANTIDAD])</f>
        <v>6</v>
      </c>
      <c r="I1126" s="11">
        <f>SUMIF(SALIDAS111518[CÓDIGO],PRODUCTOS31316[[#This Row],[CÓDIGO]],SALIDAS111518[CANTIDAD])</f>
        <v>4</v>
      </c>
      <c r="J1126" s="6">
        <f>PRODUCTOS31316[[#This Row],[EXISTENCIAS]]+PRODUCTOS31316[[#This Row],[ENTRADAS]]-PRODUCTOS31316[[#This Row],[SALIDAS]]</f>
        <v>2</v>
      </c>
      <c r="L1126" s="2"/>
      <c r="M1126" s="2"/>
      <c r="N1126" s="2">
        <v>8113</v>
      </c>
      <c r="O1126" s="319" t="s">
        <v>2267</v>
      </c>
      <c r="P1126" s="16">
        <v>46105</v>
      </c>
      <c r="Q1126" s="319" t="s">
        <v>3165</v>
      </c>
      <c r="R1126" s="2">
        <f>VLOOKUP(SALIDAS111518[[#This Row],[CÓDIGO]],PRODUCTOS31316[],2,FALSE)</f>
        <v>30943</v>
      </c>
      <c r="S1126" s="1" t="str">
        <f>VLOOKUP(SALIDAS111518[[#This Row],[CÓDIGO]],PRODUCTOS31316[],3,FALSE)</f>
        <v xml:space="preserve">CAJA PETRI DESECHABLE ESTERIL 90X 15 </v>
      </c>
      <c r="T1126" s="2">
        <v>20</v>
      </c>
      <c r="U1126" s="2"/>
      <c r="V1126" s="2"/>
      <c r="W1126" s="2"/>
      <c r="X1126" s="2"/>
      <c r="Y1126" s="7"/>
      <c r="Z1126" s="2"/>
      <c r="AA1126" s="1"/>
      <c r="AC1126" s="2"/>
      <c r="AE1126" s="1"/>
      <c r="AG1126" s="2"/>
    </row>
    <row r="1127" spans="1:33" ht="49.95" customHeight="1" x14ac:dyDescent="0.3">
      <c r="A1127" s="350" t="s">
        <v>5114</v>
      </c>
      <c r="B1127" s="340"/>
      <c r="C1127" s="372" t="s">
        <v>5131</v>
      </c>
      <c r="D1127" s="372" t="s">
        <v>3042</v>
      </c>
      <c r="E1127" s="372" t="s">
        <v>3250</v>
      </c>
      <c r="F1127" s="372" t="s">
        <v>30</v>
      </c>
      <c r="G1127" s="2"/>
      <c r="H1127" s="14">
        <f>SUMIF(ENTRADAS71417[CÓDIGO],PRODUCTOS31316[[#This Row],[CÓDIGO]],ENTRADAS71417[CANTIDAD])</f>
        <v>15</v>
      </c>
      <c r="I1127" s="11">
        <f>SUMIF(SALIDAS111518[CÓDIGO],PRODUCTOS31316[[#This Row],[CÓDIGO]],SALIDAS111518[CANTIDAD])</f>
        <v>11</v>
      </c>
      <c r="J1127" s="6">
        <f>PRODUCTOS31316[[#This Row],[EXISTENCIAS]]+PRODUCTOS31316[[#This Row],[ENTRADAS]]-PRODUCTOS31316[[#This Row],[SALIDAS]]</f>
        <v>4</v>
      </c>
      <c r="L1127" s="2"/>
      <c r="M1127" s="2"/>
      <c r="N1127" s="2">
        <v>8113</v>
      </c>
      <c r="O1127" s="319" t="s">
        <v>2267</v>
      </c>
      <c r="P1127" s="16">
        <v>46105</v>
      </c>
      <c r="Q1127" s="319" t="s">
        <v>602</v>
      </c>
      <c r="R1127" s="2">
        <f>VLOOKUP(SALIDAS111518[[#This Row],[CÓDIGO]],PRODUCTOS31316[],2,FALSE)</f>
        <v>4845</v>
      </c>
      <c r="S1127" s="1" t="str">
        <f>VLOOKUP(SALIDAS111518[[#This Row],[CÓDIGO]],PRODUCTOS31316[],3,FALSE)</f>
        <v>PUNTAS AMARILLAS, UNIVERSALES. PLASTICAS, NO ESTERIL. LIBRES DE RNASE, DNASE Y PYROGENOS. RANGO DE 1-200UL. BOLSA X1000UDS.</v>
      </c>
      <c r="T1127" s="2">
        <v>8</v>
      </c>
      <c r="U1127" s="2"/>
      <c r="V1127" s="2"/>
      <c r="W1127" s="2"/>
      <c r="X1127" s="2"/>
      <c r="Y1127" s="7"/>
      <c r="Z1127" s="2"/>
      <c r="AA1127" s="1"/>
      <c r="AC1127" s="2"/>
      <c r="AE1127" s="1"/>
      <c r="AG1127" s="2"/>
    </row>
    <row r="1128" spans="1:33" ht="49.95" customHeight="1" x14ac:dyDescent="0.3">
      <c r="A1128" s="371" t="s">
        <v>5115</v>
      </c>
      <c r="B1128" s="340"/>
      <c r="C1128" s="372" t="s">
        <v>5132</v>
      </c>
      <c r="D1128" s="372" t="s">
        <v>1886</v>
      </c>
      <c r="E1128" s="372" t="s">
        <v>1886</v>
      </c>
      <c r="F1128" s="372" t="s">
        <v>30</v>
      </c>
      <c r="G1128" s="2"/>
      <c r="H1128" s="14">
        <f>SUMIF(ENTRADAS71417[CÓDIGO],PRODUCTOS31316[[#This Row],[CÓDIGO]],ENTRADAS71417[CANTIDAD])</f>
        <v>1</v>
      </c>
      <c r="I1128" s="11">
        <f>SUMIF(SALIDAS111518[CÓDIGO],PRODUCTOS31316[[#This Row],[CÓDIGO]],SALIDAS111518[CANTIDAD])</f>
        <v>0</v>
      </c>
      <c r="J1128" s="6">
        <f>PRODUCTOS31316[[#This Row],[EXISTENCIAS]]+PRODUCTOS31316[[#This Row],[ENTRADAS]]-PRODUCTOS31316[[#This Row],[SALIDAS]]</f>
        <v>1</v>
      </c>
      <c r="L1128" s="2"/>
      <c r="M1128" s="2"/>
      <c r="N1128" s="2">
        <v>8113</v>
      </c>
      <c r="O1128" s="319" t="s">
        <v>2267</v>
      </c>
      <c r="P1128" s="16">
        <v>46105</v>
      </c>
      <c r="Q1128" s="319" t="s">
        <v>168</v>
      </c>
      <c r="R1128" s="2">
        <f>VLOOKUP(SALIDAS111518[[#This Row],[CÓDIGO]],PRODUCTOS31316[],2,FALSE)</f>
        <v>4840</v>
      </c>
      <c r="S1128" s="1" t="str">
        <f>VLOOKUP(SALIDAS111518[[#This Row],[CÓDIGO]],PRODUCTOS31316[],3,FALSE)</f>
        <v>PUNTAS BLANCAS UNIVERSALES, PLÁSTICAS, LIBRES DE DNASAS, RNASA Y PIROGENOS, RANGO DE 0.1 A 10UL. (CORTAS).</v>
      </c>
      <c r="T1128" s="2">
        <v>1</v>
      </c>
      <c r="U1128" s="2"/>
      <c r="V1128" s="2"/>
      <c r="W1128" s="2"/>
      <c r="X1128" s="2"/>
      <c r="Y1128" s="7"/>
      <c r="Z1128" s="2"/>
      <c r="AA1128" s="1"/>
      <c r="AC1128" s="2"/>
      <c r="AE1128" s="1"/>
      <c r="AG1128" s="2"/>
    </row>
    <row r="1129" spans="1:33" ht="49.95" customHeight="1" x14ac:dyDescent="0.3">
      <c r="A1129" s="350" t="s">
        <v>5116</v>
      </c>
      <c r="B1129" s="340"/>
      <c r="C1129" s="372" t="s">
        <v>5133</v>
      </c>
      <c r="D1129" s="372" t="s">
        <v>839</v>
      </c>
      <c r="E1129" s="372" t="s">
        <v>839</v>
      </c>
      <c r="F1129" s="372" t="s">
        <v>30</v>
      </c>
      <c r="G1129" s="2"/>
      <c r="H1129" s="14">
        <f>SUMIF(ENTRADAS71417[CÓDIGO],PRODUCTOS31316[[#This Row],[CÓDIGO]],ENTRADAS71417[CANTIDAD])</f>
        <v>7</v>
      </c>
      <c r="I1129" s="11">
        <f>SUMIF(SALIDAS111518[CÓDIGO],PRODUCTOS31316[[#This Row],[CÓDIGO]],SALIDAS111518[CANTIDAD])</f>
        <v>7</v>
      </c>
      <c r="J1129" s="6">
        <f>PRODUCTOS31316[[#This Row],[EXISTENCIAS]]+PRODUCTOS31316[[#This Row],[ENTRADAS]]-PRODUCTOS31316[[#This Row],[SALIDAS]]</f>
        <v>0</v>
      </c>
      <c r="L1129" s="2"/>
      <c r="M1129" s="2"/>
      <c r="N1129" s="2">
        <v>8113</v>
      </c>
      <c r="O1129" s="319" t="s">
        <v>2267</v>
      </c>
      <c r="P1129" s="16">
        <v>46105</v>
      </c>
      <c r="Q1129" s="319" t="s">
        <v>1799</v>
      </c>
      <c r="R1129" s="2">
        <f>VLOOKUP(SALIDAS111518[[#This Row],[CÓDIGO]],PRODUCTOS31316[],2,FALSE)</f>
        <v>4846</v>
      </c>
      <c r="S1129" s="1" t="str">
        <f>VLOOKUP(SALIDAS111518[[#This Row],[CÓDIGO]],PRODUCTOS31316[],3,FALSE)</f>
        <v>PUNTA AZULES UNIVERSALES 100- 1000 UL</v>
      </c>
      <c r="T1129" s="2">
        <v>2</v>
      </c>
      <c r="U1129" s="2"/>
      <c r="V1129" s="2"/>
      <c r="W1129" s="2"/>
      <c r="X1129" s="2"/>
      <c r="Y1129" s="7"/>
      <c r="Z1129" s="2"/>
      <c r="AA1129" s="1"/>
      <c r="AC1129" s="2"/>
      <c r="AE1129" s="1"/>
      <c r="AG1129" s="2"/>
    </row>
    <row r="1130" spans="1:33" ht="49.95" customHeight="1" x14ac:dyDescent="0.3">
      <c r="A1130" s="371" t="s">
        <v>5117</v>
      </c>
      <c r="B1130" s="340"/>
      <c r="C1130" s="372" t="s">
        <v>5134</v>
      </c>
      <c r="D1130" s="372" t="s">
        <v>839</v>
      </c>
      <c r="E1130" s="372" t="s">
        <v>839</v>
      </c>
      <c r="F1130" s="372" t="s">
        <v>30</v>
      </c>
      <c r="G1130" s="2"/>
      <c r="H1130" s="14">
        <f>SUMIF(ENTRADAS71417[CÓDIGO],PRODUCTOS31316[[#This Row],[CÓDIGO]],ENTRADAS71417[CANTIDAD])</f>
        <v>1</v>
      </c>
      <c r="I1130" s="11">
        <f>SUMIF(SALIDAS111518[CÓDIGO],PRODUCTOS31316[[#This Row],[CÓDIGO]],SALIDAS111518[CANTIDAD])</f>
        <v>1</v>
      </c>
      <c r="J1130" s="6">
        <f>PRODUCTOS31316[[#This Row],[EXISTENCIAS]]+PRODUCTOS31316[[#This Row],[ENTRADAS]]-PRODUCTOS31316[[#This Row],[SALIDAS]]</f>
        <v>0</v>
      </c>
      <c r="L1130" s="2"/>
      <c r="M1130" s="2"/>
      <c r="N1130" s="2">
        <v>8113</v>
      </c>
      <c r="O1130" s="319" t="s">
        <v>2267</v>
      </c>
      <c r="P1130" s="16">
        <v>46105</v>
      </c>
      <c r="Q1130" s="319" t="s">
        <v>15</v>
      </c>
      <c r="R1130" s="2" t="str">
        <f>VLOOKUP(SALIDAS111518[[#This Row],[CÓDIGO]],PRODUCTOS31316[],2,FALSE)</f>
        <v>BTE-025PT/ 504002</v>
      </c>
      <c r="S1130" s="1" t="str">
        <f>VLOOKUP(SALIDAS111518[[#This Row],[CÓDIGO]],PRODUCTOS31316[],3,FALSE)</f>
        <v>FUNDAS PARA TRANSFERENCIA DE EMBRIONES</v>
      </c>
      <c r="T1130" s="2">
        <v>200</v>
      </c>
      <c r="U1130" s="2"/>
      <c r="V1130" s="2"/>
      <c r="W1130" s="2"/>
      <c r="X1130" s="2"/>
      <c r="Y1130" s="7"/>
      <c r="Z1130" s="2"/>
      <c r="AA1130" s="1"/>
      <c r="AC1130" s="2"/>
      <c r="AE1130" s="1"/>
      <c r="AG1130" s="2"/>
    </row>
    <row r="1131" spans="1:33" ht="49.95" customHeight="1" x14ac:dyDescent="0.3">
      <c r="A1131" s="350" t="s">
        <v>5118</v>
      </c>
      <c r="B1131" s="340"/>
      <c r="C1131" s="372" t="s">
        <v>5135</v>
      </c>
      <c r="D1131" s="372" t="s">
        <v>839</v>
      </c>
      <c r="E1131" s="372" t="s">
        <v>839</v>
      </c>
      <c r="F1131" s="372" t="s">
        <v>30</v>
      </c>
      <c r="G1131" s="2"/>
      <c r="H1131" s="14">
        <f>SUMIF(ENTRADAS71417[CÓDIGO],PRODUCTOS31316[[#This Row],[CÓDIGO]],ENTRADAS71417[CANTIDAD])</f>
        <v>1</v>
      </c>
      <c r="I1131" s="11">
        <f>SUMIF(SALIDAS111518[CÓDIGO],PRODUCTOS31316[[#This Row],[CÓDIGO]],SALIDAS111518[CANTIDAD])</f>
        <v>1</v>
      </c>
      <c r="J1131" s="6">
        <f>PRODUCTOS31316[[#This Row],[EXISTENCIAS]]+PRODUCTOS31316[[#This Row],[ENTRADAS]]-PRODUCTOS31316[[#This Row],[SALIDAS]]</f>
        <v>0</v>
      </c>
      <c r="L1131" s="2"/>
      <c r="M1131" s="2"/>
      <c r="N1131" s="2">
        <v>8113</v>
      </c>
      <c r="O1131" s="319" t="s">
        <v>2267</v>
      </c>
      <c r="P1131" s="16">
        <v>46105</v>
      </c>
      <c r="Q1131" s="319" t="s">
        <v>333</v>
      </c>
      <c r="R1131" s="2" t="str">
        <f>VLOOKUP(SALIDAS111518[[#This Row],[CÓDIGO]],PRODUCTOS31316[],2,FALSE)</f>
        <v>CTB15</v>
      </c>
      <c r="S1131" s="1" t="str">
        <f>VLOOKUP(SALIDAS111518[[#This Row],[CÓDIGO]],PRODUCTOS31316[],3,FALSE)</f>
        <v>TUBO CÓNICO DE 15 ML, TAPA ROSCA ESTÉRIL  RCF MAX: 10000xg, 
graduados, PCR puro. VENCE: 03/04/2028</v>
      </c>
      <c r="T1131" s="2">
        <v>8</v>
      </c>
      <c r="U1131" s="2"/>
      <c r="V1131" s="2"/>
      <c r="W1131" s="2"/>
      <c r="X1131" s="2"/>
      <c r="Y1131" s="7"/>
      <c r="Z1131" s="2"/>
      <c r="AA1131" s="1"/>
      <c r="AC1131" s="2"/>
      <c r="AE1131" s="1"/>
      <c r="AG1131" s="2"/>
    </row>
    <row r="1132" spans="1:33" ht="49.95" customHeight="1" x14ac:dyDescent="0.3">
      <c r="A1132" s="371" t="s">
        <v>5119</v>
      </c>
      <c r="B1132" s="340"/>
      <c r="C1132" s="372" t="s">
        <v>5136</v>
      </c>
      <c r="D1132" s="372" t="s">
        <v>103</v>
      </c>
      <c r="E1132" s="372" t="s">
        <v>2020</v>
      </c>
      <c r="F1132" s="372" t="s">
        <v>30</v>
      </c>
      <c r="G1132" s="2"/>
      <c r="H1132" s="14">
        <f>SUMIF(ENTRADAS71417[CÓDIGO],PRODUCTOS31316[[#This Row],[CÓDIGO]],ENTRADAS71417[CANTIDAD])</f>
        <v>2</v>
      </c>
      <c r="I1132" s="11">
        <f>SUMIF(SALIDAS111518[CÓDIGO],PRODUCTOS31316[[#This Row],[CÓDIGO]],SALIDAS111518[CANTIDAD])</f>
        <v>0</v>
      </c>
      <c r="J1132" s="6">
        <f>PRODUCTOS31316[[#This Row],[EXISTENCIAS]]+PRODUCTOS31316[[#This Row],[ENTRADAS]]-PRODUCTOS31316[[#This Row],[SALIDAS]]</f>
        <v>2</v>
      </c>
      <c r="L1132" s="2"/>
      <c r="M1132" s="2"/>
      <c r="N1132" s="2">
        <v>8113</v>
      </c>
      <c r="O1132" s="319" t="s">
        <v>2267</v>
      </c>
      <c r="P1132" s="16">
        <v>46105</v>
      </c>
      <c r="Q1132" s="319" t="s">
        <v>167</v>
      </c>
      <c r="R1132" s="2" t="str">
        <f>VLOOKUP(SALIDAS111518[[#This Row],[CÓDIGO]],PRODUCTOS31316[],2,FALSE)</f>
        <v>50050-1</v>
      </c>
      <c r="S1132" s="1" t="str">
        <f>VLOOKUP(SALIDAS111518[[#This Row],[CÓDIGO]],PRODUCTOS31316[],3,FALSE)</f>
        <v>TUBO CONICO PLUG, AUTOCLAVABLE ESTERIL  TAPA ROSCA DE 50 ML</v>
      </c>
      <c r="T1132" s="2">
        <v>10</v>
      </c>
      <c r="U1132" s="2"/>
      <c r="V1132" s="2"/>
      <c r="W1132" s="2"/>
      <c r="X1132" s="2"/>
      <c r="Y1132" s="7"/>
      <c r="Z1132" s="2"/>
      <c r="AA1132" s="1"/>
      <c r="AC1132" s="2"/>
      <c r="AE1132" s="1"/>
      <c r="AG1132" s="2"/>
    </row>
    <row r="1133" spans="1:33" ht="49.95" customHeight="1" x14ac:dyDescent="0.3">
      <c r="A1133" s="350" t="s">
        <v>5120</v>
      </c>
      <c r="B1133" s="340"/>
      <c r="C1133" s="372" t="s">
        <v>5137</v>
      </c>
      <c r="D1133" s="372" t="s">
        <v>156</v>
      </c>
      <c r="E1133" s="372" t="s">
        <v>2020</v>
      </c>
      <c r="F1133" s="372" t="s">
        <v>5139</v>
      </c>
      <c r="G1133" s="2"/>
      <c r="H1133" s="14">
        <f>SUMIF(ENTRADAS71417[CÓDIGO],PRODUCTOS31316[[#This Row],[CÓDIGO]],ENTRADAS71417[CANTIDAD])</f>
        <v>3</v>
      </c>
      <c r="I1133" s="11">
        <f>SUMIF(SALIDAS111518[CÓDIGO],PRODUCTOS31316[[#This Row],[CÓDIGO]],SALIDAS111518[CANTIDAD])</f>
        <v>0</v>
      </c>
      <c r="J1133" s="6">
        <f>PRODUCTOS31316[[#This Row],[EXISTENCIAS]]+PRODUCTOS31316[[#This Row],[ENTRADAS]]-PRODUCTOS31316[[#This Row],[SALIDAS]]</f>
        <v>3</v>
      </c>
      <c r="L1133" s="2"/>
      <c r="M1133" s="2"/>
      <c r="N1133" s="2">
        <v>8113</v>
      </c>
      <c r="O1133" s="319" t="s">
        <v>2267</v>
      </c>
      <c r="P1133" s="16">
        <v>46105</v>
      </c>
      <c r="Q1133" s="319" t="s">
        <v>1681</v>
      </c>
      <c r="R1133" s="2">
        <f>VLOOKUP(SALIDAS111518[[#This Row],[CÓDIGO]],PRODUCTOS31316[],2,FALSE)</f>
        <v>347430</v>
      </c>
      <c r="S1133" s="1" t="str">
        <f>VLOOKUP(SALIDAS111518[[#This Row],[CÓDIGO]],PRODUCTOS31316[],3,FALSE)</f>
        <v>GOBLETS BLANCOS DE 10 MM</v>
      </c>
      <c r="T1133" s="2">
        <v>2</v>
      </c>
      <c r="U1133" s="2"/>
      <c r="V1133" s="2"/>
      <c r="W1133" s="2"/>
      <c r="X1133" s="2"/>
      <c r="Y1133" s="7"/>
      <c r="Z1133" s="2"/>
      <c r="AA1133" s="1"/>
      <c r="AC1133" s="2"/>
      <c r="AE1133" s="1"/>
      <c r="AG1133" s="2"/>
    </row>
    <row r="1134" spans="1:33" ht="49.95" customHeight="1" x14ac:dyDescent="0.3">
      <c r="A1134" s="371" t="s">
        <v>5121</v>
      </c>
      <c r="B1134" s="340"/>
      <c r="C1134" s="372" t="s">
        <v>5138</v>
      </c>
      <c r="D1134" s="372" t="s">
        <v>156</v>
      </c>
      <c r="E1134" s="372" t="s">
        <v>2020</v>
      </c>
      <c r="F1134" s="372" t="s">
        <v>5139</v>
      </c>
      <c r="G1134" s="2"/>
      <c r="H1134" s="14">
        <f>SUMIF(ENTRADAS71417[CÓDIGO],PRODUCTOS31316[[#This Row],[CÓDIGO]],ENTRADAS71417[CANTIDAD])</f>
        <v>3</v>
      </c>
      <c r="I1134" s="11">
        <f>SUMIF(SALIDAS111518[CÓDIGO],PRODUCTOS31316[[#This Row],[CÓDIGO]],SALIDAS111518[CANTIDAD])</f>
        <v>1</v>
      </c>
      <c r="J1134" s="6">
        <f>PRODUCTOS31316[[#This Row],[EXISTENCIAS]]+PRODUCTOS31316[[#This Row],[ENTRADAS]]-PRODUCTOS31316[[#This Row],[SALIDAS]]</f>
        <v>2</v>
      </c>
      <c r="L1134" s="2"/>
      <c r="M1134" s="2"/>
      <c r="N1134" s="2">
        <v>8113</v>
      </c>
      <c r="O1134" s="319" t="s">
        <v>2267</v>
      </c>
      <c r="P1134" s="16">
        <v>46105</v>
      </c>
      <c r="Q1134" s="319" t="s">
        <v>458</v>
      </c>
      <c r="R1134" s="2">
        <f>VLOOKUP(SALIDAS111518[[#This Row],[CÓDIGO]],PRODUCTOS31316[],2,FALSE)</f>
        <v>0</v>
      </c>
      <c r="S1134" s="1" t="str">
        <f>VLOOKUP(SALIDAS111518[[#This Row],[CÓDIGO]],PRODUCTOS31316[],3,FALSE)</f>
        <v>GOBLET DE 13 MM BLANCOS</v>
      </c>
      <c r="T1134" s="2">
        <v>8</v>
      </c>
      <c r="U1134" s="2"/>
      <c r="V1134" s="2"/>
      <c r="W1134" s="2"/>
      <c r="X1134" s="2"/>
      <c r="Y1134" s="7"/>
      <c r="Z1134" s="2"/>
      <c r="AA1134" s="1"/>
      <c r="AC1134" s="2"/>
      <c r="AE1134" s="1"/>
      <c r="AG1134" s="2"/>
    </row>
    <row r="1135" spans="1:33" ht="49.95" customHeight="1" x14ac:dyDescent="0.3">
      <c r="A1135" s="350" t="s">
        <v>5122</v>
      </c>
      <c r="B1135" s="340"/>
      <c r="C1135" s="372" t="s">
        <v>5140</v>
      </c>
      <c r="D1135" s="372" t="s">
        <v>103</v>
      </c>
      <c r="E1135" s="372" t="s">
        <v>2020</v>
      </c>
      <c r="F1135" s="372" t="s">
        <v>5139</v>
      </c>
      <c r="G1135" s="2"/>
      <c r="H1135" s="14">
        <f>SUMIF(ENTRADAS71417[CÓDIGO],PRODUCTOS31316[[#This Row],[CÓDIGO]],ENTRADAS71417[CANTIDAD])</f>
        <v>9</v>
      </c>
      <c r="I1135" s="11">
        <f>SUMIF(SALIDAS111518[CÓDIGO],PRODUCTOS31316[[#This Row],[CÓDIGO]],SALIDAS111518[CANTIDAD])</f>
        <v>3</v>
      </c>
      <c r="J1135" s="6">
        <f>PRODUCTOS31316[[#This Row],[EXISTENCIAS]]+PRODUCTOS31316[[#This Row],[ENTRADAS]]-PRODUCTOS31316[[#This Row],[SALIDAS]]</f>
        <v>6</v>
      </c>
      <c r="L1135" s="319" t="s">
        <v>3520</v>
      </c>
      <c r="M1135" s="319" t="s">
        <v>4250</v>
      </c>
      <c r="N1135" s="320" t="s">
        <v>4530</v>
      </c>
      <c r="O1135" s="319" t="s">
        <v>2920</v>
      </c>
      <c r="P1135" s="16">
        <v>46106</v>
      </c>
      <c r="Q1135" s="319" t="s">
        <v>272</v>
      </c>
      <c r="R1135" s="2">
        <f>VLOOKUP(SALIDAS111518[[#This Row],[CÓDIGO]],PRODUCTOS31316[],2,FALSE)</f>
        <v>627161</v>
      </c>
      <c r="S1135" s="1" t="str">
        <f>VLOOKUP(SALIDAS111518[[#This Row],[CÓDIGO]],PRODUCTOS31316[],3,FALSE)</f>
        <v xml:space="preserve">CAJA PETRI 35X10 ESTERIL </v>
      </c>
      <c r="T1135" s="2">
        <v>74</v>
      </c>
      <c r="U1135" s="2">
        <v>498</v>
      </c>
      <c r="V1135" s="2"/>
      <c r="W1135" s="2"/>
      <c r="X1135" s="2"/>
      <c r="Y1135" s="7"/>
      <c r="Z1135" s="2"/>
      <c r="AA1135" s="1"/>
      <c r="AC1135" s="2"/>
      <c r="AE1135" s="1"/>
      <c r="AG1135" s="2"/>
    </row>
    <row r="1136" spans="1:33" ht="49.95" customHeight="1" x14ac:dyDescent="0.3">
      <c r="A1136" s="371" t="s">
        <v>5123</v>
      </c>
      <c r="B1136" s="340"/>
      <c r="C1136" s="372" t="s">
        <v>5141</v>
      </c>
      <c r="D1136" s="372" t="s">
        <v>18</v>
      </c>
      <c r="E1136" s="372" t="s">
        <v>18</v>
      </c>
      <c r="F1136" s="372" t="s">
        <v>5142</v>
      </c>
      <c r="G1136" s="2"/>
      <c r="H1136" s="14">
        <f>SUMIF(ENTRADAS71417[CÓDIGO],PRODUCTOS31316[[#This Row],[CÓDIGO]],ENTRADAS71417[CANTIDAD])</f>
        <v>24</v>
      </c>
      <c r="I1136" s="11">
        <f>SUMIF(SALIDAS111518[CÓDIGO],PRODUCTOS31316[[#This Row],[CÓDIGO]],SALIDAS111518[CANTIDAD])</f>
        <v>12</v>
      </c>
      <c r="J1136" s="6">
        <f>PRODUCTOS31316[[#This Row],[EXISTENCIAS]]+PRODUCTOS31316[[#This Row],[ENTRADAS]]-PRODUCTOS31316[[#This Row],[SALIDAS]]</f>
        <v>12</v>
      </c>
      <c r="L1136" s="319" t="s">
        <v>3521</v>
      </c>
      <c r="M1136" s="319" t="s">
        <v>4250</v>
      </c>
      <c r="N1136" s="320" t="s">
        <v>4516</v>
      </c>
      <c r="O1136" s="319" t="s">
        <v>3996</v>
      </c>
      <c r="P1136" s="16">
        <v>46106</v>
      </c>
      <c r="Q1136" s="319" t="s">
        <v>1779</v>
      </c>
      <c r="R1136" s="2">
        <f>VLOOKUP(SALIDAS111518[[#This Row],[CÓDIGO]],PRODUCTOS31316[],2,FALSE)</f>
        <v>5563</v>
      </c>
      <c r="S1136" s="1" t="str">
        <f>VLOOKUP(SALIDAS111518[[#This Row],[CÓDIGO]],PRODUCTOS31316[],3,FALSE)</f>
        <v>CAMISA SANITARIA ROLLO X 80</v>
      </c>
      <c r="T1136" s="2">
        <v>1</v>
      </c>
      <c r="U1136" s="2">
        <v>499</v>
      </c>
      <c r="V1136" s="2"/>
      <c r="W1136" s="2"/>
      <c r="X1136" s="2"/>
      <c r="Y1136" s="7"/>
      <c r="Z1136" s="2"/>
      <c r="AA1136" s="1"/>
      <c r="AC1136" s="2"/>
      <c r="AE1136" s="1"/>
      <c r="AG1136" s="2"/>
    </row>
    <row r="1137" spans="1:33" ht="49.95" customHeight="1" x14ac:dyDescent="0.3">
      <c r="A1137" s="350" t="s">
        <v>5124</v>
      </c>
      <c r="B1137" s="340"/>
      <c r="C1137" s="372" t="s">
        <v>5141</v>
      </c>
      <c r="D1137" s="372" t="s">
        <v>18</v>
      </c>
      <c r="E1137" s="372" t="s">
        <v>18</v>
      </c>
      <c r="F1137" s="372" t="s">
        <v>30</v>
      </c>
      <c r="G1137" s="2"/>
      <c r="H1137" s="14">
        <f>SUMIF(ENTRADAS71417[CÓDIGO],PRODUCTOS31316[[#This Row],[CÓDIGO]],ENTRADAS71417[CANTIDAD])</f>
        <v>19</v>
      </c>
      <c r="I1137" s="11">
        <f>SUMIF(SALIDAS111518[CÓDIGO],PRODUCTOS31316[[#This Row],[CÓDIGO]],SALIDAS111518[CANTIDAD])</f>
        <v>0</v>
      </c>
      <c r="J1137" s="6">
        <f>PRODUCTOS31316[[#This Row],[EXISTENCIAS]]+PRODUCTOS31316[[#This Row],[ENTRADAS]]-PRODUCTOS31316[[#This Row],[SALIDAS]]</f>
        <v>19</v>
      </c>
      <c r="L1137" s="2"/>
      <c r="M1137" s="2"/>
      <c r="N1137" s="2">
        <v>8098</v>
      </c>
      <c r="O1137" s="319" t="s">
        <v>3996</v>
      </c>
      <c r="P1137" s="16">
        <v>46106</v>
      </c>
      <c r="Q1137" s="319" t="s">
        <v>15</v>
      </c>
      <c r="R1137" s="2" t="str">
        <f>VLOOKUP(SALIDAS111518[[#This Row],[CÓDIGO]],PRODUCTOS31316[],2,FALSE)</f>
        <v>BTE-025PT/ 504002</v>
      </c>
      <c r="S1137" s="1" t="str">
        <f>VLOOKUP(SALIDAS111518[[#This Row],[CÓDIGO]],PRODUCTOS31316[],3,FALSE)</f>
        <v>FUNDAS PARA TRANSFERENCIA DE EMBRIONES</v>
      </c>
      <c r="T1137" s="2">
        <v>2</v>
      </c>
      <c r="U1137" s="2"/>
      <c r="V1137" s="2"/>
      <c r="W1137" s="2"/>
      <c r="X1137" s="2"/>
      <c r="Y1137" s="7"/>
      <c r="Z1137" s="2"/>
      <c r="AA1137" s="1"/>
      <c r="AC1137" s="2"/>
      <c r="AE1137" s="1"/>
      <c r="AG1137" s="2"/>
    </row>
    <row r="1138" spans="1:33" ht="49.95" customHeight="1" x14ac:dyDescent="0.3">
      <c r="A1138" s="371" t="s">
        <v>5098</v>
      </c>
      <c r="B1138" s="340"/>
      <c r="C1138" s="372" t="s">
        <v>5143</v>
      </c>
      <c r="D1138" s="372" t="s">
        <v>18</v>
      </c>
      <c r="E1138" s="372" t="s">
        <v>18</v>
      </c>
      <c r="F1138" s="372" t="s">
        <v>30</v>
      </c>
      <c r="G1138" s="2"/>
      <c r="H1138" s="14">
        <f>SUMIF(ENTRADAS71417[CÓDIGO],PRODUCTOS31316[[#This Row],[CÓDIGO]],ENTRADAS71417[CANTIDAD])</f>
        <v>4001</v>
      </c>
      <c r="I1138" s="11">
        <f>SUMIF(SALIDAS111518[CÓDIGO],PRODUCTOS31316[[#This Row],[CÓDIGO]],SALIDAS111518[CANTIDAD])</f>
        <v>3972</v>
      </c>
      <c r="J1138" s="6">
        <f>PRODUCTOS31316[[#This Row],[EXISTENCIAS]]+PRODUCTOS31316[[#This Row],[ENTRADAS]]-PRODUCTOS31316[[#This Row],[SALIDAS]]</f>
        <v>29</v>
      </c>
      <c r="L1138" s="319" t="s">
        <v>3520</v>
      </c>
      <c r="M1138" s="319" t="s">
        <v>4250</v>
      </c>
      <c r="N1138" s="320" t="s">
        <v>4517</v>
      </c>
      <c r="O1138" s="320" t="s">
        <v>3209</v>
      </c>
      <c r="P1138" s="16">
        <v>46106</v>
      </c>
      <c r="Q1138" s="319" t="s">
        <v>36</v>
      </c>
      <c r="R1138" s="2">
        <f>VLOOKUP(SALIDAS111518[[#This Row],[CÓDIGO]],PRODUCTOS31316[],2,FALSE)</f>
        <v>1</v>
      </c>
      <c r="S1138" s="1" t="str">
        <f>VLOOKUP(SALIDAS111518[[#This Row],[CÓDIGO]],PRODUCTOS31316[],3,FALSE)</f>
        <v xml:space="preserve">PARCHE ESTROTECT </v>
      </c>
      <c r="T1138" s="2">
        <v>1</v>
      </c>
      <c r="U1138" s="2">
        <v>500</v>
      </c>
      <c r="V1138" s="2"/>
      <c r="W1138" s="2"/>
      <c r="X1138" s="2"/>
      <c r="Y1138" s="7"/>
      <c r="Z1138" s="2"/>
      <c r="AA1138" s="1"/>
      <c r="AC1138" s="2"/>
      <c r="AE1138" s="1"/>
      <c r="AG1138" s="2"/>
    </row>
    <row r="1139" spans="1:33" ht="49.95" customHeight="1" x14ac:dyDescent="0.3">
      <c r="A1139" s="350" t="s">
        <v>5125</v>
      </c>
      <c r="B1139" s="340"/>
      <c r="C1139" s="372" t="s">
        <v>5144</v>
      </c>
      <c r="D1139" s="372" t="s">
        <v>1886</v>
      </c>
      <c r="E1139" s="372" t="s">
        <v>1886</v>
      </c>
      <c r="F1139" s="372" t="s">
        <v>30</v>
      </c>
      <c r="G1139" s="2"/>
      <c r="H1139" s="14">
        <f>SUMIF(ENTRADAS71417[CÓDIGO],PRODUCTOS31316[[#This Row],[CÓDIGO]],ENTRADAS71417[CANTIDAD])</f>
        <v>1</v>
      </c>
      <c r="I1139" s="11">
        <f>SUMIF(SALIDAS111518[CÓDIGO],PRODUCTOS31316[[#This Row],[CÓDIGO]],SALIDAS111518[CANTIDAD])</f>
        <v>1</v>
      </c>
      <c r="J1139" s="6">
        <f>PRODUCTOS31316[[#This Row],[EXISTENCIAS]]+PRODUCTOS31316[[#This Row],[ENTRADAS]]-PRODUCTOS31316[[#This Row],[SALIDAS]]</f>
        <v>0</v>
      </c>
      <c r="L1139" s="319" t="s">
        <v>3520</v>
      </c>
      <c r="M1139" s="319" t="s">
        <v>4250</v>
      </c>
      <c r="N1139" s="320" t="s">
        <v>4518</v>
      </c>
      <c r="O1139" s="320" t="s">
        <v>2703</v>
      </c>
      <c r="P1139" s="16">
        <v>46106</v>
      </c>
      <c r="Q1139" s="319" t="s">
        <v>4402</v>
      </c>
      <c r="R1139" s="2">
        <f>VLOOKUP(SALIDAS111518[[#This Row],[CÓDIGO]],PRODUCTOS31316[],2,FALSE)</f>
        <v>0</v>
      </c>
      <c r="S1139" s="1" t="str">
        <f>VLOOKUP(SALIDAS111518[[#This Row],[CÓDIGO]],PRODUCTOS31316[],3,FALSE)</f>
        <v>PAJILLA TRANSPARENTE DE 0.5 IMV PAQ.X 200 UND</v>
      </c>
      <c r="T1139" s="2">
        <v>2</v>
      </c>
      <c r="U1139" s="2">
        <v>501</v>
      </c>
      <c r="V1139" s="2"/>
      <c r="W1139" s="2"/>
      <c r="X1139" s="2"/>
      <c r="Y1139" s="7"/>
      <c r="Z1139" s="2"/>
      <c r="AA1139" s="1"/>
      <c r="AC1139" s="2"/>
      <c r="AE1139" s="1"/>
      <c r="AG1139" s="2"/>
    </row>
    <row r="1140" spans="1:33" ht="49.95" customHeight="1" x14ac:dyDescent="0.3">
      <c r="A1140" s="371" t="s">
        <v>5109</v>
      </c>
      <c r="B1140" s="340"/>
      <c r="C1140" s="372" t="s">
        <v>5145</v>
      </c>
      <c r="D1140" s="372" t="s">
        <v>484</v>
      </c>
      <c r="E1140" s="383" t="s">
        <v>5550</v>
      </c>
      <c r="F1140" s="372" t="s">
        <v>30</v>
      </c>
      <c r="G1140" s="2"/>
      <c r="H1140" s="14">
        <f>SUMIF(ENTRADAS71417[CÓDIGO],PRODUCTOS31316[[#This Row],[CÓDIGO]],ENTRADAS71417[CANTIDAD])</f>
        <v>1</v>
      </c>
      <c r="I1140" s="11">
        <f>SUMIF(SALIDAS111518[CÓDIGO],PRODUCTOS31316[[#This Row],[CÓDIGO]],SALIDAS111518[CANTIDAD])</f>
        <v>1</v>
      </c>
      <c r="J1140" s="6">
        <f>PRODUCTOS31316[[#This Row],[EXISTENCIAS]]+PRODUCTOS31316[[#This Row],[ENTRADAS]]-PRODUCTOS31316[[#This Row],[SALIDAS]]</f>
        <v>0</v>
      </c>
      <c r="L1140" s="319" t="s">
        <v>3521</v>
      </c>
      <c r="M1140" s="319" t="s">
        <v>4250</v>
      </c>
      <c r="N1140" s="320" t="s">
        <v>4522</v>
      </c>
      <c r="O1140" s="319" t="s">
        <v>4519</v>
      </c>
      <c r="P1140" s="16">
        <v>46106</v>
      </c>
      <c r="Q1140" s="319" t="s">
        <v>104</v>
      </c>
      <c r="R1140" s="2">
        <f>VLOOKUP(SALIDAS111518[[#This Row],[CÓDIGO]],PRODUCTOS31316[],2,FALSE)</f>
        <v>0</v>
      </c>
      <c r="S1140" s="1" t="str">
        <f>VLOOKUP(SALIDAS111518[[#This Row],[CÓDIGO]],PRODUCTOS31316[],3,FALSE)</f>
        <v>ISPERM CHIPS (500 TESTS PER BOX) PAQ. X 50 UND</v>
      </c>
      <c r="T1140" s="2">
        <v>5</v>
      </c>
      <c r="U1140" s="319" t="s">
        <v>4521</v>
      </c>
      <c r="V1140" s="2"/>
      <c r="W1140" s="2"/>
      <c r="X1140" s="2"/>
      <c r="Y1140" s="7"/>
      <c r="Z1140" s="2"/>
      <c r="AA1140" s="1"/>
      <c r="AC1140" s="2"/>
      <c r="AE1140" s="1"/>
      <c r="AG1140" s="2"/>
    </row>
    <row r="1141" spans="1:33" ht="49.95" customHeight="1" x14ac:dyDescent="0.3">
      <c r="A1141" s="350" t="s">
        <v>5126</v>
      </c>
      <c r="B1141" s="340"/>
      <c r="C1141" s="372" t="s">
        <v>5146</v>
      </c>
      <c r="D1141" s="372" t="s">
        <v>442</v>
      </c>
      <c r="E1141" s="372" t="s">
        <v>442</v>
      </c>
      <c r="F1141" s="372" t="s">
        <v>30</v>
      </c>
      <c r="G1141" s="2"/>
      <c r="H1141" s="14">
        <f>SUMIF(ENTRADAS71417[CÓDIGO],PRODUCTOS31316[[#This Row],[CÓDIGO]],ENTRADAS71417[CANTIDAD])</f>
        <v>1</v>
      </c>
      <c r="I1141" s="11">
        <f>SUMIF(SALIDAS111518[CÓDIGO],PRODUCTOS31316[[#This Row],[CÓDIGO]],SALIDAS111518[CANTIDAD])</f>
        <v>1</v>
      </c>
      <c r="J1141" s="6">
        <f>PRODUCTOS31316[[#This Row],[EXISTENCIAS]]+PRODUCTOS31316[[#This Row],[ENTRADAS]]-PRODUCTOS31316[[#This Row],[SALIDAS]]</f>
        <v>0</v>
      </c>
      <c r="L1141" s="319" t="s">
        <v>3520</v>
      </c>
      <c r="M1141" s="319" t="s">
        <v>4250</v>
      </c>
      <c r="N1141" s="320" t="s">
        <v>4524</v>
      </c>
      <c r="O1141" s="330" t="s">
        <v>2383</v>
      </c>
      <c r="P1141" s="16">
        <v>46107</v>
      </c>
      <c r="Q1141" s="319" t="s">
        <v>167</v>
      </c>
      <c r="R1141" s="2" t="str">
        <f>VLOOKUP(SALIDAS111518[[#This Row],[CÓDIGO]],PRODUCTOS31316[],2,FALSE)</f>
        <v>50050-1</v>
      </c>
      <c r="S1141" s="1" t="str">
        <f>VLOOKUP(SALIDAS111518[[#This Row],[CÓDIGO]],PRODUCTOS31316[],3,FALSE)</f>
        <v>TUBO CONICO PLUG, AUTOCLAVABLE ESTERIL  TAPA ROSCA DE 50 ML</v>
      </c>
      <c r="T1141" s="2">
        <v>2</v>
      </c>
      <c r="U1141" s="2">
        <v>504</v>
      </c>
      <c r="V1141" s="2"/>
      <c r="W1141" s="2"/>
      <c r="X1141" s="2"/>
      <c r="Y1141" s="7"/>
      <c r="Z1141" s="2"/>
      <c r="AA1141" s="1"/>
      <c r="AC1141" s="2"/>
      <c r="AE1141" s="1"/>
      <c r="AG1141" s="2"/>
    </row>
    <row r="1142" spans="1:33" ht="49.95" customHeight="1" x14ac:dyDescent="0.3">
      <c r="A1142" s="371" t="s">
        <v>5083</v>
      </c>
      <c r="B1142" s="340"/>
      <c r="C1142" s="372" t="s">
        <v>5147</v>
      </c>
      <c r="D1142" s="372" t="s">
        <v>3042</v>
      </c>
      <c r="E1142" s="372" t="s">
        <v>3042</v>
      </c>
      <c r="F1142" s="372" t="s">
        <v>30</v>
      </c>
      <c r="G1142" s="2"/>
      <c r="H1142" s="14">
        <f>SUMIF(ENTRADAS71417[CÓDIGO],PRODUCTOS31316[[#This Row],[CÓDIGO]],ENTRADAS71417[CANTIDAD])</f>
        <v>45</v>
      </c>
      <c r="I1142" s="11">
        <f>SUMIF(SALIDAS111518[CÓDIGO],PRODUCTOS31316[[#This Row],[CÓDIGO]],SALIDAS111518[CANTIDAD])</f>
        <v>29</v>
      </c>
      <c r="J1142" s="6">
        <f>PRODUCTOS31316[[#This Row],[EXISTENCIAS]]+PRODUCTOS31316[[#This Row],[ENTRADAS]]-PRODUCTOS31316[[#This Row],[SALIDAS]]</f>
        <v>16</v>
      </c>
      <c r="L1142" s="2"/>
      <c r="M1142" s="2"/>
      <c r="N1142" s="2">
        <v>8103</v>
      </c>
      <c r="O1142" s="320" t="s">
        <v>2383</v>
      </c>
      <c r="P1142" s="16">
        <v>46107</v>
      </c>
      <c r="Q1142" s="319" t="s">
        <v>2232</v>
      </c>
      <c r="R1142" s="2">
        <f>VLOOKUP(SALIDAS111518[[#This Row],[CÓDIGO]],PRODUCTOS31316[],2,FALSE)</f>
        <v>0</v>
      </c>
      <c r="S1142" s="1" t="str">
        <f>VLOOKUP(SALIDAS111518[[#This Row],[CÓDIGO]],PRODUCTOS31316[],3,FALSE)</f>
        <v>CONO RECOLECTOR</v>
      </c>
      <c r="T1142" s="2">
        <v>1</v>
      </c>
      <c r="U1142" s="2"/>
      <c r="V1142" s="2"/>
      <c r="W1142" s="2"/>
      <c r="X1142" s="2"/>
      <c r="Y1142" s="7"/>
      <c r="Z1142" s="2"/>
      <c r="AA1142" s="1"/>
      <c r="AC1142" s="2"/>
      <c r="AE1142" s="1"/>
      <c r="AG1142" s="2"/>
    </row>
    <row r="1143" spans="1:33" ht="49.95" customHeight="1" x14ac:dyDescent="0.3">
      <c r="A1143" s="371" t="s">
        <v>5127</v>
      </c>
      <c r="B1143" s="340"/>
      <c r="C1143" s="372" t="s">
        <v>5148</v>
      </c>
      <c r="D1143" s="372" t="s">
        <v>442</v>
      </c>
      <c r="E1143" s="372" t="s">
        <v>442</v>
      </c>
      <c r="F1143" s="372" t="s">
        <v>30</v>
      </c>
      <c r="G1143" s="2"/>
      <c r="H1143" s="14">
        <f>SUMIF(ENTRADAS71417[CÓDIGO],PRODUCTOS31316[[#This Row],[CÓDIGO]],ENTRADAS71417[CANTIDAD])</f>
        <v>1500</v>
      </c>
      <c r="I1143" s="11">
        <f>SUMIF(SALIDAS111518[CÓDIGO],PRODUCTOS31316[[#This Row],[CÓDIGO]],SALIDAS111518[CANTIDAD])</f>
        <v>1500</v>
      </c>
      <c r="J1143" s="6">
        <f>PRODUCTOS31316[[#This Row],[EXISTENCIAS]]+PRODUCTOS31316[[#This Row],[ENTRADAS]]-PRODUCTOS31316[[#This Row],[SALIDAS]]</f>
        <v>0</v>
      </c>
      <c r="L1143" s="2"/>
      <c r="M1143" s="2"/>
      <c r="N1143" s="2">
        <v>8103</v>
      </c>
      <c r="O1143" s="320" t="s">
        <v>2383</v>
      </c>
      <c r="P1143" s="16">
        <v>46107</v>
      </c>
      <c r="Q1143" s="319" t="s">
        <v>104</v>
      </c>
      <c r="R1143" s="2">
        <f>VLOOKUP(SALIDAS111518[[#This Row],[CÓDIGO]],PRODUCTOS31316[],2,FALSE)</f>
        <v>0</v>
      </c>
      <c r="S1143" s="1" t="str">
        <f>VLOOKUP(SALIDAS111518[[#This Row],[CÓDIGO]],PRODUCTOS31316[],3,FALSE)</f>
        <v>ISPERM CHIPS (500 TESTS PER BOX) PAQ. X 50 UND</v>
      </c>
      <c r="T1143" s="2">
        <v>1</v>
      </c>
      <c r="U1143" s="2"/>
      <c r="V1143" s="2"/>
      <c r="W1143" s="2"/>
      <c r="X1143" s="2"/>
      <c r="Y1143" s="7"/>
      <c r="Z1143" s="2"/>
      <c r="AA1143" s="1"/>
      <c r="AC1143" s="2"/>
      <c r="AE1143" s="1"/>
      <c r="AG1143" s="2"/>
    </row>
    <row r="1144" spans="1:33" ht="49.95" customHeight="1" x14ac:dyDescent="0.3">
      <c r="A1144" s="371" t="s">
        <v>5128</v>
      </c>
      <c r="B1144" s="340"/>
      <c r="C1144" s="372" t="s">
        <v>5149</v>
      </c>
      <c r="D1144" s="372" t="s">
        <v>2537</v>
      </c>
      <c r="E1144" s="372" t="s">
        <v>957</v>
      </c>
      <c r="F1144" s="372" t="s">
        <v>5142</v>
      </c>
      <c r="G1144" s="2"/>
      <c r="H1144" s="14">
        <f>SUMIF(ENTRADAS71417[CÓDIGO],PRODUCTOS31316[[#This Row],[CÓDIGO]],ENTRADAS71417[CANTIDAD])</f>
        <v>25</v>
      </c>
      <c r="I1144" s="11">
        <f>SUMIF(SALIDAS111518[CÓDIGO],PRODUCTOS31316[[#This Row],[CÓDIGO]],SALIDAS111518[CANTIDAD])</f>
        <v>17</v>
      </c>
      <c r="J1144" s="6">
        <f>PRODUCTOS31316[[#This Row],[EXISTENCIAS]]+PRODUCTOS31316[[#This Row],[ENTRADAS]]-PRODUCTOS31316[[#This Row],[SALIDAS]]</f>
        <v>8</v>
      </c>
      <c r="L1144" s="2"/>
      <c r="M1144" s="2"/>
      <c r="N1144" s="2">
        <v>8103</v>
      </c>
      <c r="O1144" s="320" t="s">
        <v>2383</v>
      </c>
      <c r="P1144" s="16">
        <v>46107</v>
      </c>
      <c r="Q1144" s="319" t="s">
        <v>411</v>
      </c>
      <c r="R1144" s="2">
        <f>VLOOKUP(SALIDAS111518[[#This Row],[CÓDIGO]],PRODUCTOS31316[],2,FALSE)</f>
        <v>0</v>
      </c>
      <c r="S1144" s="1" t="str">
        <f>VLOOKUP(SALIDAS111518[[#This Row],[CÓDIGO]],PRODUCTOS31316[],3,FALSE)</f>
        <v>BOLSA WHIRL-PAK 4 oz</v>
      </c>
      <c r="T1144" s="2">
        <v>10</v>
      </c>
      <c r="U1144" s="2"/>
      <c r="V1144" s="2"/>
      <c r="W1144" s="2"/>
      <c r="X1144" s="2"/>
      <c r="Y1144" s="7"/>
      <c r="Z1144" s="2"/>
      <c r="AA1144" s="1"/>
      <c r="AC1144" s="2"/>
      <c r="AE1144" s="1"/>
      <c r="AG1144" s="2"/>
    </row>
    <row r="1145" spans="1:33" ht="49.95" customHeight="1" x14ac:dyDescent="0.3">
      <c r="A1145" s="371" t="s">
        <v>5129</v>
      </c>
      <c r="B1145" s="340"/>
      <c r="C1145" s="372" t="s">
        <v>5150</v>
      </c>
      <c r="D1145" s="372" t="s">
        <v>4654</v>
      </c>
      <c r="E1145" s="372" t="s">
        <v>4654</v>
      </c>
      <c r="F1145" s="372" t="s">
        <v>541</v>
      </c>
      <c r="G1145" s="2"/>
      <c r="H1145" s="14">
        <f>SUMIF(ENTRADAS71417[CÓDIGO],PRODUCTOS31316[[#This Row],[CÓDIGO]],ENTRADAS71417[CANTIDAD])</f>
        <v>0</v>
      </c>
      <c r="I1145" s="11">
        <f>SUMIF(SALIDAS111518[CÓDIGO],PRODUCTOS31316[[#This Row],[CÓDIGO]],SALIDAS111518[CANTIDAD])</f>
        <v>0</v>
      </c>
      <c r="J1145" s="6">
        <f>PRODUCTOS31316[[#This Row],[EXISTENCIAS]]+PRODUCTOS31316[[#This Row],[ENTRADAS]]-PRODUCTOS31316[[#This Row],[SALIDAS]]</f>
        <v>0</v>
      </c>
      <c r="L1145" s="319" t="s">
        <v>3520</v>
      </c>
      <c r="M1145" s="319" t="s">
        <v>4250</v>
      </c>
      <c r="N1145" s="320" t="s">
        <v>4525</v>
      </c>
      <c r="O1145" s="320" t="s">
        <v>2820</v>
      </c>
      <c r="P1145" s="16">
        <v>46107</v>
      </c>
      <c r="Q1145" s="319" t="s">
        <v>104</v>
      </c>
      <c r="R1145" s="2">
        <f>VLOOKUP(SALIDAS111518[[#This Row],[CÓDIGO]],PRODUCTOS31316[],2,FALSE)</f>
        <v>0</v>
      </c>
      <c r="S1145" s="1" t="str">
        <f>VLOOKUP(SALIDAS111518[[#This Row],[CÓDIGO]],PRODUCTOS31316[],3,FALSE)</f>
        <v>ISPERM CHIPS (500 TESTS PER BOX) PAQ. X 50 UND</v>
      </c>
      <c r="T1145" s="2">
        <v>4</v>
      </c>
      <c r="U1145" s="2">
        <v>505</v>
      </c>
      <c r="V1145" s="2"/>
      <c r="W1145" s="2"/>
      <c r="X1145" s="2"/>
      <c r="Y1145" s="7"/>
      <c r="Z1145" s="2"/>
      <c r="AA1145" s="1"/>
      <c r="AC1145" s="2"/>
      <c r="AE1145" s="1"/>
      <c r="AG1145" s="2"/>
    </row>
    <row r="1146" spans="1:33" ht="49.95" customHeight="1" x14ac:dyDescent="0.3">
      <c r="A1146" s="391" t="s">
        <v>5618</v>
      </c>
      <c r="B1146" s="340"/>
      <c r="C1146" s="390" t="s">
        <v>5619</v>
      </c>
      <c r="D1146" s="390" t="s">
        <v>471</v>
      </c>
      <c r="E1146" s="390" t="s">
        <v>471</v>
      </c>
      <c r="F1146" s="390" t="s">
        <v>30</v>
      </c>
      <c r="G1146" s="2"/>
      <c r="H1146" s="14">
        <f>SUMIF(ENTRADAS71417[CÓDIGO],PRODUCTOS31316[[#This Row],[CÓDIGO]],ENTRADAS71417[CANTIDAD])</f>
        <v>1</v>
      </c>
      <c r="I1146" s="11">
        <f>SUMIF(SALIDAS111518[CÓDIGO],PRODUCTOS31316[[#This Row],[CÓDIGO]],SALIDAS111518[CANTIDAD])</f>
        <v>1</v>
      </c>
      <c r="J1146" s="6">
        <f>PRODUCTOS31316[[#This Row],[EXISTENCIAS]]+PRODUCTOS31316[[#This Row],[ENTRADAS]]-PRODUCTOS31316[[#This Row],[SALIDAS]]</f>
        <v>0</v>
      </c>
      <c r="L1146" s="2"/>
      <c r="M1146" s="2"/>
      <c r="N1146" s="2">
        <v>8104</v>
      </c>
      <c r="O1146" s="336" t="s">
        <v>2820</v>
      </c>
      <c r="P1146" s="16">
        <v>46107</v>
      </c>
      <c r="Q1146" s="319" t="s">
        <v>411</v>
      </c>
      <c r="R1146" s="2">
        <f>VLOOKUP(SALIDAS111518[[#This Row],[CÓDIGO]],PRODUCTOS31316[],2,FALSE)</f>
        <v>0</v>
      </c>
      <c r="S1146" s="1" t="str">
        <f>VLOOKUP(SALIDAS111518[[#This Row],[CÓDIGO]],PRODUCTOS31316[],3,FALSE)</f>
        <v>BOLSA WHIRL-PAK 4 oz</v>
      </c>
      <c r="T1146" s="2">
        <v>50</v>
      </c>
      <c r="U1146" s="2"/>
      <c r="V1146" s="2"/>
      <c r="W1146" s="2"/>
      <c r="X1146" s="2"/>
      <c r="Y1146" s="7"/>
      <c r="Z1146" s="2"/>
      <c r="AA1146" s="1"/>
      <c r="AC1146" s="2"/>
      <c r="AE1146" s="1"/>
      <c r="AG1146" s="2"/>
    </row>
    <row r="1147" spans="1:33" ht="49.95" customHeight="1" x14ac:dyDescent="0.3">
      <c r="A1147" s="397" t="s">
        <v>5663</v>
      </c>
      <c r="B1147" s="340"/>
      <c r="C1147" s="406" t="s">
        <v>5732</v>
      </c>
      <c r="D1147" s="398" t="s">
        <v>467</v>
      </c>
      <c r="E1147" s="398" t="s">
        <v>467</v>
      </c>
      <c r="F1147" s="398" t="s">
        <v>30</v>
      </c>
      <c r="G1147" s="2"/>
      <c r="H1147" s="14">
        <f>SUMIF(ENTRADAS71417[CÓDIGO],PRODUCTOS31316[[#This Row],[CÓDIGO]],ENTRADAS71417[CANTIDAD])</f>
        <v>1</v>
      </c>
      <c r="I1147" s="11">
        <f>SUMIF(SALIDAS111518[CÓDIGO],PRODUCTOS31316[[#This Row],[CÓDIGO]],SALIDAS111518[CANTIDAD])</f>
        <v>1</v>
      </c>
      <c r="J1147" s="6">
        <f>PRODUCTOS31316[[#This Row],[EXISTENCIAS]]+PRODUCTOS31316[[#This Row],[ENTRADAS]]-PRODUCTOS31316[[#This Row],[SALIDAS]]</f>
        <v>0</v>
      </c>
      <c r="L1147" s="319" t="s">
        <v>3521</v>
      </c>
      <c r="M1147" s="319" t="s">
        <v>4250</v>
      </c>
      <c r="N1147" s="320" t="s">
        <v>4526</v>
      </c>
      <c r="O1147" s="319" t="s">
        <v>4523</v>
      </c>
      <c r="P1147" s="16">
        <v>46107</v>
      </c>
      <c r="Q1147" s="319" t="s">
        <v>104</v>
      </c>
      <c r="R1147" s="2">
        <f>VLOOKUP(SALIDAS111518[[#This Row],[CÓDIGO]],PRODUCTOS31316[],2,FALSE)</f>
        <v>0</v>
      </c>
      <c r="S1147" s="1" t="str">
        <f>VLOOKUP(SALIDAS111518[[#This Row],[CÓDIGO]],PRODUCTOS31316[],3,FALSE)</f>
        <v>ISPERM CHIPS (500 TESTS PER BOX) PAQ. X 50 UND</v>
      </c>
      <c r="T1147" s="2">
        <v>1</v>
      </c>
      <c r="U1147" s="2">
        <v>506</v>
      </c>
      <c r="V1147" s="2"/>
      <c r="W1147" s="2"/>
      <c r="X1147" s="2"/>
      <c r="Y1147" s="7"/>
      <c r="Z1147" s="2"/>
      <c r="AA1147" s="1"/>
      <c r="AC1147" s="2"/>
      <c r="AE1147" s="1"/>
      <c r="AG1147" s="2"/>
    </row>
    <row r="1148" spans="1:33" ht="49.95" customHeight="1" x14ac:dyDescent="0.3">
      <c r="A1148" s="397" t="s">
        <v>5664</v>
      </c>
      <c r="B1148" s="340"/>
      <c r="C1148" s="406" t="s">
        <v>5733</v>
      </c>
      <c r="D1148" s="398" t="s">
        <v>467</v>
      </c>
      <c r="E1148" s="398" t="s">
        <v>467</v>
      </c>
      <c r="F1148" s="398" t="s">
        <v>30</v>
      </c>
      <c r="G1148" s="2"/>
      <c r="H1148" s="14">
        <f>SUMIF(ENTRADAS71417[CÓDIGO],PRODUCTOS31316[[#This Row],[CÓDIGO]],ENTRADAS71417[CANTIDAD])</f>
        <v>1</v>
      </c>
      <c r="I1148" s="11">
        <f>SUMIF(SALIDAS111518[CÓDIGO],PRODUCTOS31316[[#This Row],[CÓDIGO]],SALIDAS111518[CANTIDAD])</f>
        <v>0</v>
      </c>
      <c r="J1148" s="6">
        <f>PRODUCTOS31316[[#This Row],[EXISTENCIAS]]+PRODUCTOS31316[[#This Row],[ENTRADAS]]-PRODUCTOS31316[[#This Row],[SALIDAS]]</f>
        <v>1</v>
      </c>
      <c r="L1148" s="319" t="s">
        <v>3520</v>
      </c>
      <c r="M1148" s="319" t="s">
        <v>4250</v>
      </c>
      <c r="N1148" s="320" t="s">
        <v>4528</v>
      </c>
      <c r="O1148" s="320" t="s">
        <v>2735</v>
      </c>
      <c r="P1148" s="16">
        <v>46107</v>
      </c>
      <c r="Q1148" s="319" t="s">
        <v>3327</v>
      </c>
      <c r="R1148" s="2">
        <f>VLOOKUP(SALIDAS111518[[#This Row],[CÓDIGO]],PRODUCTOS31316[],2,FALSE)</f>
        <v>9006006</v>
      </c>
      <c r="S1148" s="1" t="str">
        <f>VLOOKUP(SALIDAS111518[[#This Row],[CÓDIGO]],PRODUCTOS31316[],3,FALSE)</f>
        <v>LACRADOR LARGO PURPURA</v>
      </c>
      <c r="T1148" s="2">
        <v>2</v>
      </c>
      <c r="U1148" s="319" t="s">
        <v>4527</v>
      </c>
      <c r="V1148" s="2"/>
      <c r="W1148" s="2"/>
      <c r="X1148" s="2"/>
      <c r="Y1148" s="7"/>
      <c r="Z1148" s="2"/>
      <c r="AA1148" s="1"/>
      <c r="AC1148" s="2"/>
      <c r="AE1148" s="1"/>
      <c r="AG1148" s="2"/>
    </row>
    <row r="1149" spans="1:33" ht="49.95" customHeight="1" x14ac:dyDescent="0.3">
      <c r="A1149" s="397" t="s">
        <v>5667</v>
      </c>
      <c r="B1149" s="340"/>
      <c r="C1149" s="398" t="s">
        <v>5668</v>
      </c>
      <c r="D1149" s="398" t="s">
        <v>3413</v>
      </c>
      <c r="E1149" s="398" t="s">
        <v>3413</v>
      </c>
      <c r="F1149" s="398" t="s">
        <v>30</v>
      </c>
      <c r="G1149" s="2"/>
      <c r="H1149" s="14">
        <f>SUMIF(ENTRADAS71417[CÓDIGO],PRODUCTOS31316[[#This Row],[CÓDIGO]],ENTRADAS71417[CANTIDAD])</f>
        <v>1</v>
      </c>
      <c r="I1149" s="11">
        <f>SUMIF(SALIDAS111518[CÓDIGO],PRODUCTOS31316[[#This Row],[CÓDIGO]],SALIDAS111518[CANTIDAD])</f>
        <v>1</v>
      </c>
      <c r="J1149" s="6">
        <f>PRODUCTOS31316[[#This Row],[EXISTENCIAS]]+PRODUCTOS31316[[#This Row],[ENTRADAS]]-PRODUCTOS31316[[#This Row],[SALIDAS]]</f>
        <v>0</v>
      </c>
      <c r="L1149" s="319" t="s">
        <v>3520</v>
      </c>
      <c r="M1149" s="319" t="s">
        <v>4250</v>
      </c>
      <c r="N1149" s="320" t="s">
        <v>4529</v>
      </c>
      <c r="O1149" s="319" t="s">
        <v>2311</v>
      </c>
      <c r="P1149" s="16">
        <v>46108</v>
      </c>
      <c r="Q1149" s="319" t="s">
        <v>15</v>
      </c>
      <c r="R1149" s="2" t="str">
        <f>VLOOKUP(SALIDAS111518[[#This Row],[CÓDIGO]],PRODUCTOS31316[],2,FALSE)</f>
        <v>BTE-025PT/ 504002</v>
      </c>
      <c r="S1149" s="1" t="str">
        <f>VLOOKUP(SALIDAS111518[[#This Row],[CÓDIGO]],PRODUCTOS31316[],3,FALSE)</f>
        <v>FUNDAS PARA TRANSFERENCIA DE EMBRIONES</v>
      </c>
      <c r="T1149" s="2">
        <v>200</v>
      </c>
      <c r="U1149" s="2">
        <v>508</v>
      </c>
      <c r="V1149" s="2"/>
      <c r="W1149" s="2"/>
      <c r="X1149" s="2"/>
      <c r="Y1149" s="7"/>
      <c r="Z1149" s="2"/>
      <c r="AA1149" s="1"/>
      <c r="AC1149" s="2"/>
      <c r="AE1149" s="1"/>
      <c r="AG1149" s="2"/>
    </row>
    <row r="1150" spans="1:33" ht="49.95" customHeight="1" x14ac:dyDescent="0.3">
      <c r="A1150" s="407" t="s">
        <v>5731</v>
      </c>
      <c r="B1150" s="340"/>
      <c r="C1150" s="398" t="s">
        <v>5665</v>
      </c>
      <c r="D1150" s="398" t="s">
        <v>467</v>
      </c>
      <c r="E1150" s="398" t="s">
        <v>467</v>
      </c>
      <c r="F1150" s="398" t="s">
        <v>30</v>
      </c>
      <c r="G1150" s="2"/>
      <c r="H1150" s="14">
        <f>SUMIF(ENTRADAS71417[CÓDIGO],PRODUCTOS31316[[#This Row],[CÓDIGO]],ENTRADAS71417[CANTIDAD])</f>
        <v>1</v>
      </c>
      <c r="I1150" s="11">
        <f>SUMIF(SALIDAS111518[CÓDIGO],PRODUCTOS31316[[#This Row],[CÓDIGO]],SALIDAS111518[CANTIDAD])</f>
        <v>0</v>
      </c>
      <c r="J1150" s="6">
        <f>PRODUCTOS31316[[#This Row],[EXISTENCIAS]]+PRODUCTOS31316[[#This Row],[ENTRADAS]]-PRODUCTOS31316[[#This Row],[SALIDAS]]</f>
        <v>1</v>
      </c>
      <c r="L1150" s="2"/>
      <c r="M1150" s="2"/>
      <c r="N1150" s="2">
        <v>8108</v>
      </c>
      <c r="O1150" s="319" t="s">
        <v>2311</v>
      </c>
      <c r="P1150" s="16">
        <v>46108</v>
      </c>
      <c r="Q1150" s="319" t="s">
        <v>1779</v>
      </c>
      <c r="R1150" s="2">
        <f>VLOOKUP(SALIDAS111518[[#This Row],[CÓDIGO]],PRODUCTOS31316[],2,FALSE)</f>
        <v>5563</v>
      </c>
      <c r="S1150" s="1" t="str">
        <f>VLOOKUP(SALIDAS111518[[#This Row],[CÓDIGO]],PRODUCTOS31316[],3,FALSE)</f>
        <v>CAMISA SANITARIA ROLLO X 80</v>
      </c>
      <c r="T1150" s="2">
        <v>13</v>
      </c>
      <c r="U1150" s="2"/>
      <c r="V1150" s="2"/>
      <c r="W1150" s="2"/>
      <c r="X1150" s="2"/>
      <c r="Y1150" s="7"/>
      <c r="Z1150" s="2"/>
      <c r="AA1150" s="1"/>
      <c r="AC1150" s="2"/>
      <c r="AE1150" s="1"/>
      <c r="AG1150" s="2"/>
    </row>
    <row r="1151" spans="1:33" ht="49.95" customHeight="1" x14ac:dyDescent="0.3">
      <c r="A1151" s="422" t="s">
        <v>5807</v>
      </c>
      <c r="B1151" s="421" t="s">
        <v>5808</v>
      </c>
      <c r="C1151" s="421" t="s">
        <v>5809</v>
      </c>
      <c r="D1151" s="191" t="s">
        <v>3243</v>
      </c>
      <c r="E1151" s="191" t="s">
        <v>177</v>
      </c>
      <c r="F1151" s="191" t="s">
        <v>139</v>
      </c>
      <c r="G1151" s="2">
        <v>0</v>
      </c>
      <c r="H1151" s="14">
        <f>SUMIF(ENTRADAS71417[CÓDIGO],PRODUCTOS31316[[#This Row],[CÓDIGO]],ENTRADAS71417[CANTIDAD])</f>
        <v>50</v>
      </c>
      <c r="I1151" s="11">
        <f>SUMIF(SALIDAS111518[CÓDIGO],PRODUCTOS31316[[#This Row],[CÓDIGO]],SALIDAS111518[CANTIDAD])</f>
        <v>15</v>
      </c>
      <c r="J1151" s="6">
        <f>PRODUCTOS31316[[#This Row],[EXISTENCIAS]]+PRODUCTOS31316[[#This Row],[ENTRADAS]]-PRODUCTOS31316[[#This Row],[SALIDAS]]</f>
        <v>35</v>
      </c>
      <c r="L1151" s="2"/>
      <c r="M1151" s="2"/>
      <c r="N1151" s="2">
        <v>8108</v>
      </c>
      <c r="O1151" s="319" t="s">
        <v>2311</v>
      </c>
      <c r="P1151" s="16">
        <v>46108</v>
      </c>
      <c r="Q1151" s="319" t="s">
        <v>247</v>
      </c>
      <c r="R1151" s="2">
        <f>VLOOKUP(SALIDAS111518[[#This Row],[CÓDIGO]],PRODUCTOS31316[],2,FALSE)</f>
        <v>352054</v>
      </c>
      <c r="S1151" s="1" t="str">
        <f>VLOOKUP(SALIDAS111518[[#This Row],[CÓDIGO]],PRODUCTOS31316[],3,FALSE)</f>
        <v>TUBO DE FONDO REDONDO DE 5ML 12X75MM , POLIESTIRENO</v>
      </c>
      <c r="T1151" s="2">
        <v>4</v>
      </c>
      <c r="U1151" s="2"/>
      <c r="V1151" s="2"/>
      <c r="W1151" s="2"/>
      <c r="X1151" s="2"/>
      <c r="Y1151" s="7"/>
      <c r="Z1151" s="2"/>
      <c r="AA1151" s="1"/>
      <c r="AC1151" s="2"/>
      <c r="AE1151" s="1"/>
      <c r="AG1151" s="2"/>
    </row>
    <row r="1152" spans="1:33" ht="49.95" customHeight="1" x14ac:dyDescent="0.3">
      <c r="A1152" s="261"/>
      <c r="B1152" s="191"/>
      <c r="C1152" s="216"/>
      <c r="D1152" s="191"/>
      <c r="E1152" s="191"/>
      <c r="F1152" s="191"/>
      <c r="G1152" s="2"/>
      <c r="H1152" s="14" t="e">
        <f>SUMIF(#REF!,PRODUCTOS31316[[#This Row],[CÓDIGO]],#REF!)</f>
        <v>#REF!</v>
      </c>
      <c r="I1152" s="11">
        <f>SUMIF(SALIDAS111518[CÓDIGO],PRODUCTOS31316[[#This Row],[CÓDIGO]],SALIDAS111518[CANTIDAD])</f>
        <v>0</v>
      </c>
      <c r="J1152" s="6" t="e">
        <f>PRODUCTOS31316[[#This Row],[EXISTENCIAS]]+PRODUCTOS31316[[#This Row],[ENTRADAS]]-PRODUCTOS31316[[#This Row],[SALIDAS]]</f>
        <v>#REF!</v>
      </c>
      <c r="L1152" s="2"/>
      <c r="M1152" s="2"/>
      <c r="N1152" s="2">
        <v>8108</v>
      </c>
      <c r="O1152" s="319" t="s">
        <v>2311</v>
      </c>
      <c r="P1152" s="16">
        <v>46108</v>
      </c>
      <c r="Q1152" s="319" t="s">
        <v>333</v>
      </c>
      <c r="R1152" s="2" t="str">
        <f>VLOOKUP(SALIDAS111518[[#This Row],[CÓDIGO]],PRODUCTOS31316[],2,FALSE)</f>
        <v>CTB15</v>
      </c>
      <c r="S1152" s="1" t="str">
        <f>VLOOKUP(SALIDAS111518[[#This Row],[CÓDIGO]],PRODUCTOS31316[],3,FALSE)</f>
        <v>TUBO CÓNICO DE 15 ML, TAPA ROSCA ESTÉRIL  RCF MAX: 10000xg, 
graduados, PCR puro. VENCE: 03/04/2028</v>
      </c>
      <c r="T1152" s="2">
        <v>2</v>
      </c>
      <c r="U1152" s="2"/>
      <c r="V1152" s="2"/>
      <c r="W1152" s="2"/>
      <c r="X1152" s="2"/>
      <c r="Y1152" s="7"/>
      <c r="Z1152" s="2"/>
      <c r="AA1152" s="1"/>
      <c r="AC1152" s="2"/>
      <c r="AE1152" s="1"/>
      <c r="AG1152" s="2"/>
    </row>
    <row r="1153" spans="1:33" ht="49.95" customHeight="1" x14ac:dyDescent="0.3">
      <c r="A1153" s="261"/>
      <c r="B1153" s="191"/>
      <c r="C1153" s="216"/>
      <c r="D1153" s="191"/>
      <c r="E1153" s="191"/>
      <c r="F1153" s="191"/>
      <c r="G1153" s="2"/>
      <c r="H1153" s="14" t="e">
        <f>SUMIF(#REF!,PRODUCTOS31316[[#This Row],[CÓDIGO]],#REF!)</f>
        <v>#REF!</v>
      </c>
      <c r="I1153" s="11">
        <f>SUMIF(SALIDAS111518[CÓDIGO],PRODUCTOS31316[[#This Row],[CÓDIGO]],SALIDAS111518[CANTIDAD])</f>
        <v>0</v>
      </c>
      <c r="J1153" s="6" t="e">
        <f>PRODUCTOS31316[[#This Row],[EXISTENCIAS]]+PRODUCTOS31316[[#This Row],[ENTRADAS]]-PRODUCTOS31316[[#This Row],[SALIDAS]]</f>
        <v>#REF!</v>
      </c>
      <c r="L1153" s="2"/>
      <c r="M1153" s="2"/>
      <c r="N1153" s="2">
        <v>8108</v>
      </c>
      <c r="O1153" s="319" t="s">
        <v>2311</v>
      </c>
      <c r="P1153" s="16">
        <v>46108</v>
      </c>
      <c r="Q1153" s="319" t="s">
        <v>3026</v>
      </c>
      <c r="R1153" s="2" t="str">
        <f>VLOOKUP(SALIDAS111518[[#This Row],[CÓDIGO]],PRODUCTOS31316[],2,FALSE)</f>
        <v>MCTB020</v>
      </c>
      <c r="S1153" s="1" t="str">
        <f>VLOOKUP(SALIDAS111518[[#This Row],[CÓDIGO]],PRODUCTOS31316[],3,FALSE)</f>
        <v>TUBO EPPENDORF DE 2,0 ML</v>
      </c>
      <c r="T1153" s="2">
        <v>2</v>
      </c>
      <c r="U1153" s="2"/>
      <c r="V1153" s="2"/>
      <c r="W1153" s="2"/>
      <c r="X1153" s="2"/>
      <c r="Y1153" s="7"/>
      <c r="Z1153" s="2"/>
      <c r="AA1153" s="1"/>
      <c r="AC1153" s="2"/>
      <c r="AE1153" s="1"/>
      <c r="AG1153" s="2"/>
    </row>
    <row r="1154" spans="1:33" ht="49.95" customHeight="1" x14ac:dyDescent="0.3">
      <c r="A1154" s="261"/>
      <c r="B1154" s="191"/>
      <c r="C1154" s="216"/>
      <c r="D1154" s="191"/>
      <c r="E1154" s="191"/>
      <c r="F1154" s="191"/>
      <c r="G1154" s="2"/>
      <c r="H1154" s="14" t="e">
        <f>SUMIF(#REF!,PRODUCTOS31316[[#This Row],[CÓDIGO]],#REF!)</f>
        <v>#REF!</v>
      </c>
      <c r="I1154" s="11">
        <f>SUMIF(SALIDAS111518[CÓDIGO],PRODUCTOS31316[[#This Row],[CÓDIGO]],SALIDAS111518[CANTIDAD])</f>
        <v>0</v>
      </c>
      <c r="J1154" s="6" t="e">
        <f>PRODUCTOS31316[[#This Row],[EXISTENCIAS]]+PRODUCTOS31316[[#This Row],[ENTRADAS]]-PRODUCTOS31316[[#This Row],[SALIDAS]]</f>
        <v>#REF!</v>
      </c>
      <c r="L1154" s="319" t="s">
        <v>3520</v>
      </c>
      <c r="M1154" s="319" t="s">
        <v>4250</v>
      </c>
      <c r="N1154" s="320" t="s">
        <v>4533</v>
      </c>
      <c r="O1154" s="319" t="s">
        <v>3652</v>
      </c>
      <c r="P1154" s="16">
        <v>46108</v>
      </c>
      <c r="Q1154" s="319" t="s">
        <v>104</v>
      </c>
      <c r="R1154" s="2">
        <f>VLOOKUP(SALIDAS111518[[#This Row],[CÓDIGO]],PRODUCTOS31316[],2,FALSE)</f>
        <v>0</v>
      </c>
      <c r="S1154" s="1" t="str">
        <f>VLOOKUP(SALIDAS111518[[#This Row],[CÓDIGO]],PRODUCTOS31316[],3,FALSE)</f>
        <v>ISPERM CHIPS (500 TESTS PER BOX) PAQ. X 50 UND</v>
      </c>
      <c r="T1154" s="2">
        <v>6</v>
      </c>
      <c r="U1154" s="2">
        <v>510</v>
      </c>
      <c r="V1154" s="2"/>
      <c r="W1154" s="2"/>
      <c r="X1154" s="2"/>
      <c r="Y1154" s="7"/>
      <c r="Z1154" s="2"/>
      <c r="AA1154" s="1"/>
      <c r="AC1154" s="2"/>
      <c r="AE1154" s="1"/>
      <c r="AG1154" s="2"/>
    </row>
    <row r="1155" spans="1:33" ht="49.95" customHeight="1" x14ac:dyDescent="0.3">
      <c r="A1155" s="261"/>
      <c r="B1155" s="191"/>
      <c r="C1155" s="216"/>
      <c r="D1155" s="191"/>
      <c r="E1155" s="191"/>
      <c r="F1155" s="191"/>
      <c r="G1155" s="2"/>
      <c r="H1155" s="14" t="e">
        <f>SUMIF(#REF!,PRODUCTOS31316[[#This Row],[CÓDIGO]],#REF!)</f>
        <v>#REF!</v>
      </c>
      <c r="I1155" s="11">
        <f>SUMIF(SALIDAS111518[CÓDIGO],PRODUCTOS31316[[#This Row],[CÓDIGO]],SALIDAS111518[CANTIDAD])</f>
        <v>0</v>
      </c>
      <c r="J1155" s="6" t="e">
        <f>PRODUCTOS31316[[#This Row],[EXISTENCIAS]]+PRODUCTOS31316[[#This Row],[ENTRADAS]]-PRODUCTOS31316[[#This Row],[SALIDAS]]</f>
        <v>#REF!</v>
      </c>
      <c r="L1155" s="319" t="s">
        <v>3520</v>
      </c>
      <c r="M1155" s="319" t="s">
        <v>4250</v>
      </c>
      <c r="N1155" s="1" t="s">
        <v>4859</v>
      </c>
      <c r="O1155" s="319" t="s">
        <v>3640</v>
      </c>
      <c r="P1155" s="16">
        <v>46136</v>
      </c>
      <c r="Q1155" s="319" t="s">
        <v>2329</v>
      </c>
      <c r="R1155" s="2">
        <f>VLOOKUP(SALIDAS111518[[#This Row],[CÓDIGO]],PRODUCTOS31316[],2,FALSE)</f>
        <v>1505</v>
      </c>
      <c r="S1155" s="1" t="str">
        <f>VLOOKUP(SALIDAS111518[[#This Row],[CÓDIGO]],PRODUCTOS31316[],3,FALSE)</f>
        <v>SONDA PROVETSCAN WIFI SU-3/ INCLUYE: CARGADOR GENÉRICO 2A, ARNES GENÉRICO, MALETA SU-3A</v>
      </c>
      <c r="T1155" s="2">
        <v>1</v>
      </c>
      <c r="U1155" s="2">
        <v>680</v>
      </c>
      <c r="V1155" s="2" t="s">
        <v>4992</v>
      </c>
      <c r="W1155" s="2"/>
      <c r="X1155" s="2"/>
      <c r="Y1155" s="7"/>
      <c r="Z1155" s="2"/>
      <c r="AA1155" s="1"/>
      <c r="AC1155" s="2"/>
      <c r="AE1155" s="1"/>
      <c r="AG1155" s="2"/>
    </row>
    <row r="1156" spans="1:33" ht="49.95" customHeight="1" x14ac:dyDescent="0.3">
      <c r="A1156" s="261"/>
      <c r="B1156" s="191"/>
      <c r="C1156" s="216"/>
      <c r="D1156" s="191"/>
      <c r="E1156" s="191"/>
      <c r="F1156" s="191"/>
      <c r="G1156" s="2"/>
      <c r="H1156" s="14" t="e">
        <f>SUMIF(#REF!,PRODUCTOS31316[[#This Row],[CÓDIGO]],#REF!)</f>
        <v>#REF!</v>
      </c>
      <c r="I1156" s="11">
        <f>SUMIF(SALIDAS111518[CÓDIGO],PRODUCTOS31316[[#This Row],[CÓDIGO]],SALIDAS111518[CANTIDAD])</f>
        <v>0</v>
      </c>
      <c r="J1156" s="6" t="e">
        <f>PRODUCTOS31316[[#This Row],[EXISTENCIAS]]+PRODUCTOS31316[[#This Row],[ENTRADAS]]-PRODUCTOS31316[[#This Row],[SALIDAS]]</f>
        <v>#REF!</v>
      </c>
      <c r="L1156" s="319" t="s">
        <v>3520</v>
      </c>
      <c r="M1156" s="319" t="s">
        <v>4250</v>
      </c>
      <c r="N1156" s="320" t="s">
        <v>4535</v>
      </c>
      <c r="O1156" s="340" t="s">
        <v>2705</v>
      </c>
      <c r="P1156" s="16">
        <v>46108</v>
      </c>
      <c r="Q1156" s="319" t="s">
        <v>210</v>
      </c>
      <c r="R1156" s="2">
        <f>VLOOKUP(SALIDAS111518[[#This Row],[CÓDIGO]],PRODUCTOS31316[],2,FALSE)</f>
        <v>101257</v>
      </c>
      <c r="S1156" s="1" t="str">
        <f>VLOOKUP(SALIDAS111518[[#This Row],[CÓDIGO]],PRODUCTOS31316[],3,FALSE)</f>
        <v>MANGA DESECHABLE SUPER SENSITIVA</v>
      </c>
      <c r="T1156" s="2">
        <v>10</v>
      </c>
      <c r="U1156" s="320" t="s">
        <v>4534</v>
      </c>
      <c r="V1156" s="2"/>
      <c r="W1156" s="2"/>
      <c r="X1156" s="2"/>
      <c r="Y1156" s="7"/>
      <c r="Z1156" s="2"/>
      <c r="AA1156" s="1"/>
      <c r="AC1156" s="2"/>
      <c r="AE1156" s="1"/>
      <c r="AG1156" s="2"/>
    </row>
    <row r="1157" spans="1:33" ht="49.95" customHeight="1" x14ac:dyDescent="0.3">
      <c r="A1157" s="211" t="s">
        <v>3297</v>
      </c>
      <c r="C1157" s="217" t="s">
        <v>3188</v>
      </c>
      <c r="D1157" s="174" t="s">
        <v>467</v>
      </c>
      <c r="E1157" s="176" t="s">
        <v>467</v>
      </c>
      <c r="F1157" s="147" t="s">
        <v>30</v>
      </c>
      <c r="G1157" s="2">
        <v>4</v>
      </c>
      <c r="H1157" s="14">
        <f>SUMIF(ENTRADAS71417[CÓDIGO],PRODUCTOS31316[[#This Row],[CÓDIGO]],ENTRADAS71417[CANTIDAD])</f>
        <v>0</v>
      </c>
      <c r="I1157" s="11">
        <f>SUMIF(SALIDAS111518[CÓDIGO],PRODUCTOS31316[[#This Row],[CÓDIGO]],SALIDAS111518[CANTIDAD])</f>
        <v>0</v>
      </c>
      <c r="J1157" s="6">
        <f>PRODUCTOS31316[[#This Row],[EXISTENCIAS]]+PRODUCTOS31316[[#This Row],[ENTRADAS]]-PRODUCTOS31316[[#This Row],[SALIDAS]]</f>
        <v>4</v>
      </c>
      <c r="L1157" s="319" t="s">
        <v>3521</v>
      </c>
      <c r="M1157" s="319" t="s">
        <v>4250</v>
      </c>
      <c r="N1157" s="320" t="s">
        <v>4536</v>
      </c>
      <c r="O1157" s="319" t="s">
        <v>4519</v>
      </c>
      <c r="P1157" s="16">
        <v>46108</v>
      </c>
      <c r="Q1157" s="319" t="s">
        <v>2253</v>
      </c>
      <c r="R1157" s="2">
        <f>VLOOKUP(SALIDAS111518[[#This Row],[CÓDIGO]],PRODUCTOS31316[],2,FALSE)</f>
        <v>26218</v>
      </c>
      <c r="S1157" s="1" t="str">
        <f>VLOOKUP(SALIDAS111518[[#This Row],[CÓDIGO]],PRODUCTOS31316[],3,FALSE)</f>
        <v>OPTIXCELL 250 ML</v>
      </c>
      <c r="T1157" s="2">
        <v>1</v>
      </c>
      <c r="U1157" s="2">
        <v>512</v>
      </c>
      <c r="V1157" s="2"/>
      <c r="W1157" s="2"/>
      <c r="X1157" s="2"/>
      <c r="Y1157" s="7"/>
      <c r="Z1157" s="2"/>
      <c r="AA1157" s="1"/>
      <c r="AC1157" s="2"/>
      <c r="AE1157" s="1"/>
      <c r="AG1157" s="2"/>
    </row>
    <row r="1158" spans="1:33" ht="49.95" customHeight="1" x14ac:dyDescent="0.3">
      <c r="A1158" s="211" t="s">
        <v>3294</v>
      </c>
      <c r="B1158" s="212" t="s">
        <v>3295</v>
      </c>
      <c r="C1158" s="237" t="s">
        <v>3296</v>
      </c>
      <c r="D1158" s="174" t="s">
        <v>467</v>
      </c>
      <c r="E1158" s="176" t="s">
        <v>467</v>
      </c>
      <c r="F1158" s="147" t="s">
        <v>30</v>
      </c>
      <c r="G1158" s="31">
        <f>4+1</f>
        <v>5</v>
      </c>
      <c r="H1158" s="14">
        <f>SUMIF(ENTRADAS71417[CÓDIGO],PRODUCTOS31316[[#This Row],[CÓDIGO]],ENTRADAS71417[CANTIDAD])</f>
        <v>0</v>
      </c>
      <c r="I1158" s="11">
        <f>SUMIF(SALIDAS111518[CÓDIGO],PRODUCTOS31316[[#This Row],[CÓDIGO]],SALIDAS111518[CANTIDAD])</f>
        <v>0</v>
      </c>
      <c r="J1158" s="6">
        <f>PRODUCTOS31316[[#This Row],[EXISTENCIAS]]+PRODUCTOS31316[[#This Row],[ENTRADAS]]-PRODUCTOS31316[[#This Row],[SALIDAS]]</f>
        <v>5</v>
      </c>
      <c r="L1158" s="319" t="s">
        <v>3520</v>
      </c>
      <c r="M1158" s="319" t="s">
        <v>4250</v>
      </c>
      <c r="N1158" s="320" t="s">
        <v>4537</v>
      </c>
      <c r="O1158" s="319" t="s">
        <v>2803</v>
      </c>
      <c r="P1158" s="16">
        <v>46108</v>
      </c>
      <c r="Q1158" s="319" t="s">
        <v>2880</v>
      </c>
      <c r="R1158" s="2">
        <f>VLOOKUP(SALIDAS111518[[#This Row],[CÓDIGO]],PRODUCTOS31316[],2,FALSE)</f>
        <v>7179</v>
      </c>
      <c r="S1158" s="1" t="str">
        <f>VLOOKUP(SALIDAS111518[[#This Row],[CÓDIGO]],PRODUCTOS31316[],3,FALSE)</f>
        <v>VAGINA ARTIFICIAL CON VALVULA OVINO</v>
      </c>
      <c r="T1158" s="2">
        <v>1</v>
      </c>
      <c r="U1158" s="2">
        <v>513</v>
      </c>
      <c r="V1158" s="2"/>
      <c r="W1158" s="2"/>
      <c r="X1158" s="2"/>
      <c r="Y1158" s="7"/>
      <c r="Z1158" s="2"/>
      <c r="AA1158" s="1"/>
      <c r="AC1158" s="2"/>
      <c r="AE1158" s="1"/>
      <c r="AG1158" s="2"/>
    </row>
    <row r="1159" spans="1:33" ht="49.95" customHeight="1" x14ac:dyDescent="0.3">
      <c r="A1159" s="217" t="s">
        <v>3313</v>
      </c>
      <c r="B1159" s="212"/>
      <c r="C1159" s="237" t="s">
        <v>3311</v>
      </c>
      <c r="D1159" s="237" t="s">
        <v>3316</v>
      </c>
      <c r="E1159" s="216" t="s">
        <v>3315</v>
      </c>
      <c r="F1159" s="147" t="s">
        <v>30</v>
      </c>
      <c r="G1159" s="2">
        <v>1</v>
      </c>
      <c r="H1159" s="14">
        <f>SUMIF(ENTRADAS71417[CÓDIGO],PRODUCTOS31316[[#This Row],[CÓDIGO]],ENTRADAS71417[CANTIDAD])</f>
        <v>0</v>
      </c>
      <c r="I1159" s="11">
        <f>SUMIF(SALIDAS111518[CÓDIGO],PRODUCTOS31316[[#This Row],[CÓDIGO]],SALIDAS111518[CANTIDAD])</f>
        <v>0</v>
      </c>
      <c r="J1159" s="6">
        <f>PRODUCTOS31316[[#This Row],[EXISTENCIAS]]+PRODUCTOS31316[[#This Row],[ENTRADAS]]-PRODUCTOS31316[[#This Row],[SALIDAS]]</f>
        <v>1</v>
      </c>
      <c r="L1159" s="319" t="s">
        <v>3520</v>
      </c>
      <c r="M1159" s="319" t="s">
        <v>4250</v>
      </c>
      <c r="N1159" s="320" t="s">
        <v>4538</v>
      </c>
      <c r="O1159" s="345" t="s">
        <v>3177</v>
      </c>
      <c r="P1159" s="16">
        <v>46108</v>
      </c>
      <c r="Q1159" s="319" t="s">
        <v>2755</v>
      </c>
      <c r="R1159" s="2" t="str">
        <f>VLOOKUP(SALIDAS111518[[#This Row],[CÓDIGO]],PRODUCTOS31316[],2,FALSE)</f>
        <v>MSLDO05</v>
      </c>
      <c r="S1159" s="1" t="str">
        <f>VLOOKUP(SALIDAS111518[[#This Row],[CÓDIGO]],PRODUCTOS31316[],3,FALSE)</f>
        <v>TERMO DE RECOLECCIÓN DE SEMEN/ USO VETERINARIO</v>
      </c>
      <c r="T1159" s="2">
        <v>1</v>
      </c>
      <c r="U1159" s="2">
        <v>514</v>
      </c>
      <c r="V1159" s="2"/>
      <c r="W1159" s="2"/>
      <c r="X1159" s="2"/>
      <c r="Y1159" s="7"/>
      <c r="Z1159" s="2"/>
      <c r="AA1159" s="1"/>
      <c r="AC1159" s="2"/>
      <c r="AE1159" s="1"/>
      <c r="AG1159" s="2"/>
    </row>
    <row r="1160" spans="1:33" ht="49.95" customHeight="1" x14ac:dyDescent="0.3">
      <c r="A1160" s="217" t="s">
        <v>3314</v>
      </c>
      <c r="B1160" s="212"/>
      <c r="C1160" s="216" t="s">
        <v>3312</v>
      </c>
      <c r="D1160" s="216" t="s">
        <v>3316</v>
      </c>
      <c r="E1160" s="216" t="s">
        <v>3315</v>
      </c>
      <c r="F1160" s="147" t="s">
        <v>30</v>
      </c>
      <c r="G1160" s="2">
        <v>1</v>
      </c>
      <c r="H1160" s="14">
        <f>SUMIF(ENTRADAS71417[CÓDIGO],PRODUCTOS31316[[#This Row],[CÓDIGO]],ENTRADAS71417[CANTIDAD])</f>
        <v>0</v>
      </c>
      <c r="I1160" s="11">
        <f>SUMIF(SALIDAS111518[CÓDIGO],PRODUCTOS31316[[#This Row],[CÓDIGO]],SALIDAS111518[CANTIDAD])</f>
        <v>0</v>
      </c>
      <c r="J1160" s="6">
        <f>PRODUCTOS31316[[#This Row],[EXISTENCIAS]]+PRODUCTOS31316[[#This Row],[ENTRADAS]]-PRODUCTOS31316[[#This Row],[SALIDAS]]</f>
        <v>1</v>
      </c>
      <c r="L1160" s="319" t="s">
        <v>3520</v>
      </c>
      <c r="M1160" s="319" t="s">
        <v>4250</v>
      </c>
      <c r="N1160" s="320" t="s">
        <v>4543</v>
      </c>
      <c r="O1160" s="319" t="s">
        <v>977</v>
      </c>
      <c r="P1160" s="16">
        <v>46111</v>
      </c>
      <c r="Q1160" s="319" t="s">
        <v>33</v>
      </c>
      <c r="R1160" s="2" t="str">
        <f>VLOOKUP(SALIDAS111518[[#This Row],[CÓDIGO]],PRODUCTOS31316[],2,FALSE)</f>
        <v>LA-120 /506003</v>
      </c>
      <c r="S1160" s="1" t="str">
        <f>VLOOKUP(SALIDAS111518[[#This Row],[CÓDIGO]],PRODUCTOS31316[],3,FALSE)</f>
        <v>LíNEA PARA OPU 1,2 METROS</v>
      </c>
      <c r="T1160" s="2">
        <v>35</v>
      </c>
      <c r="U1160" s="323" t="s">
        <v>4542</v>
      </c>
      <c r="V1160" s="2"/>
      <c r="W1160" s="2"/>
      <c r="X1160" s="2"/>
      <c r="Y1160" s="7"/>
      <c r="Z1160" s="2"/>
      <c r="AA1160" s="1"/>
      <c r="AC1160" s="2"/>
      <c r="AE1160" s="1"/>
      <c r="AG1160" s="2"/>
    </row>
    <row r="1161" spans="1:33" ht="49.95" customHeight="1" x14ac:dyDescent="0.3">
      <c r="F1161" s="147"/>
      <c r="G1161" s="2">
        <v>0</v>
      </c>
      <c r="H1161" s="14">
        <f>SUMIF(ENTRADAS71417[CÓDIGO],PRODUCTOS31316[[#This Row],[CÓDIGO]],ENTRADAS71417[CANTIDAD])</f>
        <v>0</v>
      </c>
      <c r="I1161" s="11">
        <f>SUMIF(SALIDAS111518[CÓDIGO],PRODUCTOS31316[[#This Row],[CÓDIGO]],SALIDAS111518[CANTIDAD])</f>
        <v>0</v>
      </c>
      <c r="J1161" s="6">
        <f>PRODUCTOS31316[[#This Row],[EXISTENCIAS]]+PRODUCTOS31316[[#This Row],[ENTRADAS]]-PRODUCTOS31316[[#This Row],[SALIDAS]]</f>
        <v>0</v>
      </c>
      <c r="L1161" s="2"/>
      <c r="M1161" s="2"/>
      <c r="N1161" s="2">
        <v>14715</v>
      </c>
      <c r="O1161" s="360" t="s">
        <v>977</v>
      </c>
      <c r="P1161" s="16">
        <v>46111</v>
      </c>
      <c r="Q1161" s="319" t="s">
        <v>4140</v>
      </c>
      <c r="R1161" s="2">
        <f>VLOOKUP(SALIDAS111518[[#This Row],[CÓDIGO]],PRODUCTOS31316[],2,FALSE)</f>
        <v>5575</v>
      </c>
      <c r="S1161" s="1" t="str">
        <f>VLOOKUP(SALIDAS111518[[#This Row],[CÓDIGO]],PRODUCTOS31316[],3,FALSE)</f>
        <v>PAJUELA AMARILLA 0.25/ PAQUETE X 2000</v>
      </c>
      <c r="T1161" s="2">
        <v>2</v>
      </c>
      <c r="U1161" s="2"/>
      <c r="V1161" s="2"/>
      <c r="W1161" s="2"/>
      <c r="X1161" s="2"/>
      <c r="Y1161" s="7"/>
      <c r="Z1161" s="2"/>
      <c r="AA1161" s="1"/>
      <c r="AC1161" s="2"/>
      <c r="AE1161" s="1"/>
      <c r="AG1161" s="2"/>
    </row>
    <row r="1162" spans="1:33" ht="49.95" customHeight="1" x14ac:dyDescent="0.3">
      <c r="A1162" s="194" t="s">
        <v>3258</v>
      </c>
      <c r="C1162" s="194" t="s">
        <v>3259</v>
      </c>
      <c r="D1162" s="194" t="s">
        <v>3260</v>
      </c>
      <c r="E1162" s="194" t="s">
        <v>3261</v>
      </c>
      <c r="F1162" s="194" t="s">
        <v>2745</v>
      </c>
      <c r="G1162" s="2">
        <v>0</v>
      </c>
      <c r="H1162" s="14">
        <f>SUMIF(ENTRADAS71417[CÓDIGO],PRODUCTOS31316[[#This Row],[CÓDIGO]],ENTRADAS71417[CANTIDAD])</f>
        <v>0</v>
      </c>
      <c r="I1162" s="11">
        <f>SUMIF(SALIDAS111518[CÓDIGO],PRODUCTOS31316[[#This Row],[CÓDIGO]],SALIDAS111518[CANTIDAD])</f>
        <v>0</v>
      </c>
      <c r="J1162" s="6">
        <f>PRODUCTOS31316[[#This Row],[EXISTENCIAS]]+PRODUCTOS31316[[#This Row],[ENTRADAS]]-PRODUCTOS31316[[#This Row],[SALIDAS]]</f>
        <v>0</v>
      </c>
      <c r="L1162" s="319" t="s">
        <v>3520</v>
      </c>
      <c r="M1162" s="319" t="s">
        <v>4250</v>
      </c>
      <c r="N1162" s="320" t="s">
        <v>4539</v>
      </c>
      <c r="O1162" s="319" t="s">
        <v>3159</v>
      </c>
      <c r="P1162" s="16">
        <v>46111</v>
      </c>
      <c r="Q1162" s="319" t="s">
        <v>2333</v>
      </c>
      <c r="R1162" s="2">
        <f>VLOOKUP(SALIDAS111518[[#This Row],[CÓDIGO]],PRODUCTOS31316[],2,FALSE)</f>
        <v>30004101900</v>
      </c>
      <c r="S1162" s="1" t="str">
        <f>VLOOKUP(SALIDAS111518[[#This Row],[CÓDIGO]],PRODUCTOS31316[],3,FALSE)</f>
        <v>PLUSET 20 ML</v>
      </c>
      <c r="T1162" s="2">
        <v>1</v>
      </c>
      <c r="U1162" s="2">
        <v>515</v>
      </c>
      <c r="V1162" s="2"/>
      <c r="W1162" s="2"/>
      <c r="X1162" s="2"/>
      <c r="Y1162" s="7"/>
      <c r="Z1162" s="2"/>
      <c r="AA1162" s="1"/>
      <c r="AC1162" s="2"/>
      <c r="AE1162" s="1"/>
      <c r="AG1162" s="2"/>
    </row>
    <row r="1163" spans="1:33" ht="49.95" customHeight="1" x14ac:dyDescent="0.3">
      <c r="A1163" s="2" t="s">
        <v>1135</v>
      </c>
      <c r="B1163" s="1">
        <v>4846</v>
      </c>
      <c r="C1163" s="1" t="s">
        <v>2025</v>
      </c>
      <c r="D1163" s="1" t="s">
        <v>769</v>
      </c>
      <c r="E1163" s="1" t="s">
        <v>2026</v>
      </c>
      <c r="F1163" s="1" t="s">
        <v>365</v>
      </c>
      <c r="G1163" s="2">
        <v>0</v>
      </c>
      <c r="H1163" s="14">
        <f>SUMIF(ENTRADAS71417[CÓDIGO],PRODUCTOS31316[[#This Row],[CÓDIGO]],ENTRADAS71417[CANTIDAD])</f>
        <v>0</v>
      </c>
      <c r="I1163" s="11">
        <f>SUMIF(SALIDAS111518[CÓDIGO],PRODUCTOS31316[[#This Row],[CÓDIGO]],SALIDAS111518[CANTIDAD])</f>
        <v>0</v>
      </c>
      <c r="J1163" s="6">
        <f>PRODUCTOS31316[[#This Row],[EXISTENCIAS]]+PRODUCTOS31316[[#This Row],[ENTRADAS]]-PRODUCTOS31316[[#This Row],[SALIDAS]]</f>
        <v>0</v>
      </c>
      <c r="L1163" s="319" t="s">
        <v>3521</v>
      </c>
      <c r="M1163" s="319" t="s">
        <v>4250</v>
      </c>
      <c r="N1163" s="320" t="s">
        <v>4540</v>
      </c>
      <c r="O1163" s="320" t="s">
        <v>4095</v>
      </c>
      <c r="P1163" s="16">
        <v>46111</v>
      </c>
      <c r="Q1163" s="319" t="s">
        <v>2246</v>
      </c>
      <c r="R1163" s="2" t="str">
        <f>VLOOKUP(SALIDAS111518[[#This Row],[CÓDIGO]],PRODUCTOS31316[],2,FALSE)</f>
        <v>00051076-02</v>
      </c>
      <c r="S1163" s="1" t="str">
        <f>VLOOKUP(SALIDAS111518[[#This Row],[CÓDIGO]],PRODUCTOS31316[],3,FALSE)</f>
        <v>LIDOCAÍNA  HCL 2 % X 100 ML/ 2025-12-16</v>
      </c>
      <c r="T1163" s="2">
        <v>10</v>
      </c>
      <c r="U1163" s="2">
        <v>516</v>
      </c>
      <c r="V1163" s="2"/>
      <c r="W1163" s="2"/>
      <c r="X1163" s="2"/>
      <c r="Y1163" s="7"/>
      <c r="Z1163" s="2"/>
      <c r="AA1163" s="1"/>
      <c r="AC1163" s="2"/>
      <c r="AE1163" s="1"/>
      <c r="AG1163" s="2"/>
    </row>
    <row r="1164" spans="1:33" ht="49.95" customHeight="1" x14ac:dyDescent="0.3">
      <c r="A1164" s="2" t="s">
        <v>1132</v>
      </c>
      <c r="C1164" s="1" t="s">
        <v>2027</v>
      </c>
      <c r="D1164" s="1" t="s">
        <v>2028</v>
      </c>
      <c r="E1164" s="1" t="s">
        <v>2026</v>
      </c>
      <c r="F1164" s="1" t="s">
        <v>62</v>
      </c>
      <c r="G1164" s="2">
        <v>0</v>
      </c>
      <c r="H1164" s="14">
        <f>SUMIF(ENTRADAS71417[CÓDIGO],PRODUCTOS31316[[#This Row],[CÓDIGO]],ENTRADAS71417[CANTIDAD])</f>
        <v>0</v>
      </c>
      <c r="I1164" s="11">
        <f>SUMIF(SALIDAS111518[CÓDIGO],PRODUCTOS31316[[#This Row],[CÓDIGO]],SALIDAS111518[CANTIDAD])</f>
        <v>0</v>
      </c>
      <c r="J1164" s="6">
        <f>PRODUCTOS31316[[#This Row],[EXISTENCIAS]]+PRODUCTOS31316[[#This Row],[ENTRADAS]]-PRODUCTOS31316[[#This Row],[SALIDAS]]</f>
        <v>0</v>
      </c>
      <c r="L1164" s="2"/>
      <c r="M1164" s="2"/>
      <c r="N1164" s="2">
        <v>8118</v>
      </c>
      <c r="O1164" s="320" t="s">
        <v>4095</v>
      </c>
      <c r="P1164" s="16">
        <v>46111</v>
      </c>
      <c r="Q1164" s="319" t="s">
        <v>15</v>
      </c>
      <c r="R1164" s="2" t="str">
        <f>VLOOKUP(SALIDAS111518[[#This Row],[CÓDIGO]],PRODUCTOS31316[],2,FALSE)</f>
        <v>BTE-025PT/ 504002</v>
      </c>
      <c r="S1164" s="1" t="str">
        <f>VLOOKUP(SALIDAS111518[[#This Row],[CÓDIGO]],PRODUCTOS31316[],3,FALSE)</f>
        <v>FUNDAS PARA TRANSFERENCIA DE EMBRIONES</v>
      </c>
      <c r="T1164" s="2">
        <v>20</v>
      </c>
      <c r="U1164" s="2"/>
      <c r="V1164" s="2"/>
      <c r="W1164" s="2"/>
      <c r="X1164" s="2"/>
      <c r="Y1164" s="7"/>
      <c r="Z1164" s="2"/>
      <c r="AA1164" s="1"/>
      <c r="AC1164" s="2"/>
      <c r="AE1164" s="1"/>
      <c r="AG1164" s="2"/>
    </row>
    <row r="1165" spans="1:33" ht="49.95" customHeight="1" x14ac:dyDescent="0.3">
      <c r="A1165" s="2" t="s">
        <v>1129</v>
      </c>
      <c r="B1165" s="1">
        <v>601001</v>
      </c>
      <c r="C1165" s="1" t="s">
        <v>2029</v>
      </c>
      <c r="D1165" s="1" t="s">
        <v>1019</v>
      </c>
      <c r="E1165" s="1" t="s">
        <v>2026</v>
      </c>
      <c r="F1165" s="1" t="s">
        <v>62</v>
      </c>
      <c r="G1165" s="2">
        <v>0</v>
      </c>
      <c r="H1165" s="14">
        <f>SUMIF(ENTRADAS71417[CÓDIGO],PRODUCTOS31316[[#This Row],[CÓDIGO]],ENTRADAS71417[CANTIDAD])</f>
        <v>0</v>
      </c>
      <c r="I1165" s="11">
        <f>SUMIF(SALIDAS111518[CÓDIGO],PRODUCTOS31316[[#This Row],[CÓDIGO]],SALIDAS111518[CANTIDAD])</f>
        <v>0</v>
      </c>
      <c r="J1165" s="6">
        <f>PRODUCTOS31316[[#This Row],[EXISTENCIAS]]+PRODUCTOS31316[[#This Row],[ENTRADAS]]-PRODUCTOS31316[[#This Row],[SALIDAS]]</f>
        <v>0</v>
      </c>
      <c r="L1165" s="2"/>
      <c r="M1165" s="2"/>
      <c r="N1165" s="2">
        <v>8118</v>
      </c>
      <c r="O1165" s="320" t="s">
        <v>4095</v>
      </c>
      <c r="P1165" s="16">
        <v>46111</v>
      </c>
      <c r="Q1165" s="319" t="s">
        <v>70</v>
      </c>
      <c r="R1165" s="2">
        <f>VLOOKUP(SALIDAS111518[[#This Row],[CÓDIGO]],PRODUCTOS31316[],2,FALSE)</f>
        <v>25458</v>
      </c>
      <c r="S1165" s="1" t="str">
        <f>VLOOKUP(SALIDAS111518[[#This Row],[CÓDIGO]],PRODUCTOS31316[],3,FALSE)</f>
        <v>FILTROS PARA OPU 100 UL</v>
      </c>
      <c r="T1165" s="2">
        <v>10</v>
      </c>
      <c r="U1165" s="2"/>
      <c r="V1165" s="2"/>
      <c r="W1165" s="2"/>
      <c r="X1165" s="2"/>
      <c r="Y1165" s="7"/>
      <c r="Z1165" s="2"/>
      <c r="AA1165" s="1"/>
      <c r="AC1165" s="2"/>
      <c r="AE1165" s="1"/>
      <c r="AG1165" s="2"/>
    </row>
    <row r="1166" spans="1:33" ht="49.95" customHeight="1" x14ac:dyDescent="0.3">
      <c r="A1166" s="2" t="s">
        <v>1105</v>
      </c>
      <c r="C1166" s="1" t="s">
        <v>2030</v>
      </c>
      <c r="D1166" s="1" t="s">
        <v>2031</v>
      </c>
      <c r="E1166" s="1" t="s">
        <v>2026</v>
      </c>
      <c r="F1166" s="1" t="s">
        <v>139</v>
      </c>
      <c r="G1166" s="2">
        <v>0</v>
      </c>
      <c r="H1166" s="14">
        <f>SUMIF(ENTRADAS71417[CÓDIGO],PRODUCTOS31316[[#This Row],[CÓDIGO]],ENTRADAS71417[CANTIDAD])</f>
        <v>0</v>
      </c>
      <c r="I1166" s="11">
        <f>SUMIF(SALIDAS111518[CÓDIGO],PRODUCTOS31316[[#This Row],[CÓDIGO]],SALIDAS111518[CANTIDAD])</f>
        <v>0</v>
      </c>
      <c r="J1166" s="6">
        <f>PRODUCTOS31316[[#This Row],[EXISTENCIAS]]+PRODUCTOS31316[[#This Row],[ENTRADAS]]-PRODUCTOS31316[[#This Row],[SALIDAS]]</f>
        <v>0</v>
      </c>
      <c r="L1166" s="319" t="s">
        <v>3520</v>
      </c>
      <c r="M1166" s="319" t="s">
        <v>4250</v>
      </c>
      <c r="N1166" s="320" t="s">
        <v>4541</v>
      </c>
      <c r="O1166" s="320" t="s">
        <v>2711</v>
      </c>
      <c r="P1166" s="16">
        <v>46111</v>
      </c>
      <c r="Q1166" s="319" t="s">
        <v>2876</v>
      </c>
      <c r="R1166" s="2">
        <f>VLOOKUP(SALIDAS111518[[#This Row],[CÓDIGO]],PRODUCTOS31316[],2,FALSE)</f>
        <v>0</v>
      </c>
      <c r="S1166" s="1" t="str">
        <f>VLOOKUP(SALIDAS111518[[#This Row],[CÓDIGO]],PRODUCTOS31316[],3,FALSE)</f>
        <v>PISTOLA DE TRANSFERENCIA DE EMBRIONES 0,25 / BLOQUEO AUTOMÁTICO EN ALUMINIO</v>
      </c>
      <c r="T1166" s="2">
        <v>1</v>
      </c>
      <c r="U1166" s="2">
        <v>517</v>
      </c>
      <c r="V1166" s="2"/>
      <c r="W1166" s="2"/>
      <c r="X1166" s="2"/>
      <c r="Y1166" s="7"/>
      <c r="Z1166" s="2"/>
      <c r="AA1166" s="1"/>
      <c r="AC1166" s="2"/>
      <c r="AE1166" s="1"/>
      <c r="AG1166" s="2"/>
    </row>
    <row r="1167" spans="1:33" ht="49.95" customHeight="1" x14ac:dyDescent="0.3">
      <c r="A1167" s="2" t="s">
        <v>1108</v>
      </c>
      <c r="B1167" s="1" t="s">
        <v>1803</v>
      </c>
      <c r="C1167" s="1" t="s">
        <v>1804</v>
      </c>
      <c r="D1167" s="1" t="s">
        <v>1805</v>
      </c>
      <c r="E1167" s="1" t="s">
        <v>2026</v>
      </c>
      <c r="F1167" s="1" t="s">
        <v>30</v>
      </c>
      <c r="G1167" s="2">
        <v>0</v>
      </c>
      <c r="H1167" s="14">
        <f>SUMIF(ENTRADAS71417[CÓDIGO],PRODUCTOS31316[[#This Row],[CÓDIGO]],ENTRADAS71417[CANTIDAD])</f>
        <v>0</v>
      </c>
      <c r="I1167" s="11">
        <f>SUMIF(SALIDAS111518[CÓDIGO],PRODUCTOS31316[[#This Row],[CÓDIGO]],SALIDAS111518[CANTIDAD])</f>
        <v>0</v>
      </c>
      <c r="J1167" s="6">
        <f>PRODUCTOS31316[[#This Row],[EXISTENCIAS]]+PRODUCTOS31316[[#This Row],[ENTRADAS]]-PRODUCTOS31316[[#This Row],[SALIDAS]]</f>
        <v>0</v>
      </c>
      <c r="L1167" s="319" t="s">
        <v>3520</v>
      </c>
      <c r="M1167" s="319" t="s">
        <v>4250</v>
      </c>
      <c r="N1167" s="320" t="s">
        <v>4545</v>
      </c>
      <c r="O1167" s="319" t="s">
        <v>2207</v>
      </c>
      <c r="P1167" s="16">
        <v>46111</v>
      </c>
      <c r="Q1167" s="319" t="s">
        <v>2755</v>
      </c>
      <c r="R1167" s="2" t="str">
        <f>VLOOKUP(SALIDAS111518[[#This Row],[CÓDIGO]],PRODUCTOS31316[],2,FALSE)</f>
        <v>MSLDO05</v>
      </c>
      <c r="S1167" s="1" t="str">
        <f>VLOOKUP(SALIDAS111518[[#This Row],[CÓDIGO]],PRODUCTOS31316[],3,FALSE)</f>
        <v>TERMO DE RECOLECCIÓN DE SEMEN/ USO VETERINARIO</v>
      </c>
      <c r="T1167" s="2">
        <v>1</v>
      </c>
      <c r="U1167" s="320" t="s">
        <v>4544</v>
      </c>
      <c r="V1167" s="2"/>
      <c r="W1167" s="2"/>
      <c r="X1167" s="2"/>
      <c r="Y1167" s="7"/>
      <c r="Z1167" s="2"/>
      <c r="AA1167" s="1"/>
      <c r="AC1167" s="2"/>
      <c r="AE1167" s="1"/>
      <c r="AG1167" s="2"/>
    </row>
    <row r="1168" spans="1:33" ht="49.95" customHeight="1" x14ac:dyDescent="0.3">
      <c r="A1168" s="2" t="s">
        <v>1112</v>
      </c>
      <c r="C1168" s="1" t="s">
        <v>2032</v>
      </c>
      <c r="E1168" s="1" t="s">
        <v>2026</v>
      </c>
      <c r="F1168" s="1" t="s">
        <v>30</v>
      </c>
      <c r="G1168" s="2">
        <v>0</v>
      </c>
      <c r="H1168" s="14">
        <f>SUMIF(ENTRADAS71417[CÓDIGO],PRODUCTOS31316[[#This Row],[CÓDIGO]],ENTRADAS71417[CANTIDAD])</f>
        <v>0</v>
      </c>
      <c r="I1168" s="11">
        <f>SUMIF(SALIDAS111518[CÓDIGO],PRODUCTOS31316[[#This Row],[CÓDIGO]],SALIDAS111518[CANTIDAD])</f>
        <v>0</v>
      </c>
      <c r="J1168" s="6">
        <f>PRODUCTOS31316[[#This Row],[EXISTENCIAS]]+PRODUCTOS31316[[#This Row],[ENTRADAS]]-PRODUCTOS31316[[#This Row],[SALIDAS]]</f>
        <v>0</v>
      </c>
      <c r="L1168" s="2"/>
      <c r="M1168" s="2"/>
      <c r="N1168" s="2">
        <v>8121</v>
      </c>
      <c r="O1168" s="319" t="s">
        <v>2207</v>
      </c>
      <c r="P1168" s="16">
        <v>46111</v>
      </c>
      <c r="Q1168" s="319" t="s">
        <v>153</v>
      </c>
      <c r="R1168" s="2">
        <f>VLOOKUP(SALIDAS111518[[#This Row],[CÓDIGO]],PRODUCTOS31316[],2,FALSE)</f>
        <v>1132</v>
      </c>
      <c r="S1168" s="1" t="str">
        <f>VLOOKUP(SALIDAS111518[[#This Row],[CÓDIGO]],PRODUCTOS31316[],3,FALSE)</f>
        <v>PISTOLA QUICKLOCK CLASIC</v>
      </c>
      <c r="T1168" s="2">
        <v>2</v>
      </c>
      <c r="U1168" s="2"/>
      <c r="V1168" s="2"/>
      <c r="W1168" s="2"/>
      <c r="X1168" s="2"/>
      <c r="Y1168" s="7"/>
      <c r="Z1168" s="2"/>
      <c r="AA1168" s="1"/>
      <c r="AC1168" s="2"/>
      <c r="AE1168" s="1"/>
      <c r="AG1168" s="2"/>
    </row>
    <row r="1169" spans="1:33" ht="49.95" customHeight="1" x14ac:dyDescent="0.3">
      <c r="A1169" s="2" t="s">
        <v>1117</v>
      </c>
      <c r="C1169" s="1" t="s">
        <v>2033</v>
      </c>
      <c r="E1169" s="1" t="s">
        <v>2026</v>
      </c>
      <c r="F1169" s="1" t="s">
        <v>30</v>
      </c>
      <c r="G1169" s="2">
        <v>0</v>
      </c>
      <c r="H1169" s="14">
        <f>SUMIF(ENTRADAS71417[CÓDIGO],PRODUCTOS31316[[#This Row],[CÓDIGO]],ENTRADAS71417[CANTIDAD])</f>
        <v>0</v>
      </c>
      <c r="I1169" s="11">
        <f>SUMIF(SALIDAS111518[CÓDIGO],PRODUCTOS31316[[#This Row],[CÓDIGO]],SALIDAS111518[CANTIDAD])</f>
        <v>0</v>
      </c>
      <c r="J1169" s="6">
        <f>PRODUCTOS31316[[#This Row],[EXISTENCIAS]]+PRODUCTOS31316[[#This Row],[ENTRADAS]]-PRODUCTOS31316[[#This Row],[SALIDAS]]</f>
        <v>0</v>
      </c>
      <c r="L1169" s="319" t="s">
        <v>3521</v>
      </c>
      <c r="M1169" s="319" t="s">
        <v>4250</v>
      </c>
      <c r="N1169" s="325" t="s">
        <v>4572</v>
      </c>
      <c r="O1169" s="326" t="s">
        <v>4550</v>
      </c>
      <c r="P1169" s="16">
        <v>46111</v>
      </c>
      <c r="Q1169" s="319" t="s">
        <v>648</v>
      </c>
      <c r="R1169" s="2" t="str">
        <f>VLOOKUP(SALIDAS111518[[#This Row],[CÓDIGO]],PRODUCTOS31316[],2,FALSE)</f>
        <v>S5</v>
      </c>
      <c r="S1169" s="1" t="str">
        <f>VLOOKUP(SALIDAS111518[[#This Row],[CÓDIGO]],PRODUCTOS31316[],3,FALSE)</f>
        <v>SONDA S5 UNIDAD PRINCIPAL CON SONDA LINEAL RECTAL</v>
      </c>
      <c r="T1169" s="2">
        <v>1</v>
      </c>
      <c r="U1169" s="324" t="s">
        <v>4571</v>
      </c>
      <c r="V1169" s="2"/>
      <c r="W1169" s="319" t="s">
        <v>3412</v>
      </c>
      <c r="X1169" s="2"/>
      <c r="Y1169" s="7"/>
      <c r="Z1169" s="2"/>
      <c r="AA1169" s="1"/>
      <c r="AC1169" s="2"/>
      <c r="AE1169" s="1"/>
      <c r="AG1169" s="2"/>
    </row>
    <row r="1170" spans="1:33" ht="49.95" customHeight="1" x14ac:dyDescent="0.3">
      <c r="A1170" s="2" t="s">
        <v>1121</v>
      </c>
      <c r="B1170" s="1" t="s">
        <v>362</v>
      </c>
      <c r="C1170" s="1" t="s">
        <v>363</v>
      </c>
      <c r="E1170" s="1" t="s">
        <v>2026</v>
      </c>
      <c r="F1170" s="1" t="s">
        <v>365</v>
      </c>
      <c r="G1170" s="2">
        <v>0</v>
      </c>
      <c r="H1170" s="14">
        <f>SUMIF(ENTRADAS71417[CÓDIGO],PRODUCTOS31316[[#This Row],[CÓDIGO]],ENTRADAS71417[CANTIDAD])</f>
        <v>0</v>
      </c>
      <c r="I1170" s="11">
        <f>SUMIF(SALIDAS111518[CÓDIGO],PRODUCTOS31316[[#This Row],[CÓDIGO]],SALIDAS111518[CANTIDAD])</f>
        <v>0</v>
      </c>
      <c r="J1170" s="6">
        <f>PRODUCTOS31316[[#This Row],[EXISTENCIAS]]+PRODUCTOS31316[[#This Row],[ENTRADAS]]-PRODUCTOS31316[[#This Row],[SALIDAS]]</f>
        <v>0</v>
      </c>
      <c r="L1170" s="2"/>
      <c r="M1170" s="2"/>
      <c r="N1170" s="2">
        <v>8122</v>
      </c>
      <c r="O1170" s="2" t="s">
        <v>4550</v>
      </c>
      <c r="P1170" s="16">
        <v>46111</v>
      </c>
      <c r="Q1170" s="319" t="s">
        <v>3791</v>
      </c>
      <c r="R1170" s="2">
        <f>VLOOKUP(SALIDAS111518[[#This Row],[CÓDIGO]],PRODUCTOS31316[],2,FALSE)</f>
        <v>6936520864546</v>
      </c>
      <c r="S1170" s="1" t="str">
        <f>VLOOKUP(SALIDAS111518[[#This Row],[CÓDIGO]],PRODUCTOS31316[],3,FALSE)</f>
        <v>TABLET 11" HONOR PAD X8A 128 GB</v>
      </c>
      <c r="T1170" s="2">
        <v>1</v>
      </c>
      <c r="U1170" s="2"/>
      <c r="V1170" s="2"/>
      <c r="W1170" s="2"/>
      <c r="X1170" s="2"/>
      <c r="Y1170" s="7"/>
      <c r="Z1170" s="2"/>
      <c r="AA1170" s="1"/>
      <c r="AC1170" s="2"/>
      <c r="AE1170" s="1"/>
      <c r="AG1170" s="2"/>
    </row>
    <row r="1171" spans="1:33" ht="49.95" customHeight="1" x14ac:dyDescent="0.3">
      <c r="A1171" s="2" t="s">
        <v>1126</v>
      </c>
      <c r="C1171" s="1" t="s">
        <v>1575</v>
      </c>
      <c r="D1171" s="1" t="s">
        <v>262</v>
      </c>
      <c r="E1171" s="1" t="s">
        <v>2026</v>
      </c>
      <c r="F1171" s="1" t="s">
        <v>68</v>
      </c>
      <c r="G1171" s="2">
        <v>0</v>
      </c>
      <c r="H1171" s="14">
        <f>SUMIF(ENTRADAS71417[CÓDIGO],PRODUCTOS31316[[#This Row],[CÓDIGO]],ENTRADAS71417[CANTIDAD])</f>
        <v>0</v>
      </c>
      <c r="I1171" s="11">
        <f>SUMIF(SALIDAS111518[CÓDIGO],PRODUCTOS31316[[#This Row],[CÓDIGO]],SALIDAS111518[CANTIDAD])</f>
        <v>0</v>
      </c>
      <c r="J1171" s="6">
        <f>PRODUCTOS31316[[#This Row],[EXISTENCIAS]]+PRODUCTOS31316[[#This Row],[ENTRADAS]]-PRODUCTOS31316[[#This Row],[SALIDAS]]</f>
        <v>0</v>
      </c>
      <c r="L1171" s="2"/>
      <c r="M1171" s="2"/>
      <c r="N1171" s="2">
        <v>8122</v>
      </c>
      <c r="O1171" s="2" t="s">
        <v>4550</v>
      </c>
      <c r="P1171" s="16">
        <v>46111</v>
      </c>
      <c r="Q1171" s="319" t="s">
        <v>3286</v>
      </c>
      <c r="R1171" s="2">
        <f>VLOOKUP(SALIDAS111518[[#This Row],[CÓDIGO]],PRODUCTOS31316[],2,FALSE)</f>
        <v>0</v>
      </c>
      <c r="S1171" s="1" t="str">
        <f>VLOOKUP(SALIDAS111518[[#This Row],[CÓDIGO]],PRODUCTOS31316[],3,FALSE)</f>
        <v>CARCASA TABLET BMV</v>
      </c>
      <c r="T1171" s="2">
        <v>1</v>
      </c>
      <c r="U1171" s="2"/>
      <c r="V1171" s="2"/>
      <c r="W1171" s="2"/>
      <c r="X1171" s="2"/>
      <c r="Y1171" s="7"/>
      <c r="Z1171" s="2"/>
      <c r="AA1171" s="1"/>
      <c r="AC1171" s="2"/>
      <c r="AE1171" s="1"/>
      <c r="AG1171" s="2"/>
    </row>
    <row r="1172" spans="1:33" ht="49.95" customHeight="1" x14ac:dyDescent="0.3">
      <c r="A1172" s="2" t="s">
        <v>2261</v>
      </c>
      <c r="C1172" s="1" t="s">
        <v>2025</v>
      </c>
      <c r="E1172" s="1" t="s">
        <v>2026</v>
      </c>
      <c r="F1172" s="1" t="s">
        <v>365</v>
      </c>
      <c r="G1172" s="2">
        <v>0</v>
      </c>
      <c r="H1172" s="14">
        <f>SUMIF(ENTRADAS71417[CÓDIGO],PRODUCTOS31316[[#This Row],[CÓDIGO]],ENTRADAS71417[CANTIDAD])</f>
        <v>0</v>
      </c>
      <c r="I1172" s="11">
        <f>SUMIF(SALIDAS111518[CÓDIGO],PRODUCTOS31316[[#This Row],[CÓDIGO]],SALIDAS111518[CANTIDAD])</f>
        <v>0</v>
      </c>
      <c r="J1172" s="6">
        <f>PRODUCTOS31316[[#This Row],[EXISTENCIAS]]+PRODUCTOS31316[[#This Row],[ENTRADAS]]-PRODUCTOS31316[[#This Row],[SALIDAS]]</f>
        <v>0</v>
      </c>
      <c r="L1172" s="2"/>
      <c r="M1172" s="2"/>
      <c r="N1172" s="2">
        <v>8122</v>
      </c>
      <c r="O1172" s="2" t="s">
        <v>4550</v>
      </c>
      <c r="P1172" s="16">
        <v>46111</v>
      </c>
      <c r="Q1172" s="319" t="s">
        <v>3095</v>
      </c>
      <c r="R1172" s="2">
        <f>VLOOKUP(SALIDAS111518[[#This Row],[CÓDIGO]],PRODUCTOS31316[],2,FALSE)</f>
        <v>0</v>
      </c>
      <c r="S1172" s="1" t="str">
        <f>VLOOKUP(SALIDAS111518[[#This Row],[CÓDIGO]],PRODUCTOS31316[],3,FALSE)</f>
        <v>GORRA MAS CAMPO</v>
      </c>
      <c r="T1172" s="2">
        <v>2</v>
      </c>
      <c r="U1172" s="2"/>
      <c r="V1172" s="2"/>
      <c r="W1172" s="2"/>
      <c r="X1172" s="2"/>
      <c r="Y1172" s="7"/>
      <c r="Z1172" s="2"/>
      <c r="AA1172" s="1"/>
      <c r="AC1172" s="2"/>
      <c r="AE1172" s="1"/>
      <c r="AG1172" s="2"/>
    </row>
    <row r="1173" spans="1:33" ht="49.95" customHeight="1" x14ac:dyDescent="0.3">
      <c r="A1173" s="2" t="s">
        <v>2262</v>
      </c>
      <c r="B1173" s="1" t="s">
        <v>257</v>
      </c>
      <c r="C1173" s="1" t="s">
        <v>258</v>
      </c>
      <c r="D1173" s="1" t="s">
        <v>223</v>
      </c>
      <c r="E1173" s="1" t="s">
        <v>2026</v>
      </c>
      <c r="F1173" s="1" t="s">
        <v>68</v>
      </c>
      <c r="G1173" s="2">
        <v>1</v>
      </c>
      <c r="H1173" s="14">
        <f>SUMIF(ENTRADAS71417[CÓDIGO],PRODUCTOS31316[[#This Row],[CÓDIGO]],ENTRADAS71417[CANTIDAD])</f>
        <v>0</v>
      </c>
      <c r="I1173" s="11">
        <f>SUMIF(SALIDAS111518[CÓDIGO],PRODUCTOS31316[[#This Row],[CÓDIGO]],SALIDAS111518[CANTIDAD])</f>
        <v>0</v>
      </c>
      <c r="J1173" s="6">
        <f>PRODUCTOS31316[[#This Row],[EXISTENCIAS]]+PRODUCTOS31316[[#This Row],[ENTRADAS]]-PRODUCTOS31316[[#This Row],[SALIDAS]]</f>
        <v>1</v>
      </c>
      <c r="L1173" s="2"/>
      <c r="M1173" s="2"/>
      <c r="N1173" s="2">
        <v>8122</v>
      </c>
      <c r="O1173" s="2" t="s">
        <v>4550</v>
      </c>
      <c r="P1173" s="16">
        <v>46111</v>
      </c>
      <c r="Q1173" s="319" t="s">
        <v>25</v>
      </c>
      <c r="R1173" s="2">
        <f>VLOOKUP(SALIDAS111518[[#This Row],[CÓDIGO]],PRODUCTOS31316[],2,FALSE)</f>
        <v>0</v>
      </c>
      <c r="S1173" s="1" t="str">
        <f>VLOOKUP(SALIDAS111518[[#This Row],[CÓDIGO]],PRODUCTOS31316[],3,FALSE)</f>
        <v>BOLSA TELA MAS CAMPO</v>
      </c>
      <c r="T1173" s="2">
        <v>1</v>
      </c>
      <c r="U1173" s="2"/>
      <c r="V1173" s="2"/>
      <c r="W1173" s="2"/>
      <c r="X1173" s="2"/>
      <c r="Y1173" s="7"/>
      <c r="Z1173" s="2"/>
      <c r="AA1173" s="1"/>
      <c r="AC1173" s="2"/>
      <c r="AE1173" s="1"/>
      <c r="AG1173" s="2"/>
    </row>
    <row r="1174" spans="1:33" ht="49.95" customHeight="1" x14ac:dyDescent="0.3">
      <c r="A1174" s="2" t="s">
        <v>2263</v>
      </c>
      <c r="C1174" s="1" t="s">
        <v>1495</v>
      </c>
      <c r="D1174" s="1" t="s">
        <v>442</v>
      </c>
      <c r="E1174" s="1" t="s">
        <v>2026</v>
      </c>
      <c r="F1174" s="1" t="s">
        <v>62</v>
      </c>
      <c r="G1174" s="2">
        <v>2</v>
      </c>
      <c r="H1174" s="14">
        <f>SUMIF(ENTRADAS71417[CÓDIGO],PRODUCTOS31316[[#This Row],[CÓDIGO]],ENTRADAS71417[CANTIDAD])</f>
        <v>0</v>
      </c>
      <c r="I1174" s="11">
        <f>SUMIF(SALIDAS111518[CÓDIGO],PRODUCTOS31316[[#This Row],[CÓDIGO]],SALIDAS111518[CANTIDAD])</f>
        <v>0</v>
      </c>
      <c r="J1174" s="6">
        <f>PRODUCTOS31316[[#This Row],[EXISTENCIAS]]+PRODUCTOS31316[[#This Row],[ENTRADAS]]-PRODUCTOS31316[[#This Row],[SALIDAS]]</f>
        <v>2</v>
      </c>
      <c r="L1174" s="2"/>
      <c r="M1174" s="2"/>
      <c r="N1174" s="2">
        <v>8122</v>
      </c>
      <c r="O1174" s="2" t="s">
        <v>4550</v>
      </c>
      <c r="P1174" s="16">
        <v>46111</v>
      </c>
      <c r="Q1174" s="324" t="s">
        <v>273</v>
      </c>
      <c r="R1174" s="2">
        <f>VLOOKUP(SALIDAS111518[[#This Row],[CÓDIGO]],PRODUCTOS31316[],2,FALSE)</f>
        <v>1003514</v>
      </c>
      <c r="S1174" s="1" t="str">
        <f>VLOOKUP(SALIDAS111518[[#This Row],[CÓDIGO]],PRODUCTOS31316[],3,FALSE)</f>
        <v>JALEA CONDUCTIVA (GEL ULTRASONICO) GALON X 3785 ML AZUL</v>
      </c>
      <c r="T1174" s="2">
        <v>1</v>
      </c>
      <c r="U1174" s="2"/>
      <c r="V1174" s="2"/>
      <c r="W1174" s="2"/>
      <c r="X1174" s="2"/>
      <c r="Y1174" s="7"/>
      <c r="Z1174" s="2"/>
      <c r="AA1174" s="1"/>
      <c r="AC1174" s="2"/>
      <c r="AE1174" s="1"/>
      <c r="AG1174" s="2"/>
    </row>
    <row r="1175" spans="1:33" ht="49.95" customHeight="1" x14ac:dyDescent="0.3">
      <c r="A1175" s="2" t="s">
        <v>2264</v>
      </c>
      <c r="B1175" s="1" t="s">
        <v>2663</v>
      </c>
      <c r="C1175" s="1" t="s">
        <v>2664</v>
      </c>
      <c r="E1175" s="1" t="s">
        <v>2026</v>
      </c>
      <c r="F1175" s="1" t="s">
        <v>68</v>
      </c>
      <c r="G1175" s="2">
        <v>0</v>
      </c>
      <c r="H1175" s="14">
        <f>SUMIF(ENTRADAS71417[CÓDIGO],PRODUCTOS31316[[#This Row],[CÓDIGO]],ENTRADAS71417[CANTIDAD])</f>
        <v>0</v>
      </c>
      <c r="I1175" s="11">
        <f>SUMIF(SALIDAS111518[CÓDIGO],PRODUCTOS31316[[#This Row],[CÓDIGO]],SALIDAS111518[CANTIDAD])</f>
        <v>0</v>
      </c>
      <c r="J1175" s="6">
        <f>PRODUCTOS31316[[#This Row],[EXISTENCIAS]]+PRODUCTOS31316[[#This Row],[ENTRADAS]]-PRODUCTOS31316[[#This Row],[SALIDAS]]</f>
        <v>0</v>
      </c>
      <c r="L1175" s="2"/>
      <c r="M1175" s="2"/>
      <c r="N1175" s="2">
        <v>8122</v>
      </c>
      <c r="O1175" s="2" t="s">
        <v>4550</v>
      </c>
      <c r="P1175" s="16">
        <v>46111</v>
      </c>
      <c r="Q1175" s="319" t="s">
        <v>2755</v>
      </c>
      <c r="R1175" s="2" t="str">
        <f>VLOOKUP(SALIDAS111518[[#This Row],[CÓDIGO]],PRODUCTOS31316[],2,FALSE)</f>
        <v>MSLDO05</v>
      </c>
      <c r="S1175" s="1" t="str">
        <f>VLOOKUP(SALIDAS111518[[#This Row],[CÓDIGO]],PRODUCTOS31316[],3,FALSE)</f>
        <v>TERMO DE RECOLECCIÓN DE SEMEN/ USO VETERINARIO</v>
      </c>
      <c r="T1175" s="2">
        <v>1</v>
      </c>
      <c r="U1175" s="2"/>
      <c r="V1175" s="2"/>
      <c r="W1175" s="2"/>
      <c r="X1175" s="2"/>
      <c r="Y1175" s="7"/>
      <c r="Z1175" s="2"/>
      <c r="AA1175" s="1"/>
      <c r="AC1175" s="2"/>
      <c r="AE1175" s="1"/>
      <c r="AG1175" s="2"/>
    </row>
    <row r="1176" spans="1:33" ht="49.95" customHeight="1" x14ac:dyDescent="0.3">
      <c r="A1176" s="2" t="s">
        <v>2265</v>
      </c>
      <c r="C1176" s="1" t="s">
        <v>1796</v>
      </c>
      <c r="D1176" s="1" t="s">
        <v>769</v>
      </c>
      <c r="E1176" s="1" t="s">
        <v>2026</v>
      </c>
      <c r="F1176" s="1" t="s">
        <v>184</v>
      </c>
      <c r="G1176" s="2">
        <v>0</v>
      </c>
      <c r="H1176" s="14">
        <f>SUMIF(ENTRADAS71417[CÓDIGO],PRODUCTOS31316[[#This Row],[CÓDIGO]],ENTRADAS71417[CANTIDAD])</f>
        <v>0</v>
      </c>
      <c r="I1176" s="11">
        <f>SUMIF(SALIDAS111518[CÓDIGO],PRODUCTOS31316[[#This Row],[CÓDIGO]],SALIDAS111518[CANTIDAD])</f>
        <v>0</v>
      </c>
      <c r="J1176" s="6">
        <f>PRODUCTOS31316[[#This Row],[EXISTENCIAS]]+PRODUCTOS31316[[#This Row],[ENTRADAS]]-PRODUCTOS31316[[#This Row],[SALIDAS]]</f>
        <v>0</v>
      </c>
      <c r="L1176" s="2"/>
      <c r="M1176" s="2"/>
      <c r="N1176" s="2">
        <v>8122</v>
      </c>
      <c r="O1176" s="2" t="s">
        <v>4550</v>
      </c>
      <c r="P1176" s="16">
        <v>46111</v>
      </c>
      <c r="Q1176" s="319" t="s">
        <v>3181</v>
      </c>
      <c r="R1176" s="2">
        <f>VLOOKUP(SALIDAS111518[[#This Row],[CÓDIGO]],PRODUCTOS31316[],2,FALSE)</f>
        <v>7416</v>
      </c>
      <c r="S1176" s="1" t="str">
        <f>VLOOKUP(SALIDAS111518[[#This Row],[CÓDIGO]],PRODUCTOS31316[],3,FALSE)</f>
        <v>CAJA PLÁSTICA DE 22" DE TRANSPORTE</v>
      </c>
      <c r="T1176" s="2">
        <v>1</v>
      </c>
      <c r="U1176" s="2"/>
      <c r="V1176" s="2"/>
      <c r="W1176" s="2"/>
      <c r="X1176" s="2"/>
      <c r="Y1176" s="7"/>
      <c r="Z1176" s="2"/>
      <c r="AA1176" s="1"/>
      <c r="AC1176" s="2"/>
      <c r="AE1176" s="1"/>
      <c r="AG1176" s="2"/>
    </row>
    <row r="1177" spans="1:33" ht="49.95" customHeight="1" x14ac:dyDescent="0.3">
      <c r="A1177" s="2" t="s">
        <v>2266</v>
      </c>
      <c r="C1177" s="1" t="s">
        <v>2665</v>
      </c>
      <c r="E1177" s="1" t="s">
        <v>2026</v>
      </c>
      <c r="F1177" s="1" t="s">
        <v>184</v>
      </c>
      <c r="G1177" s="2">
        <v>4</v>
      </c>
      <c r="H1177" s="14">
        <f>SUMIF(ENTRADAS71417[CÓDIGO],PRODUCTOS31316[[#This Row],[CÓDIGO]],ENTRADAS71417[CANTIDAD])</f>
        <v>0</v>
      </c>
      <c r="I1177" s="11">
        <f>SUMIF(SALIDAS111518[CÓDIGO],PRODUCTOS31316[[#This Row],[CÓDIGO]],SALIDAS111518[CANTIDAD])</f>
        <v>0</v>
      </c>
      <c r="J1177" s="6">
        <f>PRODUCTOS31316[[#This Row],[EXISTENCIAS]]+PRODUCTOS31316[[#This Row],[ENTRADAS]]-PRODUCTOS31316[[#This Row],[SALIDAS]]</f>
        <v>4</v>
      </c>
      <c r="L1177" s="2"/>
      <c r="M1177" s="2"/>
      <c r="N1177" s="2">
        <v>8122</v>
      </c>
      <c r="O1177" s="2" t="s">
        <v>4550</v>
      </c>
      <c r="P1177" s="16">
        <v>46111</v>
      </c>
      <c r="Q1177" s="319" t="s">
        <v>153</v>
      </c>
      <c r="R1177" s="2">
        <f>VLOOKUP(SALIDAS111518[[#This Row],[CÓDIGO]],PRODUCTOS31316[],2,FALSE)</f>
        <v>1132</v>
      </c>
      <c r="S1177" s="1" t="str">
        <f>VLOOKUP(SALIDAS111518[[#This Row],[CÓDIGO]],PRODUCTOS31316[],3,FALSE)</f>
        <v>PISTOLA QUICKLOCK CLASIC</v>
      </c>
      <c r="T1177" s="2">
        <v>1</v>
      </c>
      <c r="U1177" s="2"/>
      <c r="V1177" s="2"/>
      <c r="W1177" s="2"/>
      <c r="X1177" s="2"/>
      <c r="Y1177" s="7"/>
      <c r="Z1177" s="2"/>
      <c r="AA1177" s="1"/>
      <c r="AC1177" s="2"/>
      <c r="AE1177" s="1"/>
      <c r="AG1177" s="2"/>
    </row>
    <row r="1178" spans="1:33" ht="49.95" customHeight="1" x14ac:dyDescent="0.3">
      <c r="A1178" s="2" t="s">
        <v>2268</v>
      </c>
      <c r="C1178" s="1" t="s">
        <v>2665</v>
      </c>
      <c r="E1178" s="1" t="s">
        <v>2026</v>
      </c>
      <c r="F1178" s="1" t="s">
        <v>2666</v>
      </c>
      <c r="G1178" s="2">
        <v>1</v>
      </c>
      <c r="H1178" s="14">
        <f>SUMIF(ENTRADAS71417[CÓDIGO],PRODUCTOS31316[[#This Row],[CÓDIGO]],ENTRADAS71417[CANTIDAD])</f>
        <v>0</v>
      </c>
      <c r="I1178" s="11">
        <f>SUMIF(SALIDAS111518[CÓDIGO],PRODUCTOS31316[[#This Row],[CÓDIGO]],SALIDAS111518[CANTIDAD])</f>
        <v>0</v>
      </c>
      <c r="J1178" s="6">
        <f>PRODUCTOS31316[[#This Row],[EXISTENCIAS]]+PRODUCTOS31316[[#This Row],[ENTRADAS]]-PRODUCTOS31316[[#This Row],[SALIDAS]]</f>
        <v>1</v>
      </c>
      <c r="L1178" s="2"/>
      <c r="M1178" s="2"/>
      <c r="N1178" s="2">
        <v>8122</v>
      </c>
      <c r="O1178" s="2" t="s">
        <v>4550</v>
      </c>
      <c r="P1178" s="16">
        <v>46111</v>
      </c>
      <c r="Q1178" s="319" t="s">
        <v>369</v>
      </c>
      <c r="R1178" s="2">
        <f>VLOOKUP(SALIDAS111518[[#This Row],[CÓDIGO]],PRODUCTOS31316[],2,FALSE)</f>
        <v>0</v>
      </c>
      <c r="S1178" s="1" t="str">
        <f>VLOOKUP(SALIDAS111518[[#This Row],[CÓDIGO]],PRODUCTOS31316[],3,FALSE)</f>
        <v>FUNDA UNIVERSAL PARA I.A. RANURADA</v>
      </c>
      <c r="T1178" s="2">
        <v>1</v>
      </c>
      <c r="U1178" s="2"/>
      <c r="V1178" s="2"/>
      <c r="W1178" s="2"/>
      <c r="X1178" s="2"/>
      <c r="Y1178" s="7"/>
      <c r="Z1178" s="2"/>
      <c r="AA1178" s="1"/>
      <c r="AC1178" s="2"/>
      <c r="AE1178" s="1"/>
      <c r="AG1178" s="2"/>
    </row>
    <row r="1179" spans="1:33" ht="49.95" customHeight="1" x14ac:dyDescent="0.3">
      <c r="A1179" s="2" t="s">
        <v>2269</v>
      </c>
      <c r="C1179" s="1" t="s">
        <v>1635</v>
      </c>
      <c r="E1179" s="1" t="s">
        <v>2026</v>
      </c>
      <c r="F1179" s="1" t="s">
        <v>224</v>
      </c>
      <c r="G1179" s="2">
        <v>0</v>
      </c>
      <c r="H1179" s="14">
        <f>SUMIF(ENTRADAS71417[CÓDIGO],PRODUCTOS31316[[#This Row],[CÓDIGO]],ENTRADAS71417[CANTIDAD])</f>
        <v>0</v>
      </c>
      <c r="I1179" s="11">
        <f>SUMIF(SALIDAS111518[CÓDIGO],PRODUCTOS31316[[#This Row],[CÓDIGO]],SALIDAS111518[CANTIDAD])</f>
        <v>0</v>
      </c>
      <c r="J1179" s="6">
        <f>PRODUCTOS31316[[#This Row],[EXISTENCIAS]]+PRODUCTOS31316[[#This Row],[ENTRADAS]]-PRODUCTOS31316[[#This Row],[SALIDAS]]</f>
        <v>0</v>
      </c>
      <c r="L1179" s="2"/>
      <c r="M1179" s="2"/>
      <c r="N1179" s="2">
        <v>8122</v>
      </c>
      <c r="O1179" s="2" t="s">
        <v>4550</v>
      </c>
      <c r="P1179" s="16">
        <v>46111</v>
      </c>
      <c r="Q1179" s="2" t="s">
        <v>658</v>
      </c>
      <c r="R1179" s="2">
        <f>VLOOKUP(SALIDAS111518[[#This Row],[CÓDIGO]],PRODUCTOS31316[],2,FALSE)</f>
        <v>0</v>
      </c>
      <c r="S1179" s="1" t="str">
        <f>VLOOKUP(SALIDAS111518[[#This Row],[CÓDIGO]],PRODUCTOS31316[],3,FALSE)</f>
        <v>CATETER TALADRO TRANSPARENTE 18"</v>
      </c>
      <c r="T1179" s="2">
        <v>1</v>
      </c>
      <c r="U1179" s="2"/>
      <c r="V1179" s="2"/>
      <c r="W1179" s="2"/>
      <c r="X1179" s="2"/>
      <c r="Y1179" s="7"/>
      <c r="Z1179" s="2"/>
      <c r="AA1179" s="1"/>
      <c r="AC1179" s="2"/>
      <c r="AE1179" s="1"/>
      <c r="AG1179" s="2"/>
    </row>
    <row r="1180" spans="1:33" ht="49.95" customHeight="1" x14ac:dyDescent="0.3">
      <c r="A1180" s="2" t="s">
        <v>2270</v>
      </c>
      <c r="C1180" s="1" t="s">
        <v>1331</v>
      </c>
      <c r="E1180" s="1" t="s">
        <v>2026</v>
      </c>
      <c r="F1180" s="1" t="s">
        <v>365</v>
      </c>
      <c r="G1180" s="2">
        <v>0</v>
      </c>
      <c r="H1180" s="14">
        <f>SUMIF(ENTRADAS71417[CÓDIGO],PRODUCTOS31316[[#This Row],[CÓDIGO]],ENTRADAS71417[CANTIDAD])</f>
        <v>0</v>
      </c>
      <c r="I1180" s="11">
        <f>SUMIF(SALIDAS111518[CÓDIGO],PRODUCTOS31316[[#This Row],[CÓDIGO]],SALIDAS111518[CANTIDAD])</f>
        <v>0</v>
      </c>
      <c r="J1180" s="6">
        <f>PRODUCTOS31316[[#This Row],[EXISTENCIAS]]+PRODUCTOS31316[[#This Row],[ENTRADAS]]-PRODUCTOS31316[[#This Row],[SALIDAS]]</f>
        <v>0</v>
      </c>
      <c r="L1180" s="2"/>
      <c r="M1180" s="2"/>
      <c r="N1180" s="2">
        <v>8122</v>
      </c>
      <c r="O1180" s="2" t="s">
        <v>4550</v>
      </c>
      <c r="P1180" s="16">
        <v>46111</v>
      </c>
      <c r="Q1180" s="2" t="s">
        <v>2364</v>
      </c>
      <c r="R1180" s="2">
        <f>VLOOKUP(SALIDAS111518[[#This Row],[CÓDIGO]],PRODUCTOS31316[],2,FALSE)</f>
        <v>0</v>
      </c>
      <c r="S1180" s="1" t="str">
        <f>VLOOKUP(SALIDAS111518[[#This Row],[CÓDIGO]],PRODUCTOS31316[],3,FALSE)</f>
        <v>CORTAPAJILLAS WTA</v>
      </c>
      <c r="T1180" s="2">
        <v>1</v>
      </c>
      <c r="U1180" s="2"/>
      <c r="V1180" s="2"/>
      <c r="W1180" s="2"/>
      <c r="X1180" s="2"/>
      <c r="Y1180" s="7"/>
      <c r="Z1180" s="2"/>
      <c r="AA1180" s="1"/>
      <c r="AC1180" s="2"/>
      <c r="AE1180" s="1"/>
      <c r="AG1180" s="2"/>
    </row>
    <row r="1181" spans="1:33" ht="49.95" customHeight="1" x14ac:dyDescent="0.3">
      <c r="F1181" s="147" t="s">
        <v>30</v>
      </c>
      <c r="G1181" s="2">
        <v>0</v>
      </c>
      <c r="H1181" s="14">
        <f>SUMIF(ENTRADAS71417[CÓDIGO],PRODUCTOS31316[[#This Row],[CÓDIGO]],ENTRADAS71417[CANTIDAD])</f>
        <v>0</v>
      </c>
      <c r="I1181" s="11">
        <f>SUMIF(SALIDAS111518[CÓDIGO],PRODUCTOS31316[[#This Row],[CÓDIGO]],SALIDAS111518[CANTIDAD])</f>
        <v>0</v>
      </c>
      <c r="J1181" s="6">
        <f>PRODUCTOS31316[[#This Row],[EXISTENCIAS]]+PRODUCTOS31316[[#This Row],[ENTRADAS]]-PRODUCTOS31316[[#This Row],[SALIDAS]]</f>
        <v>0</v>
      </c>
      <c r="L1181" s="2"/>
      <c r="M1181" s="2"/>
      <c r="N1181" s="2">
        <v>8122</v>
      </c>
      <c r="O1181" s="2" t="s">
        <v>4550</v>
      </c>
      <c r="P1181" s="16">
        <v>46111</v>
      </c>
      <c r="Q1181" s="2" t="s">
        <v>382</v>
      </c>
      <c r="R1181" s="2">
        <f>VLOOKUP(SALIDAS111518[[#This Row],[CÓDIGO]],PRODUCTOS31316[],2,FALSE)</f>
        <v>605032</v>
      </c>
      <c r="S1181" s="1" t="str">
        <f>VLOOKUP(SALIDAS111518[[#This Row],[CÓDIGO]],PRODUCTOS31316[],3,FALSE)</f>
        <v>LUBRICANTE OB, NO ESPERMICIDA</v>
      </c>
      <c r="T1181" s="2">
        <v>1</v>
      </c>
      <c r="U1181" s="2"/>
      <c r="V1181" s="2"/>
      <c r="W1181" s="2"/>
      <c r="X1181" s="2"/>
      <c r="Y1181" s="7"/>
      <c r="Z1181" s="2"/>
      <c r="AA1181" s="1"/>
      <c r="AC1181" s="2"/>
      <c r="AE1181" s="1"/>
      <c r="AG1181" s="2"/>
    </row>
    <row r="1182" spans="1:33" ht="49.95" customHeight="1" x14ac:dyDescent="0.3">
      <c r="A1182" s="2" t="s">
        <v>2271</v>
      </c>
      <c r="C1182" s="1" t="s">
        <v>2668</v>
      </c>
      <c r="D1182" s="1" t="s">
        <v>2669</v>
      </c>
      <c r="E1182" s="1" t="s">
        <v>2018</v>
      </c>
      <c r="F1182" s="1" t="s">
        <v>30</v>
      </c>
      <c r="G1182" s="2">
        <v>0</v>
      </c>
      <c r="H1182" s="14">
        <f>SUMIF(ENTRADAS71417[CÓDIGO],PRODUCTOS31316[[#This Row],[CÓDIGO]],ENTRADAS71417[CANTIDAD])</f>
        <v>0</v>
      </c>
      <c r="I1182" s="11">
        <f>SUMIF(SALIDAS111518[CÓDIGO],PRODUCTOS31316[[#This Row],[CÓDIGO]],SALIDAS111518[CANTIDAD])</f>
        <v>0</v>
      </c>
      <c r="J1182" s="6">
        <f>PRODUCTOS31316[[#This Row],[EXISTENCIAS]]+PRODUCTOS31316[[#This Row],[ENTRADAS]]-PRODUCTOS31316[[#This Row],[SALIDAS]]</f>
        <v>0</v>
      </c>
      <c r="L1182" s="2"/>
      <c r="M1182" s="2"/>
      <c r="N1182" s="2">
        <v>8122</v>
      </c>
      <c r="O1182" s="2" t="s">
        <v>4550</v>
      </c>
      <c r="P1182" s="16">
        <v>46111</v>
      </c>
      <c r="Q1182" s="2" t="s">
        <v>1779</v>
      </c>
      <c r="R1182" s="2">
        <f>VLOOKUP(SALIDAS111518[[#This Row],[CÓDIGO]],PRODUCTOS31316[],2,FALSE)</f>
        <v>5563</v>
      </c>
      <c r="S1182" s="1" t="str">
        <f>VLOOKUP(SALIDAS111518[[#This Row],[CÓDIGO]],PRODUCTOS31316[],3,FALSE)</f>
        <v>CAMISA SANITARIA ROLLO X 80</v>
      </c>
      <c r="T1182" s="2">
        <v>1</v>
      </c>
      <c r="U1182" s="2"/>
      <c r="V1182" s="2"/>
      <c r="W1182" s="2"/>
      <c r="X1182" s="2"/>
      <c r="Y1182" s="7"/>
      <c r="Z1182" s="2"/>
      <c r="AA1182" s="1"/>
      <c r="AC1182" s="2"/>
      <c r="AE1182" s="1"/>
      <c r="AG1182" s="2"/>
    </row>
    <row r="1183" spans="1:33" ht="49.95" customHeight="1" x14ac:dyDescent="0.3">
      <c r="A1183" s="2" t="s">
        <v>2272</v>
      </c>
      <c r="C1183" s="1" t="s">
        <v>656</v>
      </c>
      <c r="D1183" s="1" t="s">
        <v>103</v>
      </c>
      <c r="E1183" s="1" t="s">
        <v>2018</v>
      </c>
      <c r="F1183" s="1" t="s">
        <v>62</v>
      </c>
      <c r="G1183" s="2">
        <v>1</v>
      </c>
      <c r="H1183" s="14">
        <f>SUMIF(ENTRADAS71417[CÓDIGO],PRODUCTOS31316[[#This Row],[CÓDIGO]],ENTRADAS71417[CANTIDAD])</f>
        <v>0</v>
      </c>
      <c r="I1183" s="11">
        <f>SUMIF(SALIDAS111518[CÓDIGO],PRODUCTOS31316[[#This Row],[CÓDIGO]],SALIDAS111518[CANTIDAD])</f>
        <v>0</v>
      </c>
      <c r="J1183" s="6">
        <f>PRODUCTOS31316[[#This Row],[EXISTENCIAS]]+PRODUCTOS31316[[#This Row],[ENTRADAS]]-PRODUCTOS31316[[#This Row],[SALIDAS]]</f>
        <v>1</v>
      </c>
      <c r="L1183" s="2"/>
      <c r="M1183" s="2"/>
      <c r="N1183" s="2">
        <v>8122</v>
      </c>
      <c r="O1183" s="2" t="s">
        <v>4550</v>
      </c>
      <c r="P1183" s="16">
        <v>46111</v>
      </c>
      <c r="Q1183" s="2" t="s">
        <v>210</v>
      </c>
      <c r="R1183" s="2">
        <f>VLOOKUP(SALIDAS111518[[#This Row],[CÓDIGO]],PRODUCTOS31316[],2,FALSE)</f>
        <v>101257</v>
      </c>
      <c r="S1183" s="1" t="str">
        <f>VLOOKUP(SALIDAS111518[[#This Row],[CÓDIGO]],PRODUCTOS31316[],3,FALSE)</f>
        <v>MANGA DESECHABLE SUPER SENSITIVA</v>
      </c>
      <c r="T1183" s="2">
        <v>1</v>
      </c>
      <c r="U1183" s="2"/>
      <c r="V1183" s="2"/>
      <c r="W1183" s="2"/>
      <c r="X1183" s="2"/>
      <c r="Y1183" s="7"/>
      <c r="Z1183" s="2"/>
      <c r="AA1183" s="1"/>
      <c r="AC1183" s="2"/>
      <c r="AE1183" s="1"/>
      <c r="AG1183" s="2"/>
    </row>
    <row r="1184" spans="1:33" ht="49.95" customHeight="1" x14ac:dyDescent="0.3">
      <c r="A1184" s="2" t="s">
        <v>2273</v>
      </c>
      <c r="C1184" s="1" t="s">
        <v>656</v>
      </c>
      <c r="D1184" s="1" t="s">
        <v>156</v>
      </c>
      <c r="E1184" s="1" t="s">
        <v>2018</v>
      </c>
      <c r="F1184" s="1" t="s">
        <v>62</v>
      </c>
      <c r="G1184" s="2">
        <v>2</v>
      </c>
      <c r="H1184" s="14">
        <f>SUMIF(ENTRADAS71417[CÓDIGO],PRODUCTOS31316[[#This Row],[CÓDIGO]],ENTRADAS71417[CANTIDAD])</f>
        <v>0</v>
      </c>
      <c r="I1184" s="11">
        <f>SUMIF(SALIDAS111518[CÓDIGO],PRODUCTOS31316[[#This Row],[CÓDIGO]],SALIDAS111518[CANTIDAD])</f>
        <v>0</v>
      </c>
      <c r="J1184" s="6">
        <f>PRODUCTOS31316[[#This Row],[EXISTENCIAS]]+PRODUCTOS31316[[#This Row],[ENTRADAS]]-PRODUCTOS31316[[#This Row],[SALIDAS]]</f>
        <v>2</v>
      </c>
      <c r="L1184" s="2"/>
      <c r="M1184" s="2"/>
      <c r="N1184" s="2">
        <v>8122</v>
      </c>
      <c r="O1184" s="2" t="s">
        <v>4550</v>
      </c>
      <c r="P1184" s="16">
        <v>46111</v>
      </c>
      <c r="Q1184" s="2" t="s">
        <v>581</v>
      </c>
      <c r="R1184" s="2">
        <f>VLOOKUP(SALIDAS111518[[#This Row],[CÓDIGO]],PRODUCTOS31316[],2,FALSE)</f>
        <v>11571</v>
      </c>
      <c r="S1184" s="1" t="str">
        <f>VLOOKUP(SALIDAS111518[[#This Row],[CÓDIGO]],PRODUCTOS31316[],3,FALSE)</f>
        <v>PINZA COGEPAJILLA</v>
      </c>
      <c r="T1184" s="2">
        <v>1</v>
      </c>
      <c r="U1184" s="2"/>
      <c r="V1184" s="2"/>
      <c r="W1184" s="2"/>
      <c r="X1184" s="2"/>
      <c r="Y1184" s="7"/>
      <c r="Z1184" s="2"/>
      <c r="AA1184" s="1"/>
      <c r="AC1184" s="2"/>
      <c r="AE1184" s="1"/>
      <c r="AG1184" s="2"/>
    </row>
    <row r="1185" spans="1:33" ht="49.95" customHeight="1" x14ac:dyDescent="0.3">
      <c r="A1185" s="2" t="s">
        <v>2274</v>
      </c>
      <c r="C1185" s="1" t="s">
        <v>2671</v>
      </c>
      <c r="E1185" s="1" t="s">
        <v>2018</v>
      </c>
      <c r="F1185" s="1" t="s">
        <v>68</v>
      </c>
      <c r="G1185" s="2">
        <v>1</v>
      </c>
      <c r="H1185" s="14">
        <f>SUMIF(ENTRADAS71417[CÓDIGO],PRODUCTOS31316[[#This Row],[CÓDIGO]],ENTRADAS71417[CANTIDAD])</f>
        <v>0</v>
      </c>
      <c r="I1185" s="11">
        <f>SUMIF(SALIDAS111518[CÓDIGO],PRODUCTOS31316[[#This Row],[CÓDIGO]],SALIDAS111518[CANTIDAD])</f>
        <v>0</v>
      </c>
      <c r="J1185" s="6">
        <f>PRODUCTOS31316[[#This Row],[EXISTENCIAS]]+PRODUCTOS31316[[#This Row],[ENTRADAS]]-PRODUCTOS31316[[#This Row],[SALIDAS]]</f>
        <v>1</v>
      </c>
      <c r="L1185" s="2"/>
      <c r="M1185" s="2"/>
      <c r="N1185" s="2">
        <v>8122</v>
      </c>
      <c r="O1185" s="2" t="s">
        <v>4550</v>
      </c>
      <c r="P1185" s="16">
        <v>46111</v>
      </c>
      <c r="Q1185" s="2" t="s">
        <v>2382</v>
      </c>
      <c r="R1185" s="2">
        <f>VLOOKUP(SALIDAS111518[[#This Row],[CÓDIGO]],PRODUCTOS31316[],2,FALSE)</f>
        <v>1</v>
      </c>
      <c r="S1185" s="1" t="str">
        <f>VLOOKUP(SALIDAS111518[[#This Row],[CÓDIGO]],PRODUCTOS31316[],3,FALSE)</f>
        <v>TERMO DE TRANSPORTE 1 LITRO</v>
      </c>
      <c r="T1185" s="2">
        <v>1</v>
      </c>
      <c r="U1185" s="2"/>
      <c r="V1185" s="2"/>
      <c r="W1185" s="2"/>
      <c r="X1185" s="2"/>
      <c r="Y1185" s="7"/>
      <c r="Z1185" s="2"/>
      <c r="AA1185" s="1"/>
      <c r="AC1185" s="2"/>
      <c r="AE1185" s="1"/>
      <c r="AG1185" s="2"/>
    </row>
    <row r="1186" spans="1:33" ht="49.95" customHeight="1" x14ac:dyDescent="0.3">
      <c r="A1186" s="2" t="s">
        <v>2275</v>
      </c>
      <c r="C1186" s="1" t="s">
        <v>659</v>
      </c>
      <c r="E1186" s="1" t="s">
        <v>2018</v>
      </c>
      <c r="F1186" s="1" t="s">
        <v>68</v>
      </c>
      <c r="G1186" s="2">
        <v>0</v>
      </c>
      <c r="H1186" s="14">
        <f>SUMIF(ENTRADAS71417[CÓDIGO],PRODUCTOS31316[[#This Row],[CÓDIGO]],ENTRADAS71417[CANTIDAD])</f>
        <v>0</v>
      </c>
      <c r="I1186" s="11">
        <f>SUMIF(SALIDAS111518[CÓDIGO],PRODUCTOS31316[[#This Row],[CÓDIGO]],SALIDAS111518[CANTIDAD])</f>
        <v>0</v>
      </c>
      <c r="J1186" s="6">
        <f>PRODUCTOS31316[[#This Row],[EXISTENCIAS]]+PRODUCTOS31316[[#This Row],[ENTRADAS]]-PRODUCTOS31316[[#This Row],[SALIDAS]]</f>
        <v>0</v>
      </c>
      <c r="L1186" s="2" t="s">
        <v>3521</v>
      </c>
      <c r="M1186" s="2" t="s">
        <v>4250</v>
      </c>
      <c r="N1186" s="359" t="s">
        <v>4934</v>
      </c>
      <c r="O1186" s="2" t="s">
        <v>4549</v>
      </c>
      <c r="P1186" s="16">
        <v>46146</v>
      </c>
      <c r="Q1186" s="2" t="s">
        <v>3346</v>
      </c>
      <c r="R1186" s="2" t="str">
        <f>VLOOKUP(SALIDAS111518[[#This Row],[CÓDIGO]],PRODUCTOS31316[],2,FALSE)</f>
        <v>S7PRO</v>
      </c>
      <c r="S1186" s="1" t="str">
        <f>VLOOKUP(SALIDAS111518[[#This Row],[CÓDIGO]],PRODUCTOS31316[],3,FALSE)</f>
        <v>ECÓGRAFO S7 PRO VET CON SONDA LINEAL RECTAL</v>
      </c>
      <c r="T1186" s="2">
        <v>1</v>
      </c>
      <c r="U1186" s="360" t="s">
        <v>4933</v>
      </c>
      <c r="V1186" s="2"/>
      <c r="W1186" s="2" t="s">
        <v>3194</v>
      </c>
      <c r="X1186" s="2"/>
      <c r="Y1186" s="7"/>
      <c r="Z1186" s="2"/>
      <c r="AA1186" s="1"/>
      <c r="AC1186" s="2"/>
      <c r="AE1186" s="1"/>
      <c r="AG1186" s="2"/>
    </row>
    <row r="1187" spans="1:33" ht="49.95" customHeight="1" x14ac:dyDescent="0.3">
      <c r="A1187" s="2" t="s">
        <v>2276</v>
      </c>
      <c r="C1187" s="1" t="s">
        <v>1324</v>
      </c>
      <c r="D1187" s="1" t="s">
        <v>618</v>
      </c>
      <c r="E1187" s="1" t="s">
        <v>2018</v>
      </c>
      <c r="F1187" s="1" t="s">
        <v>30</v>
      </c>
      <c r="G1187" s="2">
        <v>0</v>
      </c>
      <c r="H1187" s="14">
        <f>SUMIF(ENTRADAS71417[CÓDIGO],PRODUCTOS31316[[#This Row],[CÓDIGO]],ENTRADAS71417[CANTIDAD])</f>
        <v>0</v>
      </c>
      <c r="I1187" s="11">
        <f>SUMIF(SALIDAS111518[CÓDIGO],PRODUCTOS31316[[#This Row],[CÓDIGO]],SALIDAS111518[CANTIDAD])</f>
        <v>0</v>
      </c>
      <c r="J1187" s="6">
        <f>PRODUCTOS31316[[#This Row],[EXISTENCIAS]]+PRODUCTOS31316[[#This Row],[ENTRADAS]]-PRODUCTOS31316[[#This Row],[SALIDAS]]</f>
        <v>0</v>
      </c>
      <c r="L1187" s="2"/>
      <c r="M1187" s="2"/>
      <c r="N1187" s="2">
        <v>8305</v>
      </c>
      <c r="O1187" s="360" t="s">
        <v>4549</v>
      </c>
      <c r="P1187" s="16">
        <v>46146</v>
      </c>
      <c r="Q1187" s="2" t="s">
        <v>3791</v>
      </c>
      <c r="R1187" s="2">
        <f>VLOOKUP(SALIDAS111518[[#This Row],[CÓDIGO]],PRODUCTOS31316[],2,FALSE)</f>
        <v>6936520864546</v>
      </c>
      <c r="S1187" s="1" t="str">
        <f>VLOOKUP(SALIDAS111518[[#This Row],[CÓDIGO]],PRODUCTOS31316[],3,FALSE)</f>
        <v>TABLET 11" HONOR PAD X8A 128 GB</v>
      </c>
      <c r="T1187" s="2">
        <v>1</v>
      </c>
      <c r="U1187" s="2"/>
      <c r="V1187" s="2"/>
      <c r="W1187" s="2"/>
      <c r="X1187" s="2"/>
      <c r="Y1187" s="7"/>
      <c r="Z1187" s="2"/>
      <c r="AA1187" s="1"/>
      <c r="AC1187" s="2"/>
      <c r="AE1187" s="1"/>
      <c r="AG1187" s="2"/>
    </row>
    <row r="1188" spans="1:33" ht="49.95" customHeight="1" x14ac:dyDescent="0.3">
      <c r="A1188" s="2" t="s">
        <v>2277</v>
      </c>
      <c r="C1188" s="1" t="s">
        <v>1324</v>
      </c>
      <c r="D1188" s="1" t="s">
        <v>271</v>
      </c>
      <c r="E1188" s="1" t="s">
        <v>2018</v>
      </c>
      <c r="F1188" s="1" t="s">
        <v>30</v>
      </c>
      <c r="G1188" s="2">
        <v>0</v>
      </c>
      <c r="H1188" s="14">
        <f>SUMIF(ENTRADAS71417[CÓDIGO],PRODUCTOS31316[[#This Row],[CÓDIGO]],ENTRADAS71417[CANTIDAD])</f>
        <v>0</v>
      </c>
      <c r="I1188" s="11">
        <f>SUMIF(SALIDAS111518[CÓDIGO],PRODUCTOS31316[[#This Row],[CÓDIGO]],SALIDAS111518[CANTIDAD])</f>
        <v>0</v>
      </c>
      <c r="J1188" s="6">
        <f>PRODUCTOS31316[[#This Row],[EXISTENCIAS]]+PRODUCTOS31316[[#This Row],[ENTRADAS]]-PRODUCTOS31316[[#This Row],[SALIDAS]]</f>
        <v>0</v>
      </c>
      <c r="L1188" s="2"/>
      <c r="M1188" s="2"/>
      <c r="N1188" s="2">
        <v>8305</v>
      </c>
      <c r="O1188" s="2" t="s">
        <v>4549</v>
      </c>
      <c r="P1188" s="16">
        <v>46146</v>
      </c>
      <c r="Q1188" s="2" t="s">
        <v>3286</v>
      </c>
      <c r="R1188" s="2">
        <f>VLOOKUP(SALIDAS111518[[#This Row],[CÓDIGO]],PRODUCTOS31316[],2,FALSE)</f>
        <v>0</v>
      </c>
      <c r="S1188" s="1" t="str">
        <f>VLOOKUP(SALIDAS111518[[#This Row],[CÓDIGO]],PRODUCTOS31316[],3,FALSE)</f>
        <v>CARCASA TABLET BMV</v>
      </c>
      <c r="T1188" s="2">
        <v>1</v>
      </c>
      <c r="U1188" s="2"/>
      <c r="V1188" s="2"/>
      <c r="W1188" s="2"/>
      <c r="X1188" s="2"/>
      <c r="Y1188" s="7"/>
      <c r="Z1188" s="2"/>
      <c r="AA1188" s="1"/>
      <c r="AC1188" s="2"/>
      <c r="AE1188" s="1"/>
      <c r="AG1188" s="2"/>
    </row>
    <row r="1189" spans="1:33" ht="49.95" customHeight="1" x14ac:dyDescent="0.3">
      <c r="A1189" s="2" t="s">
        <v>2278</v>
      </c>
      <c r="C1189" s="1" t="s">
        <v>1613</v>
      </c>
      <c r="D1189" s="1" t="s">
        <v>618</v>
      </c>
      <c r="E1189" s="1" t="s">
        <v>2018</v>
      </c>
      <c r="F1189" s="1" t="s">
        <v>30</v>
      </c>
      <c r="G1189" s="2">
        <v>0</v>
      </c>
      <c r="H1189" s="14">
        <f>SUMIF(ENTRADAS71417[CÓDIGO],PRODUCTOS31316[[#This Row],[CÓDIGO]],ENTRADAS71417[CANTIDAD])</f>
        <v>0</v>
      </c>
      <c r="I1189" s="11">
        <f>SUMIF(SALIDAS111518[CÓDIGO],PRODUCTOS31316[[#This Row],[CÓDIGO]],SALIDAS111518[CANTIDAD])</f>
        <v>0</v>
      </c>
      <c r="J1189" s="6">
        <f>PRODUCTOS31316[[#This Row],[EXISTENCIAS]]+PRODUCTOS31316[[#This Row],[ENTRADAS]]-PRODUCTOS31316[[#This Row],[SALIDAS]]</f>
        <v>0</v>
      </c>
      <c r="L1189" s="2"/>
      <c r="M1189" s="2"/>
      <c r="N1189" s="2">
        <v>8305</v>
      </c>
      <c r="O1189" s="2" t="s">
        <v>4549</v>
      </c>
      <c r="P1189" s="16">
        <v>46146</v>
      </c>
      <c r="Q1189" s="2" t="s">
        <v>3095</v>
      </c>
      <c r="R1189" s="2">
        <f>VLOOKUP(SALIDAS111518[[#This Row],[CÓDIGO]],PRODUCTOS31316[],2,FALSE)</f>
        <v>0</v>
      </c>
      <c r="S1189" s="1" t="str">
        <f>VLOOKUP(SALIDAS111518[[#This Row],[CÓDIGO]],PRODUCTOS31316[],3,FALSE)</f>
        <v>GORRA MAS CAMPO</v>
      </c>
      <c r="T1189" s="2">
        <v>1</v>
      </c>
      <c r="U1189" s="2"/>
      <c r="V1189" s="2"/>
      <c r="W1189" s="2"/>
      <c r="X1189" s="2"/>
      <c r="Y1189" s="7"/>
      <c r="Z1189" s="2"/>
      <c r="AA1189" s="1"/>
      <c r="AC1189" s="2"/>
      <c r="AE1189" s="1"/>
      <c r="AG1189" s="2"/>
    </row>
    <row r="1190" spans="1:33" ht="49.95" customHeight="1" x14ac:dyDescent="0.3">
      <c r="A1190" s="2" t="s">
        <v>2279</v>
      </c>
      <c r="C1190" s="1" t="s">
        <v>2672</v>
      </c>
      <c r="D1190" s="1" t="s">
        <v>618</v>
      </c>
      <c r="E1190" s="1" t="s">
        <v>2018</v>
      </c>
      <c r="F1190" s="1" t="s">
        <v>30</v>
      </c>
      <c r="G1190" s="2">
        <v>0</v>
      </c>
      <c r="H1190" s="14">
        <f>SUMIF(ENTRADAS71417[CÓDIGO],PRODUCTOS31316[[#This Row],[CÓDIGO]],ENTRADAS71417[CANTIDAD])</f>
        <v>0</v>
      </c>
      <c r="I1190" s="11">
        <f>SUMIF(SALIDAS111518[CÓDIGO],PRODUCTOS31316[[#This Row],[CÓDIGO]],SALIDAS111518[CANTIDAD])</f>
        <v>0</v>
      </c>
      <c r="J1190" s="6">
        <f>PRODUCTOS31316[[#This Row],[EXISTENCIAS]]+PRODUCTOS31316[[#This Row],[ENTRADAS]]-PRODUCTOS31316[[#This Row],[SALIDAS]]</f>
        <v>0</v>
      </c>
      <c r="L1190" s="2" t="s">
        <v>3520</v>
      </c>
      <c r="M1190" s="2" t="s">
        <v>4250</v>
      </c>
      <c r="N1190" s="1" t="s">
        <v>4555</v>
      </c>
      <c r="O1190" s="2" t="s">
        <v>4551</v>
      </c>
      <c r="P1190" s="16">
        <v>46112</v>
      </c>
      <c r="Q1190" s="2" t="s">
        <v>2382</v>
      </c>
      <c r="R1190" s="2">
        <f>VLOOKUP(SALIDAS111518[[#This Row],[CÓDIGO]],PRODUCTOS31316[],2,FALSE)</f>
        <v>1</v>
      </c>
      <c r="S1190" s="1" t="str">
        <f>VLOOKUP(SALIDAS111518[[#This Row],[CÓDIGO]],PRODUCTOS31316[],3,FALSE)</f>
        <v>TERMO DE TRANSPORTE 1 LITRO</v>
      </c>
      <c r="T1190" s="2">
        <v>1</v>
      </c>
      <c r="U1190" s="2">
        <v>520</v>
      </c>
      <c r="V1190" s="2"/>
      <c r="W1190" s="2"/>
      <c r="X1190" s="2"/>
      <c r="Y1190" s="7"/>
      <c r="Z1190" s="2"/>
      <c r="AA1190" s="1"/>
      <c r="AC1190" s="2"/>
      <c r="AE1190" s="1"/>
      <c r="AG1190" s="2"/>
    </row>
    <row r="1191" spans="1:33" ht="49.95" customHeight="1" x14ac:dyDescent="0.3">
      <c r="A1191" s="2" t="s">
        <v>2280</v>
      </c>
      <c r="C1191" s="1" t="s">
        <v>2673</v>
      </c>
      <c r="E1191" s="1" t="s">
        <v>2018</v>
      </c>
      <c r="F1191" s="1" t="s">
        <v>30</v>
      </c>
      <c r="G1191" s="2">
        <v>1</v>
      </c>
      <c r="H1191" s="14">
        <f>SUMIF(ENTRADAS71417[CÓDIGO],PRODUCTOS31316[[#This Row],[CÓDIGO]],ENTRADAS71417[CANTIDAD])</f>
        <v>0</v>
      </c>
      <c r="I1191" s="11">
        <f>SUMIF(SALIDAS111518[CÓDIGO],PRODUCTOS31316[[#This Row],[CÓDIGO]],SALIDAS111518[CANTIDAD])</f>
        <v>0</v>
      </c>
      <c r="J1191" s="6">
        <f>PRODUCTOS31316[[#This Row],[EXISTENCIAS]]+PRODUCTOS31316[[#This Row],[ENTRADAS]]-PRODUCTOS31316[[#This Row],[SALIDAS]]</f>
        <v>1</v>
      </c>
      <c r="L1191" s="2" t="s">
        <v>3521</v>
      </c>
      <c r="M1191" s="2" t="s">
        <v>4250</v>
      </c>
      <c r="N1191" s="1" t="s">
        <v>4556</v>
      </c>
      <c r="O1191" s="2" t="s">
        <v>4552</v>
      </c>
      <c r="P1191" s="16">
        <v>46112</v>
      </c>
      <c r="Q1191" s="2" t="s">
        <v>3393</v>
      </c>
      <c r="R1191" s="2">
        <f>VLOOKUP(SALIDAS111518[[#This Row],[CÓDIGO]],PRODUCTOS31316[],2,FALSE)</f>
        <v>17026</v>
      </c>
      <c r="S1191" s="1" t="str">
        <f>VLOOKUP(SALIDAS111518[[#This Row],[CÓDIGO]],PRODUCTOS31316[],3,FALSE)</f>
        <v>PISTOLA DE INSEMINACION QUICKLOCK 2000 MINITUBE</v>
      </c>
      <c r="T1191" s="2">
        <v>1</v>
      </c>
      <c r="U1191" s="2">
        <v>521</v>
      </c>
      <c r="V1191" s="2"/>
      <c r="W1191" s="2"/>
      <c r="X1191" s="2"/>
      <c r="Y1191" s="7"/>
      <c r="Z1191" s="2"/>
      <c r="AA1191" s="1"/>
      <c r="AC1191" s="2"/>
      <c r="AE1191" s="1"/>
      <c r="AG1191" s="2"/>
    </row>
    <row r="1192" spans="1:33" ht="49.95" customHeight="1" x14ac:dyDescent="0.3">
      <c r="A1192" s="2" t="s">
        <v>2282</v>
      </c>
      <c r="C1192" s="1" t="s">
        <v>2674</v>
      </c>
      <c r="E1192" s="1" t="s">
        <v>2018</v>
      </c>
      <c r="F1192" s="1" t="s">
        <v>30</v>
      </c>
      <c r="G1192" s="2">
        <v>1</v>
      </c>
      <c r="H1192" s="14">
        <f>SUMIF(ENTRADAS71417[CÓDIGO],PRODUCTOS31316[[#This Row],[CÓDIGO]],ENTRADAS71417[CANTIDAD])</f>
        <v>0</v>
      </c>
      <c r="I1192" s="11">
        <f>SUMIF(SALIDAS111518[CÓDIGO],PRODUCTOS31316[[#This Row],[CÓDIGO]],SALIDAS111518[CANTIDAD])</f>
        <v>1</v>
      </c>
      <c r="J1192" s="6">
        <f>PRODUCTOS31316[[#This Row],[EXISTENCIAS]]+PRODUCTOS31316[[#This Row],[ENTRADAS]]-PRODUCTOS31316[[#This Row],[SALIDAS]]</f>
        <v>0</v>
      </c>
      <c r="L1192" s="2" t="s">
        <v>3521</v>
      </c>
      <c r="M1192" s="2" t="s">
        <v>4250</v>
      </c>
      <c r="N1192" s="1" t="s">
        <v>4557</v>
      </c>
      <c r="O1192" s="2" t="s">
        <v>4553</v>
      </c>
      <c r="P1192" s="16">
        <v>46112</v>
      </c>
      <c r="Q1192" s="2" t="s">
        <v>714</v>
      </c>
      <c r="R1192" s="2" t="str">
        <f>VLOOKUP(SALIDAS111518[[#This Row],[CÓDIGO]],PRODUCTOS31316[],2,FALSE)</f>
        <v>S1</v>
      </c>
      <c r="S1192" s="1" t="str">
        <f>VLOOKUP(SALIDAS111518[[#This Row],[CÓDIGO]],PRODUCTOS31316[],3,FALSE)</f>
        <v>ECÓGRAFO PORTATIL S1, PROBE RECTAL  Y PROTECTOR SOLAR</v>
      </c>
      <c r="T1192" s="2">
        <v>1</v>
      </c>
      <c r="U1192" s="2">
        <v>522</v>
      </c>
      <c r="V1192" s="2"/>
      <c r="W1192" s="2"/>
      <c r="X1192" s="2"/>
      <c r="Y1192" s="7"/>
      <c r="Z1192" s="2"/>
      <c r="AA1192" s="1"/>
      <c r="AC1192" s="2"/>
      <c r="AE1192" s="1"/>
      <c r="AG1192" s="2"/>
    </row>
    <row r="1193" spans="1:33" ht="49.95" customHeight="1" x14ac:dyDescent="0.3">
      <c r="A1193" s="2" t="s">
        <v>2284</v>
      </c>
      <c r="C1193" s="1" t="s">
        <v>2675</v>
      </c>
      <c r="E1193" s="1" t="s">
        <v>2018</v>
      </c>
      <c r="F1193" s="1" t="s">
        <v>30</v>
      </c>
      <c r="G1193" s="2">
        <v>1</v>
      </c>
      <c r="H1193" s="14">
        <f>SUMIF(ENTRADAS71417[CÓDIGO],PRODUCTOS31316[[#This Row],[CÓDIGO]],ENTRADAS71417[CANTIDAD])</f>
        <v>0</v>
      </c>
      <c r="I1193" s="11">
        <f>SUMIF(SALIDAS111518[CÓDIGO],PRODUCTOS31316[[#This Row],[CÓDIGO]],SALIDAS111518[CANTIDAD])</f>
        <v>1</v>
      </c>
      <c r="J1193" s="6">
        <f>PRODUCTOS31316[[#This Row],[EXISTENCIAS]]+PRODUCTOS31316[[#This Row],[ENTRADAS]]-PRODUCTOS31316[[#This Row],[SALIDAS]]</f>
        <v>0</v>
      </c>
      <c r="L1193" s="2"/>
      <c r="M1193" s="2"/>
      <c r="N1193" s="2">
        <v>8125</v>
      </c>
      <c r="O1193" s="2" t="s">
        <v>4553</v>
      </c>
      <c r="P1193" s="16">
        <v>46112</v>
      </c>
      <c r="Q1193" s="2" t="s">
        <v>3095</v>
      </c>
      <c r="R1193" s="2">
        <f>VLOOKUP(SALIDAS111518[[#This Row],[CÓDIGO]],PRODUCTOS31316[],2,FALSE)</f>
        <v>0</v>
      </c>
      <c r="S1193" s="1" t="str">
        <f>VLOOKUP(SALIDAS111518[[#This Row],[CÓDIGO]],PRODUCTOS31316[],3,FALSE)</f>
        <v>GORRA MAS CAMPO</v>
      </c>
      <c r="T1193" s="2">
        <v>1</v>
      </c>
      <c r="U1193" s="2"/>
      <c r="V1193" s="2"/>
      <c r="W1193" s="2"/>
      <c r="X1193" s="2"/>
      <c r="Y1193" s="7"/>
      <c r="Z1193" s="2"/>
      <c r="AA1193" s="1"/>
      <c r="AC1193" s="2"/>
      <c r="AE1193" s="1"/>
      <c r="AG1193" s="2"/>
    </row>
    <row r="1194" spans="1:33" ht="49.95" customHeight="1" x14ac:dyDescent="0.3">
      <c r="A1194" s="2" t="s">
        <v>2285</v>
      </c>
      <c r="C1194" s="1" t="s">
        <v>1322</v>
      </c>
      <c r="D1194" s="1" t="s">
        <v>1323</v>
      </c>
      <c r="E1194" s="1" t="s">
        <v>2018</v>
      </c>
      <c r="F1194" s="1" t="s">
        <v>30</v>
      </c>
      <c r="G1194" s="2">
        <v>0</v>
      </c>
      <c r="H1194" s="14">
        <f>SUMIF(ENTRADAS71417[CÓDIGO],PRODUCTOS31316[[#This Row],[CÓDIGO]],ENTRADAS71417[CANTIDAD])</f>
        <v>0</v>
      </c>
      <c r="I1194" s="11">
        <f>SUMIF(SALIDAS111518[CÓDIGO],PRODUCTOS31316[[#This Row],[CÓDIGO]],SALIDAS111518[CANTIDAD])</f>
        <v>0</v>
      </c>
      <c r="J1194" s="6">
        <f>PRODUCTOS31316[[#This Row],[EXISTENCIAS]]+PRODUCTOS31316[[#This Row],[ENTRADAS]]-PRODUCTOS31316[[#This Row],[SALIDAS]]</f>
        <v>0</v>
      </c>
      <c r="L1194" s="2" t="s">
        <v>3520</v>
      </c>
      <c r="M1194" s="2" t="s">
        <v>4250</v>
      </c>
      <c r="N1194" s="1" t="s">
        <v>4558</v>
      </c>
      <c r="O1194" s="2" t="s">
        <v>2215</v>
      </c>
      <c r="P1194" s="16">
        <v>46112</v>
      </c>
      <c r="Q1194" s="2" t="s">
        <v>75</v>
      </c>
      <c r="R1194" s="2" t="str">
        <f>VLOOKUP(SALIDAS111518[[#This Row],[CÓDIGO]],PRODUCTOS31316[],2,FALSE)</f>
        <v>18130E</v>
      </c>
      <c r="S1194" s="1" t="str">
        <f>VLOOKUP(SALIDAS111518[[#This Row],[CÓDIGO]],PRODUCTOS31316[],3,FALSE)</f>
        <v>CAJA PETRI DESECHABLE ESTERIL 60X15 MM</v>
      </c>
      <c r="T1194" s="2">
        <v>10</v>
      </c>
      <c r="U1194" s="2">
        <v>523</v>
      </c>
      <c r="V1194" s="2"/>
      <c r="W1194" s="2"/>
      <c r="X1194" s="2"/>
      <c r="Y1194" s="7"/>
      <c r="Z1194" s="2"/>
      <c r="AA1194" s="1"/>
      <c r="AC1194" s="2"/>
      <c r="AE1194" s="1"/>
      <c r="AG1194" s="2"/>
    </row>
    <row r="1195" spans="1:33" ht="49.95" customHeight="1" x14ac:dyDescent="0.3">
      <c r="A1195" s="2" t="s">
        <v>2286</v>
      </c>
      <c r="C1195" s="1" t="s">
        <v>1527</v>
      </c>
      <c r="E1195" s="1" t="s">
        <v>2018</v>
      </c>
      <c r="F1195" s="1" t="s">
        <v>41</v>
      </c>
      <c r="G1195" s="2">
        <v>1</v>
      </c>
      <c r="H1195" s="14">
        <f>SUMIF(ENTRADAS71417[CÓDIGO],PRODUCTOS31316[[#This Row],[CÓDIGO]],ENTRADAS71417[CANTIDAD])</f>
        <v>0</v>
      </c>
      <c r="I1195" s="11">
        <f>SUMIF(SALIDAS111518[CÓDIGO],PRODUCTOS31316[[#This Row],[CÓDIGO]],SALIDAS111518[CANTIDAD])</f>
        <v>0</v>
      </c>
      <c r="J1195" s="6">
        <f>PRODUCTOS31316[[#This Row],[EXISTENCIAS]]+PRODUCTOS31316[[#This Row],[ENTRADAS]]-PRODUCTOS31316[[#This Row],[SALIDAS]]</f>
        <v>1</v>
      </c>
      <c r="L1195" s="2"/>
      <c r="M1195" s="2"/>
      <c r="N1195" s="2">
        <v>8126</v>
      </c>
      <c r="O1195" s="2" t="s">
        <v>2215</v>
      </c>
      <c r="P1195" s="16">
        <v>46112</v>
      </c>
      <c r="Q1195" s="2" t="s">
        <v>63</v>
      </c>
      <c r="R1195" s="2">
        <f>VLOOKUP(SALIDAS111518[[#This Row],[CÓDIGO]],PRODUCTOS31316[],2,FALSE)</f>
        <v>25458</v>
      </c>
      <c r="S1195" s="1" t="str">
        <f>VLOOKUP(SALIDAS111518[[#This Row],[CÓDIGO]],PRODUCTOS31316[],3,FALSE)</f>
        <v>FILTROS PARA OPU 100 UL</v>
      </c>
      <c r="T1195" s="2">
        <v>1</v>
      </c>
      <c r="U1195" s="2"/>
      <c r="V1195" s="2"/>
      <c r="W1195" s="2"/>
      <c r="X1195" s="2"/>
      <c r="Y1195" s="7"/>
      <c r="Z1195" s="2"/>
      <c r="AA1195" s="1"/>
      <c r="AC1195" s="2"/>
      <c r="AE1195" s="1"/>
      <c r="AG1195" s="2"/>
    </row>
    <row r="1196" spans="1:33" ht="49.95" customHeight="1" x14ac:dyDescent="0.3">
      <c r="A1196" s="2" t="s">
        <v>2287</v>
      </c>
      <c r="C1196" s="1" t="s">
        <v>2676</v>
      </c>
      <c r="D1196" s="1" t="s">
        <v>2677</v>
      </c>
      <c r="E1196" s="1" t="s">
        <v>2018</v>
      </c>
      <c r="F1196" s="1" t="s">
        <v>30</v>
      </c>
      <c r="G1196" s="2">
        <v>25</v>
      </c>
      <c r="H1196" s="14">
        <f>SUMIF(ENTRADAS71417[CÓDIGO],PRODUCTOS31316[[#This Row],[CÓDIGO]],ENTRADAS71417[CANTIDAD])</f>
        <v>0</v>
      </c>
      <c r="I1196" s="11">
        <f>SUMIF(SALIDAS111518[CÓDIGO],PRODUCTOS31316[[#This Row],[CÓDIGO]],SALIDAS111518[CANTIDAD])</f>
        <v>0</v>
      </c>
      <c r="J1196" s="6">
        <f>PRODUCTOS31316[[#This Row],[EXISTENCIAS]]+PRODUCTOS31316[[#This Row],[ENTRADAS]]-PRODUCTOS31316[[#This Row],[SALIDAS]]</f>
        <v>25</v>
      </c>
      <c r="L1196" s="2" t="s">
        <v>3520</v>
      </c>
      <c r="M1196" s="2" t="s">
        <v>4250</v>
      </c>
      <c r="N1196" s="1" t="s">
        <v>4560</v>
      </c>
      <c r="O1196" s="1" t="s">
        <v>2445</v>
      </c>
      <c r="P1196" s="16">
        <v>46112</v>
      </c>
      <c r="Q1196" s="2" t="s">
        <v>3713</v>
      </c>
      <c r="R1196" s="2" t="str">
        <f>VLOOKUP(SALIDAS111518[[#This Row],[CÓDIGO]],PRODUCTOS31316[],2,FALSE)</f>
        <v>13408-074</v>
      </c>
      <c r="S1196" s="1" t="str">
        <f>VLOOKUP(SALIDAS111518[[#This Row],[CÓDIGO]],PRODUCTOS31316[],3,FALSE)</f>
        <v>PAJUELA GRIS 0.50/ PAQ. X 2500 MARCA MINITUBE</v>
      </c>
      <c r="T1196" s="2">
        <v>1</v>
      </c>
      <c r="U1196" s="2">
        <v>525</v>
      </c>
      <c r="V1196" s="2"/>
      <c r="W1196" s="2"/>
      <c r="X1196" s="2"/>
      <c r="Y1196" s="7"/>
      <c r="Z1196" s="2"/>
      <c r="AA1196" s="1"/>
      <c r="AC1196" s="2"/>
      <c r="AE1196" s="1"/>
      <c r="AG1196" s="2"/>
    </row>
    <row r="1197" spans="1:33" ht="49.95" customHeight="1" x14ac:dyDescent="0.3">
      <c r="A1197" s="2" t="s">
        <v>4217</v>
      </c>
      <c r="B1197" s="1" t="s">
        <v>4219</v>
      </c>
      <c r="C1197" s="1" t="s">
        <v>4218</v>
      </c>
      <c r="D1197" s="1" t="s">
        <v>280</v>
      </c>
      <c r="E1197" s="1" t="s">
        <v>2983</v>
      </c>
      <c r="F1197" s="1" t="s">
        <v>30</v>
      </c>
      <c r="G1197" s="2"/>
      <c r="H1197" s="14">
        <f>SUMIF(ENTRADAS71417[CÓDIGO],PRODUCTOS31316[[#This Row],[CÓDIGO]],ENTRADAS71417[CANTIDAD])</f>
        <v>1</v>
      </c>
      <c r="I1197" s="11">
        <f>SUMIF(SALIDAS111518[CÓDIGO],PRODUCTOS31316[[#This Row],[CÓDIGO]],SALIDAS111518[CANTIDAD])</f>
        <v>1</v>
      </c>
      <c r="J1197" s="6">
        <f>PRODUCTOS31316[[#This Row],[EXISTENCIAS]]+PRODUCTOS31316[[#This Row],[ENTRADAS]]-PRODUCTOS31316[[#This Row],[SALIDAS]]</f>
        <v>0</v>
      </c>
      <c r="L1197" s="2"/>
      <c r="M1197" s="2"/>
      <c r="N1197" s="2">
        <v>8127</v>
      </c>
      <c r="O1197" s="1" t="s">
        <v>2445</v>
      </c>
      <c r="P1197" s="16">
        <v>46112</v>
      </c>
      <c r="Q1197" s="2" t="s">
        <v>3715</v>
      </c>
      <c r="R1197" s="2" t="str">
        <f>VLOOKUP(SALIDAS111518[[#This Row],[CÓDIGO]],PRODUCTOS31316[],2,FALSE)</f>
        <v>13408-130</v>
      </c>
      <c r="S1197" s="1" t="str">
        <f>VLOOKUP(SALIDAS111518[[#This Row],[CÓDIGO]],PRODUCTOS31316[],3,FALSE)</f>
        <v>PAJUELA TURQUESA 0.50/ PAQ. X 2500 MARCA MINITUBE</v>
      </c>
      <c r="T1197" s="2">
        <v>1</v>
      </c>
      <c r="U1197" s="2"/>
      <c r="V1197" s="2"/>
      <c r="W1197" s="2"/>
      <c r="X1197" s="2"/>
      <c r="Y1197" s="7"/>
      <c r="Z1197" s="2"/>
      <c r="AA1197" s="1"/>
      <c r="AC1197" s="2"/>
      <c r="AE1197" s="1"/>
      <c r="AG1197" s="2"/>
    </row>
    <row r="1198" spans="1:33" ht="49.95" customHeight="1" x14ac:dyDescent="0.3">
      <c r="A1198" s="2" t="s">
        <v>4226</v>
      </c>
      <c r="B1198" s="1" t="s">
        <v>4221</v>
      </c>
      <c r="C1198" s="1" t="s">
        <v>4220</v>
      </c>
      <c r="D1198" s="1" t="s">
        <v>280</v>
      </c>
      <c r="E1198" s="1" t="s">
        <v>2983</v>
      </c>
      <c r="F1198" s="1" t="s">
        <v>30</v>
      </c>
      <c r="G1198" s="2"/>
      <c r="H1198" s="14">
        <f>SUMIF(ENTRADAS71417[CÓDIGO],PRODUCTOS31316[[#This Row],[CÓDIGO]],ENTRADAS71417[CANTIDAD])</f>
        <v>1</v>
      </c>
      <c r="I1198" s="11">
        <f>SUMIF(SALIDAS111518[CÓDIGO],PRODUCTOS31316[[#This Row],[CÓDIGO]],SALIDAS111518[CANTIDAD])</f>
        <v>0</v>
      </c>
      <c r="J1198" s="6">
        <f>PRODUCTOS31316[[#This Row],[EXISTENCIAS]]+PRODUCTOS31316[[#This Row],[ENTRADAS]]-PRODUCTOS31316[[#This Row],[SALIDAS]]</f>
        <v>1</v>
      </c>
      <c r="L1198" s="2" t="s">
        <v>3521</v>
      </c>
      <c r="M1198" s="2" t="s">
        <v>4250</v>
      </c>
      <c r="N1198" s="1" t="s">
        <v>4563</v>
      </c>
      <c r="O1198" s="327" t="s">
        <v>4559</v>
      </c>
      <c r="P1198" s="16">
        <v>46112</v>
      </c>
      <c r="Q1198" s="2" t="s">
        <v>3591</v>
      </c>
      <c r="R1198" s="2">
        <f>VLOOKUP(SALIDAS111518[[#This Row],[CÓDIGO]],PRODUCTOS31316[],2,FALSE)</f>
        <v>9018121000</v>
      </c>
      <c r="S1198" s="1" t="str">
        <f>VLOOKUP(SALIDAS111518[[#This Row],[CÓDIGO]],PRODUCTOS31316[],3,FALSE)</f>
        <v>ECÓGRAFO Y6 CON SONDA LINEAL RECTAL</v>
      </c>
      <c r="T1198" s="2">
        <v>1</v>
      </c>
      <c r="U1198" s="1" t="s">
        <v>4561</v>
      </c>
      <c r="V1198" s="2"/>
      <c r="W1198" s="2" t="s">
        <v>2823</v>
      </c>
      <c r="X1198" s="2"/>
      <c r="Y1198" s="7"/>
      <c r="Z1198" s="2"/>
      <c r="AA1198" s="1"/>
      <c r="AC1198" s="2"/>
      <c r="AE1198" s="1"/>
      <c r="AG1198" s="2"/>
    </row>
    <row r="1199" spans="1:33" ht="49.95" customHeight="1" x14ac:dyDescent="0.3">
      <c r="A1199" s="2" t="s">
        <v>4227</v>
      </c>
      <c r="B1199" s="1" t="s">
        <v>4223</v>
      </c>
      <c r="C1199" s="1" t="s">
        <v>4222</v>
      </c>
      <c r="D1199" s="1" t="s">
        <v>280</v>
      </c>
      <c r="E1199" s="1" t="s">
        <v>2983</v>
      </c>
      <c r="F1199" s="1" t="s">
        <v>30</v>
      </c>
      <c r="G1199" s="2"/>
      <c r="H1199" s="14">
        <f>SUMIF(ENTRADAS71417[CÓDIGO],PRODUCTOS31316[[#This Row],[CÓDIGO]],ENTRADAS71417[CANTIDAD])</f>
        <v>1</v>
      </c>
      <c r="I1199" s="11">
        <f>SUMIF(SALIDAS111518[CÓDIGO],PRODUCTOS31316[[#This Row],[CÓDIGO]],SALIDAS111518[CANTIDAD])</f>
        <v>0</v>
      </c>
      <c r="J1199" s="6">
        <f>PRODUCTOS31316[[#This Row],[EXISTENCIAS]]+PRODUCTOS31316[[#This Row],[ENTRADAS]]-PRODUCTOS31316[[#This Row],[SALIDAS]]</f>
        <v>1</v>
      </c>
      <c r="L1199" s="2"/>
      <c r="M1199" s="2"/>
      <c r="N1199" s="2">
        <v>8128</v>
      </c>
      <c r="O1199" s="1" t="s">
        <v>4559</v>
      </c>
      <c r="P1199" s="16">
        <v>46112</v>
      </c>
      <c r="Q1199" s="2" t="s">
        <v>3095</v>
      </c>
      <c r="R1199" s="2">
        <f>VLOOKUP(SALIDAS111518[[#This Row],[CÓDIGO]],PRODUCTOS31316[],2,FALSE)</f>
        <v>0</v>
      </c>
      <c r="S1199" s="1" t="str">
        <f>VLOOKUP(SALIDAS111518[[#This Row],[CÓDIGO]],PRODUCTOS31316[],3,FALSE)</f>
        <v>GORRA MAS CAMPO</v>
      </c>
      <c r="T1199" s="2">
        <v>1</v>
      </c>
      <c r="U1199" s="2"/>
      <c r="V1199" s="2"/>
      <c r="W1199" s="2"/>
      <c r="X1199" s="2"/>
      <c r="Y1199" s="7"/>
      <c r="Z1199" s="2"/>
      <c r="AA1199" s="1"/>
      <c r="AC1199" s="2"/>
      <c r="AE1199" s="1"/>
      <c r="AG1199" s="2"/>
    </row>
    <row r="1200" spans="1:33" ht="49.95" customHeight="1" x14ac:dyDescent="0.3">
      <c r="A1200" s="2" t="s">
        <v>4228</v>
      </c>
      <c r="B1200" s="1" t="s">
        <v>4225</v>
      </c>
      <c r="C1200" s="1" t="s">
        <v>4224</v>
      </c>
      <c r="D1200" s="1" t="s">
        <v>280</v>
      </c>
      <c r="E1200" s="1" t="s">
        <v>2983</v>
      </c>
      <c r="F1200" s="1" t="s">
        <v>30</v>
      </c>
      <c r="G1200" s="2"/>
      <c r="H1200" s="14">
        <f>SUMIF(ENTRADAS71417[CÓDIGO],PRODUCTOS31316[[#This Row],[CÓDIGO]],ENTRADAS71417[CANTIDAD])</f>
        <v>1</v>
      </c>
      <c r="I1200" s="11">
        <f>SUMIF(SALIDAS111518[CÓDIGO],PRODUCTOS31316[[#This Row],[CÓDIGO]],SALIDAS111518[CANTIDAD])</f>
        <v>1</v>
      </c>
      <c r="J1200" s="6">
        <f>PRODUCTOS31316[[#This Row],[EXISTENCIAS]]+PRODUCTOS31316[[#This Row],[ENTRADAS]]-PRODUCTOS31316[[#This Row],[SALIDAS]]</f>
        <v>0</v>
      </c>
      <c r="L1200" s="2" t="s">
        <v>3520</v>
      </c>
      <c r="M1200" s="2" t="s">
        <v>4250</v>
      </c>
      <c r="N1200" s="1" t="s">
        <v>4562</v>
      </c>
      <c r="O1200" s="2" t="s">
        <v>3150</v>
      </c>
      <c r="P1200" s="16">
        <v>46112</v>
      </c>
      <c r="Q1200" s="2" t="s">
        <v>15</v>
      </c>
      <c r="R1200" s="2" t="str">
        <f>VLOOKUP(SALIDAS111518[[#This Row],[CÓDIGO]],PRODUCTOS31316[],2,FALSE)</f>
        <v>BTE-025PT/ 504002</v>
      </c>
      <c r="S1200" s="1" t="str">
        <f>VLOOKUP(SALIDAS111518[[#This Row],[CÓDIGO]],PRODUCTOS31316[],3,FALSE)</f>
        <v>FUNDAS PARA TRANSFERENCIA DE EMBRIONES</v>
      </c>
      <c r="T1200" s="2">
        <v>20</v>
      </c>
      <c r="U1200" s="2">
        <v>526</v>
      </c>
      <c r="V1200" s="2"/>
      <c r="W1200" s="2"/>
      <c r="X1200" s="2"/>
      <c r="Y1200" s="7"/>
      <c r="Z1200" s="2"/>
      <c r="AA1200" s="1"/>
      <c r="AC1200" s="2"/>
      <c r="AE1200" s="1"/>
      <c r="AG1200" s="2"/>
    </row>
    <row r="1201" spans="1:33" ht="49.95" customHeight="1" x14ac:dyDescent="0.3">
      <c r="F1201" s="147" t="s">
        <v>30</v>
      </c>
      <c r="G1201" s="2">
        <v>0</v>
      </c>
      <c r="H1201" s="14">
        <f>SUMIF(ENTRADAS71417[CÓDIGO],PRODUCTOS31316[[#This Row],[CÓDIGO]],ENTRADAS71417[CANTIDAD])</f>
        <v>0</v>
      </c>
      <c r="I1201" s="11">
        <f>SUMIF(SALIDAS111518[CÓDIGO],PRODUCTOS31316[[#This Row],[CÓDIGO]],SALIDAS111518[CANTIDAD])</f>
        <v>0</v>
      </c>
      <c r="J1201" s="6">
        <f>PRODUCTOS31316[[#This Row],[EXISTENCIAS]]+PRODUCTOS31316[[#This Row],[ENTRADAS]]-PRODUCTOS31316[[#This Row],[SALIDAS]]</f>
        <v>0</v>
      </c>
      <c r="L1201" s="2"/>
      <c r="M1201" s="2"/>
      <c r="N1201" s="2">
        <v>8129</v>
      </c>
      <c r="O1201" s="2" t="s">
        <v>3150</v>
      </c>
      <c r="P1201" s="16">
        <v>46112</v>
      </c>
      <c r="Q1201" s="2" t="s">
        <v>2246</v>
      </c>
      <c r="R1201" s="2" t="str">
        <f>VLOOKUP(SALIDAS111518[[#This Row],[CÓDIGO]],PRODUCTOS31316[],2,FALSE)</f>
        <v>00051076-02</v>
      </c>
      <c r="S1201" s="1" t="str">
        <f>VLOOKUP(SALIDAS111518[[#This Row],[CÓDIGO]],PRODUCTOS31316[],3,FALSE)</f>
        <v>LIDOCAÍNA  HCL 2 % X 100 ML/ 2025-12-16</v>
      </c>
      <c r="T1201" s="2">
        <v>3</v>
      </c>
      <c r="U1201" s="2"/>
      <c r="V1201" s="2"/>
      <c r="W1201" s="2"/>
      <c r="X1201" s="2"/>
      <c r="Y1201" s="7"/>
      <c r="Z1201" s="2"/>
      <c r="AA1201" s="1"/>
      <c r="AC1201" s="2"/>
      <c r="AE1201" s="1"/>
      <c r="AG1201" s="2"/>
    </row>
    <row r="1202" spans="1:33" ht="49.95" customHeight="1" x14ac:dyDescent="0.3">
      <c r="A1202" s="2" t="s">
        <v>2365</v>
      </c>
      <c r="B1202" s="1" t="s">
        <v>2678</v>
      </c>
      <c r="C1202" s="1" t="s">
        <v>2679</v>
      </c>
      <c r="D1202" s="1" t="s">
        <v>156</v>
      </c>
      <c r="E1202" s="1" t="s">
        <v>2020</v>
      </c>
      <c r="F1202" s="1" t="s">
        <v>30</v>
      </c>
      <c r="G1202" s="2">
        <v>0</v>
      </c>
      <c r="H1202" s="14">
        <f>SUMIF(ENTRADAS71417[CÓDIGO],PRODUCTOS31316[[#This Row],[CÓDIGO]],ENTRADAS71417[CANTIDAD])</f>
        <v>0</v>
      </c>
      <c r="I1202" s="11">
        <f>SUMIF(SALIDAS111518[CÓDIGO],PRODUCTOS31316[[#This Row],[CÓDIGO]],SALIDAS111518[CANTIDAD])</f>
        <v>0</v>
      </c>
      <c r="J1202" s="6">
        <f>PRODUCTOS31316[[#This Row],[EXISTENCIAS]]+PRODUCTOS31316[[#This Row],[ENTRADAS]]-PRODUCTOS31316[[#This Row],[SALIDAS]]</f>
        <v>0</v>
      </c>
      <c r="L1202" s="2" t="s">
        <v>3520</v>
      </c>
      <c r="M1202" s="2" t="s">
        <v>4250</v>
      </c>
      <c r="N1202" s="1" t="s">
        <v>4564</v>
      </c>
      <c r="O1202" s="2" t="s">
        <v>4554</v>
      </c>
      <c r="P1202" s="16">
        <v>46112</v>
      </c>
      <c r="Q1202" s="2" t="s">
        <v>247</v>
      </c>
      <c r="R1202" s="2">
        <f>VLOOKUP(SALIDAS111518[[#This Row],[CÓDIGO]],PRODUCTOS31316[],2,FALSE)</f>
        <v>352054</v>
      </c>
      <c r="S1202" s="1" t="str">
        <f>VLOOKUP(SALIDAS111518[[#This Row],[CÓDIGO]],PRODUCTOS31316[],3,FALSE)</f>
        <v>TUBO DE FONDO REDONDO DE 5ML 12X75MM , POLIESTIRENO</v>
      </c>
      <c r="T1202" s="2">
        <v>4</v>
      </c>
      <c r="U1202" s="2">
        <v>527</v>
      </c>
      <c r="V1202" s="2"/>
      <c r="W1202" s="2"/>
      <c r="X1202" s="2"/>
      <c r="Y1202" s="7"/>
      <c r="Z1202" s="2"/>
      <c r="AA1202" s="1"/>
      <c r="AC1202" s="2"/>
      <c r="AE1202" s="1"/>
      <c r="AG1202" s="2"/>
    </row>
    <row r="1203" spans="1:33" ht="49.95" customHeight="1" x14ac:dyDescent="0.3">
      <c r="A1203" s="2" t="s">
        <v>2366</v>
      </c>
      <c r="B1203" s="1" t="s">
        <v>2680</v>
      </c>
      <c r="C1203" s="1" t="s">
        <v>2681</v>
      </c>
      <c r="D1203" s="1" t="s">
        <v>156</v>
      </c>
      <c r="E1203" s="1" t="s">
        <v>2020</v>
      </c>
      <c r="F1203" s="1" t="s">
        <v>30</v>
      </c>
      <c r="G1203" s="2">
        <v>0</v>
      </c>
      <c r="H1203" s="14">
        <f>SUMIF(ENTRADAS71417[CÓDIGO],PRODUCTOS31316[[#This Row],[CÓDIGO]],ENTRADAS71417[CANTIDAD])</f>
        <v>0</v>
      </c>
      <c r="I1203" s="11">
        <f>SUMIF(SALIDAS111518[CÓDIGO],PRODUCTOS31316[[#This Row],[CÓDIGO]],SALIDAS111518[CANTIDAD])</f>
        <v>0</v>
      </c>
      <c r="J1203" s="6">
        <f>PRODUCTOS31316[[#This Row],[EXISTENCIAS]]+PRODUCTOS31316[[#This Row],[ENTRADAS]]-PRODUCTOS31316[[#This Row],[SALIDAS]]</f>
        <v>0</v>
      </c>
      <c r="L1203" s="2" t="s">
        <v>3520</v>
      </c>
      <c r="M1203" s="2" t="s">
        <v>4250</v>
      </c>
      <c r="N1203" s="325" t="s">
        <v>4566</v>
      </c>
      <c r="O1203" s="2" t="s">
        <v>2706</v>
      </c>
      <c r="P1203" s="16">
        <v>46112</v>
      </c>
      <c r="Q1203" s="2" t="s">
        <v>75</v>
      </c>
      <c r="R1203" s="2" t="str">
        <f>VLOOKUP(SALIDAS111518[[#This Row],[CÓDIGO]],PRODUCTOS31316[],2,FALSE)</f>
        <v>18130E</v>
      </c>
      <c r="S1203" s="1" t="str">
        <f>VLOOKUP(SALIDAS111518[[#This Row],[CÓDIGO]],PRODUCTOS31316[],3,FALSE)</f>
        <v>CAJA PETRI DESECHABLE ESTERIL 60X15 MM</v>
      </c>
      <c r="T1203" s="2">
        <v>20</v>
      </c>
      <c r="U1203" s="324" t="s">
        <v>4565</v>
      </c>
      <c r="V1203" s="2"/>
      <c r="W1203" s="2"/>
      <c r="X1203" s="2"/>
      <c r="Y1203" s="7"/>
      <c r="Z1203" s="2"/>
      <c r="AA1203" s="1"/>
      <c r="AC1203" s="2"/>
      <c r="AE1203" s="1"/>
      <c r="AG1203" s="2"/>
    </row>
    <row r="1204" spans="1:33" ht="49.95" customHeight="1" x14ac:dyDescent="0.3">
      <c r="A1204" s="2" t="s">
        <v>2367</v>
      </c>
      <c r="B1204" s="1" t="s">
        <v>2682</v>
      </c>
      <c r="C1204" s="1" t="s">
        <v>2683</v>
      </c>
      <c r="D1204" s="1" t="s">
        <v>156</v>
      </c>
      <c r="E1204" s="1" t="s">
        <v>2020</v>
      </c>
      <c r="F1204" s="1" t="s">
        <v>30</v>
      </c>
      <c r="G1204" s="2">
        <v>0</v>
      </c>
      <c r="H1204" s="14">
        <f>SUMIF(ENTRADAS71417[CÓDIGO],PRODUCTOS31316[[#This Row],[CÓDIGO]],ENTRADAS71417[CANTIDAD])</f>
        <v>0</v>
      </c>
      <c r="I1204" s="11">
        <f>SUMIF(SALIDAS111518[CÓDIGO],PRODUCTOS31316[[#This Row],[CÓDIGO]],SALIDAS111518[CANTIDAD])</f>
        <v>0</v>
      </c>
      <c r="J1204" s="6">
        <f>PRODUCTOS31316[[#This Row],[EXISTENCIAS]]+PRODUCTOS31316[[#This Row],[ENTRADAS]]-PRODUCTOS31316[[#This Row],[SALIDAS]]</f>
        <v>0</v>
      </c>
      <c r="L1204" s="2"/>
      <c r="M1204" s="2"/>
      <c r="N1204" s="2">
        <v>8131</v>
      </c>
      <c r="O1204" s="2" t="s">
        <v>2706</v>
      </c>
      <c r="P1204" s="16">
        <v>46112</v>
      </c>
      <c r="Q1204" s="2" t="s">
        <v>247</v>
      </c>
      <c r="R1204" s="2">
        <f>VLOOKUP(SALIDAS111518[[#This Row],[CÓDIGO]],PRODUCTOS31316[],2,FALSE)</f>
        <v>352054</v>
      </c>
      <c r="S1204" s="1" t="str">
        <f>VLOOKUP(SALIDAS111518[[#This Row],[CÓDIGO]],PRODUCTOS31316[],3,FALSE)</f>
        <v>TUBO DE FONDO REDONDO DE 5ML 12X75MM , POLIESTIRENO</v>
      </c>
      <c r="T1204" s="2">
        <v>4</v>
      </c>
      <c r="U1204" s="2"/>
      <c r="V1204" s="2"/>
      <c r="W1204" s="2"/>
      <c r="X1204" s="2"/>
      <c r="Y1204" s="7"/>
      <c r="Z1204" s="2"/>
      <c r="AA1204" s="1"/>
      <c r="AC1204" s="2"/>
      <c r="AE1204" s="1"/>
      <c r="AG1204" s="2"/>
    </row>
    <row r="1205" spans="1:33" ht="49.95" customHeight="1" x14ac:dyDescent="0.3">
      <c r="A1205" s="2" t="s">
        <v>2368</v>
      </c>
      <c r="B1205" s="1" t="s">
        <v>2684</v>
      </c>
      <c r="C1205" s="1" t="s">
        <v>2685</v>
      </c>
      <c r="D1205" s="1" t="s">
        <v>156</v>
      </c>
      <c r="E1205" s="1" t="s">
        <v>2020</v>
      </c>
      <c r="F1205" s="1" t="s">
        <v>30</v>
      </c>
      <c r="G1205" s="2">
        <v>0</v>
      </c>
      <c r="H1205" s="14">
        <f>SUMIF(ENTRADAS71417[CÓDIGO],PRODUCTOS31316[[#This Row],[CÓDIGO]],ENTRADAS71417[CANTIDAD])</f>
        <v>0</v>
      </c>
      <c r="I1205" s="11">
        <f>SUMIF(SALIDAS111518[CÓDIGO],PRODUCTOS31316[[#This Row],[CÓDIGO]],SALIDAS111518[CANTIDAD])</f>
        <v>0</v>
      </c>
      <c r="J1205" s="6">
        <f>PRODUCTOS31316[[#This Row],[EXISTENCIAS]]+PRODUCTOS31316[[#This Row],[ENTRADAS]]-PRODUCTOS31316[[#This Row],[SALIDAS]]</f>
        <v>0</v>
      </c>
      <c r="L1205" s="2"/>
      <c r="M1205" s="2"/>
      <c r="N1205" s="2">
        <v>8131</v>
      </c>
      <c r="O1205" s="2" t="s">
        <v>2706</v>
      </c>
      <c r="P1205" s="16">
        <v>46112</v>
      </c>
      <c r="Q1205" s="2" t="s">
        <v>1799</v>
      </c>
      <c r="R1205" s="2">
        <f>VLOOKUP(SALIDAS111518[[#This Row],[CÓDIGO]],PRODUCTOS31316[],2,FALSE)</f>
        <v>4846</v>
      </c>
      <c r="S1205" s="1" t="str">
        <f>VLOOKUP(SALIDAS111518[[#This Row],[CÓDIGO]],PRODUCTOS31316[],3,FALSE)</f>
        <v>PUNTA AZULES UNIVERSALES 100- 1000 UL</v>
      </c>
      <c r="T1205" s="2">
        <v>1</v>
      </c>
      <c r="U1205" s="2"/>
      <c r="V1205" s="2"/>
      <c r="W1205" s="2"/>
      <c r="X1205" s="2"/>
      <c r="Y1205" s="7"/>
      <c r="Z1205" s="2"/>
      <c r="AA1205" s="1"/>
      <c r="AC1205" s="2"/>
      <c r="AE1205" s="1"/>
      <c r="AG1205" s="2"/>
    </row>
    <row r="1206" spans="1:33" ht="49.95" customHeight="1" x14ac:dyDescent="0.3">
      <c r="A1206" s="2" t="s">
        <v>2369</v>
      </c>
      <c r="B1206" s="1" t="s">
        <v>2686</v>
      </c>
      <c r="C1206" s="1" t="s">
        <v>2687</v>
      </c>
      <c r="D1206" s="1" t="s">
        <v>156</v>
      </c>
      <c r="E1206" s="1" t="s">
        <v>2020</v>
      </c>
      <c r="F1206" s="1" t="s">
        <v>30</v>
      </c>
      <c r="G1206" s="2">
        <v>0</v>
      </c>
      <c r="H1206" s="14">
        <f>SUMIF(ENTRADAS71417[CÓDIGO],PRODUCTOS31316[[#This Row],[CÓDIGO]],ENTRADAS71417[CANTIDAD])</f>
        <v>0</v>
      </c>
      <c r="I1206" s="11">
        <f>SUMIF(SALIDAS111518[CÓDIGO],PRODUCTOS31316[[#This Row],[CÓDIGO]],SALIDAS111518[CANTIDAD])</f>
        <v>0</v>
      </c>
      <c r="J1206" s="6">
        <f>PRODUCTOS31316[[#This Row],[EXISTENCIAS]]+PRODUCTOS31316[[#This Row],[ENTRADAS]]-PRODUCTOS31316[[#This Row],[SALIDAS]]</f>
        <v>0</v>
      </c>
      <c r="L1206" s="2"/>
      <c r="M1206" s="2"/>
      <c r="N1206" s="2">
        <v>8131</v>
      </c>
      <c r="O1206" s="324" t="s">
        <v>2706</v>
      </c>
      <c r="P1206" s="16">
        <v>46112</v>
      </c>
      <c r="Q1206" s="2" t="s">
        <v>3026</v>
      </c>
      <c r="R1206" s="2" t="str">
        <f>VLOOKUP(SALIDAS111518[[#This Row],[CÓDIGO]],PRODUCTOS31316[],2,FALSE)</f>
        <v>MCTB020</v>
      </c>
      <c r="S1206" s="1" t="str">
        <f>VLOOKUP(SALIDAS111518[[#This Row],[CÓDIGO]],PRODUCTOS31316[],3,FALSE)</f>
        <v>TUBO EPPENDORF DE 2,0 ML</v>
      </c>
      <c r="T1206" s="2">
        <v>1</v>
      </c>
      <c r="U1206" s="2"/>
      <c r="V1206" s="2"/>
      <c r="W1206" s="2"/>
      <c r="X1206" s="2"/>
      <c r="Y1206" s="7"/>
      <c r="Z1206" s="2"/>
      <c r="AA1206" s="1"/>
      <c r="AC1206" s="2"/>
      <c r="AE1206" s="1"/>
      <c r="AG1206" s="2"/>
    </row>
    <row r="1207" spans="1:33" ht="49.95" customHeight="1" x14ac:dyDescent="0.3">
      <c r="A1207" s="2" t="s">
        <v>2370</v>
      </c>
      <c r="B1207" s="1" t="s">
        <v>2688</v>
      </c>
      <c r="C1207" s="1" t="s">
        <v>2689</v>
      </c>
      <c r="D1207" s="1" t="s">
        <v>156</v>
      </c>
      <c r="E1207" s="1" t="s">
        <v>2020</v>
      </c>
      <c r="F1207" s="1" t="s">
        <v>30</v>
      </c>
      <c r="G1207" s="2">
        <v>0</v>
      </c>
      <c r="H1207" s="14">
        <f>SUMIF(ENTRADAS71417[CÓDIGO],PRODUCTOS31316[[#This Row],[CÓDIGO]],ENTRADAS71417[CANTIDAD])</f>
        <v>0</v>
      </c>
      <c r="I1207" s="11">
        <f>SUMIF(SALIDAS111518[CÓDIGO],PRODUCTOS31316[[#This Row],[CÓDIGO]],SALIDAS111518[CANTIDAD])</f>
        <v>0</v>
      </c>
      <c r="J1207" s="6">
        <f>PRODUCTOS31316[[#This Row],[EXISTENCIAS]]+PRODUCTOS31316[[#This Row],[ENTRADAS]]-PRODUCTOS31316[[#This Row],[SALIDAS]]</f>
        <v>0</v>
      </c>
      <c r="L1207" s="2" t="s">
        <v>3520</v>
      </c>
      <c r="M1207" s="2" t="s">
        <v>4250</v>
      </c>
      <c r="N1207" s="325" t="s">
        <v>4568</v>
      </c>
      <c r="O1207" s="1" t="s">
        <v>3195</v>
      </c>
      <c r="P1207" s="16">
        <v>46112</v>
      </c>
      <c r="Q1207" s="2" t="s">
        <v>15</v>
      </c>
      <c r="R1207" s="2" t="str">
        <f>VLOOKUP(SALIDAS111518[[#This Row],[CÓDIGO]],PRODUCTOS31316[],2,FALSE)</f>
        <v>BTE-025PT/ 504002</v>
      </c>
      <c r="S1207" s="1" t="str">
        <f>VLOOKUP(SALIDAS111518[[#This Row],[CÓDIGO]],PRODUCTOS31316[],3,FALSE)</f>
        <v>FUNDAS PARA TRANSFERENCIA DE EMBRIONES</v>
      </c>
      <c r="T1207" s="2">
        <v>40</v>
      </c>
      <c r="U1207" s="324" t="s">
        <v>4567</v>
      </c>
      <c r="V1207" s="2"/>
      <c r="W1207" s="2"/>
      <c r="X1207" s="2"/>
      <c r="Y1207" s="7"/>
      <c r="Z1207" s="2"/>
      <c r="AA1207" s="1"/>
      <c r="AC1207" s="2"/>
      <c r="AE1207" s="1"/>
      <c r="AG1207" s="2"/>
    </row>
    <row r="1208" spans="1:33" ht="49.95" customHeight="1" x14ac:dyDescent="0.3">
      <c r="A1208" s="2" t="s">
        <v>3603</v>
      </c>
      <c r="C1208" s="1" t="s">
        <v>3605</v>
      </c>
      <c r="D1208" s="1" t="s">
        <v>3607</v>
      </c>
      <c r="E1208" s="1" t="s">
        <v>3607</v>
      </c>
      <c r="F1208" s="1" t="s">
        <v>30</v>
      </c>
      <c r="G1208" s="2">
        <v>0</v>
      </c>
      <c r="H1208" s="14">
        <f>SUMIF(ENTRADAS71417[CÓDIGO],PRODUCTOS31316[[#This Row],[CÓDIGO]],ENTRADAS71417[CANTIDAD])</f>
        <v>0</v>
      </c>
      <c r="I1208" s="11">
        <f>SUMIF(SALIDAS111518[CÓDIGO],PRODUCTOS31316[[#This Row],[CÓDIGO]],SALIDAS111518[CANTIDAD])</f>
        <v>0</v>
      </c>
      <c r="J1208" s="6">
        <f>PRODUCTOS31316[[#This Row],[EXISTENCIAS]]+PRODUCTOS31316[[#This Row],[ENTRADAS]]-PRODUCTOS31316[[#This Row],[SALIDAS]]</f>
        <v>0</v>
      </c>
      <c r="L1208" s="2"/>
      <c r="M1208" s="2"/>
      <c r="N1208" s="2">
        <v>8132</v>
      </c>
      <c r="O1208" s="1" t="s">
        <v>3195</v>
      </c>
      <c r="P1208" s="16">
        <v>46112</v>
      </c>
      <c r="Q1208" s="2" t="s">
        <v>1779</v>
      </c>
      <c r="R1208" s="2">
        <f>VLOOKUP(SALIDAS111518[[#This Row],[CÓDIGO]],PRODUCTOS31316[],2,FALSE)</f>
        <v>5563</v>
      </c>
      <c r="S1208" s="1" t="str">
        <f>VLOOKUP(SALIDAS111518[[#This Row],[CÓDIGO]],PRODUCTOS31316[],3,FALSE)</f>
        <v>CAMISA SANITARIA ROLLO X 80</v>
      </c>
      <c r="T1208" s="2">
        <v>3</v>
      </c>
      <c r="U1208" s="2"/>
      <c r="V1208" s="2"/>
      <c r="W1208" s="2"/>
      <c r="X1208" s="2"/>
      <c r="Y1208" s="7"/>
      <c r="Z1208" s="2"/>
      <c r="AA1208" s="1"/>
      <c r="AC1208" s="2"/>
      <c r="AE1208" s="1"/>
      <c r="AG1208" s="2"/>
    </row>
    <row r="1209" spans="1:33" ht="49.95" customHeight="1" x14ac:dyDescent="0.3">
      <c r="A1209" s="2" t="s">
        <v>3604</v>
      </c>
      <c r="C1209" s="1" t="s">
        <v>3606</v>
      </c>
      <c r="D1209" s="1" t="s">
        <v>3607</v>
      </c>
      <c r="E1209" s="1" t="s">
        <v>3607</v>
      </c>
      <c r="F1209" s="1" t="s">
        <v>30</v>
      </c>
      <c r="G1209" s="2">
        <v>0</v>
      </c>
      <c r="H1209" s="14">
        <f>SUMIF(ENTRADAS71417[CÓDIGO],PRODUCTOS31316[[#This Row],[CÓDIGO]],ENTRADAS71417[CANTIDAD])</f>
        <v>0</v>
      </c>
      <c r="I1209" s="11">
        <f>SUMIF(SALIDAS111518[CÓDIGO],PRODUCTOS31316[[#This Row],[CÓDIGO]],SALIDAS111518[CANTIDAD])</f>
        <v>0</v>
      </c>
      <c r="J1209" s="6">
        <f>PRODUCTOS31316[[#This Row],[EXISTENCIAS]]+PRODUCTOS31316[[#This Row],[ENTRADAS]]-PRODUCTOS31316[[#This Row],[SALIDAS]]</f>
        <v>0</v>
      </c>
      <c r="L1209" s="324" t="s">
        <v>3520</v>
      </c>
      <c r="M1209" s="326" t="s">
        <v>4578</v>
      </c>
      <c r="N1209" s="351" t="s">
        <v>4906</v>
      </c>
      <c r="O1209" s="351" t="s">
        <v>4905</v>
      </c>
      <c r="P1209" s="16">
        <v>46118</v>
      </c>
      <c r="Q1209" s="324" t="s">
        <v>4417</v>
      </c>
      <c r="R1209" s="2">
        <f>VLOOKUP(SALIDAS111518[[#This Row],[CÓDIGO]],PRODUCTOS31316[],2,FALSE)</f>
        <v>0</v>
      </c>
      <c r="S1209" s="1" t="str">
        <f>VLOOKUP(SALIDAS111518[[#This Row],[CÓDIGO]],PRODUCTOS31316[],3,FALSE)</f>
        <v>DISPOSITIVO DE SEPARACIÓN DE ESPERMA BOVINO VETMOTL</v>
      </c>
      <c r="T1209" s="2">
        <v>10</v>
      </c>
      <c r="U1209" s="2">
        <v>704</v>
      </c>
      <c r="V1209" s="2"/>
      <c r="W1209" s="2"/>
      <c r="X1209" s="67"/>
      <c r="Y1209" s="7"/>
      <c r="Z1209" s="2"/>
      <c r="AA1209" s="1"/>
      <c r="AC1209" s="2"/>
      <c r="AE1209" s="1"/>
      <c r="AG1209" s="2"/>
    </row>
    <row r="1210" spans="1:33" ht="49.95" customHeight="1" x14ac:dyDescent="0.3">
      <c r="F1210" s="147"/>
      <c r="G1210" s="2">
        <v>0</v>
      </c>
      <c r="H1210" s="14">
        <f>SUMIF(ENTRADAS71417[CÓDIGO],PRODUCTOS31316[[#This Row],[CÓDIGO]],ENTRADAS71417[CANTIDAD])</f>
        <v>0</v>
      </c>
      <c r="I1210" s="11">
        <f>SUMIF(SALIDAS111518[CÓDIGO],PRODUCTOS31316[[#This Row],[CÓDIGO]],SALIDAS111518[CANTIDAD])</f>
        <v>0</v>
      </c>
      <c r="J1210" s="6">
        <f>PRODUCTOS31316[[#This Row],[EXISTENCIAS]]+PRODUCTOS31316[[#This Row],[ENTRADAS]]-PRODUCTOS31316[[#This Row],[SALIDAS]]</f>
        <v>0</v>
      </c>
      <c r="L1210" s="2" t="s">
        <v>3520</v>
      </c>
      <c r="M1210" s="2" t="s">
        <v>4578</v>
      </c>
      <c r="N1210" s="330" t="s">
        <v>4637</v>
      </c>
      <c r="O1210" s="326" t="s">
        <v>3161</v>
      </c>
      <c r="P1210" s="16">
        <v>46120</v>
      </c>
      <c r="Q1210" s="330" t="s">
        <v>4634</v>
      </c>
      <c r="R1210" s="2">
        <f>VLOOKUP(SALIDAS111518[[#This Row],[CÓDIGO]],PRODUCTOS31316[],2,FALSE)</f>
        <v>0</v>
      </c>
      <c r="S1210" s="1" t="str">
        <f>VLOOKUP(SALIDAS111518[[#This Row],[CÓDIGO]],PRODUCTOS31316[],3,FALSE)</f>
        <v xml:space="preserve">PRUEBA DE PREÑEZ TEMPRANA EN RUMIANTES </v>
      </c>
      <c r="T1210" s="2">
        <v>25</v>
      </c>
      <c r="U1210" s="2">
        <v>561</v>
      </c>
      <c r="V1210" s="2"/>
      <c r="W1210" s="2"/>
      <c r="X1210" s="67"/>
      <c r="Y1210" s="7"/>
      <c r="Z1210" s="2"/>
      <c r="AA1210" s="1"/>
      <c r="AC1210" s="2"/>
      <c r="AE1210" s="1"/>
      <c r="AG1210" s="2"/>
    </row>
    <row r="1211" spans="1:33" ht="49.95" customHeight="1" x14ac:dyDescent="0.3">
      <c r="A1211" s="2" t="s">
        <v>2034</v>
      </c>
      <c r="B1211" s="1">
        <v>1380</v>
      </c>
      <c r="C1211" s="95" t="s">
        <v>2035</v>
      </c>
      <c r="E1211" s="1" t="s">
        <v>233</v>
      </c>
      <c r="F1211" s="1" t="s">
        <v>2036</v>
      </c>
      <c r="G1211" s="2">
        <v>1</v>
      </c>
      <c r="H1211" s="14">
        <f>SUMIF(ENTRADAS71417[CÓDIGO],PRODUCTOS31316[[#This Row],[CÓDIGO]],ENTRADAS71417[CANTIDAD])</f>
        <v>0</v>
      </c>
      <c r="I1211" s="11">
        <f>SUMIF(SALIDAS111518[CÓDIGO],PRODUCTOS31316[[#This Row],[CÓDIGO]],SALIDAS111518[CANTIDAD])</f>
        <v>0</v>
      </c>
      <c r="J1211" s="6">
        <f>PRODUCTOS31316[[#This Row],[EXISTENCIAS]]+PRODUCTOS31316[[#This Row],[ENTRADAS]]-PRODUCTOS31316[[#This Row],[SALIDAS]]</f>
        <v>1</v>
      </c>
      <c r="L1211" s="2" t="s">
        <v>3521</v>
      </c>
      <c r="M1211" s="2" t="s">
        <v>4578</v>
      </c>
      <c r="N1211" s="327" t="s">
        <v>4582</v>
      </c>
      <c r="O1211" s="2" t="s">
        <v>4579</v>
      </c>
      <c r="P1211" s="16">
        <v>46118</v>
      </c>
      <c r="Q1211" s="2" t="s">
        <v>3211</v>
      </c>
      <c r="R1211" s="2" t="str">
        <f>VLOOKUP(SALIDAS111518[[#This Row],[CÓDIGO]],PRODUCTOS31316[],2,FALSE)</f>
        <v>S7</v>
      </c>
      <c r="S1211" s="1" t="str">
        <f>VLOOKUP(SALIDAS111518[[#This Row],[CÓDIGO]],PRODUCTOS31316[],3,FALSE)</f>
        <v>SONDA S7 PLUS DOPPLER COLOR</v>
      </c>
      <c r="T1211" s="2">
        <v>1</v>
      </c>
      <c r="U1211" s="2">
        <v>532</v>
      </c>
      <c r="V1211" s="2"/>
      <c r="W1211" s="2"/>
      <c r="X1211" s="2"/>
      <c r="Y1211" s="7"/>
      <c r="Z1211" s="2"/>
      <c r="AA1211" s="1"/>
      <c r="AC1211" s="2"/>
      <c r="AE1211" s="1"/>
      <c r="AG1211" s="2"/>
    </row>
    <row r="1212" spans="1:33" ht="49.95" customHeight="1" x14ac:dyDescent="0.3">
      <c r="A1212" s="2" t="s">
        <v>2037</v>
      </c>
      <c r="B1212" s="1">
        <v>107851</v>
      </c>
      <c r="C1212" s="1" t="s">
        <v>2038</v>
      </c>
      <c r="D1212" s="1" t="s">
        <v>2039</v>
      </c>
      <c r="E1212" s="1" t="s">
        <v>2040</v>
      </c>
      <c r="F1212" s="1" t="s">
        <v>30</v>
      </c>
      <c r="G1212" s="2">
        <v>0</v>
      </c>
      <c r="H1212" s="14">
        <f>SUMIF(ENTRADAS71417[CÓDIGO],PRODUCTOS31316[[#This Row],[CÓDIGO]],ENTRADAS71417[CANTIDAD])</f>
        <v>0</v>
      </c>
      <c r="I1212" s="11">
        <f>SUMIF(SALIDAS111518[CÓDIGO],PRODUCTOS31316[[#This Row],[CÓDIGO]],SALIDAS111518[CANTIDAD])</f>
        <v>0</v>
      </c>
      <c r="J1212" s="6">
        <f>PRODUCTOS31316[[#This Row],[EXISTENCIAS]]+PRODUCTOS31316[[#This Row],[ENTRADAS]]-PRODUCTOS31316[[#This Row],[SALIDAS]]</f>
        <v>0</v>
      </c>
      <c r="L1212" s="2"/>
      <c r="M1212" s="2"/>
      <c r="N1212" s="2">
        <v>8133</v>
      </c>
      <c r="O1212" s="326" t="s">
        <v>4579</v>
      </c>
      <c r="P1212" s="16">
        <v>46118</v>
      </c>
      <c r="Q1212" s="2" t="s">
        <v>3791</v>
      </c>
      <c r="R1212" s="2">
        <f>VLOOKUP(SALIDAS111518[[#This Row],[CÓDIGO]],PRODUCTOS31316[],2,FALSE)</f>
        <v>6936520864546</v>
      </c>
      <c r="S1212" s="1" t="str">
        <f>VLOOKUP(SALIDAS111518[[#This Row],[CÓDIGO]],PRODUCTOS31316[],3,FALSE)</f>
        <v>TABLET 11" HONOR PAD X8A 128 GB</v>
      </c>
      <c r="T1212" s="2">
        <v>1</v>
      </c>
      <c r="U1212" s="2"/>
      <c r="V1212" s="2"/>
      <c r="W1212" s="2"/>
      <c r="X1212" s="2"/>
      <c r="Y1212" s="7"/>
      <c r="Z1212" s="2"/>
      <c r="AA1212" s="1"/>
      <c r="AC1212" s="2"/>
      <c r="AE1212" s="1"/>
      <c r="AG1212" s="2"/>
    </row>
    <row r="1213" spans="1:33" ht="49.95" customHeight="1" x14ac:dyDescent="0.3">
      <c r="A1213" s="2" t="s">
        <v>2041</v>
      </c>
      <c r="B1213" s="1">
        <v>70200674680</v>
      </c>
      <c r="C1213" s="1" t="s">
        <v>2042</v>
      </c>
      <c r="D1213" s="1" t="s">
        <v>2043</v>
      </c>
      <c r="E1213" s="1" t="s">
        <v>2044</v>
      </c>
      <c r="F1213" s="1" t="s">
        <v>30</v>
      </c>
      <c r="G1213" s="2">
        <v>0</v>
      </c>
      <c r="H1213" s="14">
        <f>SUMIF(ENTRADAS71417[CÓDIGO],PRODUCTOS31316[[#This Row],[CÓDIGO]],ENTRADAS71417[CANTIDAD])</f>
        <v>0</v>
      </c>
      <c r="I1213" s="11">
        <f>SUMIF(SALIDAS111518[CÓDIGO],PRODUCTOS31316[[#This Row],[CÓDIGO]],SALIDAS111518[CANTIDAD])</f>
        <v>0</v>
      </c>
      <c r="J1213" s="6">
        <f>PRODUCTOS31316[[#This Row],[EXISTENCIAS]]+PRODUCTOS31316[[#This Row],[ENTRADAS]]-PRODUCTOS31316[[#This Row],[SALIDAS]]</f>
        <v>0</v>
      </c>
      <c r="L1213" s="2"/>
      <c r="M1213" s="2"/>
      <c r="N1213" s="2">
        <v>8133</v>
      </c>
      <c r="O1213" s="2" t="s">
        <v>4579</v>
      </c>
      <c r="P1213" s="16">
        <v>46118</v>
      </c>
      <c r="Q1213" s="2" t="s">
        <v>3286</v>
      </c>
      <c r="R1213" s="2">
        <f>VLOOKUP(SALIDAS111518[[#This Row],[CÓDIGO]],PRODUCTOS31316[],2,FALSE)</f>
        <v>0</v>
      </c>
      <c r="S1213" s="1" t="str">
        <f>VLOOKUP(SALIDAS111518[[#This Row],[CÓDIGO]],PRODUCTOS31316[],3,FALSE)</f>
        <v>CARCASA TABLET BMV</v>
      </c>
      <c r="T1213" s="2">
        <v>1</v>
      </c>
      <c r="U1213" s="2"/>
      <c r="V1213" s="2"/>
      <c r="W1213" s="2"/>
      <c r="X1213" s="2"/>
      <c r="Y1213" s="7"/>
      <c r="Z1213" s="2"/>
      <c r="AA1213" s="1"/>
      <c r="AC1213" s="2"/>
      <c r="AE1213" s="1"/>
      <c r="AG1213" s="2"/>
    </row>
    <row r="1214" spans="1:33" ht="49.95" customHeight="1" x14ac:dyDescent="0.3">
      <c r="A1214" s="2" t="s">
        <v>125</v>
      </c>
      <c r="B1214" s="1">
        <v>5294</v>
      </c>
      <c r="C1214" s="1" t="s">
        <v>2045</v>
      </c>
      <c r="E1214" s="1" t="s">
        <v>1818</v>
      </c>
      <c r="F1214" s="1" t="s">
        <v>30</v>
      </c>
      <c r="G1214" s="2">
        <v>0</v>
      </c>
      <c r="H1214" s="14">
        <f>SUMIF(ENTRADAS71417[CÓDIGO],PRODUCTOS31316[[#This Row],[CÓDIGO]],ENTRADAS71417[CANTIDAD])</f>
        <v>0</v>
      </c>
      <c r="I1214" s="11">
        <f>SUMIF(SALIDAS111518[CÓDIGO],PRODUCTOS31316[[#This Row],[CÓDIGO]],SALIDAS111518[CANTIDAD])</f>
        <v>0</v>
      </c>
      <c r="J1214" s="6">
        <f>PRODUCTOS31316[[#This Row],[EXISTENCIAS]]+PRODUCTOS31316[[#This Row],[ENTRADAS]]-PRODUCTOS31316[[#This Row],[SALIDAS]]</f>
        <v>0</v>
      </c>
      <c r="L1214" s="2"/>
      <c r="M1214" s="2"/>
      <c r="N1214" s="2">
        <v>8133</v>
      </c>
      <c r="O1214" s="2" t="s">
        <v>4579</v>
      </c>
      <c r="P1214" s="16">
        <v>46118</v>
      </c>
      <c r="Q1214" s="326" t="s">
        <v>3095</v>
      </c>
      <c r="R1214" s="2">
        <f>VLOOKUP(SALIDAS111518[[#This Row],[CÓDIGO]],PRODUCTOS31316[],2,FALSE)</f>
        <v>0</v>
      </c>
      <c r="S1214" s="1" t="str">
        <f>VLOOKUP(SALIDAS111518[[#This Row],[CÓDIGO]],PRODUCTOS31316[],3,FALSE)</f>
        <v>GORRA MAS CAMPO</v>
      </c>
      <c r="T1214" s="2">
        <v>1</v>
      </c>
      <c r="U1214" s="2"/>
      <c r="V1214" s="2"/>
      <c r="W1214" s="2"/>
      <c r="X1214" s="2"/>
      <c r="Y1214" s="7"/>
      <c r="Z1214" s="2"/>
      <c r="AA1214" s="1"/>
      <c r="AC1214" s="2"/>
      <c r="AE1214" s="1"/>
      <c r="AG1214" s="2"/>
    </row>
    <row r="1215" spans="1:33" ht="49.95" customHeight="1" x14ac:dyDescent="0.3">
      <c r="A1215" s="2" t="s">
        <v>130</v>
      </c>
      <c r="B1215" s="1">
        <v>7226</v>
      </c>
      <c r="C1215" s="1" t="s">
        <v>2046</v>
      </c>
      <c r="E1215" s="1" t="s">
        <v>1818</v>
      </c>
      <c r="F1215" s="1" t="s">
        <v>30</v>
      </c>
      <c r="G1215" s="2">
        <v>0</v>
      </c>
      <c r="H1215" s="14">
        <f>SUMIF(ENTRADAS71417[CÓDIGO],PRODUCTOS31316[[#This Row],[CÓDIGO]],ENTRADAS71417[CANTIDAD])</f>
        <v>0</v>
      </c>
      <c r="I1215" s="11">
        <f>SUMIF(SALIDAS111518[CÓDIGO],PRODUCTOS31316[[#This Row],[CÓDIGO]],SALIDAS111518[CANTIDAD])</f>
        <v>0</v>
      </c>
      <c r="J1215" s="6">
        <f>PRODUCTOS31316[[#This Row],[EXISTENCIAS]]+PRODUCTOS31316[[#This Row],[ENTRADAS]]-PRODUCTOS31316[[#This Row],[SALIDAS]]</f>
        <v>0</v>
      </c>
      <c r="L1215" s="2" t="s">
        <v>3520</v>
      </c>
      <c r="M1215" s="2" t="s">
        <v>4578</v>
      </c>
      <c r="N1215" s="327" t="s">
        <v>4583</v>
      </c>
      <c r="O1215" s="2" t="s">
        <v>2871</v>
      </c>
      <c r="P1215" s="16">
        <v>46118</v>
      </c>
      <c r="Q1215" s="2" t="s">
        <v>2232</v>
      </c>
      <c r="R1215" s="2">
        <f>VLOOKUP(SALIDAS111518[[#This Row],[CÓDIGO]],PRODUCTOS31316[],2,FALSE)</f>
        <v>0</v>
      </c>
      <c r="S1215" s="1" t="str">
        <f>VLOOKUP(SALIDAS111518[[#This Row],[CÓDIGO]],PRODUCTOS31316[],3,FALSE)</f>
        <v>CONO RECOLECTOR</v>
      </c>
      <c r="T1215" s="2">
        <v>1</v>
      </c>
      <c r="U1215" s="2">
        <v>533</v>
      </c>
      <c r="V1215" s="2"/>
      <c r="W1215" s="2"/>
      <c r="X1215" s="2"/>
      <c r="Y1215" s="7"/>
      <c r="Z1215" s="2"/>
      <c r="AA1215" s="1"/>
      <c r="AC1215" s="2"/>
      <c r="AE1215" s="1"/>
      <c r="AG1215" s="2"/>
    </row>
    <row r="1216" spans="1:33" ht="49.95" customHeight="1" x14ac:dyDescent="0.3">
      <c r="A1216" s="2" t="s">
        <v>2047</v>
      </c>
      <c r="B1216" s="1">
        <v>7231</v>
      </c>
      <c r="C1216" s="1" t="s">
        <v>2048</v>
      </c>
      <c r="E1216" s="1" t="s">
        <v>1818</v>
      </c>
      <c r="F1216" s="1" t="s">
        <v>30</v>
      </c>
      <c r="G1216" s="2">
        <v>0</v>
      </c>
      <c r="H1216" s="14">
        <f>SUMIF(ENTRADAS71417[CÓDIGO],PRODUCTOS31316[[#This Row],[CÓDIGO]],ENTRADAS71417[CANTIDAD])</f>
        <v>0</v>
      </c>
      <c r="I1216" s="11">
        <f>SUMIF(SALIDAS111518[CÓDIGO],PRODUCTOS31316[[#This Row],[CÓDIGO]],SALIDAS111518[CANTIDAD])</f>
        <v>0</v>
      </c>
      <c r="J1216" s="6">
        <f>PRODUCTOS31316[[#This Row],[EXISTENCIAS]]+PRODUCTOS31316[[#This Row],[ENTRADAS]]-PRODUCTOS31316[[#This Row],[SALIDAS]]</f>
        <v>0</v>
      </c>
      <c r="L1216" s="2"/>
      <c r="M1216" s="2"/>
      <c r="N1216" s="2">
        <v>8134</v>
      </c>
      <c r="O1216" s="2" t="s">
        <v>2871</v>
      </c>
      <c r="P1216" s="16">
        <v>46118</v>
      </c>
      <c r="Q1216" s="2" t="s">
        <v>411</v>
      </c>
      <c r="R1216" s="2">
        <f>VLOOKUP(SALIDAS111518[[#This Row],[CÓDIGO]],PRODUCTOS31316[],2,FALSE)</f>
        <v>0</v>
      </c>
      <c r="S1216" s="1" t="str">
        <f>VLOOKUP(SALIDAS111518[[#This Row],[CÓDIGO]],PRODUCTOS31316[],3,FALSE)</f>
        <v>BOLSA WHIRL-PAK 4 oz</v>
      </c>
      <c r="T1216" s="2">
        <v>15</v>
      </c>
      <c r="U1216" s="2"/>
      <c r="V1216" s="2"/>
      <c r="W1216" s="2"/>
      <c r="X1216" s="2"/>
      <c r="Y1216" s="7"/>
      <c r="Z1216" s="2"/>
      <c r="AA1216" s="1"/>
      <c r="AC1216" s="2"/>
      <c r="AE1216" s="1"/>
      <c r="AG1216" s="2"/>
    </row>
    <row r="1217" spans="1:33" ht="49.95" customHeight="1" x14ac:dyDescent="0.3">
      <c r="A1217" s="2" t="s">
        <v>2049</v>
      </c>
      <c r="B1217" s="1">
        <v>7110</v>
      </c>
      <c r="C1217" s="1" t="s">
        <v>2050</v>
      </c>
      <c r="E1217" s="1" t="s">
        <v>1818</v>
      </c>
      <c r="F1217" s="1" t="s">
        <v>30</v>
      </c>
      <c r="G1217" s="2">
        <v>0</v>
      </c>
      <c r="H1217" s="14">
        <f>SUMIF(ENTRADAS71417[CÓDIGO],PRODUCTOS31316[[#This Row],[CÓDIGO]],ENTRADAS71417[CANTIDAD])</f>
        <v>0</v>
      </c>
      <c r="I1217" s="11">
        <v>0</v>
      </c>
      <c r="J1217" s="6">
        <f>PRODUCTOS31316[[#This Row],[EXISTENCIAS]]+PRODUCTOS31316[[#This Row],[ENTRADAS]]-PRODUCTOS31316[[#This Row],[SALIDAS]]</f>
        <v>0</v>
      </c>
      <c r="L1217" s="2"/>
      <c r="M1217" s="2"/>
      <c r="N1217" s="2">
        <v>8134</v>
      </c>
      <c r="O1217" s="2" t="s">
        <v>2871</v>
      </c>
      <c r="P1217" s="16">
        <v>46118</v>
      </c>
      <c r="Q1217" s="2" t="s">
        <v>2295</v>
      </c>
      <c r="R1217" s="2" t="str">
        <f>VLOOKUP(SALIDAS111518[[#This Row],[CÓDIGO]],PRODUCTOS31316[],2,FALSE)</f>
        <v>B00992</v>
      </c>
      <c r="S1217" s="1" t="str">
        <f>VLOOKUP(SALIDAS111518[[#This Row],[CÓDIGO]],PRODUCTOS31316[],3,FALSE)</f>
        <v>BOLSA WHRIL-PAK 7 OZ</v>
      </c>
      <c r="T1217" s="2">
        <v>25</v>
      </c>
      <c r="U1217" s="150" t="s">
        <v>4584</v>
      </c>
      <c r="V1217" s="2"/>
      <c r="W1217" s="2"/>
      <c r="X1217" s="2"/>
      <c r="Y1217" s="7"/>
      <c r="Z1217" s="2"/>
      <c r="AA1217" s="1"/>
      <c r="AC1217" s="2"/>
      <c r="AE1217" s="1"/>
      <c r="AG1217" s="2"/>
    </row>
    <row r="1218" spans="1:33" ht="49.95" customHeight="1" x14ac:dyDescent="0.3">
      <c r="A1218" s="2" t="s">
        <v>2051</v>
      </c>
      <c r="B1218" s="1">
        <v>6801</v>
      </c>
      <c r="C1218" s="1" t="s">
        <v>2052</v>
      </c>
      <c r="E1218" s="1" t="s">
        <v>1818</v>
      </c>
      <c r="F1218" s="1" t="s">
        <v>30</v>
      </c>
      <c r="G1218" s="2">
        <v>0</v>
      </c>
      <c r="H1218" s="14">
        <f>SUMIF(ENTRADAS71417[CÓDIGO],PRODUCTOS31316[[#This Row],[CÓDIGO]],ENTRADAS71417[CANTIDAD])</f>
        <v>0</v>
      </c>
      <c r="I1218" s="11">
        <v>0</v>
      </c>
      <c r="J1218" s="6">
        <f>PRODUCTOS31316[[#This Row],[EXISTENCIAS]]+PRODUCTOS31316[[#This Row],[ENTRADAS]]-PRODUCTOS31316[[#This Row],[SALIDAS]]</f>
        <v>0</v>
      </c>
      <c r="L1218" s="2"/>
      <c r="M1218" s="2"/>
      <c r="N1218" s="2">
        <v>8134</v>
      </c>
      <c r="O1218" s="326" t="s">
        <v>2871</v>
      </c>
      <c r="P1218" s="16">
        <v>46118</v>
      </c>
      <c r="Q1218" s="2" t="s">
        <v>3701</v>
      </c>
      <c r="R1218" s="2">
        <f>VLOOKUP(SALIDAS111518[[#This Row],[CÓDIGO]],PRODUCTOS31316[],2,FALSE)</f>
        <v>5685</v>
      </c>
      <c r="S1218" s="1" t="str">
        <f>VLOOKUP(SALIDAS111518[[#This Row],[CÓDIGO]],PRODUCTOS31316[],3,FALSE)</f>
        <v>PAJUELA ANARANJADO 0.50/ PAQ. X 2000 MARCA IMV</v>
      </c>
      <c r="T1218" s="2">
        <v>1</v>
      </c>
      <c r="U1218" s="2"/>
      <c r="V1218" s="2"/>
      <c r="W1218" s="2"/>
      <c r="X1218" s="2"/>
      <c r="Y1218" s="7"/>
      <c r="Z1218" s="2"/>
      <c r="AA1218" s="1"/>
      <c r="AC1218" s="2"/>
      <c r="AE1218" s="1"/>
      <c r="AG1218" s="2"/>
    </row>
    <row r="1219" spans="1:33" ht="49.95" customHeight="1" x14ac:dyDescent="0.3">
      <c r="A1219" s="2" t="s">
        <v>321</v>
      </c>
      <c r="B1219" s="1">
        <v>7230</v>
      </c>
      <c r="C1219" s="1" t="s">
        <v>2053</v>
      </c>
      <c r="E1219" s="1" t="s">
        <v>1818</v>
      </c>
      <c r="F1219" s="1" t="s">
        <v>30</v>
      </c>
      <c r="G1219" s="2">
        <v>0</v>
      </c>
      <c r="H1219" s="14">
        <f>SUMIF(ENTRADAS71417[CÓDIGO],PRODUCTOS31316[[#This Row],[CÓDIGO]],ENTRADAS71417[CANTIDAD])</f>
        <v>0</v>
      </c>
      <c r="I1219" s="11">
        <v>0</v>
      </c>
      <c r="J1219" s="6">
        <f>PRODUCTOS31316[[#This Row],[EXISTENCIAS]]+PRODUCTOS31316[[#This Row],[ENTRADAS]]-PRODUCTOS31316[[#This Row],[SALIDAS]]</f>
        <v>0</v>
      </c>
      <c r="L1219" s="2"/>
      <c r="M1219" s="326" t="s">
        <v>4578</v>
      </c>
      <c r="N1219" s="2">
        <v>459</v>
      </c>
      <c r="O1219" s="327" t="s">
        <v>3998</v>
      </c>
      <c r="P1219" s="16">
        <v>46118</v>
      </c>
      <c r="Q1219" s="2" t="s">
        <v>2331</v>
      </c>
      <c r="R1219" s="2" t="str">
        <f>VLOOKUP(SALIDAS111518[[#This Row],[CÓDIGO]],PRODUCTOS31316[],2,FALSE)</f>
        <v xml:space="preserve">HC-R069 </v>
      </c>
      <c r="S1219" s="1" t="str">
        <f>VLOOKUP(SALIDAS111518[[#This Row],[CÓDIGO]],PRODUCTOS31316[],3,FALSE)</f>
        <v>CARGADOR MICROSCOPIO</v>
      </c>
      <c r="T1219" s="2">
        <v>1</v>
      </c>
      <c r="U1219" s="2">
        <v>535</v>
      </c>
      <c r="V1219" s="2"/>
      <c r="W1219" s="2"/>
      <c r="X1219" s="2"/>
      <c r="Y1219" s="7"/>
      <c r="Z1219" s="2"/>
      <c r="AA1219" s="1"/>
      <c r="AC1219" s="2"/>
      <c r="AE1219" s="1"/>
      <c r="AG1219" s="2"/>
    </row>
    <row r="1220" spans="1:33" ht="49.95" customHeight="1" x14ac:dyDescent="0.3">
      <c r="A1220" s="2" t="s">
        <v>2054</v>
      </c>
      <c r="B1220" s="1">
        <v>5387</v>
      </c>
      <c r="C1220" s="1" t="s">
        <v>2055</v>
      </c>
      <c r="E1220" s="1" t="s">
        <v>1818</v>
      </c>
      <c r="F1220" s="1" t="s">
        <v>30</v>
      </c>
      <c r="G1220" s="2">
        <v>0</v>
      </c>
      <c r="H1220" s="14">
        <f>SUMIF(ENTRADAS71417[CÓDIGO],PRODUCTOS31316[[#This Row],[CÓDIGO]],ENTRADAS71417[CANTIDAD])</f>
        <v>0</v>
      </c>
      <c r="I1220" s="11">
        <v>0</v>
      </c>
      <c r="J1220" s="6">
        <f>PRODUCTOS31316[[#This Row],[EXISTENCIAS]]+PRODUCTOS31316[[#This Row],[ENTRADAS]]-PRODUCTOS31316[[#This Row],[SALIDAS]]</f>
        <v>0</v>
      </c>
      <c r="L1220" s="2" t="s">
        <v>3520</v>
      </c>
      <c r="M1220" s="2" t="s">
        <v>4578</v>
      </c>
      <c r="N1220" s="327" t="s">
        <v>4586</v>
      </c>
      <c r="O1220" s="1" t="s">
        <v>2440</v>
      </c>
      <c r="P1220" s="16">
        <v>46118</v>
      </c>
      <c r="Q1220" s="2" t="s">
        <v>3699</v>
      </c>
      <c r="R1220" s="2">
        <f>VLOOKUP(SALIDAS111518[[#This Row],[CÓDIGO]],PRODUCTOS31316[],2,FALSE)</f>
        <v>5569</v>
      </c>
      <c r="S1220" s="1" t="str">
        <f>VLOOKUP(SALIDAS111518[[#This Row],[CÓDIGO]],PRODUCTOS31316[],3,FALSE)</f>
        <v>PAJUELA TRANSPARENTES 0.50/ PAQ. X 2000 MARCA IMV</v>
      </c>
      <c r="T1220" s="2">
        <v>1</v>
      </c>
      <c r="U1220" s="110" t="s">
        <v>4585</v>
      </c>
      <c r="V1220" s="2"/>
      <c r="W1220" s="2"/>
      <c r="X1220" s="2"/>
      <c r="Y1220" s="7"/>
      <c r="Z1220" s="2"/>
      <c r="AA1220" s="1"/>
      <c r="AC1220" s="2"/>
      <c r="AE1220" s="1"/>
      <c r="AG1220" s="2"/>
    </row>
    <row r="1221" spans="1:33" ht="49.95" customHeight="1" x14ac:dyDescent="0.3">
      <c r="A1221" s="2" t="s">
        <v>193</v>
      </c>
      <c r="B1221" s="1" t="s">
        <v>2056</v>
      </c>
      <c r="C1221" s="1" t="s">
        <v>2057</v>
      </c>
      <c r="E1221" s="1" t="s">
        <v>957</v>
      </c>
      <c r="F1221" s="1" t="s">
        <v>30</v>
      </c>
      <c r="G1221" s="2">
        <v>0</v>
      </c>
      <c r="H1221" s="14">
        <f>SUMIF(ENTRADAS71417[CÓDIGO],PRODUCTOS31316[[#This Row],[CÓDIGO]],ENTRADAS71417[CANTIDAD])</f>
        <v>0</v>
      </c>
      <c r="I1221" s="11">
        <v>0</v>
      </c>
      <c r="J1221" s="6">
        <f>PRODUCTOS31316[[#This Row],[EXISTENCIAS]]+PRODUCTOS31316[[#This Row],[ENTRADAS]]-PRODUCTOS31316[[#This Row],[SALIDAS]]</f>
        <v>0</v>
      </c>
      <c r="L1221" s="2"/>
      <c r="M1221" s="2"/>
      <c r="N1221" s="2">
        <v>8135</v>
      </c>
      <c r="O1221" s="327" t="s">
        <v>2440</v>
      </c>
      <c r="P1221" s="16">
        <v>46118</v>
      </c>
      <c r="Q1221" s="2" t="s">
        <v>2232</v>
      </c>
      <c r="R1221" s="2">
        <f>VLOOKUP(SALIDAS111518[[#This Row],[CÓDIGO]],PRODUCTOS31316[],2,FALSE)</f>
        <v>0</v>
      </c>
      <c r="S1221" s="1" t="str">
        <f>VLOOKUP(SALIDAS111518[[#This Row],[CÓDIGO]],PRODUCTOS31316[],3,FALSE)</f>
        <v>CONO RECOLECTOR</v>
      </c>
      <c r="T1221" s="2">
        <v>1</v>
      </c>
      <c r="U1221" s="2"/>
      <c r="V1221" s="2"/>
      <c r="W1221" s="2"/>
      <c r="X1221" s="2"/>
      <c r="Y1221" s="7"/>
      <c r="Z1221" s="2"/>
      <c r="AA1221" s="1"/>
      <c r="AC1221" s="2"/>
      <c r="AE1221" s="1"/>
      <c r="AG1221" s="2"/>
    </row>
    <row r="1222" spans="1:33" ht="49.95" customHeight="1" x14ac:dyDescent="0.3">
      <c r="A1222" s="2" t="s">
        <v>300</v>
      </c>
      <c r="B1222" s="1" t="s">
        <v>2058</v>
      </c>
      <c r="C1222" s="1" t="s">
        <v>2059</v>
      </c>
      <c r="E1222" s="1" t="s">
        <v>957</v>
      </c>
      <c r="F1222" s="1" t="s">
        <v>30</v>
      </c>
      <c r="G1222" s="2">
        <v>0</v>
      </c>
      <c r="H1222" s="14">
        <f>SUMIF(ENTRADAS71417[CÓDIGO],PRODUCTOS31316[[#This Row],[CÓDIGO]],ENTRADAS71417[CANTIDAD])</f>
        <v>0</v>
      </c>
      <c r="I1222" s="11">
        <v>0</v>
      </c>
      <c r="J1222" s="6">
        <f>PRODUCTOS31316[[#This Row],[EXISTENCIAS]]+PRODUCTOS31316[[#This Row],[ENTRADAS]]-PRODUCTOS31316[[#This Row],[SALIDAS]]</f>
        <v>0</v>
      </c>
      <c r="L1222" s="2"/>
      <c r="M1222" s="2"/>
      <c r="N1222" s="2">
        <v>8135</v>
      </c>
      <c r="O1222" s="1" t="s">
        <v>2440</v>
      </c>
      <c r="P1222" s="16">
        <v>46118</v>
      </c>
      <c r="Q1222" s="2" t="s">
        <v>333</v>
      </c>
      <c r="R1222" s="2" t="str">
        <f>VLOOKUP(SALIDAS111518[[#This Row],[CÓDIGO]],PRODUCTOS31316[],2,FALSE)</f>
        <v>CTB15</v>
      </c>
      <c r="S1222" s="1" t="str">
        <f>VLOOKUP(SALIDAS111518[[#This Row],[CÓDIGO]],PRODUCTOS31316[],3,FALSE)</f>
        <v>TUBO CÓNICO DE 15 ML, TAPA ROSCA ESTÉRIL  RCF MAX: 10000xg, 
graduados, PCR puro. VENCE: 03/04/2028</v>
      </c>
      <c r="T1222" s="2">
        <v>1</v>
      </c>
      <c r="U1222" s="2"/>
      <c r="V1222" s="2"/>
      <c r="W1222" s="2"/>
      <c r="X1222" s="2"/>
      <c r="Y1222" s="7"/>
      <c r="Z1222" s="2"/>
      <c r="AA1222" s="1"/>
      <c r="AC1222" s="2"/>
      <c r="AE1222" s="1"/>
      <c r="AG1222" s="2"/>
    </row>
    <row r="1223" spans="1:33" ht="49.95" customHeight="1" x14ac:dyDescent="0.3">
      <c r="A1223" s="2" t="s">
        <v>197</v>
      </c>
      <c r="B1223" s="1">
        <v>1739</v>
      </c>
      <c r="C1223" s="1" t="s">
        <v>2060</v>
      </c>
      <c r="E1223" s="1" t="s">
        <v>957</v>
      </c>
      <c r="F1223" s="1" t="s">
        <v>124</v>
      </c>
      <c r="G1223" s="2">
        <v>0</v>
      </c>
      <c r="H1223" s="14">
        <f>SUMIF(ENTRADAS71417[CÓDIGO],PRODUCTOS31316[[#This Row],[CÓDIGO]],ENTRADAS71417[CANTIDAD])</f>
        <v>0</v>
      </c>
      <c r="I1223" s="11">
        <v>0</v>
      </c>
      <c r="J1223" s="6">
        <f>PRODUCTOS31316[[#This Row],[EXISTENCIAS]]+PRODUCTOS31316[[#This Row],[ENTRADAS]]-PRODUCTOS31316[[#This Row],[SALIDAS]]</f>
        <v>0</v>
      </c>
      <c r="L1223" s="2"/>
      <c r="M1223" s="2"/>
      <c r="N1223" s="2">
        <v>8135</v>
      </c>
      <c r="O1223" s="1" t="s">
        <v>2440</v>
      </c>
      <c r="P1223" s="16">
        <v>46118</v>
      </c>
      <c r="Q1223" s="2" t="s">
        <v>1006</v>
      </c>
      <c r="R1223" s="2" t="str">
        <f>VLOOKUP(SALIDAS111518[[#This Row],[CÓDIGO]],PRODUCTOS31316[],2,FALSE)</f>
        <v>44-0200</v>
      </c>
      <c r="S1223" s="1" t="str">
        <f>VLOOKUP(SALIDAS111518[[#This Row],[CÓDIGO]],PRODUCTOS31316[],3,FALSE)</f>
        <v>POLVO SELLADOR DE PAJILLAS COLOR BLANCO, 750GR</v>
      </c>
      <c r="T1223" s="2">
        <v>1</v>
      </c>
      <c r="U1223" s="2"/>
      <c r="V1223" s="2"/>
      <c r="W1223" s="2"/>
      <c r="X1223" s="2"/>
      <c r="Y1223" s="7"/>
      <c r="Z1223" s="2"/>
      <c r="AA1223" s="1"/>
      <c r="AC1223" s="2"/>
      <c r="AE1223" s="1"/>
      <c r="AG1223" s="2"/>
    </row>
    <row r="1224" spans="1:33" ht="49.95" customHeight="1" x14ac:dyDescent="0.3">
      <c r="A1224" s="2" t="s">
        <v>2061</v>
      </c>
      <c r="B1224" s="1" t="s">
        <v>2062</v>
      </c>
      <c r="C1224" s="1" t="s">
        <v>2063</v>
      </c>
      <c r="E1224" s="1" t="s">
        <v>957</v>
      </c>
      <c r="F1224" s="1" t="s">
        <v>245</v>
      </c>
      <c r="G1224" s="2">
        <v>0</v>
      </c>
      <c r="H1224" s="14">
        <f>SUMIF(ENTRADAS71417[CÓDIGO],PRODUCTOS31316[[#This Row],[CÓDIGO]],ENTRADAS71417[CANTIDAD])</f>
        <v>0</v>
      </c>
      <c r="I1224" s="11">
        <v>0</v>
      </c>
      <c r="J1224" s="6">
        <f>PRODUCTOS31316[[#This Row],[EXISTENCIAS]]+PRODUCTOS31316[[#This Row],[ENTRADAS]]-PRODUCTOS31316[[#This Row],[SALIDAS]]</f>
        <v>0</v>
      </c>
      <c r="L1224" s="2"/>
      <c r="M1224" s="2"/>
      <c r="N1224" s="2">
        <v>8135</v>
      </c>
      <c r="O1224" s="1" t="s">
        <v>2440</v>
      </c>
      <c r="P1224" s="16">
        <v>46118</v>
      </c>
      <c r="Q1224" s="2" t="s">
        <v>2253</v>
      </c>
      <c r="R1224" s="2">
        <f>VLOOKUP(SALIDAS111518[[#This Row],[CÓDIGO]],PRODUCTOS31316[],2,FALSE)</f>
        <v>26218</v>
      </c>
      <c r="S1224" s="1" t="str">
        <f>VLOOKUP(SALIDAS111518[[#This Row],[CÓDIGO]],PRODUCTOS31316[],3,FALSE)</f>
        <v>OPTIXCELL 250 ML</v>
      </c>
      <c r="T1224" s="2">
        <v>1</v>
      </c>
      <c r="U1224" s="2"/>
      <c r="V1224" s="2"/>
      <c r="W1224" s="2"/>
      <c r="X1224" s="2"/>
      <c r="Y1224" s="7"/>
      <c r="Z1224" s="2"/>
      <c r="AA1224" s="1"/>
      <c r="AC1224" s="2"/>
      <c r="AE1224" s="1"/>
      <c r="AG1224" s="2"/>
    </row>
    <row r="1225" spans="1:33" ht="49.95" customHeight="1" x14ac:dyDescent="0.3">
      <c r="A1225" s="2" t="s">
        <v>203</v>
      </c>
      <c r="B1225" s="1">
        <v>2708</v>
      </c>
      <c r="C1225" s="1" t="s">
        <v>2064</v>
      </c>
      <c r="E1225" s="1" t="s">
        <v>957</v>
      </c>
      <c r="F1225" s="1" t="s">
        <v>30</v>
      </c>
      <c r="G1225" s="2">
        <v>0</v>
      </c>
      <c r="H1225" s="14">
        <f>SUMIF(ENTRADAS71417[CÓDIGO],PRODUCTOS31316[[#This Row],[CÓDIGO]],ENTRADAS71417[CANTIDAD])</f>
        <v>0</v>
      </c>
      <c r="I1225" s="11">
        <v>0</v>
      </c>
      <c r="J1225" s="6">
        <f>PRODUCTOS31316[[#This Row],[EXISTENCIAS]]+PRODUCTOS31316[[#This Row],[ENTRADAS]]-PRODUCTOS31316[[#This Row],[SALIDAS]]</f>
        <v>0</v>
      </c>
      <c r="L1225" s="2" t="s">
        <v>3521</v>
      </c>
      <c r="M1225" s="2" t="s">
        <v>4578</v>
      </c>
      <c r="N1225" s="327" t="s">
        <v>4587</v>
      </c>
      <c r="O1225" s="2" t="s">
        <v>4580</v>
      </c>
      <c r="P1225" s="16">
        <v>46118</v>
      </c>
      <c r="Q1225" s="2" t="s">
        <v>3142</v>
      </c>
      <c r="R1225" s="2">
        <f>VLOOKUP(SALIDAS111518[[#This Row],[CÓDIGO]],PRODUCTOS31316[],2,FALSE)</f>
        <v>16301</v>
      </c>
      <c r="S1225" s="1" t="str">
        <f>VLOOKUP(SALIDAS111518[[#This Row],[CÓDIGO]],PRODUCTOS31316[],3,FALSE)</f>
        <v>PISTOLA DE TRANSFERENCIA DE EMBRIONES 0,25 DE MANGO DE ALUMINIO</v>
      </c>
      <c r="T1225" s="2">
        <v>1</v>
      </c>
      <c r="U1225" s="2">
        <v>537</v>
      </c>
      <c r="V1225" s="2"/>
      <c r="W1225" s="2"/>
      <c r="X1225" s="2"/>
      <c r="Y1225" s="7"/>
      <c r="Z1225" s="2"/>
      <c r="AA1225" s="1"/>
      <c r="AC1225" s="2"/>
      <c r="AE1225" s="1"/>
      <c r="AG1225" s="2"/>
    </row>
    <row r="1226" spans="1:33" ht="49.95" customHeight="1" x14ac:dyDescent="0.3">
      <c r="A1226" s="2" t="s">
        <v>207</v>
      </c>
      <c r="B1226" s="1">
        <v>607001</v>
      </c>
      <c r="C1226" s="1" t="s">
        <v>2065</v>
      </c>
      <c r="D1226" s="1" t="s">
        <v>1019</v>
      </c>
      <c r="E1226" s="1" t="s">
        <v>957</v>
      </c>
      <c r="F1226" s="1" t="s">
        <v>62</v>
      </c>
      <c r="G1226" s="2">
        <v>0</v>
      </c>
      <c r="H1226" s="14">
        <f>SUMIF(ENTRADAS71417[CÓDIGO],PRODUCTOS31316[[#This Row],[CÓDIGO]],ENTRADAS71417[CANTIDAD])</f>
        <v>0</v>
      </c>
      <c r="I1226" s="11">
        <v>0</v>
      </c>
      <c r="J1226" s="6">
        <f>PRODUCTOS31316[[#This Row],[EXISTENCIAS]]+PRODUCTOS31316[[#This Row],[ENTRADAS]]-PRODUCTOS31316[[#This Row],[SALIDAS]]</f>
        <v>0</v>
      </c>
      <c r="L1226" s="2"/>
      <c r="M1226" s="2"/>
      <c r="N1226" s="2">
        <v>8136</v>
      </c>
      <c r="O1226" s="2" t="s">
        <v>4580</v>
      </c>
      <c r="P1226" s="16">
        <v>46118</v>
      </c>
      <c r="Q1226" s="2" t="s">
        <v>15</v>
      </c>
      <c r="R1226" s="2" t="str">
        <f>VLOOKUP(SALIDAS111518[[#This Row],[CÓDIGO]],PRODUCTOS31316[],2,FALSE)</f>
        <v>BTE-025PT/ 504002</v>
      </c>
      <c r="S1226" s="1" t="str">
        <f>VLOOKUP(SALIDAS111518[[#This Row],[CÓDIGO]],PRODUCTOS31316[],3,FALSE)</f>
        <v>FUNDAS PARA TRANSFERENCIA DE EMBRIONES</v>
      </c>
      <c r="T1226" s="2">
        <v>4</v>
      </c>
      <c r="U1226" s="2"/>
      <c r="V1226" s="2"/>
      <c r="W1226" s="2"/>
      <c r="X1226" s="2"/>
      <c r="Y1226" s="7"/>
      <c r="Z1226" s="2"/>
      <c r="AA1226" s="1"/>
      <c r="AC1226" s="2"/>
      <c r="AE1226" s="1"/>
      <c r="AG1226" s="2"/>
    </row>
    <row r="1227" spans="1:33" ht="49.95" customHeight="1" x14ac:dyDescent="0.3">
      <c r="A1227" s="2" t="s">
        <v>2066</v>
      </c>
      <c r="B1227" s="1" t="s">
        <v>2067</v>
      </c>
      <c r="C1227" s="1" t="s">
        <v>2068</v>
      </c>
      <c r="E1227" s="1" t="s">
        <v>957</v>
      </c>
      <c r="F1227" s="1" t="s">
        <v>30</v>
      </c>
      <c r="G1227" s="2">
        <v>0</v>
      </c>
      <c r="H1227" s="14">
        <f>SUMIF(ENTRADAS71417[CÓDIGO],PRODUCTOS31316[[#This Row],[CÓDIGO]],ENTRADAS71417[CANTIDAD])</f>
        <v>0</v>
      </c>
      <c r="I1227" s="11">
        <v>0</v>
      </c>
      <c r="J1227" s="6">
        <f>PRODUCTOS31316[[#This Row],[EXISTENCIAS]]+PRODUCTOS31316[[#This Row],[ENTRADAS]]-PRODUCTOS31316[[#This Row],[SALIDAS]]</f>
        <v>0</v>
      </c>
      <c r="L1227" s="2" t="s">
        <v>3520</v>
      </c>
      <c r="M1227" s="2" t="s">
        <v>4578</v>
      </c>
      <c r="N1227" s="327" t="s">
        <v>4588</v>
      </c>
      <c r="O1227" s="327" t="s">
        <v>3230</v>
      </c>
      <c r="P1227" s="16">
        <v>46118</v>
      </c>
      <c r="Q1227" s="2" t="s">
        <v>913</v>
      </c>
      <c r="R1227" s="2" t="str">
        <f>VLOOKUP(SALIDAS111518[[#This Row],[CÓDIGO]],PRODUCTOS31316[],2,FALSE)</f>
        <v>HC-R069</v>
      </c>
      <c r="S1227" s="1" t="str">
        <f>VLOOKUP(SALIDAS111518[[#This Row],[CÓDIGO]],PRODUCTOS31316[],3,FALSE)</f>
        <v>MICROSCOPIO CON PLATINA Y PANTALLA 7"</v>
      </c>
      <c r="T1227" s="2">
        <v>1</v>
      </c>
      <c r="U1227" s="2">
        <v>538</v>
      </c>
      <c r="V1227" s="2"/>
      <c r="W1227" s="2" t="s">
        <v>3194</v>
      </c>
      <c r="X1227" s="2"/>
      <c r="Y1227" s="7"/>
      <c r="Z1227" s="2"/>
      <c r="AA1227" s="1"/>
      <c r="AC1227" s="2"/>
      <c r="AE1227" s="1"/>
      <c r="AG1227" s="2"/>
    </row>
    <row r="1228" spans="1:33" ht="49.95" customHeight="1" x14ac:dyDescent="0.3">
      <c r="A1228" s="2" t="s">
        <v>2069</v>
      </c>
      <c r="B1228" s="1" t="s">
        <v>2070</v>
      </c>
      <c r="C1228" s="1" t="s">
        <v>2071</v>
      </c>
      <c r="E1228" s="1" t="s">
        <v>957</v>
      </c>
      <c r="F1228" s="1" t="s">
        <v>30</v>
      </c>
      <c r="G1228" s="2">
        <v>0</v>
      </c>
      <c r="H1228" s="14">
        <f>SUMIF(ENTRADAS71417[CÓDIGO],PRODUCTOS31316[[#This Row],[CÓDIGO]],ENTRADAS71417[CANTIDAD])</f>
        <v>0</v>
      </c>
      <c r="I1228" s="11">
        <v>0</v>
      </c>
      <c r="J1228" s="6">
        <f>PRODUCTOS31316[[#This Row],[EXISTENCIAS]]+PRODUCTOS31316[[#This Row],[ENTRADAS]]-PRODUCTOS31316[[#This Row],[SALIDAS]]</f>
        <v>0</v>
      </c>
      <c r="L1228" s="2" t="s">
        <v>3520</v>
      </c>
      <c r="M1228" s="2" t="s">
        <v>4578</v>
      </c>
      <c r="N1228" s="327" t="s">
        <v>4589</v>
      </c>
      <c r="O1228" s="2" t="s">
        <v>3387</v>
      </c>
      <c r="P1228" s="16">
        <v>46118</v>
      </c>
      <c r="Q1228" s="2" t="s">
        <v>15</v>
      </c>
      <c r="R1228" s="2" t="str">
        <f>VLOOKUP(SALIDAS111518[[#This Row],[CÓDIGO]],PRODUCTOS31316[],2,FALSE)</f>
        <v>BTE-025PT/ 504002</v>
      </c>
      <c r="S1228" s="1" t="str">
        <f>VLOOKUP(SALIDAS111518[[#This Row],[CÓDIGO]],PRODUCTOS31316[],3,FALSE)</f>
        <v>FUNDAS PARA TRANSFERENCIA DE EMBRIONES</v>
      </c>
      <c r="T1228" s="2">
        <v>10</v>
      </c>
      <c r="U1228" s="2">
        <v>539</v>
      </c>
      <c r="V1228" s="2"/>
      <c r="W1228" s="2"/>
      <c r="X1228" s="2"/>
      <c r="Y1228" s="7"/>
      <c r="Z1228" s="2"/>
      <c r="AA1228" s="1"/>
      <c r="AC1228" s="2"/>
      <c r="AE1228" s="1"/>
      <c r="AG1228" s="2"/>
    </row>
    <row r="1229" spans="1:33" ht="49.95" customHeight="1" x14ac:dyDescent="0.3">
      <c r="A1229" s="2" t="s">
        <v>2072</v>
      </c>
      <c r="B1229" s="1" t="s">
        <v>2073</v>
      </c>
      <c r="C1229" s="1" t="s">
        <v>2074</v>
      </c>
      <c r="E1229" s="1" t="s">
        <v>957</v>
      </c>
      <c r="F1229" s="1" t="s">
        <v>30</v>
      </c>
      <c r="G1229" s="2">
        <v>0</v>
      </c>
      <c r="H1229" s="14">
        <f>SUMIF(ENTRADAS71417[CÓDIGO],PRODUCTOS31316[[#This Row],[CÓDIGO]],ENTRADAS71417[CANTIDAD])</f>
        <v>0</v>
      </c>
      <c r="I1229" s="11">
        <v>0</v>
      </c>
      <c r="J1229" s="6">
        <f>PRODUCTOS31316[[#This Row],[EXISTENCIAS]]+PRODUCTOS31316[[#This Row],[ENTRADAS]]-PRODUCTOS31316[[#This Row],[SALIDAS]]</f>
        <v>0</v>
      </c>
      <c r="L1229" s="2"/>
      <c r="M1229" s="2"/>
      <c r="N1229" s="2">
        <v>8138</v>
      </c>
      <c r="O1229" s="2" t="s">
        <v>3387</v>
      </c>
      <c r="P1229" s="16">
        <v>46118</v>
      </c>
      <c r="Q1229" s="2" t="s">
        <v>1779</v>
      </c>
      <c r="R1229" s="2">
        <f>VLOOKUP(SALIDAS111518[[#This Row],[CÓDIGO]],PRODUCTOS31316[],2,FALSE)</f>
        <v>5563</v>
      </c>
      <c r="S1229" s="1" t="str">
        <f>VLOOKUP(SALIDAS111518[[#This Row],[CÓDIGO]],PRODUCTOS31316[],3,FALSE)</f>
        <v>CAMISA SANITARIA ROLLO X 80</v>
      </c>
      <c r="T1229" s="2">
        <v>1</v>
      </c>
      <c r="U1229" s="2"/>
      <c r="V1229" s="2"/>
      <c r="W1229" s="2"/>
      <c r="X1229" s="2"/>
      <c r="Y1229" s="7"/>
      <c r="Z1229" s="2"/>
      <c r="AA1229" s="1"/>
      <c r="AC1229" s="2"/>
      <c r="AE1229" s="1"/>
      <c r="AG1229" s="2"/>
    </row>
    <row r="1230" spans="1:33" ht="49.95" customHeight="1" x14ac:dyDescent="0.3">
      <c r="A1230" s="2" t="s">
        <v>2075</v>
      </c>
      <c r="B1230" s="1" t="s">
        <v>2076</v>
      </c>
      <c r="C1230" s="1" t="s">
        <v>2077</v>
      </c>
      <c r="E1230" s="1" t="s">
        <v>957</v>
      </c>
      <c r="F1230" s="1" t="s">
        <v>30</v>
      </c>
      <c r="G1230" s="2">
        <v>0</v>
      </c>
      <c r="H1230" s="14">
        <f>SUMIF(ENTRADAS71417[CÓDIGO],PRODUCTOS31316[[#This Row],[CÓDIGO]],ENTRADAS71417[CANTIDAD])</f>
        <v>0</v>
      </c>
      <c r="I1230" s="11">
        <v>0</v>
      </c>
      <c r="J1230" s="6">
        <f>PRODUCTOS31316[[#This Row],[EXISTENCIAS]]+PRODUCTOS31316[[#This Row],[ENTRADAS]]-PRODUCTOS31316[[#This Row],[SALIDAS]]</f>
        <v>0</v>
      </c>
      <c r="L1230" s="2" t="s">
        <v>3520</v>
      </c>
      <c r="M1230" s="2" t="s">
        <v>4578</v>
      </c>
      <c r="N1230" s="327" t="s">
        <v>4590</v>
      </c>
      <c r="O1230" s="2" t="s">
        <v>3118</v>
      </c>
      <c r="P1230" s="16">
        <v>46118</v>
      </c>
      <c r="Q1230" s="2" t="s">
        <v>36</v>
      </c>
      <c r="R1230" s="2">
        <f>VLOOKUP(SALIDAS111518[[#This Row],[CÓDIGO]],PRODUCTOS31316[],2,FALSE)</f>
        <v>1</v>
      </c>
      <c r="S1230" s="1" t="str">
        <f>VLOOKUP(SALIDAS111518[[#This Row],[CÓDIGO]],PRODUCTOS31316[],3,FALSE)</f>
        <v xml:space="preserve">PARCHE ESTROTECT </v>
      </c>
      <c r="T1230" s="2">
        <v>1</v>
      </c>
      <c r="U1230" s="2">
        <v>540</v>
      </c>
      <c r="V1230" s="2"/>
      <c r="W1230" s="2"/>
      <c r="X1230" s="2"/>
      <c r="Y1230" s="7"/>
      <c r="Z1230" s="2"/>
      <c r="AA1230" s="1"/>
      <c r="AC1230" s="2"/>
      <c r="AE1230" s="1"/>
      <c r="AG1230" s="2"/>
    </row>
    <row r="1231" spans="1:33" ht="49.95" customHeight="1" x14ac:dyDescent="0.3">
      <c r="A1231" s="2" t="s">
        <v>2078</v>
      </c>
      <c r="B1231" s="1" t="s">
        <v>2079</v>
      </c>
      <c r="C1231" s="1" t="s">
        <v>2080</v>
      </c>
      <c r="E1231" s="1" t="s">
        <v>957</v>
      </c>
      <c r="F1231" s="1" t="s">
        <v>30</v>
      </c>
      <c r="G1231" s="2">
        <v>0</v>
      </c>
      <c r="H1231" s="14">
        <f>SUMIF(ENTRADAS71417[CÓDIGO],PRODUCTOS31316[[#This Row],[CÓDIGO]],ENTRADAS71417[CANTIDAD])</f>
        <v>0</v>
      </c>
      <c r="I1231" s="11">
        <v>0</v>
      </c>
      <c r="J1231" s="6">
        <f>PRODUCTOS31316[[#This Row],[EXISTENCIAS]]+PRODUCTOS31316[[#This Row],[ENTRADAS]]-PRODUCTOS31316[[#This Row],[SALIDAS]]</f>
        <v>0</v>
      </c>
      <c r="L1231" s="326" t="s">
        <v>3521</v>
      </c>
      <c r="M1231" s="326" t="s">
        <v>4578</v>
      </c>
      <c r="N1231" s="327" t="s">
        <v>4591</v>
      </c>
      <c r="O1231" s="327" t="s">
        <v>4581</v>
      </c>
      <c r="P1231" s="16">
        <v>46118</v>
      </c>
      <c r="Q1231" s="326" t="s">
        <v>3142</v>
      </c>
      <c r="R1231" s="2">
        <f>VLOOKUP(SALIDAS111518[[#This Row],[CÓDIGO]],PRODUCTOS31316[],2,FALSE)</f>
        <v>16301</v>
      </c>
      <c r="S1231" s="1" t="str">
        <f>VLOOKUP(SALIDAS111518[[#This Row],[CÓDIGO]],PRODUCTOS31316[],3,FALSE)</f>
        <v>PISTOLA DE TRANSFERENCIA DE EMBRIONES 0,25 DE MANGO DE ALUMINIO</v>
      </c>
      <c r="T1231" s="2">
        <v>1</v>
      </c>
      <c r="U1231" s="2">
        <v>541</v>
      </c>
      <c r="V1231" s="2"/>
      <c r="W1231" s="2"/>
      <c r="X1231" s="2"/>
      <c r="Y1231" s="7"/>
      <c r="Z1231" s="2"/>
      <c r="AA1231" s="1"/>
      <c r="AC1231" s="2"/>
      <c r="AE1231" s="1"/>
      <c r="AG1231" s="2"/>
    </row>
    <row r="1232" spans="1:33" ht="49.95" customHeight="1" x14ac:dyDescent="0.3">
      <c r="A1232" s="2" t="s">
        <v>2081</v>
      </c>
      <c r="B1232" s="1" t="s">
        <v>2082</v>
      </c>
      <c r="C1232" s="1" t="s">
        <v>2083</v>
      </c>
      <c r="E1232" s="1" t="s">
        <v>957</v>
      </c>
      <c r="F1232" s="1" t="s">
        <v>124</v>
      </c>
      <c r="G1232" s="2">
        <v>0</v>
      </c>
      <c r="H1232" s="14">
        <f>SUMIF(ENTRADAS71417[CÓDIGO],PRODUCTOS31316[[#This Row],[CÓDIGO]],ENTRADAS71417[CANTIDAD])</f>
        <v>0</v>
      </c>
      <c r="I1232" s="11">
        <v>0</v>
      </c>
      <c r="J1232" s="6">
        <f>PRODUCTOS31316[[#This Row],[EXISTENCIAS]]+PRODUCTOS31316[[#This Row],[ENTRADAS]]-PRODUCTOS31316[[#This Row],[SALIDAS]]</f>
        <v>0</v>
      </c>
      <c r="L1232" s="2"/>
      <c r="M1232" s="2"/>
      <c r="N1232" s="2">
        <v>8140</v>
      </c>
      <c r="O1232" s="327" t="s">
        <v>4581</v>
      </c>
      <c r="P1232" s="16">
        <v>46118</v>
      </c>
      <c r="Q1232" s="326" t="s">
        <v>15</v>
      </c>
      <c r="R1232" s="2" t="str">
        <f>VLOOKUP(SALIDAS111518[[#This Row],[CÓDIGO]],PRODUCTOS31316[],2,FALSE)</f>
        <v>BTE-025PT/ 504002</v>
      </c>
      <c r="S1232" s="1" t="str">
        <f>VLOOKUP(SALIDAS111518[[#This Row],[CÓDIGO]],PRODUCTOS31316[],3,FALSE)</f>
        <v>FUNDAS PARA TRANSFERENCIA DE EMBRIONES</v>
      </c>
      <c r="T1232" s="2">
        <v>3</v>
      </c>
      <c r="U1232" s="2"/>
      <c r="V1232" s="2"/>
      <c r="W1232" s="2"/>
      <c r="X1232" s="2"/>
      <c r="Y1232" s="7"/>
      <c r="Z1232" s="2"/>
      <c r="AA1232" s="1"/>
      <c r="AC1232" s="2"/>
      <c r="AE1232" s="1"/>
      <c r="AG1232" s="2"/>
    </row>
    <row r="1233" spans="1:33" ht="49.95" customHeight="1" x14ac:dyDescent="0.3">
      <c r="A1233" s="2" t="s">
        <v>2084</v>
      </c>
      <c r="B1233" s="1">
        <v>73334127307</v>
      </c>
      <c r="C1233" s="1" t="s">
        <v>2085</v>
      </c>
      <c r="D1233" s="1" t="s">
        <v>2086</v>
      </c>
      <c r="E1233" s="1" t="s">
        <v>2087</v>
      </c>
      <c r="F1233" s="1" t="s">
        <v>30</v>
      </c>
      <c r="G1233" s="2">
        <v>0</v>
      </c>
      <c r="H1233" s="14">
        <f>SUMIF(ENTRADAS71417[CÓDIGO],PRODUCTOS31316[[#This Row],[CÓDIGO]],ENTRADAS71417[CANTIDAD])</f>
        <v>0</v>
      </c>
      <c r="I1233" s="11">
        <v>0</v>
      </c>
      <c r="J1233" s="6">
        <f>PRODUCTOS31316[[#This Row],[EXISTENCIAS]]+PRODUCTOS31316[[#This Row],[ENTRADAS]]-PRODUCTOS31316[[#This Row],[SALIDAS]]</f>
        <v>0</v>
      </c>
      <c r="L1233" s="326" t="s">
        <v>3520</v>
      </c>
      <c r="M1233" s="326" t="s">
        <v>4578</v>
      </c>
      <c r="N1233" s="327" t="s">
        <v>4593</v>
      </c>
      <c r="O1233" s="326" t="s">
        <v>2193</v>
      </c>
      <c r="P1233" s="16">
        <v>46118</v>
      </c>
      <c r="Q1233" s="326" t="s">
        <v>15</v>
      </c>
      <c r="R1233" s="2" t="str">
        <f>VLOOKUP(SALIDAS111518[[#This Row],[CÓDIGO]],PRODUCTOS31316[],2,FALSE)</f>
        <v>BTE-025PT/ 504002</v>
      </c>
      <c r="S1233" s="1" t="str">
        <f>VLOOKUP(SALIDAS111518[[#This Row],[CÓDIGO]],PRODUCTOS31316[],3,FALSE)</f>
        <v>FUNDAS PARA TRANSFERENCIA DE EMBRIONES</v>
      </c>
      <c r="T1233" s="2">
        <v>12</v>
      </c>
      <c r="U1233" s="326" t="s">
        <v>4592</v>
      </c>
      <c r="V1233" s="2"/>
      <c r="W1233" s="2"/>
      <c r="X1233" s="2"/>
      <c r="Y1233" s="7"/>
      <c r="Z1233" s="2"/>
      <c r="AA1233" s="1"/>
      <c r="AC1233" s="2"/>
      <c r="AE1233" s="1"/>
      <c r="AG1233" s="2"/>
    </row>
    <row r="1234" spans="1:33" ht="49.95" customHeight="1" x14ac:dyDescent="0.3">
      <c r="A1234" s="2" t="s">
        <v>2088</v>
      </c>
      <c r="B1234" s="1" t="s">
        <v>2089</v>
      </c>
      <c r="C1234" s="1" t="s">
        <v>2090</v>
      </c>
      <c r="E1234" s="1" t="s">
        <v>2091</v>
      </c>
      <c r="F1234" s="1" t="s">
        <v>30</v>
      </c>
      <c r="G1234" s="2">
        <v>0</v>
      </c>
      <c r="H1234" s="14">
        <f>SUMIF(ENTRADAS71417[CÓDIGO],PRODUCTOS31316[[#This Row],[CÓDIGO]],ENTRADAS71417[CANTIDAD])</f>
        <v>0</v>
      </c>
      <c r="I1234" s="11">
        <v>0</v>
      </c>
      <c r="J1234" s="6">
        <f>PRODUCTOS31316[[#This Row],[EXISTENCIAS]]+PRODUCTOS31316[[#This Row],[ENTRADAS]]-PRODUCTOS31316[[#This Row],[SALIDAS]]</f>
        <v>0</v>
      </c>
      <c r="L1234" s="2"/>
      <c r="M1234" s="2"/>
      <c r="N1234" s="2">
        <v>8141</v>
      </c>
      <c r="O1234" s="326" t="s">
        <v>2193</v>
      </c>
      <c r="P1234" s="16">
        <v>46118</v>
      </c>
      <c r="Q1234" s="326" t="s">
        <v>1779</v>
      </c>
      <c r="R1234" s="2">
        <f>VLOOKUP(SALIDAS111518[[#This Row],[CÓDIGO]],PRODUCTOS31316[],2,FALSE)</f>
        <v>5563</v>
      </c>
      <c r="S1234" s="1" t="str">
        <f>VLOOKUP(SALIDAS111518[[#This Row],[CÓDIGO]],PRODUCTOS31316[],3,FALSE)</f>
        <v>CAMISA SANITARIA ROLLO X 80</v>
      </c>
      <c r="T1234" s="2">
        <v>1</v>
      </c>
      <c r="U1234" s="2"/>
      <c r="V1234" s="2"/>
      <c r="W1234" s="2"/>
      <c r="X1234" s="2"/>
      <c r="Y1234" s="7"/>
      <c r="Z1234" s="2"/>
      <c r="AA1234" s="1"/>
      <c r="AC1234" s="2"/>
      <c r="AE1234" s="1"/>
      <c r="AG1234" s="2"/>
    </row>
    <row r="1235" spans="1:33" ht="49.95" customHeight="1" x14ac:dyDescent="0.3">
      <c r="A1235" s="2" t="s">
        <v>2092</v>
      </c>
      <c r="B1235" s="1">
        <v>1002860</v>
      </c>
      <c r="C1235" s="1" t="s">
        <v>2093</v>
      </c>
      <c r="E1235" s="1" t="s">
        <v>2091</v>
      </c>
      <c r="F1235" s="1" t="s">
        <v>736</v>
      </c>
      <c r="G1235" s="2">
        <v>0</v>
      </c>
      <c r="H1235" s="14">
        <f>SUMIF(ENTRADAS71417[CÓDIGO],PRODUCTOS31316[[#This Row],[CÓDIGO]],ENTRADAS71417[CANTIDAD])</f>
        <v>0</v>
      </c>
      <c r="I1235" s="11">
        <v>0</v>
      </c>
      <c r="J1235" s="6">
        <f>PRODUCTOS31316[[#This Row],[EXISTENCIAS]]+PRODUCTOS31316[[#This Row],[ENTRADAS]]-PRODUCTOS31316[[#This Row],[SALIDAS]]</f>
        <v>0</v>
      </c>
      <c r="L1235" s="326" t="s">
        <v>3520</v>
      </c>
      <c r="M1235" s="326" t="s">
        <v>4578</v>
      </c>
      <c r="N1235" s="327" t="s">
        <v>4606</v>
      </c>
      <c r="O1235" s="339" t="s">
        <v>4519</v>
      </c>
      <c r="P1235" s="16">
        <v>46119</v>
      </c>
      <c r="Q1235" s="326" t="s">
        <v>2232</v>
      </c>
      <c r="R1235" s="2">
        <f>VLOOKUP(SALIDAS111518[[#This Row],[CÓDIGO]],PRODUCTOS31316[],2,FALSE)</f>
        <v>0</v>
      </c>
      <c r="S1235" s="1" t="str">
        <f>VLOOKUP(SALIDAS111518[[#This Row],[CÓDIGO]],PRODUCTOS31316[],3,FALSE)</f>
        <v>CONO RECOLECTOR</v>
      </c>
      <c r="T1235" s="2">
        <v>2</v>
      </c>
      <c r="U1235" s="326" t="s">
        <v>4605</v>
      </c>
      <c r="V1235" s="2"/>
      <c r="W1235" s="2"/>
      <c r="X1235" s="2"/>
      <c r="Y1235" s="7"/>
      <c r="Z1235" s="2"/>
      <c r="AA1235" s="1"/>
      <c r="AC1235" s="2"/>
      <c r="AE1235" s="1"/>
      <c r="AG1235" s="2"/>
    </row>
    <row r="1236" spans="1:33" ht="49.95" customHeight="1" x14ac:dyDescent="0.3">
      <c r="A1236" s="2" t="s">
        <v>2094</v>
      </c>
      <c r="B1236" s="1">
        <v>1003080</v>
      </c>
      <c r="C1236" s="1" t="s">
        <v>2095</v>
      </c>
      <c r="E1236" s="1" t="s">
        <v>2091</v>
      </c>
      <c r="F1236" s="1" t="s">
        <v>30</v>
      </c>
      <c r="G1236" s="2">
        <v>0</v>
      </c>
      <c r="H1236" s="14">
        <f>SUMIF(ENTRADAS71417[CÓDIGO],PRODUCTOS31316[[#This Row],[CÓDIGO]],ENTRADAS71417[CANTIDAD])</f>
        <v>0</v>
      </c>
      <c r="I1236" s="11">
        <v>0</v>
      </c>
      <c r="J1236" s="6">
        <f>PRODUCTOS31316[[#This Row],[EXISTENCIAS]]+PRODUCTOS31316[[#This Row],[ENTRADAS]]-PRODUCTOS31316[[#This Row],[SALIDAS]]</f>
        <v>0</v>
      </c>
      <c r="L1236" s="326" t="s">
        <v>3520</v>
      </c>
      <c r="M1236" s="326" t="s">
        <v>4578</v>
      </c>
      <c r="N1236" s="327" t="s">
        <v>4595</v>
      </c>
      <c r="O1236" s="326" t="s">
        <v>2344</v>
      </c>
      <c r="P1236" s="16">
        <v>46118</v>
      </c>
      <c r="Q1236" s="326" t="s">
        <v>15</v>
      </c>
      <c r="R1236" s="2" t="str">
        <f>VLOOKUP(SALIDAS111518[[#This Row],[CÓDIGO]],PRODUCTOS31316[],2,FALSE)</f>
        <v>BTE-025PT/ 504002</v>
      </c>
      <c r="S1236" s="1" t="str">
        <f>VLOOKUP(SALIDAS111518[[#This Row],[CÓDIGO]],PRODUCTOS31316[],3,FALSE)</f>
        <v>FUNDAS PARA TRANSFERENCIA DE EMBRIONES</v>
      </c>
      <c r="T1236" s="2">
        <v>40</v>
      </c>
      <c r="U1236" s="2">
        <v>547</v>
      </c>
      <c r="V1236" s="2"/>
      <c r="W1236" s="2"/>
      <c r="X1236" s="2"/>
      <c r="Y1236" s="7"/>
      <c r="Z1236" s="2"/>
      <c r="AA1236" s="1"/>
      <c r="AC1236" s="2"/>
      <c r="AE1236" s="1"/>
      <c r="AG1236" s="2"/>
    </row>
    <row r="1237" spans="1:33" ht="49.95" customHeight="1" x14ac:dyDescent="0.3">
      <c r="A1237" s="2" t="s">
        <v>2096</v>
      </c>
      <c r="B1237" s="1" t="s">
        <v>2097</v>
      </c>
      <c r="C1237" s="1" t="s">
        <v>2098</v>
      </c>
      <c r="E1237" s="1" t="s">
        <v>2091</v>
      </c>
      <c r="F1237" s="1" t="s">
        <v>124</v>
      </c>
      <c r="G1237" s="2">
        <v>0</v>
      </c>
      <c r="H1237" s="14">
        <f>SUMIF(ENTRADAS71417[CÓDIGO],PRODUCTOS31316[[#This Row],[CÓDIGO]],ENTRADAS71417[CANTIDAD])</f>
        <v>0</v>
      </c>
      <c r="I1237" s="11">
        <v>0</v>
      </c>
      <c r="J1237" s="6">
        <f>PRODUCTOS31316[[#This Row],[EXISTENCIAS]]+PRODUCTOS31316[[#This Row],[ENTRADAS]]-PRODUCTOS31316[[#This Row],[SALIDAS]]</f>
        <v>0</v>
      </c>
      <c r="L1237" s="2"/>
      <c r="M1237" s="2"/>
      <c r="N1237" s="2">
        <v>8142</v>
      </c>
      <c r="O1237" s="326" t="s">
        <v>2344</v>
      </c>
      <c r="P1237" s="16">
        <v>46118</v>
      </c>
      <c r="Q1237" s="326" t="s">
        <v>2401</v>
      </c>
      <c r="R1237" s="2">
        <f>VLOOKUP(SALIDAS111518[[#This Row],[CÓDIGO]],PRODUCTOS31316[],2,FALSE)</f>
        <v>5540</v>
      </c>
      <c r="S1237" s="1" t="str">
        <f>VLOOKUP(SALIDAS111518[[#This Row],[CÓDIGO]],PRODUCTOS31316[],3,FALSE)</f>
        <v xml:space="preserve">FUNDAS DE TRANSFERENCIA AZUL PUNTA METÁLICA 21"                 </v>
      </c>
      <c r="T1237" s="2">
        <v>7</v>
      </c>
      <c r="U1237" s="2"/>
      <c r="V1237" s="2"/>
      <c r="W1237" s="2"/>
      <c r="X1237" s="2"/>
      <c r="Y1237" s="7"/>
      <c r="Z1237" s="2"/>
      <c r="AA1237" s="1"/>
      <c r="AC1237" s="2"/>
      <c r="AE1237" s="1"/>
      <c r="AG1237" s="2"/>
    </row>
    <row r="1238" spans="1:33" ht="49.95" customHeight="1" x14ac:dyDescent="0.3">
      <c r="A1238" s="2" t="s">
        <v>2099</v>
      </c>
      <c r="B1238" s="1">
        <v>4403520</v>
      </c>
      <c r="C1238" s="1" t="s">
        <v>2100</v>
      </c>
      <c r="E1238" s="1" t="s">
        <v>2091</v>
      </c>
      <c r="F1238" s="1" t="s">
        <v>377</v>
      </c>
      <c r="G1238" s="2">
        <v>0</v>
      </c>
      <c r="H1238" s="14">
        <f>SUMIF(ENTRADAS71417[CÓDIGO],PRODUCTOS31316[[#This Row],[CÓDIGO]],ENTRADAS71417[CANTIDAD])</f>
        <v>0</v>
      </c>
      <c r="I1238" s="11">
        <v>0</v>
      </c>
      <c r="J1238" s="6">
        <f>PRODUCTOS31316[[#This Row],[EXISTENCIAS]]+PRODUCTOS31316[[#This Row],[ENTRADAS]]-PRODUCTOS31316[[#This Row],[SALIDAS]]</f>
        <v>0</v>
      </c>
      <c r="L1238" s="326" t="s">
        <v>3520</v>
      </c>
      <c r="M1238" s="326" t="s">
        <v>4578</v>
      </c>
      <c r="N1238" s="327" t="s">
        <v>4596</v>
      </c>
      <c r="O1238" s="358" t="s">
        <v>3183</v>
      </c>
      <c r="P1238" s="16">
        <v>46118</v>
      </c>
      <c r="Q1238" s="326" t="s">
        <v>153</v>
      </c>
      <c r="R1238" s="2">
        <f>VLOOKUP(SALIDAS111518[[#This Row],[CÓDIGO]],PRODUCTOS31316[],2,FALSE)</f>
        <v>1132</v>
      </c>
      <c r="S1238" s="1" t="str">
        <f>VLOOKUP(SALIDAS111518[[#This Row],[CÓDIGO]],PRODUCTOS31316[],3,FALSE)</f>
        <v>PISTOLA QUICKLOCK CLASIC</v>
      </c>
      <c r="T1238" s="2">
        <v>1</v>
      </c>
      <c r="U1238" s="2">
        <v>542</v>
      </c>
      <c r="V1238" s="2"/>
      <c r="W1238" s="326" t="s">
        <v>2823</v>
      </c>
      <c r="X1238" s="2"/>
      <c r="Y1238" s="7"/>
      <c r="Z1238" s="2"/>
      <c r="AA1238" s="1"/>
      <c r="AC1238" s="2"/>
      <c r="AE1238" s="1"/>
      <c r="AG1238" s="2"/>
    </row>
    <row r="1239" spans="1:33" ht="49.95" customHeight="1" x14ac:dyDescent="0.3">
      <c r="A1239" s="2" t="s">
        <v>2101</v>
      </c>
      <c r="B1239" s="1">
        <v>1002008</v>
      </c>
      <c r="C1239" s="1" t="s">
        <v>2102</v>
      </c>
      <c r="E1239" s="1" t="s">
        <v>2091</v>
      </c>
      <c r="F1239" s="1" t="s">
        <v>124</v>
      </c>
      <c r="G1239" s="2">
        <v>0</v>
      </c>
      <c r="H1239" s="14">
        <f>SUMIF(ENTRADAS71417[CÓDIGO],PRODUCTOS31316[[#This Row],[CÓDIGO]],ENTRADAS71417[CANTIDAD])</f>
        <v>0</v>
      </c>
      <c r="I1239" s="11">
        <v>0</v>
      </c>
      <c r="J1239" s="6">
        <f>PRODUCTOS31316[[#This Row],[EXISTENCIAS]]+PRODUCTOS31316[[#This Row],[ENTRADAS]]-PRODUCTOS31316[[#This Row],[SALIDAS]]</f>
        <v>0</v>
      </c>
      <c r="L1239" s="326" t="s">
        <v>3520</v>
      </c>
      <c r="M1239" s="326" t="s">
        <v>4578</v>
      </c>
      <c r="N1239" s="327" t="s">
        <v>4607</v>
      </c>
      <c r="O1239" s="327" t="s">
        <v>2201</v>
      </c>
      <c r="P1239" s="16">
        <v>46119</v>
      </c>
      <c r="Q1239" s="326" t="s">
        <v>3211</v>
      </c>
      <c r="R1239" s="2" t="str">
        <f>VLOOKUP(SALIDAS111518[[#This Row],[CÓDIGO]],PRODUCTOS31316[],2,FALSE)</f>
        <v>S7</v>
      </c>
      <c r="S1239" s="1" t="str">
        <f>VLOOKUP(SALIDAS111518[[#This Row],[CÓDIGO]],PRODUCTOS31316[],3,FALSE)</f>
        <v>SONDA S7 PLUS DOPPLER COLOR</v>
      </c>
      <c r="T1239" s="2">
        <v>1</v>
      </c>
      <c r="U1239" s="2">
        <v>550</v>
      </c>
      <c r="V1239" s="2"/>
      <c r="W1239" s="2"/>
      <c r="X1239" s="2"/>
      <c r="Y1239" s="7"/>
      <c r="Z1239" s="2"/>
      <c r="AA1239" s="1"/>
      <c r="AC1239" s="2"/>
      <c r="AE1239" s="1"/>
      <c r="AG1239" s="2"/>
    </row>
    <row r="1240" spans="1:33" ht="49.95" customHeight="1" x14ac:dyDescent="0.3">
      <c r="A1240" s="2" t="s">
        <v>2103</v>
      </c>
      <c r="B1240" s="1">
        <v>2203382</v>
      </c>
      <c r="C1240" s="1" t="s">
        <v>2104</v>
      </c>
      <c r="E1240" s="1" t="s">
        <v>2091</v>
      </c>
      <c r="F1240" s="1" t="s">
        <v>30</v>
      </c>
      <c r="G1240" s="2">
        <v>0</v>
      </c>
      <c r="H1240" s="14">
        <f>SUMIF(ENTRADAS71417[CÓDIGO],PRODUCTOS31316[[#This Row],[CÓDIGO]],ENTRADAS71417[CANTIDAD])</f>
        <v>0</v>
      </c>
      <c r="I1240" s="11">
        <v>0</v>
      </c>
      <c r="J1240" s="6">
        <f>PRODUCTOS31316[[#This Row],[EXISTENCIAS]]+PRODUCTOS31316[[#This Row],[ENTRADAS]]-PRODUCTOS31316[[#This Row],[SALIDAS]]</f>
        <v>0</v>
      </c>
      <c r="L1240" s="2"/>
      <c r="M1240" s="2"/>
      <c r="N1240" s="2">
        <v>8145</v>
      </c>
      <c r="O1240" s="327" t="s">
        <v>2201</v>
      </c>
      <c r="P1240" s="16">
        <v>46119</v>
      </c>
      <c r="Q1240" s="326" t="s">
        <v>3213</v>
      </c>
      <c r="R1240" s="2" t="str">
        <f>VLOOKUP(SALIDAS111518[[#This Row],[CÓDIGO]],PRODUCTOS31316[],2,FALSE)</f>
        <v>SONDA S7</v>
      </c>
      <c r="S1240" s="1" t="str">
        <f>VLOOKUP(SALIDAS111518[[#This Row],[CÓDIGO]],PRODUCTOS31316[],3,FALSE)</f>
        <v>SONDA ADICIONAL S7 PLUS</v>
      </c>
      <c r="T1240" s="2">
        <v>1</v>
      </c>
      <c r="U1240" s="2"/>
      <c r="V1240" s="2"/>
      <c r="W1240" s="2"/>
      <c r="X1240" s="2"/>
      <c r="Y1240" s="7"/>
      <c r="Z1240" s="2"/>
      <c r="AA1240" s="1"/>
      <c r="AC1240" s="2"/>
      <c r="AE1240" s="1"/>
      <c r="AG1240" s="2"/>
    </row>
    <row r="1241" spans="1:33" ht="49.95" customHeight="1" x14ac:dyDescent="0.3">
      <c r="A1241" s="2" t="s">
        <v>2106</v>
      </c>
      <c r="B1241" s="1">
        <v>1003088</v>
      </c>
      <c r="C1241" s="1" t="s">
        <v>2107</v>
      </c>
      <c r="E1241" s="1" t="s">
        <v>2091</v>
      </c>
      <c r="F1241" s="1" t="s">
        <v>2108</v>
      </c>
      <c r="G1241" s="2">
        <v>0</v>
      </c>
      <c r="H1241" s="14">
        <f>SUMIF(ENTRADAS71417[CÓDIGO],PRODUCTOS31316[[#This Row],[CÓDIGO]],ENTRADAS71417[CANTIDAD])</f>
        <v>0</v>
      </c>
      <c r="I1241" s="11">
        <v>0</v>
      </c>
      <c r="J1241" s="6">
        <f>PRODUCTOS31316[[#This Row],[EXISTENCIAS]]+PRODUCTOS31316[[#This Row],[ENTRADAS]]-PRODUCTOS31316[[#This Row],[SALIDAS]]</f>
        <v>0</v>
      </c>
      <c r="L1241" s="2"/>
      <c r="M1241" s="2"/>
      <c r="N1241" s="2">
        <v>8145</v>
      </c>
      <c r="O1241" s="327" t="s">
        <v>2201</v>
      </c>
      <c r="P1241" s="16">
        <v>46119</v>
      </c>
      <c r="Q1241" s="326" t="s">
        <v>3791</v>
      </c>
      <c r="R1241" s="2">
        <f>VLOOKUP(SALIDAS111518[[#This Row],[CÓDIGO]],PRODUCTOS31316[],2,FALSE)</f>
        <v>6936520864546</v>
      </c>
      <c r="S1241" s="1" t="str">
        <f>VLOOKUP(SALIDAS111518[[#This Row],[CÓDIGO]],PRODUCTOS31316[],3,FALSE)</f>
        <v>TABLET 11" HONOR PAD X8A 128 GB</v>
      </c>
      <c r="T1241" s="2">
        <v>1</v>
      </c>
      <c r="U1241" s="2"/>
      <c r="V1241" s="2"/>
      <c r="W1241" s="2"/>
      <c r="X1241" s="2"/>
      <c r="Y1241" s="7"/>
      <c r="Z1241" s="2"/>
      <c r="AA1241" s="1"/>
      <c r="AC1241" s="2"/>
      <c r="AE1241" s="1"/>
      <c r="AG1241" s="2"/>
    </row>
    <row r="1242" spans="1:33" ht="49.95" customHeight="1" x14ac:dyDescent="0.3">
      <c r="A1242" s="2" t="s">
        <v>2109</v>
      </c>
      <c r="B1242" s="1">
        <v>1003500</v>
      </c>
      <c r="C1242" s="1" t="s">
        <v>2110</v>
      </c>
      <c r="E1242" s="1" t="s">
        <v>2091</v>
      </c>
      <c r="F1242" s="1" t="s">
        <v>736</v>
      </c>
      <c r="G1242" s="2">
        <v>0</v>
      </c>
      <c r="H1242" s="14">
        <f>SUMIF(ENTRADAS71417[CÓDIGO],PRODUCTOS31316[[#This Row],[CÓDIGO]],ENTRADAS71417[CANTIDAD])</f>
        <v>0</v>
      </c>
      <c r="I1242" s="11">
        <v>0</v>
      </c>
      <c r="J1242" s="6">
        <f>PRODUCTOS31316[[#This Row],[EXISTENCIAS]]+PRODUCTOS31316[[#This Row],[ENTRADAS]]-PRODUCTOS31316[[#This Row],[SALIDAS]]</f>
        <v>0</v>
      </c>
      <c r="L1242" s="2"/>
      <c r="M1242" s="2"/>
      <c r="N1242" s="2">
        <v>8145</v>
      </c>
      <c r="O1242" s="327" t="s">
        <v>2201</v>
      </c>
      <c r="P1242" s="16">
        <v>46119</v>
      </c>
      <c r="Q1242" s="326" t="s">
        <v>3286</v>
      </c>
      <c r="R1242" s="2">
        <f>VLOOKUP(SALIDAS111518[[#This Row],[CÓDIGO]],PRODUCTOS31316[],2,FALSE)</f>
        <v>0</v>
      </c>
      <c r="S1242" s="1" t="str">
        <f>VLOOKUP(SALIDAS111518[[#This Row],[CÓDIGO]],PRODUCTOS31316[],3,FALSE)</f>
        <v>CARCASA TABLET BMV</v>
      </c>
      <c r="T1242" s="2">
        <v>1</v>
      </c>
      <c r="U1242" s="2"/>
      <c r="V1242" s="2"/>
      <c r="W1242" s="2"/>
      <c r="X1242" s="2"/>
      <c r="Y1242" s="7"/>
      <c r="Z1242" s="2"/>
      <c r="AA1242" s="1"/>
      <c r="AC1242" s="2"/>
      <c r="AE1242" s="1"/>
      <c r="AG1242" s="2"/>
    </row>
    <row r="1243" spans="1:33" ht="49.95" customHeight="1" x14ac:dyDescent="0.3">
      <c r="A1243" s="2" t="s">
        <v>2111</v>
      </c>
      <c r="B1243" s="1">
        <v>4405486</v>
      </c>
      <c r="C1243" s="1" t="s">
        <v>2112</v>
      </c>
      <c r="E1243" s="1" t="s">
        <v>2091</v>
      </c>
      <c r="F1243" s="1" t="s">
        <v>124</v>
      </c>
      <c r="G1243" s="2">
        <v>0</v>
      </c>
      <c r="H1243" s="14">
        <f>SUMIF(ENTRADAS71417[CÓDIGO],PRODUCTOS31316[[#This Row],[CÓDIGO]],ENTRADAS71417[CANTIDAD])</f>
        <v>0</v>
      </c>
      <c r="I1243" s="11">
        <v>0</v>
      </c>
      <c r="J1243" s="6">
        <f>PRODUCTOS31316[[#This Row],[EXISTENCIAS]]+PRODUCTOS31316[[#This Row],[ENTRADAS]]-PRODUCTOS31316[[#This Row],[SALIDAS]]</f>
        <v>0</v>
      </c>
      <c r="L1243" s="2"/>
      <c r="M1243" s="2"/>
      <c r="N1243" s="2">
        <v>8145</v>
      </c>
      <c r="O1243" s="327" t="s">
        <v>2201</v>
      </c>
      <c r="P1243" s="16">
        <v>46119</v>
      </c>
      <c r="Q1243" s="326" t="s">
        <v>382</v>
      </c>
      <c r="R1243" s="2">
        <f>VLOOKUP(SALIDAS111518[[#This Row],[CÓDIGO]],PRODUCTOS31316[],2,FALSE)</f>
        <v>605032</v>
      </c>
      <c r="S1243" s="1" t="str">
        <f>VLOOKUP(SALIDAS111518[[#This Row],[CÓDIGO]],PRODUCTOS31316[],3,FALSE)</f>
        <v>LUBRICANTE OB, NO ESPERMICIDA</v>
      </c>
      <c r="T1243" s="2">
        <v>2</v>
      </c>
      <c r="U1243" s="2"/>
      <c r="V1243" s="2"/>
      <c r="W1243" s="2"/>
      <c r="X1243" s="2"/>
      <c r="Y1243" s="7"/>
      <c r="Z1243" s="2"/>
      <c r="AA1243" s="1"/>
      <c r="AC1243" s="2"/>
      <c r="AE1243" s="1"/>
      <c r="AG1243" s="2"/>
    </row>
    <row r="1244" spans="1:33" ht="49.95" customHeight="1" x14ac:dyDescent="0.3">
      <c r="A1244" s="2" t="s">
        <v>240</v>
      </c>
      <c r="B1244" s="1" t="s">
        <v>2113</v>
      </c>
      <c r="C1244" s="1" t="s">
        <v>2114</v>
      </c>
      <c r="E1244" s="1" t="s">
        <v>2091</v>
      </c>
      <c r="F1244" s="1" t="s">
        <v>245</v>
      </c>
      <c r="G1244" s="2">
        <v>0</v>
      </c>
      <c r="H1244" s="14">
        <f>SUMIF(ENTRADAS71417[CÓDIGO],PRODUCTOS31316[[#This Row],[CÓDIGO]],ENTRADAS71417[CANTIDAD])</f>
        <v>0</v>
      </c>
      <c r="I1244" s="11">
        <v>0</v>
      </c>
      <c r="J1244" s="6">
        <f>PRODUCTOS31316[[#This Row],[EXISTENCIAS]]+PRODUCTOS31316[[#This Row],[ENTRADAS]]-PRODUCTOS31316[[#This Row],[SALIDAS]]</f>
        <v>0</v>
      </c>
      <c r="L1244" s="2"/>
      <c r="M1244" s="2"/>
      <c r="N1244" s="2">
        <v>8145</v>
      </c>
      <c r="O1244" s="327" t="s">
        <v>2201</v>
      </c>
      <c r="P1244" s="16">
        <v>46119</v>
      </c>
      <c r="Q1244" s="326" t="s">
        <v>3095</v>
      </c>
      <c r="R1244" s="2">
        <f>VLOOKUP(SALIDAS111518[[#This Row],[CÓDIGO]],PRODUCTOS31316[],2,FALSE)</f>
        <v>0</v>
      </c>
      <c r="S1244" s="1" t="str">
        <f>VLOOKUP(SALIDAS111518[[#This Row],[CÓDIGO]],PRODUCTOS31316[],3,FALSE)</f>
        <v>GORRA MAS CAMPO</v>
      </c>
      <c r="T1244" s="2">
        <v>1</v>
      </c>
      <c r="U1244" s="2"/>
      <c r="V1244" s="2"/>
      <c r="W1244" s="2"/>
      <c r="X1244" s="2"/>
      <c r="Y1244" s="7"/>
      <c r="Z1244" s="2"/>
      <c r="AA1244" s="1"/>
      <c r="AC1244" s="2"/>
      <c r="AE1244" s="1"/>
      <c r="AG1244" s="2"/>
    </row>
    <row r="1245" spans="1:33" ht="49.95" customHeight="1" x14ac:dyDescent="0.3">
      <c r="A1245" s="2" t="s">
        <v>2115</v>
      </c>
      <c r="C1245" s="1" t="s">
        <v>2116</v>
      </c>
      <c r="E1245" s="1" t="s">
        <v>2117</v>
      </c>
      <c r="F1245" s="1" t="s">
        <v>30</v>
      </c>
      <c r="G1245" s="2">
        <v>1</v>
      </c>
      <c r="H1245" s="14">
        <f>SUMIF(ENTRADAS71417[CÓDIGO],PRODUCTOS31316[[#This Row],[CÓDIGO]],ENTRADAS71417[CANTIDAD])</f>
        <v>0</v>
      </c>
      <c r="I1245" s="11">
        <v>0</v>
      </c>
      <c r="J1245" s="6">
        <f>PRODUCTOS31316[[#This Row],[EXISTENCIAS]]+PRODUCTOS31316[[#This Row],[ENTRADAS]]-PRODUCTOS31316[[#This Row],[SALIDAS]]</f>
        <v>1</v>
      </c>
      <c r="L1245" s="326" t="s">
        <v>3520</v>
      </c>
      <c r="M1245" s="326" t="s">
        <v>4578</v>
      </c>
      <c r="N1245" s="327" t="s">
        <v>4608</v>
      </c>
      <c r="O1245" s="326" t="s">
        <v>3581</v>
      </c>
      <c r="P1245" s="16">
        <v>46119</v>
      </c>
      <c r="Q1245" s="326" t="s">
        <v>15</v>
      </c>
      <c r="R1245" s="2" t="str">
        <f>VLOOKUP(SALIDAS111518[[#This Row],[CÓDIGO]],PRODUCTOS31316[],2,FALSE)</f>
        <v>BTE-025PT/ 504002</v>
      </c>
      <c r="S1245" s="1" t="str">
        <f>VLOOKUP(SALIDAS111518[[#This Row],[CÓDIGO]],PRODUCTOS31316[],3,FALSE)</f>
        <v>FUNDAS PARA TRANSFERENCIA DE EMBRIONES</v>
      </c>
      <c r="T1245" s="2">
        <v>80</v>
      </c>
      <c r="U1245" s="2">
        <v>544</v>
      </c>
      <c r="V1245" s="2"/>
      <c r="W1245" s="326" t="s">
        <v>2823</v>
      </c>
      <c r="X1245" s="2"/>
      <c r="Y1245" s="7"/>
      <c r="Z1245" s="2"/>
      <c r="AA1245" s="1"/>
      <c r="AC1245" s="2"/>
      <c r="AE1245" s="1"/>
      <c r="AG1245" s="2"/>
    </row>
    <row r="1246" spans="1:33" ht="49.95" customHeight="1" x14ac:dyDescent="0.3">
      <c r="A1246" s="2" t="s">
        <v>2118</v>
      </c>
      <c r="C1246" s="1" t="s">
        <v>2119</v>
      </c>
      <c r="E1246" s="1" t="s">
        <v>2120</v>
      </c>
      <c r="F1246" s="1" t="s">
        <v>30</v>
      </c>
      <c r="G1246" s="2">
        <v>0</v>
      </c>
      <c r="H1246" s="14">
        <f>SUMIF(ENTRADAS71417[CÓDIGO],PRODUCTOS31316[[#This Row],[CÓDIGO]],ENTRADAS71417[CANTIDAD])</f>
        <v>0</v>
      </c>
      <c r="I1246" s="11">
        <v>0</v>
      </c>
      <c r="J1246" s="6">
        <f>PRODUCTOS31316[[#This Row],[EXISTENCIAS]]+PRODUCTOS31316[[#This Row],[ENTRADAS]]-PRODUCTOS31316[[#This Row],[SALIDAS]]</f>
        <v>0</v>
      </c>
      <c r="L1246" s="326" t="s">
        <v>3520</v>
      </c>
      <c r="M1246" s="326" t="s">
        <v>4578</v>
      </c>
      <c r="N1246" s="340" t="s">
        <v>4764</v>
      </c>
      <c r="O1246" s="326" t="s">
        <v>4450</v>
      </c>
      <c r="P1246" s="16">
        <v>46121</v>
      </c>
      <c r="Q1246" s="326" t="s">
        <v>3639</v>
      </c>
      <c r="R1246" s="2">
        <f>VLOOKUP(SALIDAS111518[[#This Row],[CÓDIGO]],PRODUCTOS31316[],2,FALSE)</f>
        <v>5565</v>
      </c>
      <c r="S1246" s="1" t="str">
        <f>VLOOKUP(SALIDAS111518[[#This Row],[CÓDIGO]],PRODUCTOS31316[],3,FALSE)</f>
        <v>PAJUELA TRANSPARENTE 0.25/ PAQ. X 2000 MARCA IMV</v>
      </c>
      <c r="T1246" s="2">
        <v>3</v>
      </c>
      <c r="U1246" s="2">
        <v>575</v>
      </c>
      <c r="V1246" s="2"/>
      <c r="W1246" s="2"/>
      <c r="X1246" s="2"/>
      <c r="Y1246" s="7"/>
      <c r="Z1246" s="2"/>
      <c r="AA1246" s="1"/>
      <c r="AC1246" s="2"/>
      <c r="AE1246" s="1"/>
      <c r="AG1246" s="2"/>
    </row>
    <row r="1247" spans="1:33" ht="49.95" customHeight="1" x14ac:dyDescent="0.3">
      <c r="A1247" s="2" t="s">
        <v>2121</v>
      </c>
      <c r="C1247" s="1" t="s">
        <v>2122</v>
      </c>
      <c r="E1247" s="1" t="s">
        <v>596</v>
      </c>
      <c r="F1247" s="1" t="s">
        <v>647</v>
      </c>
      <c r="G1247" s="2">
        <v>0</v>
      </c>
      <c r="H1247" s="14">
        <f>SUMIF(ENTRADAS71417[CÓDIGO],PRODUCTOS31316[[#This Row],[CÓDIGO]],ENTRADAS71417[CANTIDAD])</f>
        <v>0</v>
      </c>
      <c r="I1247" s="11">
        <v>0</v>
      </c>
      <c r="J1247" s="6">
        <f>PRODUCTOS31316[[#This Row],[EXISTENCIAS]]+PRODUCTOS31316[[#This Row],[ENTRADAS]]-PRODUCTOS31316[[#This Row],[SALIDAS]]</f>
        <v>0</v>
      </c>
      <c r="L1247" s="2"/>
      <c r="M1247" s="2"/>
      <c r="N1247" s="2">
        <v>8170</v>
      </c>
      <c r="O1247" s="326" t="s">
        <v>4450</v>
      </c>
      <c r="P1247" s="16">
        <v>46121</v>
      </c>
      <c r="Q1247" s="329" t="s">
        <v>3327</v>
      </c>
      <c r="R1247" s="2">
        <f>VLOOKUP(SALIDAS111518[[#This Row],[CÓDIGO]],PRODUCTOS31316[],2,FALSE)</f>
        <v>9006006</v>
      </c>
      <c r="S1247" s="1" t="str">
        <f>VLOOKUP(SALIDAS111518[[#This Row],[CÓDIGO]],PRODUCTOS31316[],3,FALSE)</f>
        <v>LACRADOR LARGO PURPURA</v>
      </c>
      <c r="T1247" s="2">
        <v>2</v>
      </c>
      <c r="U1247" s="2"/>
      <c r="V1247" s="2"/>
      <c r="W1247" s="2"/>
      <c r="X1247" s="2"/>
      <c r="Y1247" s="7"/>
      <c r="Z1247" s="2"/>
      <c r="AA1247" s="1"/>
      <c r="AC1247" s="2"/>
      <c r="AE1247" s="1"/>
      <c r="AG1247" s="2"/>
    </row>
    <row r="1248" spans="1:33" ht="49.95" customHeight="1" x14ac:dyDescent="0.3">
      <c r="A1248" s="2" t="s">
        <v>330</v>
      </c>
      <c r="C1248" s="1" t="s">
        <v>2123</v>
      </c>
      <c r="E1248" s="1" t="s">
        <v>596</v>
      </c>
      <c r="F1248" s="1" t="s">
        <v>30</v>
      </c>
      <c r="G1248" s="2">
        <v>0</v>
      </c>
      <c r="H1248" s="14">
        <f>SUMIF(ENTRADAS71417[CÓDIGO],PRODUCTOS31316[[#This Row],[CÓDIGO]],ENTRADAS71417[CANTIDAD])</f>
        <v>0</v>
      </c>
      <c r="I1248" s="11">
        <v>0</v>
      </c>
      <c r="J1248" s="6">
        <f>PRODUCTOS31316[[#This Row],[EXISTENCIAS]]+PRODUCTOS31316[[#This Row],[ENTRADAS]]-PRODUCTOS31316[[#This Row],[SALIDAS]]</f>
        <v>0</v>
      </c>
      <c r="L1248" s="2"/>
      <c r="M1248" s="2"/>
      <c r="N1248" s="2">
        <v>8170</v>
      </c>
      <c r="O1248" s="350" t="s">
        <v>4450</v>
      </c>
      <c r="P1248" s="16">
        <v>46121</v>
      </c>
      <c r="Q1248" s="326" t="s">
        <v>3330</v>
      </c>
      <c r="R1248" s="2">
        <f>VLOOKUP(SALIDAS111518[[#This Row],[CÓDIGO]],PRODUCTOS31316[],2,FALSE)</f>
        <v>9006003</v>
      </c>
      <c r="S1248" s="1" t="str">
        <f>VLOOKUP(SALIDAS111518[[#This Row],[CÓDIGO]],PRODUCTOS31316[],3,FALSE)</f>
        <v>LACRADOR LARGO AZUL</v>
      </c>
      <c r="T1248" s="2">
        <v>2</v>
      </c>
      <c r="U1248" s="2"/>
      <c r="V1248" s="2"/>
      <c r="W1248" s="2"/>
      <c r="X1248" s="2"/>
      <c r="Y1248" s="7"/>
      <c r="Z1248" s="2"/>
      <c r="AA1248" s="1"/>
      <c r="AC1248" s="2"/>
      <c r="AE1248" s="1"/>
      <c r="AG1248" s="2"/>
    </row>
    <row r="1249" spans="1:33" ht="49.95" customHeight="1" x14ac:dyDescent="0.3">
      <c r="A1249" s="2" t="s">
        <v>105</v>
      </c>
      <c r="C1249" s="1" t="s">
        <v>2124</v>
      </c>
      <c r="E1249" s="1" t="s">
        <v>2125</v>
      </c>
      <c r="F1249" s="1" t="s">
        <v>30</v>
      </c>
      <c r="G1249" s="2">
        <v>0</v>
      </c>
      <c r="H1249" s="14">
        <f>SUMIF(ENTRADAS71417[CÓDIGO],PRODUCTOS31316[[#This Row],[CÓDIGO]],ENTRADAS71417[CANTIDAD])</f>
        <v>0</v>
      </c>
      <c r="I1249" s="11">
        <v>0</v>
      </c>
      <c r="J1249" s="6">
        <f>PRODUCTOS31316[[#This Row],[EXISTENCIAS]]+PRODUCTOS31316[[#This Row],[ENTRADAS]]-PRODUCTOS31316[[#This Row],[SALIDAS]]</f>
        <v>0</v>
      </c>
      <c r="L1249" s="2"/>
      <c r="M1249" s="2"/>
      <c r="N1249" s="2">
        <v>8170</v>
      </c>
      <c r="O1249" s="326" t="s">
        <v>4450</v>
      </c>
      <c r="P1249" s="16">
        <v>46121</v>
      </c>
      <c r="Q1249" s="326" t="s">
        <v>3237</v>
      </c>
      <c r="R1249" s="2" t="str">
        <f>VLOOKUP(SALIDAS111518[[#This Row],[CÓDIGO]],PRODUCTOS31316[],2,FALSE)</f>
        <v>1111-3800</v>
      </c>
      <c r="S1249" s="1" t="str">
        <f>VLOOKUP(SALIDAS111518[[#This Row],[CÓDIGO]],PRODUCTOS31316[],3,FALSE)</f>
        <v>RACK DE PUNTAS 10 UL NO ESTERIL/ LT N1394910O/ N139103M</v>
      </c>
      <c r="T1249" s="2">
        <v>8</v>
      </c>
      <c r="U1249" s="2"/>
      <c r="V1249" s="2"/>
      <c r="W1249" s="2"/>
      <c r="X1249" s="2"/>
      <c r="Y1249" s="7"/>
      <c r="Z1249" s="2"/>
      <c r="AA1249" s="1"/>
      <c r="AC1249" s="2"/>
      <c r="AE1249" s="1"/>
      <c r="AG1249" s="2"/>
    </row>
    <row r="1250" spans="1:33" ht="49.95" customHeight="1" x14ac:dyDescent="0.3">
      <c r="A1250" s="2" t="s">
        <v>538</v>
      </c>
      <c r="C1250" s="1" t="s">
        <v>2126</v>
      </c>
      <c r="E1250" s="1" t="s">
        <v>352</v>
      </c>
      <c r="F1250" s="1" t="s">
        <v>30</v>
      </c>
      <c r="G1250" s="2">
        <v>0</v>
      </c>
      <c r="H1250" s="14">
        <f>SUMIF(ENTRADAS71417[CÓDIGO],PRODUCTOS31316[[#This Row],[CÓDIGO]],ENTRADAS71417[CANTIDAD])</f>
        <v>0</v>
      </c>
      <c r="I1250" s="11">
        <v>0</v>
      </c>
      <c r="J1250" s="6">
        <f>PRODUCTOS31316[[#This Row],[EXISTENCIAS]]+PRODUCTOS31316[[#This Row],[ENTRADAS]]-PRODUCTOS31316[[#This Row],[SALIDAS]]</f>
        <v>0</v>
      </c>
      <c r="L1250" s="2"/>
      <c r="M1250" s="2"/>
      <c r="N1250" s="2">
        <v>8170</v>
      </c>
      <c r="O1250" s="326" t="s">
        <v>4450</v>
      </c>
      <c r="P1250" s="16">
        <v>46121</v>
      </c>
      <c r="Q1250" s="326" t="s">
        <v>3242</v>
      </c>
      <c r="R1250" s="2" t="str">
        <f>VLOOKUP(SALIDAS111518[[#This Row],[CÓDIGO]],PRODUCTOS31316[],2,FALSE)</f>
        <v>1111-1800</v>
      </c>
      <c r="S1250" s="1" t="str">
        <f>VLOOKUP(SALIDAS111518[[#This Row],[CÓDIGO]],PRODUCTOS31316[],3,FALSE)</f>
        <v>RACK DE PUNTAS 200 UL NO ESTERIL/   LT M1355851</v>
      </c>
      <c r="T1250" s="2">
        <v>4</v>
      </c>
      <c r="U1250" s="2"/>
      <c r="V1250" s="2"/>
      <c r="W1250" s="2"/>
      <c r="X1250" s="2"/>
      <c r="Y1250" s="7"/>
      <c r="Z1250" s="2"/>
      <c r="AA1250" s="1"/>
      <c r="AC1250" s="2"/>
      <c r="AE1250" s="1"/>
      <c r="AG1250" s="2"/>
    </row>
    <row r="1251" spans="1:33" ht="49.95" customHeight="1" x14ac:dyDescent="0.3">
      <c r="A1251" s="2" t="s">
        <v>2127</v>
      </c>
      <c r="C1251" s="1" t="s">
        <v>2128</v>
      </c>
      <c r="E1251" s="1" t="s">
        <v>449</v>
      </c>
      <c r="F1251" s="1" t="s">
        <v>30</v>
      </c>
      <c r="G1251" s="2">
        <v>0</v>
      </c>
      <c r="H1251" s="14">
        <f>SUMIF(ENTRADAS71417[CÓDIGO],PRODUCTOS31316[[#This Row],[CÓDIGO]],ENTRADAS71417[CANTIDAD])</f>
        <v>0</v>
      </c>
      <c r="I1251" s="11">
        <v>0</v>
      </c>
      <c r="J1251" s="6">
        <f>PRODUCTOS31316[[#This Row],[EXISTENCIAS]]+PRODUCTOS31316[[#This Row],[ENTRADAS]]-PRODUCTOS31316[[#This Row],[SALIDAS]]</f>
        <v>0</v>
      </c>
      <c r="L1251" s="2"/>
      <c r="M1251" s="2"/>
      <c r="N1251" s="2">
        <v>8170</v>
      </c>
      <c r="O1251" s="326" t="s">
        <v>4450</v>
      </c>
      <c r="P1251" s="16">
        <v>46121</v>
      </c>
      <c r="Q1251" s="326" t="s">
        <v>748</v>
      </c>
      <c r="R1251" s="2" t="str">
        <f>VLOOKUP(SALIDAS111518[[#This Row],[CÓDIGO]],PRODUCTOS31316[],2,FALSE)</f>
        <v>TY</v>
      </c>
      <c r="S1251" s="1" t="str">
        <f>VLOOKUP(SALIDAS111518[[#This Row],[CÓDIGO]],PRODUCTOS31316[],3,FALSE)</f>
        <v>TABS AMARILLOS</v>
      </c>
      <c r="T1251" s="2">
        <v>2</v>
      </c>
      <c r="U1251" s="2"/>
      <c r="V1251" s="2"/>
      <c r="W1251" s="2"/>
      <c r="X1251" s="2"/>
      <c r="Y1251" s="7"/>
      <c r="Z1251" s="2"/>
      <c r="AA1251" s="1"/>
      <c r="AC1251" s="2"/>
      <c r="AE1251" s="1"/>
      <c r="AG1251" s="2"/>
    </row>
    <row r="1252" spans="1:33" ht="49.95" customHeight="1" x14ac:dyDescent="0.3">
      <c r="A1252" s="2" t="s">
        <v>2129</v>
      </c>
      <c r="C1252" s="1" t="s">
        <v>2130</v>
      </c>
      <c r="E1252" s="1" t="s">
        <v>449</v>
      </c>
      <c r="F1252" s="1" t="s">
        <v>30</v>
      </c>
      <c r="G1252" s="2">
        <v>0</v>
      </c>
      <c r="H1252" s="14">
        <f>SUMIF(ENTRADAS71417[CÓDIGO],PRODUCTOS31316[[#This Row],[CÓDIGO]],ENTRADAS71417[CANTIDAD])</f>
        <v>0</v>
      </c>
      <c r="I1252" s="11">
        <v>0</v>
      </c>
      <c r="J1252" s="6">
        <f>PRODUCTOS31316[[#This Row],[EXISTENCIAS]]+PRODUCTOS31316[[#This Row],[ENTRADAS]]-PRODUCTOS31316[[#This Row],[SALIDAS]]</f>
        <v>0</v>
      </c>
      <c r="L1252" s="2"/>
      <c r="M1252" s="2"/>
      <c r="N1252" s="2">
        <v>8170</v>
      </c>
      <c r="O1252" s="326" t="s">
        <v>4450</v>
      </c>
      <c r="P1252" s="16">
        <v>46121</v>
      </c>
      <c r="Q1252" s="326" t="s">
        <v>1799</v>
      </c>
      <c r="R1252" s="2">
        <f>VLOOKUP(SALIDAS111518[[#This Row],[CÓDIGO]],PRODUCTOS31316[],2,FALSE)</f>
        <v>4846</v>
      </c>
      <c r="S1252" s="1" t="str">
        <f>VLOOKUP(SALIDAS111518[[#This Row],[CÓDIGO]],PRODUCTOS31316[],3,FALSE)</f>
        <v>PUNTA AZULES UNIVERSALES 100- 1000 UL</v>
      </c>
      <c r="T1252" s="2">
        <v>4</v>
      </c>
      <c r="U1252" s="2"/>
      <c r="V1252" s="2"/>
      <c r="W1252" s="2"/>
      <c r="X1252" s="2"/>
      <c r="Y1252" s="7"/>
      <c r="Z1252" s="2"/>
      <c r="AA1252" s="1"/>
      <c r="AC1252" s="2"/>
      <c r="AE1252" s="1"/>
      <c r="AG1252" s="2"/>
    </row>
    <row r="1253" spans="1:33" ht="49.95" customHeight="1" x14ac:dyDescent="0.3">
      <c r="A1253" s="2" t="s">
        <v>217</v>
      </c>
      <c r="B1253" s="1" t="s">
        <v>2131</v>
      </c>
      <c r="C1253" s="1" t="s">
        <v>2132</v>
      </c>
      <c r="E1253" s="1" t="s">
        <v>1649</v>
      </c>
      <c r="F1253" s="1" t="s">
        <v>686</v>
      </c>
      <c r="G1253" s="2">
        <v>0</v>
      </c>
      <c r="H1253" s="14">
        <f>SUMIF(ENTRADAS71417[CÓDIGO],PRODUCTOS31316[[#This Row],[CÓDIGO]],ENTRADAS71417[CANTIDAD])</f>
        <v>0</v>
      </c>
      <c r="I1253" s="11">
        <v>0</v>
      </c>
      <c r="J1253" s="6">
        <f>PRODUCTOS31316[[#This Row],[EXISTENCIAS]]+PRODUCTOS31316[[#This Row],[ENTRADAS]]-PRODUCTOS31316[[#This Row],[SALIDAS]]</f>
        <v>0</v>
      </c>
      <c r="L1253" s="2"/>
      <c r="M1253" s="2"/>
      <c r="N1253" s="2">
        <v>8170</v>
      </c>
      <c r="O1253" s="326" t="s">
        <v>4450</v>
      </c>
      <c r="P1253" s="16">
        <v>46121</v>
      </c>
      <c r="Q1253" s="326" t="s">
        <v>3165</v>
      </c>
      <c r="R1253" s="2">
        <f>VLOOKUP(SALIDAS111518[[#This Row],[CÓDIGO]],PRODUCTOS31316[],2,FALSE)</f>
        <v>30943</v>
      </c>
      <c r="S1253" s="1" t="str">
        <f>VLOOKUP(SALIDAS111518[[#This Row],[CÓDIGO]],PRODUCTOS31316[],3,FALSE)</f>
        <v xml:space="preserve">CAJA PETRI DESECHABLE ESTERIL 90X 15 </v>
      </c>
      <c r="T1253" s="2">
        <v>6</v>
      </c>
      <c r="U1253" s="2"/>
      <c r="V1253" s="2"/>
      <c r="W1253" s="2"/>
      <c r="X1253" s="2"/>
      <c r="Y1253" s="7"/>
      <c r="Z1253" s="2"/>
      <c r="AA1253" s="1"/>
      <c r="AC1253" s="2"/>
      <c r="AE1253" s="1"/>
      <c r="AG1253" s="2"/>
    </row>
    <row r="1254" spans="1:33" ht="49.95" customHeight="1" x14ac:dyDescent="0.3">
      <c r="A1254" s="2" t="s">
        <v>225</v>
      </c>
      <c r="B1254" s="1" t="s">
        <v>2133</v>
      </c>
      <c r="C1254" s="1" t="s">
        <v>2134</v>
      </c>
      <c r="E1254" s="1" t="s">
        <v>1649</v>
      </c>
      <c r="F1254" s="1" t="s">
        <v>1171</v>
      </c>
      <c r="G1254" s="2">
        <v>0</v>
      </c>
      <c r="H1254" s="14">
        <f>SUMIF(ENTRADAS71417[CÓDIGO],PRODUCTOS31316[[#This Row],[CÓDIGO]],ENTRADAS71417[CANTIDAD])</f>
        <v>0</v>
      </c>
      <c r="I1254" s="11">
        <v>0</v>
      </c>
      <c r="J1254" s="6">
        <f>PRODUCTOS31316[[#This Row],[EXISTENCIAS]]+PRODUCTOS31316[[#This Row],[ENTRADAS]]-PRODUCTOS31316[[#This Row],[SALIDAS]]</f>
        <v>0</v>
      </c>
      <c r="L1254" s="326" t="s">
        <v>3520</v>
      </c>
      <c r="M1254" s="326" t="s">
        <v>4578</v>
      </c>
      <c r="N1254" s="327" t="s">
        <v>4609</v>
      </c>
      <c r="O1254" s="327" t="s">
        <v>2854</v>
      </c>
      <c r="P1254" s="16">
        <v>46119</v>
      </c>
      <c r="Q1254" s="326" t="s">
        <v>2755</v>
      </c>
      <c r="R1254" s="2" t="str">
        <f>VLOOKUP(SALIDAS111518[[#This Row],[CÓDIGO]],PRODUCTOS31316[],2,FALSE)</f>
        <v>MSLDO05</v>
      </c>
      <c r="S1254" s="1" t="str">
        <f>VLOOKUP(SALIDAS111518[[#This Row],[CÓDIGO]],PRODUCTOS31316[],3,FALSE)</f>
        <v>TERMO DE RECOLECCIÓN DE SEMEN/ USO VETERINARIO</v>
      </c>
      <c r="T1254" s="2">
        <v>1</v>
      </c>
      <c r="U1254" s="2">
        <v>552</v>
      </c>
      <c r="V1254" s="2"/>
      <c r="W1254" s="2"/>
      <c r="X1254" s="2"/>
      <c r="Y1254" s="7"/>
      <c r="Z1254" s="2"/>
      <c r="AA1254" s="1"/>
      <c r="AC1254" s="2"/>
      <c r="AE1254" s="1"/>
      <c r="AG1254" s="2"/>
    </row>
    <row r="1255" spans="1:33" ht="49.95" customHeight="1" x14ac:dyDescent="0.3">
      <c r="A1255" s="2" t="s">
        <v>220</v>
      </c>
      <c r="B1255" s="1" t="s">
        <v>2135</v>
      </c>
      <c r="C1255" s="1" t="s">
        <v>2136</v>
      </c>
      <c r="E1255" s="1" t="s">
        <v>1649</v>
      </c>
      <c r="F1255" s="1" t="s">
        <v>1171</v>
      </c>
      <c r="G1255" s="2">
        <v>0</v>
      </c>
      <c r="H1255" s="14">
        <f>SUMIF(ENTRADAS71417[CÓDIGO],PRODUCTOS31316[[#This Row],[CÓDIGO]],ENTRADAS71417[CANTIDAD])</f>
        <v>0</v>
      </c>
      <c r="I1255" s="11">
        <v>0</v>
      </c>
      <c r="J1255" s="6">
        <f>PRODUCTOS31316[[#This Row],[EXISTENCIAS]]+PRODUCTOS31316[[#This Row],[ENTRADAS]]-PRODUCTOS31316[[#This Row],[SALIDAS]]</f>
        <v>0</v>
      </c>
      <c r="L1255" s="326" t="s">
        <v>3520</v>
      </c>
      <c r="M1255" s="326" t="s">
        <v>4578</v>
      </c>
      <c r="N1255" s="327" t="s">
        <v>4610</v>
      </c>
      <c r="O1255" s="327" t="s">
        <v>2392</v>
      </c>
      <c r="P1255" s="16">
        <v>46119</v>
      </c>
      <c r="Q1255" s="326" t="s">
        <v>75</v>
      </c>
      <c r="R1255" s="2" t="str">
        <f>VLOOKUP(SALIDAS111518[[#This Row],[CÓDIGO]],PRODUCTOS31316[],2,FALSE)</f>
        <v>18130E</v>
      </c>
      <c r="S1255" s="1" t="str">
        <f>VLOOKUP(SALIDAS111518[[#This Row],[CÓDIGO]],PRODUCTOS31316[],3,FALSE)</f>
        <v>CAJA PETRI DESECHABLE ESTERIL 60X15 MM</v>
      </c>
      <c r="T1255" s="2">
        <v>10</v>
      </c>
      <c r="U1255" s="2">
        <v>553</v>
      </c>
      <c r="V1255" s="2"/>
      <c r="W1255" s="2"/>
      <c r="X1255" s="2"/>
      <c r="Y1255" s="7"/>
      <c r="Z1255" s="2"/>
      <c r="AA1255" s="1"/>
      <c r="AC1255" s="2"/>
      <c r="AE1255" s="1"/>
      <c r="AG1255" s="2"/>
    </row>
    <row r="1256" spans="1:33" ht="49.95" customHeight="1" x14ac:dyDescent="0.3">
      <c r="A1256" s="2" t="s">
        <v>2137</v>
      </c>
      <c r="B1256" s="1">
        <v>1770</v>
      </c>
      <c r="C1256" s="1" t="s">
        <v>2138</v>
      </c>
      <c r="D1256" s="1" t="s">
        <v>2139</v>
      </c>
      <c r="E1256" s="1" t="s">
        <v>233</v>
      </c>
      <c r="F1256" s="1" t="s">
        <v>124</v>
      </c>
      <c r="G1256" s="2">
        <v>0</v>
      </c>
      <c r="H1256" s="14">
        <f>SUMIF(ENTRADAS71417[CÓDIGO],PRODUCTOS31316[[#This Row],[CÓDIGO]],ENTRADAS71417[CANTIDAD])</f>
        <v>0</v>
      </c>
      <c r="I1256" s="11">
        <v>0</v>
      </c>
      <c r="J1256" s="6">
        <f>PRODUCTOS31316[[#This Row],[EXISTENCIAS]]+PRODUCTOS31316[[#This Row],[ENTRADAS]]-PRODUCTOS31316[[#This Row],[SALIDAS]]</f>
        <v>0</v>
      </c>
      <c r="L1256" s="2"/>
      <c r="M1256" s="2"/>
      <c r="N1256" s="2">
        <v>8150</v>
      </c>
      <c r="O1256" s="327" t="s">
        <v>2392</v>
      </c>
      <c r="P1256" s="16">
        <v>46119</v>
      </c>
      <c r="Q1256" s="326" t="s">
        <v>63</v>
      </c>
      <c r="R1256" s="2">
        <f>VLOOKUP(SALIDAS111518[[#This Row],[CÓDIGO]],PRODUCTOS31316[],2,FALSE)</f>
        <v>25458</v>
      </c>
      <c r="S1256" s="1" t="str">
        <f>VLOOKUP(SALIDAS111518[[#This Row],[CÓDIGO]],PRODUCTOS31316[],3,FALSE)</f>
        <v>FILTROS PARA OPU 100 UL</v>
      </c>
      <c r="T1256" s="2">
        <v>1</v>
      </c>
      <c r="U1256" s="2"/>
      <c r="V1256" s="2"/>
      <c r="W1256" s="2"/>
      <c r="X1256" s="2"/>
      <c r="Y1256" s="7"/>
      <c r="Z1256" s="2"/>
      <c r="AA1256" s="1"/>
      <c r="AC1256" s="2"/>
      <c r="AE1256" s="1"/>
      <c r="AG1256" s="2"/>
    </row>
    <row r="1257" spans="1:33" ht="49.95" customHeight="1" x14ac:dyDescent="0.3">
      <c r="A1257" s="2" t="s">
        <v>95</v>
      </c>
      <c r="B1257" s="1" t="s">
        <v>2140</v>
      </c>
      <c r="C1257" s="1" t="s">
        <v>2141</v>
      </c>
      <c r="E1257" s="1" t="s">
        <v>2142</v>
      </c>
      <c r="F1257" s="1" t="s">
        <v>2143</v>
      </c>
      <c r="G1257" s="2">
        <v>0</v>
      </c>
      <c r="H1257" s="14">
        <f>SUMIF(ENTRADAS71417[CÓDIGO],PRODUCTOS31316[[#This Row],[CÓDIGO]],ENTRADAS71417[CANTIDAD])</f>
        <v>0</v>
      </c>
      <c r="I1257" s="11">
        <v>0</v>
      </c>
      <c r="J1257" s="6">
        <f>PRODUCTOS31316[[#This Row],[EXISTENCIAS]]+PRODUCTOS31316[[#This Row],[ENTRADAS]]-PRODUCTOS31316[[#This Row],[SALIDAS]]</f>
        <v>0</v>
      </c>
      <c r="L1257" s="2"/>
      <c r="M1257" s="2"/>
      <c r="N1257" s="2">
        <v>8150</v>
      </c>
      <c r="O1257" s="327" t="s">
        <v>2392</v>
      </c>
      <c r="P1257" s="16">
        <v>46119</v>
      </c>
      <c r="Q1257" s="326" t="s">
        <v>33</v>
      </c>
      <c r="R1257" s="2" t="str">
        <f>VLOOKUP(SALIDAS111518[[#This Row],[CÓDIGO]],PRODUCTOS31316[],2,FALSE)</f>
        <v>LA-120 /506003</v>
      </c>
      <c r="S1257" s="1" t="str">
        <f>VLOOKUP(SALIDAS111518[[#This Row],[CÓDIGO]],PRODUCTOS31316[],3,FALSE)</f>
        <v>LíNEA PARA OPU 1,2 METROS</v>
      </c>
      <c r="T1257" s="2">
        <v>10</v>
      </c>
      <c r="U1257" s="2"/>
      <c r="V1257" s="2"/>
      <c r="W1257" s="2"/>
      <c r="X1257" s="2"/>
      <c r="Y1257" s="7"/>
      <c r="Z1257" s="2"/>
      <c r="AA1257" s="1"/>
      <c r="AC1257" s="2"/>
      <c r="AE1257" s="1"/>
      <c r="AG1257" s="2"/>
    </row>
    <row r="1258" spans="1:33" ht="49.95" customHeight="1" x14ac:dyDescent="0.3">
      <c r="A1258" s="2" t="s">
        <v>99</v>
      </c>
      <c r="B1258" s="1" t="s">
        <v>2144</v>
      </c>
      <c r="C1258" s="1" t="s">
        <v>2145</v>
      </c>
      <c r="E1258" s="1" t="s">
        <v>2146</v>
      </c>
      <c r="F1258" s="1" t="s">
        <v>2147</v>
      </c>
      <c r="G1258" s="2">
        <v>21</v>
      </c>
      <c r="H1258" s="14">
        <f>SUMIF(ENTRADAS71417[CÓDIGO],PRODUCTOS31316[[#This Row],[CÓDIGO]],ENTRADAS71417[CANTIDAD])</f>
        <v>0</v>
      </c>
      <c r="I1258" s="11">
        <v>0</v>
      </c>
      <c r="J1258" s="6">
        <f>PRODUCTOS31316[[#This Row],[EXISTENCIAS]]+PRODUCTOS31316[[#This Row],[ENTRADAS]]-PRODUCTOS31316[[#This Row],[SALIDAS]]</f>
        <v>21</v>
      </c>
      <c r="L1258" s="326" t="s">
        <v>3520</v>
      </c>
      <c r="M1258" s="326" t="s">
        <v>4578</v>
      </c>
      <c r="N1258" s="327" t="s">
        <v>4611</v>
      </c>
      <c r="O1258" s="326" t="s">
        <v>3996</v>
      </c>
      <c r="P1258" s="16">
        <v>46119</v>
      </c>
      <c r="Q1258" s="326" t="s">
        <v>741</v>
      </c>
      <c r="R1258" s="2" t="str">
        <f>VLOOKUP(SALIDAS111518[[#This Row],[CÓDIGO]],PRODUCTOS31316[],2,FALSE)</f>
        <v>17209/1165</v>
      </c>
      <c r="S1258" s="1" t="str">
        <f>VLOOKUP(SALIDAS111518[[#This Row],[CÓDIGO]],PRODUCTOS31316[],3,FALSE)</f>
        <v>PIPETA EQUINA 65CM</v>
      </c>
      <c r="T1258" s="2">
        <v>1</v>
      </c>
      <c r="U1258" s="2">
        <v>554</v>
      </c>
      <c r="V1258" s="2"/>
      <c r="W1258" s="2"/>
      <c r="X1258" s="2"/>
      <c r="Y1258" s="7"/>
      <c r="Z1258" s="2"/>
      <c r="AA1258" s="1"/>
      <c r="AC1258" s="2"/>
      <c r="AE1258" s="1"/>
      <c r="AG1258" s="2"/>
    </row>
    <row r="1259" spans="1:33" ht="49.95" customHeight="1" x14ac:dyDescent="0.3">
      <c r="A1259" s="2" t="s">
        <v>150</v>
      </c>
      <c r="C1259" s="1" t="s">
        <v>2148</v>
      </c>
      <c r="F1259" s="1" t="s">
        <v>30</v>
      </c>
      <c r="G1259" s="2">
        <v>0</v>
      </c>
      <c r="H1259" s="14">
        <f>SUMIF(ENTRADAS71417[CÓDIGO],PRODUCTOS31316[[#This Row],[CÓDIGO]],ENTRADAS71417[CANTIDAD])</f>
        <v>0</v>
      </c>
      <c r="I1259" s="11">
        <v>0</v>
      </c>
      <c r="J1259" s="6">
        <f>PRODUCTOS31316[[#This Row],[EXISTENCIAS]]+PRODUCTOS31316[[#This Row],[ENTRADAS]]-PRODUCTOS31316[[#This Row],[SALIDAS]]</f>
        <v>0</v>
      </c>
      <c r="L1259" s="326" t="s">
        <v>3520</v>
      </c>
      <c r="M1259" s="326" t="s">
        <v>4578</v>
      </c>
      <c r="N1259" s="327" t="s">
        <v>4612</v>
      </c>
      <c r="O1259" s="326" t="s">
        <v>4597</v>
      </c>
      <c r="P1259" s="16">
        <v>46119</v>
      </c>
      <c r="Q1259" s="326" t="s">
        <v>2755</v>
      </c>
      <c r="R1259" s="2" t="str">
        <f>VLOOKUP(SALIDAS111518[[#This Row],[CÓDIGO]],PRODUCTOS31316[],2,FALSE)</f>
        <v>MSLDO05</v>
      </c>
      <c r="S1259" s="1" t="str">
        <f>VLOOKUP(SALIDAS111518[[#This Row],[CÓDIGO]],PRODUCTOS31316[],3,FALSE)</f>
        <v>TERMO DE RECOLECCIÓN DE SEMEN/ USO VETERINARIO</v>
      </c>
      <c r="T1259" s="2">
        <v>1</v>
      </c>
      <c r="U1259" s="2">
        <v>555</v>
      </c>
      <c r="V1259" s="2"/>
      <c r="W1259" s="2"/>
      <c r="X1259" s="2"/>
      <c r="Y1259" s="7"/>
      <c r="Z1259" s="2"/>
      <c r="AA1259" s="1"/>
      <c r="AC1259" s="2"/>
      <c r="AE1259" s="1"/>
      <c r="AG1259" s="2"/>
    </row>
    <row r="1260" spans="1:33" ht="49.95" customHeight="1" x14ac:dyDescent="0.3">
      <c r="A1260" s="2" t="s">
        <v>173</v>
      </c>
      <c r="C1260" s="1" t="s">
        <v>2149</v>
      </c>
      <c r="E1260" s="1" t="s">
        <v>2150</v>
      </c>
      <c r="F1260" s="1" t="s">
        <v>2151</v>
      </c>
      <c r="G1260" s="2">
        <v>0</v>
      </c>
      <c r="H1260" s="14">
        <f>SUMIF(ENTRADAS71417[CÓDIGO],PRODUCTOS31316[[#This Row],[CÓDIGO]],ENTRADAS71417[CANTIDAD])</f>
        <v>0</v>
      </c>
      <c r="I1260" s="11">
        <v>0</v>
      </c>
      <c r="J1260" s="6">
        <f>PRODUCTOS31316[[#This Row],[EXISTENCIAS]]+PRODUCTOS31316[[#This Row],[ENTRADAS]]-PRODUCTOS31316[[#This Row],[SALIDAS]]</f>
        <v>0</v>
      </c>
      <c r="L1260" s="2"/>
      <c r="M1260" s="2"/>
      <c r="N1260" s="2">
        <v>8152</v>
      </c>
      <c r="O1260" s="326" t="s">
        <v>4597</v>
      </c>
      <c r="P1260" s="16">
        <v>46119</v>
      </c>
      <c r="Q1260" s="326" t="s">
        <v>153</v>
      </c>
      <c r="R1260" s="2">
        <f>VLOOKUP(SALIDAS111518[[#This Row],[CÓDIGO]],PRODUCTOS31316[],2,FALSE)</f>
        <v>1132</v>
      </c>
      <c r="S1260" s="1" t="str">
        <f>VLOOKUP(SALIDAS111518[[#This Row],[CÓDIGO]],PRODUCTOS31316[],3,FALSE)</f>
        <v>PISTOLA QUICKLOCK CLASIC</v>
      </c>
      <c r="T1260" s="2">
        <v>1</v>
      </c>
      <c r="U1260" s="2"/>
      <c r="V1260" s="2"/>
      <c r="W1260" s="2"/>
      <c r="X1260" s="2"/>
      <c r="Y1260" s="7"/>
      <c r="Z1260" s="2"/>
      <c r="AA1260" s="1"/>
      <c r="AC1260" s="2"/>
      <c r="AE1260" s="1"/>
      <c r="AG1260" s="2"/>
    </row>
    <row r="1261" spans="1:33" ht="49.95" customHeight="1" x14ac:dyDescent="0.3">
      <c r="A1261" s="2" t="s">
        <v>178</v>
      </c>
      <c r="C1261" s="1" t="s">
        <v>2152</v>
      </c>
      <c r="E1261" s="1" t="s">
        <v>2150</v>
      </c>
      <c r="F1261" s="1" t="s">
        <v>2151</v>
      </c>
      <c r="G1261" s="2">
        <v>0</v>
      </c>
      <c r="H1261" s="14">
        <f>SUMIF(ENTRADAS71417[CÓDIGO],PRODUCTOS31316[[#This Row],[CÓDIGO]],ENTRADAS71417[CANTIDAD])</f>
        <v>0</v>
      </c>
      <c r="I1261" s="11">
        <v>0</v>
      </c>
      <c r="J1261" s="6">
        <f>PRODUCTOS31316[[#This Row],[EXISTENCIAS]]+PRODUCTOS31316[[#This Row],[ENTRADAS]]-PRODUCTOS31316[[#This Row],[SALIDAS]]</f>
        <v>0</v>
      </c>
      <c r="L1261" s="2"/>
      <c r="M1261" s="2"/>
      <c r="N1261" s="2">
        <v>8152</v>
      </c>
      <c r="O1261" s="326" t="s">
        <v>4597</v>
      </c>
      <c r="P1261" s="16">
        <v>46119</v>
      </c>
      <c r="Q1261" s="326" t="s">
        <v>2382</v>
      </c>
      <c r="R1261" s="2">
        <f>VLOOKUP(SALIDAS111518[[#This Row],[CÓDIGO]],PRODUCTOS31316[],2,FALSE)</f>
        <v>1</v>
      </c>
      <c r="S1261" s="1" t="str">
        <f>VLOOKUP(SALIDAS111518[[#This Row],[CÓDIGO]],PRODUCTOS31316[],3,FALSE)</f>
        <v>TERMO DE TRANSPORTE 1 LITRO</v>
      </c>
      <c r="T1261" s="2">
        <v>1</v>
      </c>
      <c r="U1261" s="2"/>
      <c r="V1261" s="2"/>
      <c r="W1261" s="2"/>
      <c r="X1261" s="2"/>
      <c r="Y1261" s="7"/>
      <c r="Z1261" s="2"/>
      <c r="AA1261" s="1"/>
      <c r="AC1261" s="2"/>
      <c r="AE1261" s="1"/>
      <c r="AG1261" s="2"/>
    </row>
    <row r="1262" spans="1:33" ht="49.95" customHeight="1" x14ac:dyDescent="0.3">
      <c r="A1262" s="2" t="s">
        <v>185</v>
      </c>
      <c r="C1262" s="1" t="s">
        <v>2153</v>
      </c>
      <c r="E1262" s="1" t="s">
        <v>2150</v>
      </c>
      <c r="F1262" s="1" t="s">
        <v>30</v>
      </c>
      <c r="G1262" s="2">
        <v>0</v>
      </c>
      <c r="H1262" s="14">
        <f>SUMIF(ENTRADAS71417[CÓDIGO],PRODUCTOS31316[[#This Row],[CÓDIGO]],ENTRADAS71417[CANTIDAD])</f>
        <v>0</v>
      </c>
      <c r="I1262" s="11">
        <v>0</v>
      </c>
      <c r="J1262" s="6">
        <f>PRODUCTOS31316[[#This Row],[EXISTENCIAS]]+PRODUCTOS31316[[#This Row],[ENTRADAS]]-PRODUCTOS31316[[#This Row],[SALIDAS]]</f>
        <v>0</v>
      </c>
      <c r="L1262" s="326" t="s">
        <v>3520</v>
      </c>
      <c r="M1262" s="326" t="s">
        <v>4578</v>
      </c>
      <c r="N1262" s="327" t="s">
        <v>4614</v>
      </c>
      <c r="O1262" s="326" t="s">
        <v>4598</v>
      </c>
      <c r="P1262" s="16">
        <v>46119</v>
      </c>
      <c r="Q1262" s="326" t="s">
        <v>3241</v>
      </c>
      <c r="R1262" s="2" t="str">
        <f>VLOOKUP(SALIDAS111518[[#This Row],[CÓDIGO]],PRODUCTOS31316[],2,FALSE)</f>
        <v>1111-3810</v>
      </c>
      <c r="S1262" s="1" t="str">
        <f>VLOOKUP(SALIDAS111518[[#This Row],[CÓDIGO]],PRODUCTOS31316[],3,FALSE)</f>
        <v>RACK DE PUNTAS 10 UL ESTERIL/ VEN 2030-01-31</v>
      </c>
      <c r="T1262" s="2">
        <v>2</v>
      </c>
      <c r="U1262" s="327" t="s">
        <v>4613</v>
      </c>
      <c r="V1262" s="2"/>
      <c r="W1262" s="2"/>
      <c r="X1262" s="2"/>
      <c r="Y1262" s="7"/>
      <c r="Z1262" s="2"/>
      <c r="AA1262" s="1"/>
      <c r="AC1262" s="2"/>
      <c r="AE1262" s="1"/>
      <c r="AG1262" s="2"/>
    </row>
    <row r="1263" spans="1:33" ht="49.95" customHeight="1" x14ac:dyDescent="0.3">
      <c r="A1263" s="2" t="s">
        <v>231</v>
      </c>
      <c r="C1263" s="1" t="s">
        <v>2154</v>
      </c>
      <c r="E1263" s="1" t="s">
        <v>889</v>
      </c>
      <c r="F1263" s="1" t="s">
        <v>2155</v>
      </c>
      <c r="G1263" s="2">
        <v>0</v>
      </c>
      <c r="H1263" s="14">
        <f>SUMIF(ENTRADAS71417[CÓDIGO],PRODUCTOS31316[[#This Row],[CÓDIGO]],ENTRADAS71417[CANTIDAD])</f>
        <v>0</v>
      </c>
      <c r="I1263" s="11">
        <v>0</v>
      </c>
      <c r="J1263" s="6">
        <f>PRODUCTOS31316[[#This Row],[EXISTENCIAS]]+PRODUCTOS31316[[#This Row],[ENTRADAS]]-PRODUCTOS31316[[#This Row],[SALIDAS]]</f>
        <v>0</v>
      </c>
      <c r="L1263" s="2"/>
      <c r="M1263" s="2"/>
      <c r="N1263" s="2">
        <v>8153</v>
      </c>
      <c r="O1263" s="326" t="s">
        <v>4598</v>
      </c>
      <c r="P1263" s="16">
        <v>46119</v>
      </c>
      <c r="Q1263" s="326" t="s">
        <v>3242</v>
      </c>
      <c r="R1263" s="2" t="str">
        <f>VLOOKUP(SALIDAS111518[[#This Row],[CÓDIGO]],PRODUCTOS31316[],2,FALSE)</f>
        <v>1111-1800</v>
      </c>
      <c r="S1263" s="1" t="str">
        <f>VLOOKUP(SALIDAS111518[[#This Row],[CÓDIGO]],PRODUCTOS31316[],3,FALSE)</f>
        <v>RACK DE PUNTAS 200 UL NO ESTERIL/   LT M1355851</v>
      </c>
      <c r="T1263" s="2">
        <v>2</v>
      </c>
      <c r="U1263" s="2"/>
      <c r="V1263" s="2"/>
      <c r="W1263" s="2"/>
      <c r="X1263" s="2"/>
      <c r="Y1263" s="7"/>
      <c r="Z1263" s="2"/>
      <c r="AA1263" s="1"/>
      <c r="AC1263" s="2"/>
      <c r="AE1263" s="1"/>
      <c r="AG1263" s="2"/>
    </row>
    <row r="1264" spans="1:33" ht="49.95" customHeight="1" x14ac:dyDescent="0.3">
      <c r="A1264" s="2" t="s">
        <v>246</v>
      </c>
      <c r="B1264" s="1">
        <v>4400066</v>
      </c>
      <c r="C1264" s="1" t="s">
        <v>2156</v>
      </c>
      <c r="E1264" s="1" t="s">
        <v>24</v>
      </c>
      <c r="F1264" s="1" t="s">
        <v>124</v>
      </c>
      <c r="G1264" s="2">
        <v>0</v>
      </c>
      <c r="H1264" s="14">
        <f>SUMIF(ENTRADAS71417[CÓDIGO],PRODUCTOS31316[[#This Row],[CÓDIGO]],ENTRADAS71417[CANTIDAD])</f>
        <v>0</v>
      </c>
      <c r="I1264" s="11">
        <v>0</v>
      </c>
      <c r="J1264" s="6">
        <f>PRODUCTOS31316[[#This Row],[EXISTENCIAS]]+PRODUCTOS31316[[#This Row],[ENTRADAS]]-PRODUCTOS31316[[#This Row],[SALIDAS]]</f>
        <v>0</v>
      </c>
      <c r="L1264" s="2"/>
      <c r="M1264" s="2"/>
      <c r="N1264" s="2">
        <v>8153</v>
      </c>
      <c r="O1264" s="326" t="s">
        <v>4598</v>
      </c>
      <c r="P1264" s="16">
        <v>46119</v>
      </c>
      <c r="Q1264" s="326" t="s">
        <v>602</v>
      </c>
      <c r="R1264" s="2">
        <f>VLOOKUP(SALIDAS111518[[#This Row],[CÓDIGO]],PRODUCTOS31316[],2,FALSE)</f>
        <v>4845</v>
      </c>
      <c r="S1264" s="1" t="str">
        <f>VLOOKUP(SALIDAS111518[[#This Row],[CÓDIGO]],PRODUCTOS31316[],3,FALSE)</f>
        <v>PUNTAS AMARILLAS, UNIVERSALES. PLASTICAS, NO ESTERIL. LIBRES DE RNASE, DNASE Y PYROGENOS. RANGO DE 1-200UL. BOLSA X1000UDS.</v>
      </c>
      <c r="T1264" s="2">
        <v>1</v>
      </c>
      <c r="U1264" s="2"/>
      <c r="V1264" s="2"/>
      <c r="W1264" s="2"/>
      <c r="X1264" s="2"/>
      <c r="Y1264" s="7"/>
      <c r="Z1264" s="2"/>
      <c r="AA1264" s="1"/>
      <c r="AC1264" s="2"/>
      <c r="AE1264" s="1"/>
      <c r="AG1264" s="2"/>
    </row>
    <row r="1265" spans="1:33" ht="49.95" customHeight="1" x14ac:dyDescent="0.3">
      <c r="A1265" s="2" t="s">
        <v>251</v>
      </c>
      <c r="B1265" s="1">
        <v>1003581</v>
      </c>
      <c r="C1265" s="1" t="s">
        <v>2157</v>
      </c>
      <c r="E1265" s="1" t="s">
        <v>24</v>
      </c>
      <c r="F1265" s="1" t="s">
        <v>124</v>
      </c>
      <c r="G1265" s="2">
        <v>0</v>
      </c>
      <c r="H1265" s="14">
        <f>SUMIF(ENTRADAS71417[CÓDIGO],PRODUCTOS31316[[#This Row],[CÓDIGO]],ENTRADAS71417[CANTIDAD])</f>
        <v>0</v>
      </c>
      <c r="I1265" s="11">
        <v>0</v>
      </c>
      <c r="J1265" s="6">
        <f>PRODUCTOS31316[[#This Row],[EXISTENCIAS]]+PRODUCTOS31316[[#This Row],[ENTRADAS]]-PRODUCTOS31316[[#This Row],[SALIDAS]]</f>
        <v>0</v>
      </c>
      <c r="L1265" s="2"/>
      <c r="M1265" s="2"/>
      <c r="N1265" s="2">
        <v>8153</v>
      </c>
      <c r="O1265" s="326" t="s">
        <v>4598</v>
      </c>
      <c r="P1265" s="16">
        <v>46119</v>
      </c>
      <c r="Q1265" s="326" t="s">
        <v>167</v>
      </c>
      <c r="R1265" s="2" t="str">
        <f>VLOOKUP(SALIDAS111518[[#This Row],[CÓDIGO]],PRODUCTOS31316[],2,FALSE)</f>
        <v>50050-1</v>
      </c>
      <c r="S1265" s="1" t="str">
        <f>VLOOKUP(SALIDAS111518[[#This Row],[CÓDIGO]],PRODUCTOS31316[],3,FALSE)</f>
        <v>TUBO CONICO PLUG, AUTOCLAVABLE ESTERIL  TAPA ROSCA DE 50 ML</v>
      </c>
      <c r="T1265" s="2">
        <v>2</v>
      </c>
      <c r="U1265" s="2"/>
      <c r="V1265" s="2"/>
      <c r="W1265" s="2"/>
      <c r="X1265" s="2"/>
      <c r="Y1265" s="7"/>
      <c r="Z1265" s="2"/>
      <c r="AA1265" s="1"/>
      <c r="AC1265" s="2"/>
      <c r="AE1265" s="1"/>
      <c r="AG1265" s="2"/>
    </row>
    <row r="1266" spans="1:33" ht="49.95" customHeight="1" x14ac:dyDescent="0.3">
      <c r="A1266" s="2" t="s">
        <v>255</v>
      </c>
      <c r="B1266" s="1">
        <v>1003583</v>
      </c>
      <c r="C1266" s="1" t="s">
        <v>2158</v>
      </c>
      <c r="E1266" s="1" t="s">
        <v>24</v>
      </c>
      <c r="F1266" s="1" t="s">
        <v>124</v>
      </c>
      <c r="G1266" s="2">
        <v>0</v>
      </c>
      <c r="H1266" s="14">
        <f>SUMIF(ENTRADAS71417[CÓDIGO],PRODUCTOS31316[[#This Row],[CÓDIGO]],ENTRADAS71417[CANTIDAD])</f>
        <v>0</v>
      </c>
      <c r="I1266" s="11">
        <v>0</v>
      </c>
      <c r="J1266" s="6">
        <f>PRODUCTOS31316[[#This Row],[EXISTENCIAS]]+PRODUCTOS31316[[#This Row],[ENTRADAS]]-PRODUCTOS31316[[#This Row],[SALIDAS]]</f>
        <v>0</v>
      </c>
      <c r="L1266" s="2"/>
      <c r="M1266" s="2"/>
      <c r="N1266" s="2">
        <v>8153</v>
      </c>
      <c r="O1266" s="326" t="s">
        <v>4598</v>
      </c>
      <c r="P1266" s="16">
        <v>46119</v>
      </c>
      <c r="Q1266" s="326" t="s">
        <v>1127</v>
      </c>
      <c r="R1266" s="2">
        <f>VLOOKUP(SALIDAS111518[[#This Row],[CÓDIGO]],PRODUCTOS31316[],2,FALSE)</f>
        <v>10372</v>
      </c>
      <c r="S1266" s="1" t="str">
        <f>VLOOKUP(SALIDAS111518[[#This Row],[CÓDIGO]],PRODUCTOS31316[],3,FALSE)</f>
        <v>FILTRO DE BOMBA DE VACÍO</v>
      </c>
      <c r="T1266" s="2">
        <v>1</v>
      </c>
      <c r="U1266" s="2"/>
      <c r="V1266" s="2"/>
      <c r="W1266" s="2"/>
      <c r="X1266" s="2"/>
      <c r="Y1266" s="7"/>
      <c r="Z1266" s="2"/>
      <c r="AA1266" s="1"/>
      <c r="AC1266" s="2"/>
      <c r="AE1266" s="1"/>
      <c r="AG1266" s="2"/>
    </row>
    <row r="1267" spans="1:33" ht="49.95" customHeight="1" x14ac:dyDescent="0.3">
      <c r="A1267" s="2" t="s">
        <v>259</v>
      </c>
      <c r="B1267" s="1" t="s">
        <v>2159</v>
      </c>
      <c r="C1267" s="1" t="s">
        <v>2160</v>
      </c>
      <c r="E1267" s="1" t="s">
        <v>24</v>
      </c>
      <c r="F1267" s="1" t="s">
        <v>124</v>
      </c>
      <c r="G1267" s="2">
        <v>0</v>
      </c>
      <c r="H1267" s="14">
        <f>SUMIF(ENTRADAS71417[CÓDIGO],PRODUCTOS31316[[#This Row],[CÓDIGO]],ENTRADAS71417[CANTIDAD])</f>
        <v>0</v>
      </c>
      <c r="I1267" s="11">
        <v>0</v>
      </c>
      <c r="J1267" s="6">
        <f>PRODUCTOS31316[[#This Row],[EXISTENCIAS]]+PRODUCTOS31316[[#This Row],[ENTRADAS]]-PRODUCTOS31316[[#This Row],[SALIDAS]]</f>
        <v>0</v>
      </c>
      <c r="L1267" s="2"/>
      <c r="M1267" s="2"/>
      <c r="N1267" s="2">
        <v>8153</v>
      </c>
      <c r="O1267" s="326" t="s">
        <v>4598</v>
      </c>
      <c r="P1267" s="16">
        <v>46119</v>
      </c>
      <c r="Q1267" s="326" t="s">
        <v>70</v>
      </c>
      <c r="R1267" s="2">
        <f>VLOOKUP(SALIDAS111518[[#This Row],[CÓDIGO]],PRODUCTOS31316[],2,FALSE)</f>
        <v>25458</v>
      </c>
      <c r="S1267" s="1" t="str">
        <f>VLOOKUP(SALIDAS111518[[#This Row],[CÓDIGO]],PRODUCTOS31316[],3,FALSE)</f>
        <v>FILTROS PARA OPU 100 UL</v>
      </c>
      <c r="T1267" s="2">
        <v>10</v>
      </c>
      <c r="U1267" s="2"/>
      <c r="V1267" s="2"/>
      <c r="W1267" s="2"/>
      <c r="X1267" s="2"/>
      <c r="Y1267" s="7"/>
      <c r="Z1267" s="2"/>
      <c r="AA1267" s="1"/>
      <c r="AC1267" s="2"/>
      <c r="AE1267" s="1"/>
      <c r="AG1267" s="2"/>
    </row>
    <row r="1268" spans="1:33" ht="49.95" customHeight="1" x14ac:dyDescent="0.3">
      <c r="A1268" s="2" t="s">
        <v>267</v>
      </c>
      <c r="B1268" s="1">
        <v>1003514</v>
      </c>
      <c r="C1268" s="1" t="s">
        <v>2161</v>
      </c>
      <c r="D1268" s="1" t="s">
        <v>612</v>
      </c>
      <c r="E1268" s="1" t="s">
        <v>24</v>
      </c>
      <c r="F1268" s="1" t="s">
        <v>2155</v>
      </c>
      <c r="G1268" s="2">
        <v>0</v>
      </c>
      <c r="H1268" s="14">
        <f>SUMIF(ENTRADAS71417[CÓDIGO],PRODUCTOS31316[[#This Row],[CÓDIGO]],ENTRADAS71417[CANTIDAD])</f>
        <v>0</v>
      </c>
      <c r="I1268" s="11">
        <v>0</v>
      </c>
      <c r="J1268" s="6">
        <f>PRODUCTOS31316[[#This Row],[EXISTENCIAS]]+PRODUCTOS31316[[#This Row],[ENTRADAS]]-PRODUCTOS31316[[#This Row],[SALIDAS]]</f>
        <v>0</v>
      </c>
      <c r="L1268" s="2"/>
      <c r="M1268" s="2"/>
      <c r="N1268" s="2">
        <v>8153</v>
      </c>
      <c r="O1268" s="326" t="s">
        <v>4598</v>
      </c>
      <c r="P1268" s="16">
        <v>46119</v>
      </c>
      <c r="Q1268" s="326" t="s">
        <v>33</v>
      </c>
      <c r="R1268" s="2" t="str">
        <f>VLOOKUP(SALIDAS111518[[#This Row],[CÓDIGO]],PRODUCTOS31316[],2,FALSE)</f>
        <v>LA-120 /506003</v>
      </c>
      <c r="S1268" s="1" t="str">
        <f>VLOOKUP(SALIDAS111518[[#This Row],[CÓDIGO]],PRODUCTOS31316[],3,FALSE)</f>
        <v>LíNEA PARA OPU 1,2 METROS</v>
      </c>
      <c r="T1268" s="2">
        <v>6</v>
      </c>
      <c r="U1268" s="2"/>
      <c r="V1268" s="2"/>
      <c r="W1268" s="2"/>
      <c r="X1268" s="2"/>
      <c r="Y1268" s="7"/>
      <c r="Z1268" s="2"/>
      <c r="AA1268" s="1"/>
      <c r="AC1268" s="2"/>
      <c r="AE1268" s="1"/>
      <c r="AG1268" s="2"/>
    </row>
    <row r="1269" spans="1:33" ht="49.95" customHeight="1" x14ac:dyDescent="0.3">
      <c r="A1269" s="2" t="s">
        <v>89</v>
      </c>
      <c r="C1269" s="1" t="s">
        <v>2162</v>
      </c>
      <c r="E1269" s="1" t="s">
        <v>84</v>
      </c>
      <c r="F1269" s="1" t="s">
        <v>68</v>
      </c>
      <c r="G1269" s="2">
        <v>0</v>
      </c>
      <c r="H1269" s="14">
        <f>SUMIF(ENTRADAS71417[CÓDIGO],PRODUCTOS31316[[#This Row],[CÓDIGO]],ENTRADAS71417[CANTIDAD])</f>
        <v>0</v>
      </c>
      <c r="I1269" s="11">
        <v>0</v>
      </c>
      <c r="J1269" s="6">
        <f>PRODUCTOS31316[[#This Row],[EXISTENCIAS]]+PRODUCTOS31316[[#This Row],[ENTRADAS]]-PRODUCTOS31316[[#This Row],[SALIDAS]]</f>
        <v>0</v>
      </c>
      <c r="L1269" s="326" t="s">
        <v>3521</v>
      </c>
      <c r="M1269" s="326" t="s">
        <v>4578</v>
      </c>
      <c r="N1269" s="327" t="s">
        <v>4615</v>
      </c>
      <c r="O1269" s="326" t="s">
        <v>4599</v>
      </c>
      <c r="P1269" s="16">
        <v>46119</v>
      </c>
      <c r="Q1269" s="326" t="s">
        <v>3223</v>
      </c>
      <c r="R1269" s="2">
        <f>VLOOKUP(SALIDAS111518[[#This Row],[CÓDIGO]],PRODUCTOS31316[],2,FALSE)</f>
        <v>26878</v>
      </c>
      <c r="S1269" s="1" t="str">
        <f>VLOOKUP(SALIDAS111518[[#This Row],[CÓDIGO]],PRODUCTOS31316[],3,FALSE)</f>
        <v>CARGADOR DE BATERÍA DE TRANSPORTADORA WTA</v>
      </c>
      <c r="T1269" s="2">
        <v>1</v>
      </c>
      <c r="U1269" s="2">
        <v>557</v>
      </c>
      <c r="V1269" s="2"/>
      <c r="W1269" s="2"/>
      <c r="X1269" s="2"/>
      <c r="Y1269" s="7"/>
      <c r="Z1269" s="2"/>
      <c r="AA1269" s="1"/>
      <c r="AC1269" s="2"/>
      <c r="AE1269" s="1"/>
      <c r="AG1269" s="2"/>
    </row>
    <row r="1270" spans="1:33" ht="49.95" customHeight="1" x14ac:dyDescent="0.3">
      <c r="A1270" s="2" t="s">
        <v>277</v>
      </c>
      <c r="C1270" s="1" t="s">
        <v>2163</v>
      </c>
      <c r="E1270" s="1" t="s">
        <v>1283</v>
      </c>
      <c r="F1270" s="1" t="s">
        <v>641</v>
      </c>
      <c r="G1270" s="2">
        <v>0</v>
      </c>
      <c r="H1270" s="14">
        <f>SUMIF(ENTRADAS71417[CÓDIGO],PRODUCTOS31316[[#This Row],[CÓDIGO]],ENTRADAS71417[CANTIDAD])</f>
        <v>0</v>
      </c>
      <c r="I1270" s="11">
        <v>0</v>
      </c>
      <c r="J1270" s="6">
        <f>PRODUCTOS31316[[#This Row],[EXISTENCIAS]]+PRODUCTOS31316[[#This Row],[ENTRADAS]]-PRODUCTOS31316[[#This Row],[SALIDAS]]</f>
        <v>0</v>
      </c>
      <c r="L1270" s="326" t="s">
        <v>3520</v>
      </c>
      <c r="M1270" s="326" t="s">
        <v>4578</v>
      </c>
      <c r="N1270" s="327" t="s">
        <v>4617</v>
      </c>
      <c r="O1270" s="350" t="s">
        <v>2808</v>
      </c>
      <c r="P1270" s="16">
        <v>46119</v>
      </c>
      <c r="Q1270" s="326" t="s">
        <v>36</v>
      </c>
      <c r="R1270" s="2">
        <f>VLOOKUP(SALIDAS111518[[#This Row],[CÓDIGO]],PRODUCTOS31316[],2,FALSE)</f>
        <v>1</v>
      </c>
      <c r="S1270" s="1" t="str">
        <f>VLOOKUP(SALIDAS111518[[#This Row],[CÓDIGO]],PRODUCTOS31316[],3,FALSE)</f>
        <v xml:space="preserve">PARCHE ESTROTECT </v>
      </c>
      <c r="T1270" s="2">
        <v>4</v>
      </c>
      <c r="U1270" s="326" t="s">
        <v>4616</v>
      </c>
      <c r="V1270" s="326" t="s">
        <v>2709</v>
      </c>
      <c r="W1270" s="2"/>
      <c r="X1270" s="2"/>
      <c r="Y1270" s="7"/>
      <c r="Z1270" s="2"/>
      <c r="AA1270" s="1"/>
      <c r="AC1270" s="2"/>
      <c r="AE1270" s="1"/>
      <c r="AG1270" s="2"/>
    </row>
    <row r="1271" spans="1:33" ht="49.95" customHeight="1" x14ac:dyDescent="0.3">
      <c r="A1271" s="2" t="s">
        <v>284</v>
      </c>
      <c r="B1271" s="1" t="s">
        <v>2164</v>
      </c>
      <c r="C1271" s="1" t="s">
        <v>2165</v>
      </c>
      <c r="E1271" s="1" t="s">
        <v>449</v>
      </c>
      <c r="F1271" s="1" t="s">
        <v>2155</v>
      </c>
      <c r="G1271" s="2">
        <v>0</v>
      </c>
      <c r="H1271" s="14">
        <f>SUMIF(ENTRADAS71417[CÓDIGO],PRODUCTOS31316[[#This Row],[CÓDIGO]],ENTRADAS71417[CANTIDAD])</f>
        <v>0</v>
      </c>
      <c r="I1271" s="11">
        <v>0</v>
      </c>
      <c r="J1271" s="6">
        <f>PRODUCTOS31316[[#This Row],[EXISTENCIAS]]+PRODUCTOS31316[[#This Row],[ENTRADAS]]-PRODUCTOS31316[[#This Row],[SALIDAS]]</f>
        <v>0</v>
      </c>
      <c r="L1271" s="326" t="s">
        <v>3521</v>
      </c>
      <c r="M1271" s="326" t="s">
        <v>4578</v>
      </c>
      <c r="N1271" s="327" t="s">
        <v>4618</v>
      </c>
      <c r="O1271" s="326" t="s">
        <v>4602</v>
      </c>
      <c r="P1271" s="16">
        <v>46119</v>
      </c>
      <c r="Q1271" s="326" t="s">
        <v>2755</v>
      </c>
      <c r="R1271" s="2" t="str">
        <f>VLOOKUP(SALIDAS111518[[#This Row],[CÓDIGO]],PRODUCTOS31316[],2,FALSE)</f>
        <v>MSLDO05</v>
      </c>
      <c r="S1271" s="1" t="str">
        <f>VLOOKUP(SALIDAS111518[[#This Row],[CÓDIGO]],PRODUCTOS31316[],3,FALSE)</f>
        <v>TERMO DE RECOLECCIÓN DE SEMEN/ USO VETERINARIO</v>
      </c>
      <c r="T1271" s="2">
        <v>1</v>
      </c>
      <c r="U1271" s="326" t="s">
        <v>4603</v>
      </c>
      <c r="V1271" s="2"/>
      <c r="W1271" s="326" t="s">
        <v>3412</v>
      </c>
      <c r="X1271" s="2"/>
      <c r="Y1271" s="7"/>
      <c r="Z1271" s="2"/>
      <c r="AA1271" s="1"/>
      <c r="AC1271" s="2"/>
      <c r="AE1271" s="1"/>
      <c r="AG1271" s="2"/>
    </row>
    <row r="1272" spans="1:33" ht="49.95" customHeight="1" x14ac:dyDescent="0.3">
      <c r="A1272" s="2" t="s">
        <v>287</v>
      </c>
      <c r="B1272" s="1" t="s">
        <v>2166</v>
      </c>
      <c r="C1272" s="1" t="s">
        <v>2167</v>
      </c>
      <c r="E1272" s="1" t="s">
        <v>2168</v>
      </c>
      <c r="F1272" s="1" t="s">
        <v>678</v>
      </c>
      <c r="G1272" s="2">
        <v>0</v>
      </c>
      <c r="H1272" s="14">
        <f>SUMIF(ENTRADAS71417[CÓDIGO],PRODUCTOS31316[[#This Row],[CÓDIGO]],ENTRADAS71417[CANTIDAD])</f>
        <v>0</v>
      </c>
      <c r="I1272" s="11">
        <v>0</v>
      </c>
      <c r="J1272" s="6">
        <f>PRODUCTOS31316[[#This Row],[EXISTENCIAS]]+PRODUCTOS31316[[#This Row],[ENTRADAS]]-PRODUCTOS31316[[#This Row],[SALIDAS]]</f>
        <v>0</v>
      </c>
      <c r="L1272" s="2"/>
      <c r="M1272" s="2"/>
      <c r="N1272" s="2">
        <v>8156</v>
      </c>
      <c r="O1272" s="326" t="s">
        <v>4602</v>
      </c>
      <c r="P1272" s="16">
        <v>46119</v>
      </c>
      <c r="Q1272" s="326" t="s">
        <v>3365</v>
      </c>
      <c r="R1272" s="2">
        <f>VLOOKUP(SALIDAS111518[[#This Row],[CÓDIGO]],PRODUCTOS31316[],2,FALSE)</f>
        <v>0</v>
      </c>
      <c r="S1272" s="1" t="str">
        <f>VLOOKUP(SALIDAS111518[[#This Row],[CÓDIGO]],PRODUCTOS31316[],3,FALSE)</f>
        <v>MANGA DE PROTECCIÓN PALPACIÓN MAS CAMPO</v>
      </c>
      <c r="T1272" s="2">
        <v>1</v>
      </c>
      <c r="U1272" s="2"/>
      <c r="V1272" s="2"/>
      <c r="W1272" s="2"/>
      <c r="X1272" s="2"/>
      <c r="Y1272" s="7"/>
      <c r="Z1272" s="2"/>
      <c r="AA1272" s="1"/>
      <c r="AC1272" s="2"/>
      <c r="AE1272" s="1"/>
      <c r="AG1272" s="2"/>
    </row>
    <row r="1273" spans="1:33" ht="49.95" customHeight="1" x14ac:dyDescent="0.3">
      <c r="A1273" s="2" t="s">
        <v>293</v>
      </c>
      <c r="B1273" s="1">
        <v>31018100</v>
      </c>
      <c r="C1273" s="1" t="s">
        <v>2169</v>
      </c>
      <c r="E1273" s="1" t="s">
        <v>1592</v>
      </c>
      <c r="F1273" s="1" t="s">
        <v>30</v>
      </c>
      <c r="G1273" s="2">
        <v>0</v>
      </c>
      <c r="H1273" s="14">
        <f>SUMIF(ENTRADAS71417[CÓDIGO],PRODUCTOS31316[[#This Row],[CÓDIGO]],ENTRADAS71417[CANTIDAD])</f>
        <v>0</v>
      </c>
      <c r="I1273" s="11">
        <v>0</v>
      </c>
      <c r="J1273" s="6">
        <f>PRODUCTOS31316[[#This Row],[EXISTENCIAS]]+PRODUCTOS31316[[#This Row],[ENTRADAS]]-PRODUCTOS31316[[#This Row],[SALIDAS]]</f>
        <v>0</v>
      </c>
      <c r="L1273" s="326" t="s">
        <v>3520</v>
      </c>
      <c r="M1273" s="326" t="s">
        <v>4578</v>
      </c>
      <c r="N1273" s="327" t="s">
        <v>4619</v>
      </c>
      <c r="O1273" s="327" t="s">
        <v>3830</v>
      </c>
      <c r="P1273" s="16">
        <v>46119</v>
      </c>
      <c r="Q1273" s="326" t="s">
        <v>104</v>
      </c>
      <c r="R1273" s="2">
        <f>VLOOKUP(SALIDAS111518[[#This Row],[CÓDIGO]],PRODUCTOS31316[],2,FALSE)</f>
        <v>0</v>
      </c>
      <c r="S1273" s="1" t="str">
        <f>VLOOKUP(SALIDAS111518[[#This Row],[CÓDIGO]],PRODUCTOS31316[],3,FALSE)</f>
        <v>ISPERM CHIPS (500 TESTS PER BOX) PAQ. X 50 UND</v>
      </c>
      <c r="T1273" s="2">
        <v>30</v>
      </c>
      <c r="U1273" s="2">
        <v>559</v>
      </c>
      <c r="V1273" s="2"/>
      <c r="W1273" s="2"/>
      <c r="X1273" s="2"/>
      <c r="Y1273" s="7"/>
      <c r="Z1273" s="2"/>
      <c r="AA1273" s="1"/>
      <c r="AC1273" s="2"/>
      <c r="AE1273" s="1"/>
      <c r="AG1273" s="2"/>
    </row>
    <row r="1274" spans="1:33" ht="49.95" customHeight="1" x14ac:dyDescent="0.3">
      <c r="A1274" s="2" t="s">
        <v>296</v>
      </c>
      <c r="B1274" s="1">
        <v>1937</v>
      </c>
      <c r="C1274" s="1" t="s">
        <v>2170</v>
      </c>
      <c r="E1274" s="1" t="s">
        <v>1592</v>
      </c>
      <c r="F1274" s="1" t="s">
        <v>124</v>
      </c>
      <c r="G1274" s="2">
        <v>0</v>
      </c>
      <c r="H1274" s="14">
        <f>SUMIF(ENTRADAS71417[CÓDIGO],PRODUCTOS31316[[#This Row],[CÓDIGO]],ENTRADAS71417[CANTIDAD])</f>
        <v>0</v>
      </c>
      <c r="I1274" s="11">
        <v>0</v>
      </c>
      <c r="J1274" s="6">
        <f>PRODUCTOS31316[[#This Row],[EXISTENCIAS]]+PRODUCTOS31316[[#This Row],[ENTRADAS]]-PRODUCTOS31316[[#This Row],[SALIDAS]]</f>
        <v>0</v>
      </c>
      <c r="L1274" s="326" t="s">
        <v>3520</v>
      </c>
      <c r="M1274" s="326" t="s">
        <v>4578</v>
      </c>
      <c r="N1274" s="1" t="s">
        <v>4738</v>
      </c>
      <c r="O1274" s="351" t="s">
        <v>4734</v>
      </c>
      <c r="P1274" s="16">
        <v>46129</v>
      </c>
      <c r="Q1274" s="326" t="s">
        <v>3211</v>
      </c>
      <c r="R1274" s="2" t="str">
        <f>VLOOKUP(SALIDAS111518[[#This Row],[CÓDIGO]],PRODUCTOS31316[],2,FALSE)</f>
        <v>S7</v>
      </c>
      <c r="S1274" s="1" t="str">
        <f>VLOOKUP(SALIDAS111518[[#This Row],[CÓDIGO]],PRODUCTOS31316[],3,FALSE)</f>
        <v>SONDA S7 PLUS DOPPLER COLOR</v>
      </c>
      <c r="T1274" s="2">
        <v>1</v>
      </c>
      <c r="U1274" s="31" t="s">
        <v>4737</v>
      </c>
      <c r="V1274" s="2"/>
      <c r="W1274" s="326" t="s">
        <v>2823</v>
      </c>
      <c r="X1274" s="2"/>
      <c r="Y1274" s="7"/>
      <c r="Z1274" s="2"/>
      <c r="AA1274" s="1"/>
      <c r="AC1274" s="2"/>
      <c r="AE1274" s="1"/>
      <c r="AG1274" s="2"/>
    </row>
    <row r="1275" spans="1:33" ht="49.95" customHeight="1" x14ac:dyDescent="0.3">
      <c r="A1275" s="2" t="s">
        <v>281</v>
      </c>
      <c r="C1275" s="1" t="s">
        <v>2171</v>
      </c>
      <c r="E1275" s="1" t="s">
        <v>2172</v>
      </c>
      <c r="F1275" s="1" t="s">
        <v>30</v>
      </c>
      <c r="G1275" s="2">
        <v>0</v>
      </c>
      <c r="H1275" s="14">
        <f>SUMIF(ENTRADAS71417[CÓDIGO],PRODUCTOS31316[[#This Row],[CÓDIGO]],ENTRADAS71417[CANTIDAD])</f>
        <v>0</v>
      </c>
      <c r="I1275" s="11">
        <v>0</v>
      </c>
      <c r="J1275" s="6">
        <f>PRODUCTOS31316[[#This Row],[EXISTENCIAS]]+PRODUCTOS31316[[#This Row],[ENTRADAS]]-PRODUCTOS31316[[#This Row],[SALIDAS]]</f>
        <v>0</v>
      </c>
      <c r="L1275" s="2"/>
      <c r="M1275" s="2"/>
      <c r="N1275" s="2">
        <v>8208</v>
      </c>
      <c r="O1275" s="340" t="s">
        <v>4735</v>
      </c>
      <c r="P1275" s="16">
        <v>46129</v>
      </c>
      <c r="Q1275" s="326" t="s">
        <v>3213</v>
      </c>
      <c r="R1275" s="2" t="str">
        <f>VLOOKUP(SALIDAS111518[[#This Row],[CÓDIGO]],PRODUCTOS31316[],2,FALSE)</f>
        <v>SONDA S7</v>
      </c>
      <c r="S1275" s="1" t="str">
        <f>VLOOKUP(SALIDAS111518[[#This Row],[CÓDIGO]],PRODUCTOS31316[],3,FALSE)</f>
        <v>SONDA ADICIONAL S7 PLUS</v>
      </c>
      <c r="T1275" s="2">
        <v>1</v>
      </c>
      <c r="U1275" s="2"/>
      <c r="V1275" s="2"/>
      <c r="W1275" s="2"/>
      <c r="X1275" s="2"/>
      <c r="Y1275" s="7"/>
      <c r="Z1275" s="2"/>
      <c r="AA1275" s="1"/>
      <c r="AC1275" s="2"/>
      <c r="AE1275" s="1"/>
      <c r="AG1275" s="2"/>
    </row>
    <row r="1276" spans="1:33" ht="49.95" customHeight="1" x14ac:dyDescent="0.3">
      <c r="A1276" s="2" t="s">
        <v>308</v>
      </c>
      <c r="B1276" s="1" t="s">
        <v>2173</v>
      </c>
      <c r="C1276" s="1" t="s">
        <v>2174</v>
      </c>
      <c r="E1276" s="1" t="s">
        <v>1810</v>
      </c>
      <c r="F1276" s="1" t="s">
        <v>30</v>
      </c>
      <c r="G1276" s="2">
        <v>0</v>
      </c>
      <c r="H1276" s="14">
        <f>SUMIF(ENTRADAS71417[CÓDIGO],PRODUCTOS31316[[#This Row],[CÓDIGO]],ENTRADAS71417[CANTIDAD])</f>
        <v>0</v>
      </c>
      <c r="I1276" s="11">
        <v>0</v>
      </c>
      <c r="J1276" s="6">
        <f>PRODUCTOS31316[[#This Row],[EXISTENCIAS]]+PRODUCTOS31316[[#This Row],[ENTRADAS]]-PRODUCTOS31316[[#This Row],[SALIDAS]]</f>
        <v>0</v>
      </c>
      <c r="L1276" s="326" t="s">
        <v>3520</v>
      </c>
      <c r="M1276" s="326" t="s">
        <v>4578</v>
      </c>
      <c r="N1276" s="326" t="s">
        <v>4623</v>
      </c>
      <c r="O1276" s="326" t="s">
        <v>4622</v>
      </c>
      <c r="P1276" s="16">
        <v>46119</v>
      </c>
      <c r="Q1276" s="326" t="s">
        <v>210</v>
      </c>
      <c r="R1276" s="2">
        <f>VLOOKUP(SALIDAS111518[[#This Row],[CÓDIGO]],PRODUCTOS31316[],2,FALSE)</f>
        <v>101257</v>
      </c>
      <c r="S1276" s="1" t="str">
        <f>VLOOKUP(SALIDAS111518[[#This Row],[CÓDIGO]],PRODUCTOS31316[],3,FALSE)</f>
        <v>MANGA DESECHABLE SUPER SENSITIVA</v>
      </c>
      <c r="T1276" s="2">
        <v>1</v>
      </c>
      <c r="U1276" s="2">
        <v>560</v>
      </c>
      <c r="V1276" s="2"/>
      <c r="W1276" s="2"/>
      <c r="X1276" s="2"/>
      <c r="Y1276" s="7"/>
      <c r="Z1276" s="2"/>
      <c r="AA1276" s="1"/>
      <c r="AC1276" s="2"/>
      <c r="AE1276" s="1"/>
      <c r="AG1276" s="2"/>
    </row>
    <row r="1277" spans="1:33" ht="49.95" customHeight="1" x14ac:dyDescent="0.3">
      <c r="A1277" s="2" t="s">
        <v>303</v>
      </c>
      <c r="C1277" s="1" t="s">
        <v>2175</v>
      </c>
      <c r="E1277" s="1" t="s">
        <v>2176</v>
      </c>
      <c r="F1277" s="1" t="s">
        <v>30</v>
      </c>
      <c r="G1277" s="2">
        <v>0</v>
      </c>
      <c r="H1277" s="14">
        <f>SUMIF(ENTRADAS71417[CÓDIGO],PRODUCTOS31316[[#This Row],[CÓDIGO]],ENTRADAS71417[CANTIDAD])</f>
        <v>0</v>
      </c>
      <c r="I1277" s="11">
        <v>0</v>
      </c>
      <c r="J1277" s="6">
        <f>PRODUCTOS31316[[#This Row],[EXISTENCIAS]]+PRODUCTOS31316[[#This Row],[ENTRADAS]]-PRODUCTOS31316[[#This Row],[SALIDAS]]</f>
        <v>0</v>
      </c>
      <c r="L1277" s="326" t="s">
        <v>3520</v>
      </c>
      <c r="M1277" s="326" t="s">
        <v>4578</v>
      </c>
      <c r="N1277" s="374" t="s">
        <v>5511</v>
      </c>
      <c r="O1277" s="327" t="s">
        <v>3162</v>
      </c>
      <c r="P1277" s="16">
        <v>46174</v>
      </c>
      <c r="Q1277" s="326" t="s">
        <v>2326</v>
      </c>
      <c r="R1277" s="2">
        <f>VLOOKUP(SALIDAS111518[[#This Row],[CÓDIGO]],PRODUCTOS31316[],2,FALSE)</f>
        <v>0</v>
      </c>
      <c r="S1277" s="1" t="str">
        <f>VLOOKUP(SALIDAS111518[[#This Row],[CÓDIGO]],PRODUCTOS31316[],3,FALSE)</f>
        <v>GAFAS PARA ECÓGRAFO L60</v>
      </c>
      <c r="T1277" s="2"/>
      <c r="U1277" s="31" t="s">
        <v>5402</v>
      </c>
      <c r="V1277" s="2"/>
      <c r="W1277" s="2"/>
      <c r="X1277" s="2"/>
      <c r="Y1277" s="7"/>
      <c r="Z1277" s="2"/>
      <c r="AA1277" s="1"/>
      <c r="AC1277" s="2"/>
      <c r="AE1277" s="1"/>
      <c r="AG1277" s="2"/>
    </row>
    <row r="1278" spans="1:33" ht="49.95" customHeight="1" x14ac:dyDescent="0.3">
      <c r="A1278" s="2" t="s">
        <v>337</v>
      </c>
      <c r="B1278" s="1" t="s">
        <v>1820</v>
      </c>
      <c r="C1278" s="1" t="s">
        <v>2177</v>
      </c>
      <c r="E1278" s="1" t="s">
        <v>1819</v>
      </c>
      <c r="F1278" s="1" t="s">
        <v>30</v>
      </c>
      <c r="G1278" s="2">
        <v>0</v>
      </c>
      <c r="H1278" s="14">
        <f>SUMIF(ENTRADAS71417[CÓDIGO],PRODUCTOS31316[[#This Row],[CÓDIGO]],ENTRADAS71417[CANTIDAD])</f>
        <v>0</v>
      </c>
      <c r="I1278" s="11">
        <v>0</v>
      </c>
      <c r="J1278" s="6">
        <f>PRODUCTOS31316[[#This Row],[EXISTENCIAS]]+PRODUCTOS31316[[#This Row],[ENTRADAS]]-PRODUCTOS31316[[#This Row],[SALIDAS]]</f>
        <v>0</v>
      </c>
      <c r="L1278" s="326" t="s">
        <v>3520</v>
      </c>
      <c r="M1278" s="326" t="s">
        <v>4578</v>
      </c>
      <c r="N1278" s="330" t="s">
        <v>4638</v>
      </c>
      <c r="O1278" s="329" t="s">
        <v>4624</v>
      </c>
      <c r="P1278" s="16">
        <v>46120</v>
      </c>
      <c r="Q1278" s="326" t="s">
        <v>47</v>
      </c>
      <c r="R1278" s="2">
        <f>VLOOKUP(SALIDAS111518[[#This Row],[CÓDIGO]],PRODUCTOS31316[],2,FALSE)</f>
        <v>1135</v>
      </c>
      <c r="S1278" s="1" t="str">
        <f>VLOOKUP(SALIDAS111518[[#This Row],[CÓDIGO]],PRODUCTOS31316[],3,FALSE)</f>
        <v>TRILADYL</v>
      </c>
      <c r="T1278" s="2">
        <v>1</v>
      </c>
      <c r="U1278" s="2">
        <v>562</v>
      </c>
      <c r="V1278" s="2"/>
      <c r="W1278" s="2"/>
      <c r="X1278" s="2"/>
      <c r="Y1278" s="7"/>
      <c r="Z1278" s="2"/>
      <c r="AA1278" s="1"/>
      <c r="AC1278" s="2"/>
      <c r="AE1278" s="1"/>
      <c r="AG1278" s="2"/>
    </row>
    <row r="1279" spans="1:33" ht="49.95" customHeight="1" x14ac:dyDescent="0.3">
      <c r="A1279" s="2" t="s">
        <v>373</v>
      </c>
      <c r="B1279" s="1" t="s">
        <v>2178</v>
      </c>
      <c r="C1279" s="1" t="s">
        <v>2154</v>
      </c>
      <c r="E1279" s="1" t="s">
        <v>1592</v>
      </c>
      <c r="F1279" s="1" t="s">
        <v>245</v>
      </c>
      <c r="G1279" s="2">
        <v>0</v>
      </c>
      <c r="H1279" s="14">
        <f>SUMIF(ENTRADAS71417[CÓDIGO],PRODUCTOS31316[[#This Row],[CÓDIGO]],ENTRADAS71417[CANTIDAD])</f>
        <v>0</v>
      </c>
      <c r="I1279" s="11">
        <v>0</v>
      </c>
      <c r="J1279" s="6">
        <f>PRODUCTOS31316[[#This Row],[EXISTENCIAS]]+PRODUCTOS31316[[#This Row],[ENTRADAS]]-PRODUCTOS31316[[#This Row],[SALIDAS]]</f>
        <v>0</v>
      </c>
      <c r="L1279" s="329" t="s">
        <v>3520</v>
      </c>
      <c r="M1279" s="329" t="s">
        <v>4578</v>
      </c>
      <c r="N1279" s="330" t="s">
        <v>4652</v>
      </c>
      <c r="O1279" s="330" t="s">
        <v>3474</v>
      </c>
      <c r="P1279" s="16">
        <v>46120</v>
      </c>
      <c r="Q1279" s="329" t="s">
        <v>104</v>
      </c>
      <c r="R1279" s="2">
        <f>VLOOKUP(SALIDAS111518[[#This Row],[CÓDIGO]],PRODUCTOS31316[],2,FALSE)</f>
        <v>0</v>
      </c>
      <c r="S1279" s="1" t="str">
        <f>VLOOKUP(SALIDAS111518[[#This Row],[CÓDIGO]],PRODUCTOS31316[],3,FALSE)</f>
        <v>ISPERM CHIPS (500 TESTS PER BOX) PAQ. X 50 UND</v>
      </c>
      <c r="T1279" s="2">
        <v>1</v>
      </c>
      <c r="U1279" s="2">
        <v>573</v>
      </c>
      <c r="V1279" s="2"/>
      <c r="W1279" s="329" t="s">
        <v>3412</v>
      </c>
      <c r="X1279" s="2"/>
      <c r="Y1279" s="7"/>
      <c r="Z1279" s="2"/>
      <c r="AA1279" s="1"/>
      <c r="AC1279" s="2"/>
      <c r="AE1279" s="1"/>
      <c r="AG1279" s="2"/>
    </row>
    <row r="1280" spans="1:33" ht="49.95" customHeight="1" x14ac:dyDescent="0.3">
      <c r="A1280" s="2" t="s">
        <v>415</v>
      </c>
      <c r="C1280" s="1" t="s">
        <v>2179</v>
      </c>
      <c r="E1280" s="1" t="s">
        <v>352</v>
      </c>
      <c r="F1280" s="1" t="s">
        <v>30</v>
      </c>
      <c r="G1280" s="2">
        <v>0</v>
      </c>
      <c r="H1280" s="14">
        <f>SUMIF(ENTRADAS71417[CÓDIGO],PRODUCTOS31316[[#This Row],[CÓDIGO]],ENTRADAS71417[CANTIDAD])</f>
        <v>0</v>
      </c>
      <c r="I1280" s="11">
        <v>0</v>
      </c>
      <c r="J1280" s="6">
        <f>PRODUCTOS31316[[#This Row],[EXISTENCIAS]]+PRODUCTOS31316[[#This Row],[ENTRADAS]]-PRODUCTOS31316[[#This Row],[SALIDAS]]</f>
        <v>0</v>
      </c>
      <c r="L1280" s="2"/>
      <c r="M1280" s="2"/>
      <c r="N1280" s="2">
        <v>8161</v>
      </c>
      <c r="O1280" s="330" t="s">
        <v>3474</v>
      </c>
      <c r="P1280" s="16">
        <v>46120</v>
      </c>
      <c r="Q1280" s="329" t="s">
        <v>1190</v>
      </c>
      <c r="R1280" s="2" t="str">
        <f>VLOOKUP(SALIDAS111518[[#This Row],[CÓDIGO]],PRODUCTOS31316[],2,FALSE)</f>
        <v>1751OE</v>
      </c>
      <c r="S1280" s="1" t="str">
        <f>VLOOKUP(SALIDAS111518[[#This Row],[CÓDIGO]],PRODUCTOS31316[],3,FALSE)</f>
        <v>CAJA PETRI DESECHABLE ESTERIL 60X15 MM RAYADA</v>
      </c>
      <c r="T1280" s="2">
        <v>1</v>
      </c>
      <c r="U1280" s="2"/>
      <c r="V1280" s="2"/>
      <c r="W1280" s="2"/>
      <c r="X1280" s="2"/>
      <c r="Y1280" s="7"/>
      <c r="Z1280" s="2"/>
      <c r="AA1280" s="1"/>
      <c r="AC1280" s="2"/>
      <c r="AE1280" s="1"/>
      <c r="AG1280" s="2"/>
    </row>
    <row r="1281" spans="1:33" ht="49.95" customHeight="1" x14ac:dyDescent="0.3">
      <c r="A1281" s="2" t="s">
        <v>508</v>
      </c>
      <c r="B1281" s="1">
        <v>1771</v>
      </c>
      <c r="C1281" s="1" t="s">
        <v>2180</v>
      </c>
      <c r="E1281" s="1" t="s">
        <v>233</v>
      </c>
      <c r="F1281" s="147" t="s">
        <v>30</v>
      </c>
      <c r="G1281" s="2">
        <v>0</v>
      </c>
      <c r="H1281" s="14">
        <f>SUMIF(ENTRADAS71417[CÓDIGO],PRODUCTOS31316[[#This Row],[CÓDIGO]],ENTRADAS71417[CANTIDAD])</f>
        <v>0</v>
      </c>
      <c r="I1281" s="11">
        <v>0</v>
      </c>
      <c r="J1281" s="6">
        <f>PRODUCTOS31316[[#This Row],[EXISTENCIAS]]+PRODUCTOS31316[[#This Row],[ENTRADAS]]-PRODUCTOS31316[[#This Row],[SALIDAS]]</f>
        <v>0</v>
      </c>
      <c r="L1281" s="2"/>
      <c r="M1281" s="2"/>
      <c r="N1281" s="2">
        <v>8161</v>
      </c>
      <c r="O1281" s="330" t="s">
        <v>3474</v>
      </c>
      <c r="P1281" s="16">
        <v>46120</v>
      </c>
      <c r="Q1281" s="329" t="s">
        <v>272</v>
      </c>
      <c r="R1281" s="2">
        <f>VLOOKUP(SALIDAS111518[[#This Row],[CÓDIGO]],PRODUCTOS31316[],2,FALSE)</f>
        <v>627161</v>
      </c>
      <c r="S1281" s="1" t="str">
        <f>VLOOKUP(SALIDAS111518[[#This Row],[CÓDIGO]],PRODUCTOS31316[],3,FALSE)</f>
        <v xml:space="preserve">CAJA PETRI 35X10 ESTERIL </v>
      </c>
      <c r="T1281" s="2">
        <v>1</v>
      </c>
      <c r="U1281" s="2"/>
      <c r="V1281" s="2"/>
      <c r="W1281" s="2"/>
      <c r="X1281" s="2"/>
      <c r="Y1281" s="7"/>
      <c r="Z1281" s="2"/>
      <c r="AA1281" s="1"/>
      <c r="AC1281" s="2"/>
      <c r="AE1281" s="1"/>
      <c r="AG1281" s="2"/>
    </row>
    <row r="1282" spans="1:33" ht="49.95" customHeight="1" x14ac:dyDescent="0.3">
      <c r="A1282" s="2" t="s">
        <v>552</v>
      </c>
      <c r="C1282" s="1" t="s">
        <v>2181</v>
      </c>
      <c r="E1282" s="1" t="s">
        <v>352</v>
      </c>
      <c r="F1282" s="1" t="s">
        <v>647</v>
      </c>
      <c r="G1282" s="2">
        <v>0</v>
      </c>
      <c r="H1282" s="14">
        <f>SUMIF(ENTRADAS71417[CÓDIGO],PRODUCTOS31316[[#This Row],[CÓDIGO]],ENTRADAS71417[CANTIDAD])</f>
        <v>0</v>
      </c>
      <c r="I1282" s="11">
        <v>0</v>
      </c>
      <c r="J1282" s="6">
        <f>PRODUCTOS31316[[#This Row],[EXISTENCIAS]]+PRODUCTOS31316[[#This Row],[ENTRADAS]]-PRODUCTOS31316[[#This Row],[SALIDAS]]</f>
        <v>0</v>
      </c>
      <c r="L1282" s="2"/>
      <c r="M1282" s="2"/>
      <c r="N1282" s="2">
        <v>8161</v>
      </c>
      <c r="O1282" s="330" t="s">
        <v>3474</v>
      </c>
      <c r="P1282" s="16">
        <v>46120</v>
      </c>
      <c r="Q1282" s="329" t="s">
        <v>15</v>
      </c>
      <c r="R1282" s="2" t="str">
        <f>VLOOKUP(SALIDAS111518[[#This Row],[CÓDIGO]],PRODUCTOS31316[],2,FALSE)</f>
        <v>BTE-025PT/ 504002</v>
      </c>
      <c r="S1282" s="1" t="str">
        <f>VLOOKUP(SALIDAS111518[[#This Row],[CÓDIGO]],PRODUCTOS31316[],3,FALSE)</f>
        <v>FUNDAS PARA TRANSFERENCIA DE EMBRIONES</v>
      </c>
      <c r="T1282" s="2">
        <v>12</v>
      </c>
      <c r="U1282" s="2"/>
      <c r="V1282" s="2"/>
      <c r="W1282" s="2"/>
      <c r="X1282" s="2"/>
      <c r="Y1282" s="7"/>
      <c r="Z1282" s="2"/>
      <c r="AA1282" s="1"/>
      <c r="AC1282" s="2"/>
      <c r="AE1282" s="1"/>
      <c r="AG1282" s="2"/>
    </row>
    <row r="1283" spans="1:33" ht="49.95" customHeight="1" x14ac:dyDescent="0.3">
      <c r="A1283" s="2" t="s">
        <v>542</v>
      </c>
      <c r="C1283" s="1" t="s">
        <v>2182</v>
      </c>
      <c r="E1283" s="1" t="s">
        <v>352</v>
      </c>
      <c r="F1283" s="1" t="s">
        <v>30</v>
      </c>
      <c r="G1283" s="2">
        <v>0</v>
      </c>
      <c r="H1283" s="14">
        <f>SUMIF(ENTRADAS71417[CÓDIGO],PRODUCTOS31316[[#This Row],[CÓDIGO]],ENTRADAS71417[CANTIDAD])</f>
        <v>0</v>
      </c>
      <c r="I1283" s="11">
        <v>0</v>
      </c>
      <c r="J1283" s="6">
        <f>PRODUCTOS31316[[#This Row],[EXISTENCIAS]]+PRODUCTOS31316[[#This Row],[ENTRADAS]]-PRODUCTOS31316[[#This Row],[SALIDAS]]</f>
        <v>0</v>
      </c>
      <c r="L1283" s="2"/>
      <c r="M1283" s="2"/>
      <c r="N1283" s="2">
        <v>8161</v>
      </c>
      <c r="O1283" s="330" t="s">
        <v>3474</v>
      </c>
      <c r="P1283" s="16">
        <v>46120</v>
      </c>
      <c r="Q1283" s="329" t="s">
        <v>333</v>
      </c>
      <c r="R1283" s="2" t="str">
        <f>VLOOKUP(SALIDAS111518[[#This Row],[CÓDIGO]],PRODUCTOS31316[],2,FALSE)</f>
        <v>CTB15</v>
      </c>
      <c r="S1283" s="1" t="str">
        <f>VLOOKUP(SALIDAS111518[[#This Row],[CÓDIGO]],PRODUCTOS31316[],3,FALSE)</f>
        <v>TUBO CÓNICO DE 15 ML, TAPA ROSCA ESTÉRIL  RCF MAX: 10000xg, 
graduados, PCR puro. VENCE: 03/04/2028</v>
      </c>
      <c r="T1283" s="2">
        <v>1</v>
      </c>
      <c r="U1283" s="2"/>
      <c r="V1283" s="2"/>
      <c r="W1283" s="2"/>
      <c r="X1283" s="2"/>
      <c r="Y1283" s="7"/>
      <c r="Z1283" s="2"/>
      <c r="AA1283" s="1"/>
      <c r="AC1283" s="2"/>
      <c r="AE1283" s="1"/>
      <c r="AG1283" s="2"/>
    </row>
    <row r="1284" spans="1:33" ht="49.95" customHeight="1" x14ac:dyDescent="0.3">
      <c r="A1284" s="2" t="s">
        <v>546</v>
      </c>
      <c r="C1284" s="1" t="s">
        <v>1894</v>
      </c>
      <c r="E1284" s="1" t="s">
        <v>352</v>
      </c>
      <c r="F1284" s="1" t="s">
        <v>647</v>
      </c>
      <c r="G1284" s="2">
        <v>0</v>
      </c>
      <c r="H1284" s="14">
        <f>SUMIF(ENTRADAS71417[CÓDIGO],PRODUCTOS31316[[#This Row],[CÓDIGO]],ENTRADAS71417[CANTIDAD])</f>
        <v>0</v>
      </c>
      <c r="I1284" s="11">
        <v>0</v>
      </c>
      <c r="J1284" s="6">
        <f>PRODUCTOS31316[[#This Row],[EXISTENCIAS]]+PRODUCTOS31316[[#This Row],[ENTRADAS]]-PRODUCTOS31316[[#This Row],[SALIDAS]]</f>
        <v>0</v>
      </c>
      <c r="L1284" s="2"/>
      <c r="M1284" s="2"/>
      <c r="N1284" s="2">
        <v>8161</v>
      </c>
      <c r="O1284" s="330" t="s">
        <v>3474</v>
      </c>
      <c r="P1284" s="16">
        <v>46120</v>
      </c>
      <c r="Q1284" s="329" t="s">
        <v>341</v>
      </c>
      <c r="R1284" s="2" t="str">
        <f>VLOOKUP(SALIDAS111518[[#This Row],[CÓDIGO]],PRODUCTOS31316[],2,FALSE)</f>
        <v>CTB50</v>
      </c>
      <c r="S1284" s="1" t="str">
        <f>VLOOKUP(SALIDAS111518[[#This Row],[CÓDIGO]],PRODUCTOS31316[],3,FALSE)</f>
        <v>TUBO CÓNICO DE 50 mL, TAPA ROSCA, PRE ESTERILIZADO. RCF MAX: 10000xg, graduados, PCR puro.</v>
      </c>
      <c r="T1284" s="2">
        <v>1</v>
      </c>
      <c r="U1284" s="2"/>
      <c r="V1284" s="2"/>
      <c r="W1284" s="2"/>
      <c r="X1284" s="2"/>
      <c r="Y1284" s="7"/>
      <c r="Z1284" s="2"/>
      <c r="AA1284" s="1"/>
      <c r="AC1284" s="2"/>
      <c r="AE1284" s="1"/>
      <c r="AG1284" s="2"/>
    </row>
    <row r="1285" spans="1:33" ht="49.95" customHeight="1" x14ac:dyDescent="0.3">
      <c r="A1285" s="2" t="s">
        <v>549</v>
      </c>
      <c r="C1285" s="1" t="s">
        <v>1891</v>
      </c>
      <c r="E1285" s="1" t="s">
        <v>352</v>
      </c>
      <c r="F1285" s="1" t="s">
        <v>30</v>
      </c>
      <c r="G1285" s="2">
        <v>0</v>
      </c>
      <c r="H1285" s="14">
        <f>SUMIF(ENTRADAS71417[CÓDIGO],PRODUCTOS31316[[#This Row],[CÓDIGO]],ENTRADAS71417[CANTIDAD])</f>
        <v>0</v>
      </c>
      <c r="I1285" s="11">
        <v>0</v>
      </c>
      <c r="J1285" s="6">
        <f>PRODUCTOS31316[[#This Row],[EXISTENCIAS]]+PRODUCTOS31316[[#This Row],[ENTRADAS]]-PRODUCTOS31316[[#This Row],[SALIDAS]]</f>
        <v>0</v>
      </c>
      <c r="L1285" s="2"/>
      <c r="M1285" s="2"/>
      <c r="N1285" s="2">
        <v>8161</v>
      </c>
      <c r="O1285" s="330" t="s">
        <v>3474</v>
      </c>
      <c r="P1285" s="16">
        <v>46120</v>
      </c>
      <c r="Q1285" s="329" t="s">
        <v>33</v>
      </c>
      <c r="R1285" s="2" t="str">
        <f>VLOOKUP(SALIDAS111518[[#This Row],[CÓDIGO]],PRODUCTOS31316[],2,FALSE)</f>
        <v>LA-120 /506003</v>
      </c>
      <c r="S1285" s="1" t="str">
        <f>VLOOKUP(SALIDAS111518[[#This Row],[CÓDIGO]],PRODUCTOS31316[],3,FALSE)</f>
        <v>LíNEA PARA OPU 1,2 METROS</v>
      </c>
      <c r="T1285" s="2">
        <v>5</v>
      </c>
      <c r="U1285" s="2"/>
      <c r="V1285" s="2"/>
      <c r="W1285" s="2"/>
      <c r="X1285" s="67"/>
      <c r="Y1285" s="7"/>
      <c r="Z1285" s="2"/>
      <c r="AA1285" s="1"/>
      <c r="AC1285" s="2"/>
      <c r="AE1285" s="1"/>
      <c r="AG1285" s="2"/>
    </row>
    <row r="1286" spans="1:33" ht="49.95" customHeight="1" x14ac:dyDescent="0.3">
      <c r="A1286" s="2" t="s">
        <v>560</v>
      </c>
      <c r="C1286" s="1" t="s">
        <v>1888</v>
      </c>
      <c r="E1286" s="1" t="s">
        <v>352</v>
      </c>
      <c r="F1286" s="1" t="s">
        <v>30</v>
      </c>
      <c r="G1286" s="2">
        <v>0</v>
      </c>
      <c r="H1286" s="14">
        <f>SUMIF(ENTRADAS71417[CÓDIGO],PRODUCTOS31316[[#This Row],[CÓDIGO]],ENTRADAS71417[CANTIDAD])</f>
        <v>0</v>
      </c>
      <c r="I1286" s="11">
        <v>0</v>
      </c>
      <c r="J1286" s="6">
        <f>PRODUCTOS31316[[#This Row],[EXISTENCIAS]]+PRODUCTOS31316[[#This Row],[ENTRADAS]]-PRODUCTOS31316[[#This Row],[SALIDAS]]</f>
        <v>0</v>
      </c>
      <c r="L1286" s="2"/>
      <c r="M1286" s="2"/>
      <c r="N1286" s="2">
        <v>8161</v>
      </c>
      <c r="O1286" s="330" t="s">
        <v>3474</v>
      </c>
      <c r="P1286" s="16">
        <v>46120</v>
      </c>
      <c r="Q1286" s="329" t="s">
        <v>1779</v>
      </c>
      <c r="R1286" s="2">
        <f>VLOOKUP(SALIDAS111518[[#This Row],[CÓDIGO]],PRODUCTOS31316[],2,FALSE)</f>
        <v>5563</v>
      </c>
      <c r="S1286" s="1" t="str">
        <f>VLOOKUP(SALIDAS111518[[#This Row],[CÓDIGO]],PRODUCTOS31316[],3,FALSE)</f>
        <v>CAMISA SANITARIA ROLLO X 80</v>
      </c>
      <c r="T1286" s="2">
        <v>1</v>
      </c>
      <c r="U1286" s="2"/>
      <c r="V1286" s="2"/>
      <c r="W1286" s="2"/>
      <c r="X1286" s="67"/>
      <c r="Y1286" s="7"/>
      <c r="Z1286" s="2"/>
      <c r="AA1286" s="1"/>
      <c r="AC1286" s="2"/>
      <c r="AE1286" s="1"/>
      <c r="AG1286" s="2"/>
    </row>
    <row r="1287" spans="1:33" ht="49.95" customHeight="1" x14ac:dyDescent="0.3">
      <c r="A1287" s="2" t="s">
        <v>562</v>
      </c>
      <c r="C1287" s="1" t="s">
        <v>1983</v>
      </c>
      <c r="E1287" s="1" t="s">
        <v>352</v>
      </c>
      <c r="F1287" s="1" t="s">
        <v>30</v>
      </c>
      <c r="G1287" s="2">
        <v>0</v>
      </c>
      <c r="H1287" s="14">
        <f>SUMIF(ENTRADAS71417[CÓDIGO],PRODUCTOS31316[[#This Row],[CÓDIGO]],ENTRADAS71417[CANTIDAD])</f>
        <v>0</v>
      </c>
      <c r="I1287" s="11">
        <v>0</v>
      </c>
      <c r="J1287" s="6">
        <f>PRODUCTOS31316[[#This Row],[EXISTENCIAS]]+PRODUCTOS31316[[#This Row],[ENTRADAS]]-PRODUCTOS31316[[#This Row],[SALIDAS]]</f>
        <v>0</v>
      </c>
      <c r="L1287" s="2"/>
      <c r="M1287" s="2"/>
      <c r="N1287" s="2">
        <v>8161</v>
      </c>
      <c r="O1287" s="330" t="s">
        <v>3474</v>
      </c>
      <c r="P1287" s="16">
        <v>46120</v>
      </c>
      <c r="Q1287" s="329" t="s">
        <v>2232</v>
      </c>
      <c r="R1287" s="2">
        <f>VLOOKUP(SALIDAS111518[[#This Row],[CÓDIGO]],PRODUCTOS31316[],2,FALSE)</f>
        <v>0</v>
      </c>
      <c r="S1287" s="1" t="str">
        <f>VLOOKUP(SALIDAS111518[[#This Row],[CÓDIGO]],PRODUCTOS31316[],3,FALSE)</f>
        <v>CONO RECOLECTOR</v>
      </c>
      <c r="T1287" s="2">
        <v>1</v>
      </c>
      <c r="U1287" s="2"/>
      <c r="V1287" s="2"/>
      <c r="W1287" s="2"/>
      <c r="X1287" s="67"/>
      <c r="Y1287" s="7"/>
      <c r="Z1287" s="2"/>
      <c r="AA1287" s="1"/>
      <c r="AC1287" s="2"/>
      <c r="AE1287" s="1"/>
      <c r="AG1287" s="2"/>
    </row>
    <row r="1288" spans="1:33" ht="49.95" customHeight="1" x14ac:dyDescent="0.3">
      <c r="A1288" s="2" t="s">
        <v>570</v>
      </c>
      <c r="C1288" s="1" t="s">
        <v>2183</v>
      </c>
      <c r="E1288" s="1" t="s">
        <v>352</v>
      </c>
      <c r="F1288" s="1" t="s">
        <v>30</v>
      </c>
      <c r="G1288" s="2">
        <v>0</v>
      </c>
      <c r="H1288" s="14">
        <f>SUMIF(ENTRADAS71417[CÓDIGO],PRODUCTOS31316[[#This Row],[CÓDIGO]],ENTRADAS71417[CANTIDAD])</f>
        <v>0</v>
      </c>
      <c r="I1288" s="11">
        <v>0</v>
      </c>
      <c r="J1288" s="6">
        <f>PRODUCTOS31316[[#This Row],[EXISTENCIAS]]+PRODUCTOS31316[[#This Row],[ENTRADAS]]-PRODUCTOS31316[[#This Row],[SALIDAS]]</f>
        <v>0</v>
      </c>
      <c r="L1288" s="329" t="s">
        <v>3520</v>
      </c>
      <c r="M1288" s="329" t="s">
        <v>4578</v>
      </c>
      <c r="N1288" s="330" t="s">
        <v>4647</v>
      </c>
      <c r="O1288" s="329" t="s">
        <v>94</v>
      </c>
      <c r="P1288" s="16">
        <v>46120</v>
      </c>
      <c r="Q1288" s="329" t="s">
        <v>1779</v>
      </c>
      <c r="R1288" s="2">
        <f>VLOOKUP(SALIDAS111518[[#This Row],[CÓDIGO]],PRODUCTOS31316[],2,FALSE)</f>
        <v>5563</v>
      </c>
      <c r="S1288" s="1" t="str">
        <f>VLOOKUP(SALIDAS111518[[#This Row],[CÓDIGO]],PRODUCTOS31316[],3,FALSE)</f>
        <v>CAMISA SANITARIA ROLLO X 80</v>
      </c>
      <c r="T1288" s="2">
        <v>9</v>
      </c>
      <c r="U1288" s="329" t="s">
        <v>4646</v>
      </c>
      <c r="V1288" s="2"/>
      <c r="W1288" s="2"/>
      <c r="X1288" s="67"/>
      <c r="Y1288" s="7"/>
      <c r="Z1288" s="2"/>
      <c r="AA1288" s="1"/>
      <c r="AC1288" s="2"/>
      <c r="AE1288" s="1"/>
      <c r="AG1288" s="2"/>
    </row>
    <row r="1289" spans="1:33" ht="49.95" customHeight="1" x14ac:dyDescent="0.3">
      <c r="A1289" s="2" t="s">
        <v>565</v>
      </c>
      <c r="C1289" s="1" t="s">
        <v>2184</v>
      </c>
      <c r="E1289" s="1" t="s">
        <v>352</v>
      </c>
      <c r="F1289" s="1" t="s">
        <v>2108</v>
      </c>
      <c r="G1289" s="2">
        <v>0</v>
      </c>
      <c r="H1289" s="14">
        <f>SUMIF(ENTRADAS71417[CÓDIGO],PRODUCTOS31316[[#This Row],[CÓDIGO]],ENTRADAS71417[CANTIDAD])</f>
        <v>0</v>
      </c>
      <c r="I1289" s="11">
        <v>0</v>
      </c>
      <c r="J1289" s="6">
        <f>PRODUCTOS31316[[#This Row],[EXISTENCIAS]]+PRODUCTOS31316[[#This Row],[ENTRADAS]]-PRODUCTOS31316[[#This Row],[SALIDAS]]</f>
        <v>0</v>
      </c>
      <c r="L1289" s="2"/>
      <c r="M1289" s="2"/>
      <c r="N1289" s="2">
        <v>8167</v>
      </c>
      <c r="O1289" s="329" t="s">
        <v>94</v>
      </c>
      <c r="P1289" s="16">
        <v>46120</v>
      </c>
      <c r="Q1289" s="329" t="s">
        <v>2306</v>
      </c>
      <c r="R1289" s="2">
        <f>VLOOKUP(SALIDAS111518[[#This Row],[CÓDIGO]],PRODUCTOS31316[],2,FALSE)</f>
        <v>0</v>
      </c>
      <c r="S1289" s="1" t="str">
        <f>VLOOKUP(SALIDAS111518[[#This Row],[CÓDIGO]],PRODUCTOS31316[],3,FALSE)</f>
        <v>ESCALERILLAS METÁLICAS DE 10 MM</v>
      </c>
      <c r="T1289" s="2">
        <v>1</v>
      </c>
      <c r="U1289" s="2"/>
      <c r="V1289" s="2"/>
      <c r="W1289" s="2"/>
      <c r="X1289" s="67"/>
      <c r="Y1289" s="7"/>
      <c r="Z1289" s="2"/>
      <c r="AA1289" s="1"/>
      <c r="AC1289" s="2"/>
      <c r="AE1289" s="1"/>
      <c r="AG1289" s="2"/>
    </row>
    <row r="1290" spans="1:33" ht="49.95" customHeight="1" x14ac:dyDescent="0.3">
      <c r="A1290" s="2" t="s">
        <v>534</v>
      </c>
      <c r="C1290" s="1" t="s">
        <v>2185</v>
      </c>
      <c r="E1290" s="1" t="s">
        <v>352</v>
      </c>
      <c r="F1290" s="1" t="s">
        <v>1502</v>
      </c>
      <c r="G1290" s="2">
        <v>0</v>
      </c>
      <c r="H1290" s="14">
        <f>SUMIF(ENTRADAS71417[CÓDIGO],PRODUCTOS31316[[#This Row],[CÓDIGO]],ENTRADAS71417[CANTIDAD])</f>
        <v>0</v>
      </c>
      <c r="I1290" s="11">
        <v>0</v>
      </c>
      <c r="J1290" s="6">
        <f>PRODUCTOS31316[[#This Row],[EXISTENCIAS]]+PRODUCTOS31316[[#This Row],[ENTRADAS]]-PRODUCTOS31316[[#This Row],[SALIDAS]]</f>
        <v>0</v>
      </c>
      <c r="L1290" s="2"/>
      <c r="M1290" s="2"/>
      <c r="N1290" s="2">
        <v>8167</v>
      </c>
      <c r="O1290" s="329" t="s">
        <v>94</v>
      </c>
      <c r="P1290" s="16">
        <v>46120</v>
      </c>
      <c r="Q1290" s="329" t="s">
        <v>15</v>
      </c>
      <c r="R1290" s="2" t="str">
        <f>VLOOKUP(SALIDAS111518[[#This Row],[CÓDIGO]],PRODUCTOS31316[],2,FALSE)</f>
        <v>BTE-025PT/ 504002</v>
      </c>
      <c r="S1290" s="1" t="str">
        <f>VLOOKUP(SALIDAS111518[[#This Row],[CÓDIGO]],PRODUCTOS31316[],3,FALSE)</f>
        <v>FUNDAS PARA TRANSFERENCIA DE EMBRIONES</v>
      </c>
      <c r="T1290" s="2">
        <v>20</v>
      </c>
      <c r="U1290" s="382" t="s">
        <v>2727</v>
      </c>
      <c r="V1290" s="2"/>
      <c r="W1290" s="2"/>
      <c r="X1290" s="67"/>
      <c r="Y1290" s="7"/>
      <c r="Z1290" s="2"/>
      <c r="AA1290" s="1"/>
      <c r="AC1290" s="2"/>
      <c r="AE1290" s="1"/>
      <c r="AG1290" s="2"/>
    </row>
    <row r="1291" spans="1:33" ht="49.95" customHeight="1" x14ac:dyDescent="0.3">
      <c r="A1291" s="2" t="s">
        <v>584</v>
      </c>
      <c r="C1291" s="1" t="s">
        <v>2186</v>
      </c>
      <c r="E1291" s="1" t="s">
        <v>410</v>
      </c>
      <c r="F1291" s="1" t="s">
        <v>30</v>
      </c>
      <c r="G1291" s="2">
        <v>0</v>
      </c>
      <c r="H1291" s="14">
        <f>SUMIF(ENTRADAS71417[CÓDIGO],PRODUCTOS31316[[#This Row],[CÓDIGO]],ENTRADAS71417[CANTIDAD])</f>
        <v>0</v>
      </c>
      <c r="I1291" s="11">
        <v>0</v>
      </c>
      <c r="J1291" s="6">
        <f>PRODUCTOS31316[[#This Row],[EXISTENCIAS]]+PRODUCTOS31316[[#This Row],[ENTRADAS]]-PRODUCTOS31316[[#This Row],[SALIDAS]]</f>
        <v>0</v>
      </c>
      <c r="L1291" s="2"/>
      <c r="M1291" s="2"/>
      <c r="N1291" s="2">
        <v>8167</v>
      </c>
      <c r="O1291" s="329" t="s">
        <v>94</v>
      </c>
      <c r="P1291" s="16">
        <v>46128</v>
      </c>
      <c r="Q1291" s="329" t="s">
        <v>366</v>
      </c>
      <c r="R1291" s="2">
        <f>VLOOKUP(SALIDAS111518[[#This Row],[CÓDIGO]],PRODUCTOS31316[],2,FALSE)</f>
        <v>505003</v>
      </c>
      <c r="S1291" s="1" t="str">
        <f>VLOOKUP(SALIDAS111518[[#This Row],[CÓDIGO]],PRODUCTOS31316[],3,FALSE)</f>
        <v>LACRADOR REDONDO BLANCO</v>
      </c>
      <c r="T1291" s="2">
        <v>1</v>
      </c>
      <c r="U1291" s="329"/>
      <c r="V1291" s="2"/>
      <c r="W1291" s="2"/>
      <c r="X1291" s="67"/>
      <c r="Y1291" s="7"/>
      <c r="Z1291" s="2"/>
      <c r="AA1291" s="1"/>
      <c r="AC1291" s="2"/>
      <c r="AE1291" s="1"/>
      <c r="AG1291" s="2"/>
    </row>
    <row r="1292" spans="1:33" ht="49.95" customHeight="1" x14ac:dyDescent="0.3">
      <c r="A1292" s="2" t="s">
        <v>607</v>
      </c>
      <c r="B1292" s="1" t="s">
        <v>2187</v>
      </c>
      <c r="C1292" s="1" t="s">
        <v>2188</v>
      </c>
      <c r="E1292" s="1" t="s">
        <v>24</v>
      </c>
      <c r="F1292" s="1" t="s">
        <v>30</v>
      </c>
      <c r="G1292" s="2">
        <v>0</v>
      </c>
      <c r="H1292" s="14">
        <f>SUMIF(ENTRADAS71417[CÓDIGO],PRODUCTOS31316[[#This Row],[CÓDIGO]],ENTRADAS71417[CANTIDAD])</f>
        <v>0</v>
      </c>
      <c r="I1292" s="11">
        <v>0</v>
      </c>
      <c r="J1292" s="6">
        <f>PRODUCTOS31316[[#This Row],[EXISTENCIAS]]+PRODUCTOS31316[[#This Row],[ENTRADAS]]-PRODUCTOS31316[[#This Row],[SALIDAS]]</f>
        <v>0</v>
      </c>
      <c r="L1292" s="329" t="s">
        <v>3520</v>
      </c>
      <c r="M1292" s="329" t="s">
        <v>4578</v>
      </c>
      <c r="N1292" s="330" t="s">
        <v>4649</v>
      </c>
      <c r="O1292" s="329" t="s">
        <v>94</v>
      </c>
      <c r="P1292" s="16">
        <v>46120</v>
      </c>
      <c r="Q1292" s="329" t="s">
        <v>1779</v>
      </c>
      <c r="R1292" s="2">
        <f>VLOOKUP(SALIDAS111518[[#This Row],[CÓDIGO]],PRODUCTOS31316[],2,FALSE)</f>
        <v>5563</v>
      </c>
      <c r="S1292" s="1" t="str">
        <f>VLOOKUP(SALIDAS111518[[#This Row],[CÓDIGO]],PRODUCTOS31316[],3,FALSE)</f>
        <v>CAMISA SANITARIA ROLLO X 80</v>
      </c>
      <c r="T1292" s="2">
        <v>12</v>
      </c>
      <c r="U1292" s="329" t="s">
        <v>4648</v>
      </c>
      <c r="V1292" s="2"/>
      <c r="W1292" s="2"/>
      <c r="X1292" s="67"/>
      <c r="Y1292" s="7"/>
      <c r="Z1292" s="2"/>
      <c r="AA1292" s="1"/>
      <c r="AC1292" s="2"/>
      <c r="AE1292" s="1"/>
      <c r="AG1292" s="2"/>
    </row>
    <row r="1293" spans="1:33" ht="49.95" customHeight="1" x14ac:dyDescent="0.3">
      <c r="A1293" s="2" t="s">
        <v>1145</v>
      </c>
      <c r="B1293" s="1" t="s">
        <v>2189</v>
      </c>
      <c r="C1293" s="1" t="s">
        <v>2190</v>
      </c>
      <c r="E1293" s="1" t="s">
        <v>2191</v>
      </c>
      <c r="F1293" s="1" t="s">
        <v>30</v>
      </c>
      <c r="G1293" s="2">
        <v>0</v>
      </c>
      <c r="H1293" s="14">
        <f>SUMIF(ENTRADAS71417[CÓDIGO],PRODUCTOS31316[[#This Row],[CÓDIGO]],ENTRADAS71417[CANTIDAD])</f>
        <v>0</v>
      </c>
      <c r="I1293" s="11">
        <v>0</v>
      </c>
      <c r="J1293" s="6">
        <f>PRODUCTOS31316[[#This Row],[EXISTENCIAS]]+PRODUCTOS31316[[#This Row],[ENTRADAS]]-PRODUCTOS31316[[#This Row],[SALIDAS]]</f>
        <v>0</v>
      </c>
      <c r="L1293" s="2"/>
      <c r="M1293" s="2"/>
      <c r="N1293" s="2">
        <v>8168</v>
      </c>
      <c r="O1293" s="329" t="s">
        <v>94</v>
      </c>
      <c r="P1293" s="16">
        <v>46120</v>
      </c>
      <c r="Q1293" s="329" t="s">
        <v>15</v>
      </c>
      <c r="R1293" s="2" t="str">
        <f>VLOOKUP(SALIDAS111518[[#This Row],[CÓDIGO]],PRODUCTOS31316[],2,FALSE)</f>
        <v>BTE-025PT/ 504002</v>
      </c>
      <c r="S1293" s="1" t="str">
        <f>VLOOKUP(SALIDAS111518[[#This Row],[CÓDIGO]],PRODUCTOS31316[],3,FALSE)</f>
        <v>FUNDAS PARA TRANSFERENCIA DE EMBRIONES</v>
      </c>
      <c r="T1293" s="2">
        <v>165</v>
      </c>
      <c r="U1293" s="382" t="s">
        <v>2736</v>
      </c>
      <c r="V1293" s="2"/>
      <c r="W1293" s="2"/>
      <c r="X1293" s="67"/>
      <c r="Y1293" s="7"/>
      <c r="Z1293" s="2"/>
      <c r="AA1293" s="1"/>
      <c r="AC1293" s="2"/>
      <c r="AE1293" s="1"/>
      <c r="AG1293" s="2"/>
    </row>
    <row r="1294" spans="1:33" ht="49.95" customHeight="1" x14ac:dyDescent="0.3">
      <c r="A1294" s="177" t="s">
        <v>2761</v>
      </c>
      <c r="B1294" s="1">
        <v>382100000</v>
      </c>
      <c r="C1294" s="33" t="s">
        <v>2762</v>
      </c>
      <c r="E1294" s="33" t="s">
        <v>2752</v>
      </c>
      <c r="F1294" s="33" t="s">
        <v>30</v>
      </c>
      <c r="G1294" s="2">
        <v>0</v>
      </c>
      <c r="H1294" s="14">
        <f>SUMIF(ENTRADAS71417[CÓDIGO],PRODUCTOS31316[[#This Row],[CÓDIGO]],ENTRADAS71417[CANTIDAD])</f>
        <v>0</v>
      </c>
      <c r="I1294" s="11">
        <v>0</v>
      </c>
      <c r="J1294" s="6">
        <f>PRODUCTOS31316[[#This Row],[EXISTENCIAS]]+PRODUCTOS31316[[#This Row],[ENTRADAS]]-PRODUCTOS31316[[#This Row],[SALIDAS]]</f>
        <v>0</v>
      </c>
      <c r="L1294" s="2"/>
      <c r="M1294" s="2"/>
      <c r="N1294" s="2">
        <v>8168</v>
      </c>
      <c r="O1294" s="329" t="s">
        <v>94</v>
      </c>
      <c r="P1294" s="16">
        <v>46120</v>
      </c>
      <c r="Q1294" s="329" t="s">
        <v>4140</v>
      </c>
      <c r="R1294" s="2">
        <f>VLOOKUP(SALIDAS111518[[#This Row],[CÓDIGO]],PRODUCTOS31316[],2,FALSE)</f>
        <v>5575</v>
      </c>
      <c r="S1294" s="1" t="str">
        <f>VLOOKUP(SALIDAS111518[[#This Row],[CÓDIGO]],PRODUCTOS31316[],3,FALSE)</f>
        <v>PAJUELA AMARILLA 0.25/ PAQUETE X 2000</v>
      </c>
      <c r="T1294" s="2">
        <v>1</v>
      </c>
      <c r="U1294" s="2"/>
      <c r="V1294" s="2"/>
      <c r="W1294" s="2"/>
      <c r="X1294" s="67"/>
      <c r="Y1294" s="7"/>
      <c r="Z1294" s="2"/>
      <c r="AA1294" s="1"/>
      <c r="AC1294" s="2"/>
      <c r="AE1294" s="1"/>
      <c r="AG1294" s="2"/>
    </row>
    <row r="1295" spans="1:33" ht="49.95" customHeight="1" x14ac:dyDescent="0.3">
      <c r="A1295" s="177" t="s">
        <v>2764</v>
      </c>
      <c r="B1295" s="1">
        <v>382100000</v>
      </c>
      <c r="C1295" s="33" t="s">
        <v>2763</v>
      </c>
      <c r="E1295" s="33" t="s">
        <v>2752</v>
      </c>
      <c r="F1295" s="33" t="s">
        <v>30</v>
      </c>
      <c r="G1295" s="2">
        <v>0</v>
      </c>
      <c r="H1295" s="14">
        <f>SUMIF(ENTRADAS71417[CÓDIGO],PRODUCTOS31316[[#This Row],[CÓDIGO]],ENTRADAS71417[CANTIDAD])</f>
        <v>0</v>
      </c>
      <c r="I1295" s="11">
        <v>0</v>
      </c>
      <c r="J1295" s="6">
        <f>PRODUCTOS31316[[#This Row],[EXISTENCIAS]]+PRODUCTOS31316[[#This Row],[ENTRADAS]]-PRODUCTOS31316[[#This Row],[SALIDAS]]</f>
        <v>0</v>
      </c>
      <c r="L1295" s="2"/>
      <c r="M1295" s="2"/>
      <c r="N1295" s="2">
        <v>8168</v>
      </c>
      <c r="O1295" s="329" t="s">
        <v>94</v>
      </c>
      <c r="P1295" s="16">
        <v>46128</v>
      </c>
      <c r="Q1295" s="329" t="s">
        <v>360</v>
      </c>
      <c r="R1295" s="2">
        <f>VLOOKUP(SALIDAS111518[[#This Row],[CÓDIGO]],PRODUCTOS31316[],2,FALSE)</f>
        <v>505006</v>
      </c>
      <c r="S1295" s="1" t="str">
        <f>VLOOKUP(SALIDAS111518[[#This Row],[CÓDIGO]],PRODUCTOS31316[],3,FALSE)</f>
        <v>LACRADOR REDONDO AMARILLO</v>
      </c>
      <c r="T1295" s="2">
        <v>3</v>
      </c>
      <c r="U1295" s="329"/>
      <c r="V1295" s="2"/>
      <c r="W1295" s="2"/>
      <c r="X1295" s="67"/>
      <c r="Y1295" s="7"/>
      <c r="Z1295" s="2"/>
      <c r="AA1295" s="1"/>
      <c r="AC1295" s="2"/>
      <c r="AE1295" s="1"/>
      <c r="AG1295" s="2"/>
    </row>
    <row r="1296" spans="1:33" ht="49.95" customHeight="1" x14ac:dyDescent="0.3">
      <c r="A1296" s="390" t="s">
        <v>4440</v>
      </c>
      <c r="C1296" s="390" t="s">
        <v>4441</v>
      </c>
      <c r="E1296" s="318" t="s">
        <v>4436</v>
      </c>
      <c r="F1296" s="318" t="s">
        <v>30</v>
      </c>
      <c r="G1296" s="2"/>
      <c r="H1296" s="14">
        <f>SUMIF(ENTRADAS71417[CÓDIGO],PRODUCTOS31316[[#This Row],[CÓDIGO]],ENTRADAS71417[CANTIDAD])</f>
        <v>10</v>
      </c>
      <c r="I1296" s="11">
        <v>0</v>
      </c>
      <c r="J1296" s="6">
        <f>PRODUCTOS31316[[#This Row],[EXISTENCIAS]]+PRODUCTOS31316[[#This Row],[ENTRADAS]]-PRODUCTOS31316[[#This Row],[SALIDAS]]</f>
        <v>10</v>
      </c>
      <c r="L1296" s="329" t="s">
        <v>3520</v>
      </c>
      <c r="M1296" s="329" t="s">
        <v>4578</v>
      </c>
      <c r="N1296" s="330" t="s">
        <v>4651</v>
      </c>
      <c r="O1296" s="329" t="s">
        <v>94</v>
      </c>
      <c r="P1296" s="16">
        <v>46120</v>
      </c>
      <c r="Q1296" s="329" t="s">
        <v>1779</v>
      </c>
      <c r="R1296" s="2">
        <f>VLOOKUP(SALIDAS111518[[#This Row],[CÓDIGO]],PRODUCTOS31316[],2,FALSE)</f>
        <v>5563</v>
      </c>
      <c r="S1296" s="1" t="str">
        <f>VLOOKUP(SALIDAS111518[[#This Row],[CÓDIGO]],PRODUCTOS31316[],3,FALSE)</f>
        <v>CAMISA SANITARIA ROLLO X 80</v>
      </c>
      <c r="T1296" s="2">
        <v>13</v>
      </c>
      <c r="U1296" s="329" t="s">
        <v>4650</v>
      </c>
      <c r="V1296" s="2"/>
      <c r="W1296" s="2"/>
      <c r="X1296" s="2"/>
      <c r="Y1296" s="7"/>
      <c r="Z1296" s="2"/>
      <c r="AA1296" s="1"/>
      <c r="AC1296" s="2"/>
      <c r="AE1296" s="1"/>
      <c r="AG1296" s="2"/>
    </row>
    <row r="1297" spans="1:33" ht="49.95" customHeight="1" x14ac:dyDescent="0.3">
      <c r="A1297" s="318" t="s">
        <v>4443</v>
      </c>
      <c r="C1297" s="327" t="s">
        <v>4444</v>
      </c>
      <c r="E1297" s="318" t="s">
        <v>4436</v>
      </c>
      <c r="F1297" s="318" t="s">
        <v>30</v>
      </c>
      <c r="G1297" s="2"/>
      <c r="H1297" s="14">
        <f>SUMIF(ENTRADAS71417[CÓDIGO],PRODUCTOS31316[[#This Row],[CÓDIGO]],ENTRADAS71417[CANTIDAD])</f>
        <v>10</v>
      </c>
      <c r="I1297" s="11">
        <v>0</v>
      </c>
      <c r="J1297" s="6">
        <f>PRODUCTOS31316[[#This Row],[EXISTENCIAS]]+PRODUCTOS31316[[#This Row],[ENTRADAS]]-PRODUCTOS31316[[#This Row],[SALIDAS]]</f>
        <v>10</v>
      </c>
      <c r="L1297" s="2"/>
      <c r="M1297" s="2"/>
      <c r="N1297" s="2">
        <v>8169</v>
      </c>
      <c r="O1297" s="329" t="s">
        <v>94</v>
      </c>
      <c r="P1297" s="16">
        <v>46120</v>
      </c>
      <c r="Q1297" s="329" t="s">
        <v>2306</v>
      </c>
      <c r="R1297" s="2">
        <f>VLOOKUP(SALIDAS111518[[#This Row],[CÓDIGO]],PRODUCTOS31316[],2,FALSE)</f>
        <v>0</v>
      </c>
      <c r="S1297" s="1" t="str">
        <f>VLOOKUP(SALIDAS111518[[#This Row],[CÓDIGO]],PRODUCTOS31316[],3,FALSE)</f>
        <v>ESCALERILLAS METÁLICAS DE 10 MM</v>
      </c>
      <c r="T1297" s="2">
        <v>1</v>
      </c>
      <c r="U1297" s="2"/>
      <c r="V1297" s="2"/>
      <c r="W1297" s="2"/>
      <c r="X1297" s="2"/>
      <c r="Y1297" s="7"/>
      <c r="Z1297" s="2"/>
      <c r="AA1297" s="1"/>
      <c r="AC1297" s="2"/>
      <c r="AE1297" s="1"/>
      <c r="AG1297" s="2"/>
    </row>
    <row r="1298" spans="1:33" ht="49.95" customHeight="1" x14ac:dyDescent="0.3">
      <c r="A1298" s="318" t="s">
        <v>4442</v>
      </c>
      <c r="C1298" s="318" t="s">
        <v>4445</v>
      </c>
      <c r="E1298" s="318" t="s">
        <v>4436</v>
      </c>
      <c r="F1298" s="318" t="s">
        <v>30</v>
      </c>
      <c r="G1298" s="2"/>
      <c r="H1298" s="14">
        <f>SUMIF(ENTRADAS71417[CÓDIGO],PRODUCTOS31316[[#This Row],[CÓDIGO]],ENTRADAS71417[CANTIDAD])</f>
        <v>0</v>
      </c>
      <c r="I1298" s="11">
        <v>0</v>
      </c>
      <c r="J1298" s="6">
        <f>PRODUCTOS31316[[#This Row],[EXISTENCIAS]]+PRODUCTOS31316[[#This Row],[ENTRADAS]]-PRODUCTOS31316[[#This Row],[SALIDAS]]</f>
        <v>0</v>
      </c>
      <c r="L1298" s="2"/>
      <c r="M1298" s="2"/>
      <c r="N1298" s="2">
        <v>8169</v>
      </c>
      <c r="O1298" s="329" t="s">
        <v>94</v>
      </c>
      <c r="P1298" s="16">
        <v>46120</v>
      </c>
      <c r="Q1298" s="329" t="s">
        <v>15</v>
      </c>
      <c r="R1298" s="2" t="str">
        <f>VLOOKUP(SALIDAS111518[[#This Row],[CÓDIGO]],PRODUCTOS31316[],2,FALSE)</f>
        <v>BTE-025PT/ 504002</v>
      </c>
      <c r="S1298" s="1" t="str">
        <f>VLOOKUP(SALIDAS111518[[#This Row],[CÓDIGO]],PRODUCTOS31316[],3,FALSE)</f>
        <v>FUNDAS PARA TRANSFERENCIA DE EMBRIONES</v>
      </c>
      <c r="T1298" s="2">
        <v>264</v>
      </c>
      <c r="U1298" s="382" t="s">
        <v>2737</v>
      </c>
      <c r="V1298" s="2"/>
      <c r="W1298" s="2"/>
      <c r="X1298" s="2"/>
      <c r="Y1298" s="7"/>
      <c r="Z1298" s="2"/>
      <c r="AA1298" s="1"/>
      <c r="AC1298" s="2"/>
      <c r="AE1298" s="1"/>
      <c r="AG1298" s="2"/>
    </row>
    <row r="1299" spans="1:33" ht="49.95" customHeight="1" x14ac:dyDescent="0.3">
      <c r="A1299" s="276" t="s">
        <v>3095</v>
      </c>
      <c r="C1299" s="133" t="s">
        <v>3093</v>
      </c>
      <c r="E1299" s="133" t="s">
        <v>3094</v>
      </c>
      <c r="F1299" s="133" t="s">
        <v>30</v>
      </c>
      <c r="G1299" s="2">
        <v>0</v>
      </c>
      <c r="H1299" s="14">
        <f>SUMIF(ENTRADAS71417[CÓDIGO],PRODUCTOS31316[[#This Row],[CÓDIGO]],ENTRADAS71417[CANTIDAD])</f>
        <v>500</v>
      </c>
      <c r="I1299" s="11">
        <v>0</v>
      </c>
      <c r="J1299" s="6">
        <f>PRODUCTOS31316[[#This Row],[EXISTENCIAS]]+PRODUCTOS31316[[#This Row],[ENTRADAS]]-PRODUCTOS31316[[#This Row],[SALIDAS]]</f>
        <v>500</v>
      </c>
      <c r="L1299" s="2"/>
      <c r="M1299" s="2"/>
      <c r="N1299" s="2">
        <v>8169</v>
      </c>
      <c r="O1299" s="329" t="s">
        <v>94</v>
      </c>
      <c r="P1299" s="16">
        <v>46120</v>
      </c>
      <c r="Q1299" s="329" t="s">
        <v>1681</v>
      </c>
      <c r="R1299" s="2">
        <f>VLOOKUP(SALIDAS111518[[#This Row],[CÓDIGO]],PRODUCTOS31316[],2,FALSE)</f>
        <v>347430</v>
      </c>
      <c r="S1299" s="1" t="str">
        <f>VLOOKUP(SALIDAS111518[[#This Row],[CÓDIGO]],PRODUCTOS31316[],3,FALSE)</f>
        <v>GOBLETS BLANCOS DE 10 MM</v>
      </c>
      <c r="T1299" s="2">
        <v>1</v>
      </c>
      <c r="U1299" s="2"/>
      <c r="V1299" s="2"/>
      <c r="W1299" s="2"/>
      <c r="X1299" s="2"/>
      <c r="Y1299" s="7"/>
      <c r="Z1299" s="2"/>
      <c r="AA1299" s="1"/>
      <c r="AC1299" s="2"/>
      <c r="AE1299" s="1"/>
      <c r="AG1299" s="2"/>
    </row>
    <row r="1300" spans="1:33" ht="49.95" customHeight="1" x14ac:dyDescent="0.3">
      <c r="A1300" s="277" t="s">
        <v>3645</v>
      </c>
      <c r="C1300" s="274" t="s">
        <v>3646</v>
      </c>
      <c r="E1300" s="275" t="s">
        <v>3744</v>
      </c>
      <c r="F1300" s="133" t="s">
        <v>30</v>
      </c>
      <c r="G1300" s="2">
        <v>0</v>
      </c>
      <c r="H1300" s="14">
        <f>SUMIF(ENTRADAS71417[CÓDIGO],PRODUCTOS31316[[#This Row],[CÓDIGO]],ENTRADAS71417[CANTIDAD])</f>
        <v>500</v>
      </c>
      <c r="I1300" s="11">
        <v>0</v>
      </c>
      <c r="J1300" s="6">
        <f>PRODUCTOS31316[[#This Row],[EXISTENCIAS]]+PRODUCTOS31316[[#This Row],[ENTRADAS]]-PRODUCTOS31316[[#This Row],[SALIDAS]]</f>
        <v>500</v>
      </c>
      <c r="L1300" s="2"/>
      <c r="M1300" s="2"/>
      <c r="N1300" s="2">
        <v>8169</v>
      </c>
      <c r="O1300" s="329" t="s">
        <v>94</v>
      </c>
      <c r="P1300" s="16">
        <v>46128</v>
      </c>
      <c r="Q1300" s="329" t="s">
        <v>360</v>
      </c>
      <c r="R1300" s="2">
        <f>VLOOKUP(SALIDAS111518[[#This Row],[CÓDIGO]],PRODUCTOS31316[],2,FALSE)</f>
        <v>505006</v>
      </c>
      <c r="S1300" s="1" t="str">
        <f>VLOOKUP(SALIDAS111518[[#This Row],[CÓDIGO]],PRODUCTOS31316[],3,FALSE)</f>
        <v>LACRADOR REDONDO AMARILLO</v>
      </c>
      <c r="T1300" s="2">
        <v>3</v>
      </c>
      <c r="U1300" s="329"/>
      <c r="V1300" s="2"/>
      <c r="W1300" s="2"/>
      <c r="X1300" s="2"/>
      <c r="Y1300" s="7"/>
      <c r="Z1300" s="2"/>
      <c r="AA1300" s="1"/>
      <c r="AC1300" s="2"/>
      <c r="AE1300" s="1"/>
      <c r="AG1300" s="2"/>
    </row>
    <row r="1301" spans="1:33" ht="49.95" customHeight="1" x14ac:dyDescent="0.3">
      <c r="A1301" s="273" t="s">
        <v>3647</v>
      </c>
      <c r="C1301" s="274" t="s">
        <v>3648</v>
      </c>
      <c r="F1301" s="133" t="s">
        <v>30</v>
      </c>
      <c r="G1301" s="2">
        <v>0</v>
      </c>
      <c r="H1301" s="14">
        <f>SUMIF(ENTRADAS71417[CÓDIGO],PRODUCTOS31316[[#This Row],[CÓDIGO]],ENTRADAS71417[CANTIDAD])</f>
        <v>0</v>
      </c>
      <c r="I1301" s="11">
        <v>0</v>
      </c>
      <c r="J1301" s="6">
        <f>PRODUCTOS31316[[#This Row],[EXISTENCIAS]]+PRODUCTOS31316[[#This Row],[ENTRADAS]]-PRODUCTOS31316[[#This Row],[SALIDAS]]</f>
        <v>0</v>
      </c>
      <c r="L1301" s="2"/>
      <c r="M1301" s="2"/>
      <c r="N1301" s="2">
        <v>8169</v>
      </c>
      <c r="O1301" s="329" t="s">
        <v>94</v>
      </c>
      <c r="P1301" s="16">
        <v>46120</v>
      </c>
      <c r="Q1301" s="329" t="s">
        <v>3303</v>
      </c>
      <c r="R1301" s="2">
        <f>VLOOKUP(SALIDAS111518[[#This Row],[CÓDIGO]],PRODUCTOS31316[],2,FALSE)</f>
        <v>10</v>
      </c>
      <c r="S1301" s="1" t="str">
        <f>VLOOKUP(SALIDAS111518[[#This Row],[CÓDIGO]],PRODUCTOS31316[],3,FALSE)</f>
        <v>CAJA PETRI 4 POZOS / 3,026X3,026 CM</v>
      </c>
      <c r="T1301" s="2">
        <v>10</v>
      </c>
      <c r="U1301" s="2"/>
      <c r="V1301" s="2"/>
      <c r="W1301" s="2"/>
      <c r="X1301" s="2"/>
      <c r="Y1301" s="7"/>
      <c r="Z1301" s="2"/>
      <c r="AA1301" s="1"/>
      <c r="AC1301" s="2"/>
      <c r="AE1301" s="1"/>
      <c r="AG1301" s="2"/>
    </row>
    <row r="1302" spans="1:33" ht="49.95" customHeight="1" x14ac:dyDescent="0.3">
      <c r="A1302" s="273" t="s">
        <v>3649</v>
      </c>
      <c r="C1302" s="274" t="s">
        <v>3650</v>
      </c>
      <c r="E1302" s="275" t="s">
        <v>3751</v>
      </c>
      <c r="F1302" s="133" t="s">
        <v>30</v>
      </c>
      <c r="G1302" s="2">
        <v>0</v>
      </c>
      <c r="H1302" s="14">
        <f>SUMIF(ENTRADAS71417[CÓDIGO],PRODUCTOS31316[[#This Row],[CÓDIGO]],ENTRADAS71417[CANTIDAD])</f>
        <v>500</v>
      </c>
      <c r="I1302" s="11">
        <v>0</v>
      </c>
      <c r="J1302" s="6">
        <f>PRODUCTOS31316[[#This Row],[EXISTENCIAS]]+PRODUCTOS31316[[#This Row],[ENTRADAS]]-PRODUCTOS31316[[#This Row],[SALIDAS]]</f>
        <v>500</v>
      </c>
      <c r="L1302" s="329" t="s">
        <v>3520</v>
      </c>
      <c r="M1302" s="329" t="s">
        <v>4578</v>
      </c>
      <c r="N1302" s="330" t="s">
        <v>4640</v>
      </c>
      <c r="O1302" s="329" t="s">
        <v>2299</v>
      </c>
      <c r="P1302" s="16">
        <v>46120</v>
      </c>
      <c r="Q1302" s="329" t="s">
        <v>2306</v>
      </c>
      <c r="R1302" s="2">
        <f>VLOOKUP(SALIDAS111518[[#This Row],[CÓDIGO]],PRODUCTOS31316[],2,FALSE)</f>
        <v>0</v>
      </c>
      <c r="S1302" s="1" t="str">
        <f>VLOOKUP(SALIDAS111518[[#This Row],[CÓDIGO]],PRODUCTOS31316[],3,FALSE)</f>
        <v>ESCALERILLAS METÁLICAS DE 10 MM</v>
      </c>
      <c r="T1302" s="2">
        <v>3</v>
      </c>
      <c r="U1302" s="2">
        <v>564</v>
      </c>
      <c r="V1302" s="2"/>
      <c r="W1302" s="2"/>
      <c r="X1302" s="2"/>
      <c r="Y1302" s="7"/>
      <c r="Z1302" s="2"/>
      <c r="AA1302" s="1"/>
      <c r="AC1302" s="2"/>
      <c r="AE1302" s="1"/>
      <c r="AG1302" s="2"/>
    </row>
    <row r="1303" spans="1:33" ht="49.95" customHeight="1" x14ac:dyDescent="0.3">
      <c r="L1303" s="2"/>
      <c r="M1303" s="2"/>
      <c r="N1303" s="2">
        <v>8163</v>
      </c>
      <c r="O1303" s="329" t="s">
        <v>2299</v>
      </c>
      <c r="P1303" s="16">
        <v>46120</v>
      </c>
      <c r="Q1303" s="329" t="s">
        <v>752</v>
      </c>
      <c r="R1303" s="2">
        <f>VLOOKUP(SALIDAS111518[[#This Row],[CÓDIGO]],PRODUCTOS31316[],2,FALSE)</f>
        <v>0</v>
      </c>
      <c r="S1303" s="1" t="str">
        <f>VLOOKUP(SALIDAS111518[[#This Row],[CÓDIGO]],PRODUCTOS31316[],3,FALSE)</f>
        <v>TABS BLANCOS</v>
      </c>
      <c r="T1303" s="2">
        <v>2</v>
      </c>
      <c r="U1303" s="2"/>
      <c r="V1303" s="2"/>
      <c r="W1303" s="2"/>
      <c r="X1303" s="2"/>
      <c r="Y1303" s="7"/>
      <c r="Z1303" s="2"/>
      <c r="AA1303" s="1"/>
      <c r="AC1303" s="2"/>
      <c r="AE1303" s="1"/>
      <c r="AG1303" s="2"/>
    </row>
    <row r="1304" spans="1:33" ht="49.95" customHeight="1" x14ac:dyDescent="0.3">
      <c r="L1304" s="2"/>
      <c r="M1304" s="2"/>
      <c r="N1304" s="2">
        <v>8163</v>
      </c>
      <c r="O1304" s="329" t="s">
        <v>2299</v>
      </c>
      <c r="P1304" s="16">
        <v>46120</v>
      </c>
      <c r="Q1304" s="329" t="s">
        <v>3699</v>
      </c>
      <c r="R1304" s="2">
        <f>VLOOKUP(SALIDAS111518[[#This Row],[CÓDIGO]],PRODUCTOS31316[],2,FALSE)</f>
        <v>5569</v>
      </c>
      <c r="S1304" s="1" t="str">
        <f>VLOOKUP(SALIDAS111518[[#This Row],[CÓDIGO]],PRODUCTOS31316[],3,FALSE)</f>
        <v>PAJUELA TRANSPARENTES 0.50/ PAQ. X 2000 MARCA IMV</v>
      </c>
      <c r="T1304" s="2">
        <v>1</v>
      </c>
      <c r="U1304" s="2"/>
      <c r="V1304" s="2"/>
      <c r="W1304" s="2"/>
      <c r="X1304" s="2"/>
      <c r="Y1304" s="7"/>
      <c r="Z1304" s="2"/>
      <c r="AA1304" s="1"/>
      <c r="AC1304" s="2"/>
      <c r="AE1304" s="1"/>
      <c r="AG1304" s="2"/>
    </row>
    <row r="1305" spans="1:33" ht="49.95" customHeight="1" x14ac:dyDescent="0.3">
      <c r="L1305" s="2"/>
      <c r="M1305" s="2"/>
      <c r="N1305" s="2">
        <v>8163</v>
      </c>
      <c r="O1305" s="329" t="s">
        <v>2299</v>
      </c>
      <c r="P1305" s="16">
        <v>46128</v>
      </c>
      <c r="Q1305" s="329" t="s">
        <v>360</v>
      </c>
      <c r="R1305" s="2">
        <f>VLOOKUP(SALIDAS111518[[#This Row],[CÓDIGO]],PRODUCTOS31316[],2,FALSE)</f>
        <v>505006</v>
      </c>
      <c r="S1305" s="1" t="str">
        <f>VLOOKUP(SALIDAS111518[[#This Row],[CÓDIGO]],PRODUCTOS31316[],3,FALSE)</f>
        <v>LACRADOR REDONDO AMARILLO</v>
      </c>
      <c r="T1305" s="2">
        <v>3</v>
      </c>
      <c r="U1305" s="329" t="s">
        <v>1446</v>
      </c>
      <c r="V1305" s="2"/>
      <c r="W1305" s="2"/>
      <c r="X1305" s="71"/>
      <c r="Y1305" s="7"/>
      <c r="Z1305" s="2"/>
      <c r="AA1305" s="1"/>
      <c r="AC1305" s="2"/>
      <c r="AE1305" s="1"/>
      <c r="AG1305" s="2"/>
    </row>
    <row r="1306" spans="1:33" ht="49.95" customHeight="1" x14ac:dyDescent="0.3">
      <c r="L1306" s="2"/>
      <c r="M1306" s="2"/>
      <c r="N1306" s="2">
        <v>8163</v>
      </c>
      <c r="O1306" s="329" t="s">
        <v>2299</v>
      </c>
      <c r="P1306" s="16">
        <v>46128</v>
      </c>
      <c r="Q1306" s="329" t="s">
        <v>366</v>
      </c>
      <c r="R1306" s="2">
        <f>VLOOKUP(SALIDAS111518[[#This Row],[CÓDIGO]],PRODUCTOS31316[],2,FALSE)</f>
        <v>505003</v>
      </c>
      <c r="S1306" s="1" t="str">
        <f>VLOOKUP(SALIDAS111518[[#This Row],[CÓDIGO]],PRODUCTOS31316[],3,FALSE)</f>
        <v>LACRADOR REDONDO BLANCO</v>
      </c>
      <c r="T1306" s="2">
        <v>3</v>
      </c>
      <c r="U1306" s="329" t="s">
        <v>1446</v>
      </c>
      <c r="V1306" s="2"/>
      <c r="W1306" s="2"/>
      <c r="X1306" s="71"/>
      <c r="Y1306" s="7"/>
      <c r="Z1306" s="2"/>
      <c r="AA1306" s="1"/>
      <c r="AC1306" s="2"/>
      <c r="AE1306" s="1"/>
      <c r="AG1306" s="2"/>
    </row>
    <row r="1307" spans="1:33" ht="49.95" customHeight="1" x14ac:dyDescent="0.3">
      <c r="L1307" s="2"/>
      <c r="M1307" s="2"/>
      <c r="N1307" s="2">
        <v>8163</v>
      </c>
      <c r="O1307" s="329" t="s">
        <v>2299</v>
      </c>
      <c r="P1307" s="16">
        <v>46120</v>
      </c>
      <c r="Q1307" s="329" t="s">
        <v>341</v>
      </c>
      <c r="R1307" s="2" t="str">
        <f>VLOOKUP(SALIDAS111518[[#This Row],[CÓDIGO]],PRODUCTOS31316[],2,FALSE)</f>
        <v>CTB50</v>
      </c>
      <c r="S1307" s="1" t="str">
        <f>VLOOKUP(SALIDAS111518[[#This Row],[CÓDIGO]],PRODUCTOS31316[],3,FALSE)</f>
        <v>TUBO CÓNICO DE 50 mL, TAPA ROSCA, PRE ESTERILIZADO. RCF MAX: 10000xg, graduados, PCR puro.</v>
      </c>
      <c r="T1307" s="2">
        <v>6</v>
      </c>
      <c r="U1307" s="2"/>
      <c r="V1307" s="2"/>
      <c r="W1307" s="2"/>
      <c r="X1307" s="71"/>
      <c r="Y1307" s="7"/>
      <c r="Z1307" s="2"/>
      <c r="AA1307" s="1"/>
      <c r="AC1307" s="2"/>
      <c r="AE1307" s="1"/>
      <c r="AG1307" s="2"/>
    </row>
    <row r="1308" spans="1:33" ht="49.95" customHeight="1" x14ac:dyDescent="0.3">
      <c r="L1308" s="2"/>
      <c r="M1308" s="2"/>
      <c r="N1308" s="2">
        <v>8163</v>
      </c>
      <c r="O1308" s="329" t="s">
        <v>2299</v>
      </c>
      <c r="P1308" s="16">
        <v>46120</v>
      </c>
      <c r="Q1308" s="329" t="s">
        <v>455</v>
      </c>
      <c r="R1308" s="2">
        <f>VLOOKUP(SALIDAS111518[[#This Row],[CÓDIGO]],PRODUCTOS31316[],2,FALSE)</f>
        <v>0</v>
      </c>
      <c r="S1308" s="1" t="str">
        <f>VLOOKUP(SALIDAS111518[[#This Row],[CÓDIGO]],PRODUCTOS31316[],3,FALSE)</f>
        <v>ESCALERILLAS PARA GOBLETS DE 13 MM</v>
      </c>
      <c r="T1308" s="2">
        <v>1</v>
      </c>
      <c r="U1308" s="2"/>
      <c r="V1308" s="2"/>
      <c r="W1308" s="2"/>
      <c r="X1308" s="2"/>
      <c r="Y1308" s="7"/>
      <c r="Z1308" s="2"/>
      <c r="AA1308" s="1"/>
      <c r="AC1308" s="2"/>
      <c r="AE1308" s="1"/>
      <c r="AG1308" s="2"/>
    </row>
    <row r="1309" spans="1:33" ht="49.95" customHeight="1" x14ac:dyDescent="0.3">
      <c r="L1309" s="2"/>
      <c r="M1309" s="2"/>
      <c r="N1309" s="2">
        <v>8163</v>
      </c>
      <c r="O1309" s="329" t="s">
        <v>2299</v>
      </c>
      <c r="P1309" s="16">
        <v>46120</v>
      </c>
      <c r="Q1309" s="329" t="s">
        <v>458</v>
      </c>
      <c r="R1309" s="2">
        <f>VLOOKUP(SALIDAS111518[[#This Row],[CÓDIGO]],PRODUCTOS31316[],2,FALSE)</f>
        <v>0</v>
      </c>
      <c r="S1309" s="1" t="str">
        <f>VLOOKUP(SALIDAS111518[[#This Row],[CÓDIGO]],PRODUCTOS31316[],3,FALSE)</f>
        <v>GOBLET DE 13 MM BLANCOS</v>
      </c>
      <c r="T1309" s="2">
        <v>2</v>
      </c>
      <c r="U1309" s="2"/>
      <c r="V1309" s="2"/>
      <c r="W1309" s="2"/>
      <c r="X1309" s="2"/>
      <c r="Y1309" s="7"/>
      <c r="Z1309" s="2"/>
      <c r="AA1309" s="1"/>
      <c r="AC1309" s="2"/>
      <c r="AE1309" s="1"/>
      <c r="AG1309" s="2"/>
    </row>
    <row r="1310" spans="1:33" ht="49.95" customHeight="1" x14ac:dyDescent="0.3">
      <c r="L1310" s="2"/>
      <c r="M1310" s="2"/>
      <c r="N1310" s="2">
        <v>8163</v>
      </c>
      <c r="O1310" s="329" t="s">
        <v>2299</v>
      </c>
      <c r="P1310" s="16">
        <v>46120</v>
      </c>
      <c r="Q1310" s="329" t="s">
        <v>748</v>
      </c>
      <c r="R1310" s="2" t="str">
        <f>VLOOKUP(SALIDAS111518[[#This Row],[CÓDIGO]],PRODUCTOS31316[],2,FALSE)</f>
        <v>TY</v>
      </c>
      <c r="S1310" s="1" t="str">
        <f>VLOOKUP(SALIDAS111518[[#This Row],[CÓDIGO]],PRODUCTOS31316[],3,FALSE)</f>
        <v>TABS AMARILLOS</v>
      </c>
      <c r="T1310" s="2">
        <v>2</v>
      </c>
      <c r="U1310" s="2"/>
      <c r="V1310" s="2"/>
      <c r="W1310" s="2"/>
      <c r="X1310" s="2"/>
      <c r="Y1310" s="7"/>
      <c r="Z1310" s="2"/>
      <c r="AA1310" s="1"/>
      <c r="AC1310" s="2"/>
      <c r="AE1310" s="1"/>
      <c r="AG1310" s="2"/>
    </row>
    <row r="1311" spans="1:33" ht="49.95" customHeight="1" x14ac:dyDescent="0.3">
      <c r="L1311" s="329" t="s">
        <v>3521</v>
      </c>
      <c r="M1311" s="329" t="s">
        <v>4578</v>
      </c>
      <c r="N1311" s="330" t="s">
        <v>4641</v>
      </c>
      <c r="O1311" s="339" t="s">
        <v>4726</v>
      </c>
      <c r="P1311" s="16">
        <v>46127</v>
      </c>
      <c r="Q1311" s="329" t="s">
        <v>648</v>
      </c>
      <c r="R1311" s="2" t="str">
        <f>VLOOKUP(SALIDAS111518[[#This Row],[CÓDIGO]],PRODUCTOS31316[],2,FALSE)</f>
        <v>S5</v>
      </c>
      <c r="S1311" s="1" t="str">
        <f>VLOOKUP(SALIDAS111518[[#This Row],[CÓDIGO]],PRODUCTOS31316[],3,FALSE)</f>
        <v>SONDA S5 UNIDAD PRINCIPAL CON SONDA LINEAL RECTAL</v>
      </c>
      <c r="T1311" s="2">
        <v>1</v>
      </c>
      <c r="U1311" s="2">
        <v>565</v>
      </c>
      <c r="V1311" s="2"/>
      <c r="W1311" s="2"/>
      <c r="X1311" s="2"/>
      <c r="Y1311" s="7"/>
      <c r="Z1311" s="2"/>
      <c r="AA1311" s="1"/>
      <c r="AC1311" s="2"/>
      <c r="AE1311" s="1"/>
      <c r="AG1311" s="2"/>
    </row>
    <row r="1312" spans="1:33" ht="49.95" customHeight="1" x14ac:dyDescent="0.3">
      <c r="L1312" s="2"/>
      <c r="M1312" s="2"/>
      <c r="N1312" s="2">
        <v>8158</v>
      </c>
      <c r="O1312" s="339" t="s">
        <v>4726</v>
      </c>
      <c r="P1312" s="16">
        <v>46127</v>
      </c>
      <c r="Q1312" s="329" t="s">
        <v>3791</v>
      </c>
      <c r="R1312" s="2">
        <f>VLOOKUP(SALIDAS111518[[#This Row],[CÓDIGO]],PRODUCTOS31316[],2,FALSE)</f>
        <v>6936520864546</v>
      </c>
      <c r="S1312" s="1" t="str">
        <f>VLOOKUP(SALIDAS111518[[#This Row],[CÓDIGO]],PRODUCTOS31316[],3,FALSE)</f>
        <v>TABLET 11" HONOR PAD X8A 128 GB</v>
      </c>
      <c r="T1312" s="2">
        <v>1</v>
      </c>
      <c r="U1312" s="2"/>
      <c r="V1312" s="2"/>
      <c r="W1312" s="2"/>
      <c r="X1312" s="2"/>
      <c r="Y1312" s="7"/>
      <c r="Z1312" s="2"/>
      <c r="AA1312" s="1"/>
      <c r="AC1312" s="2"/>
      <c r="AE1312" s="1"/>
      <c r="AG1312" s="2"/>
    </row>
    <row r="1313" spans="12:33" ht="49.95" customHeight="1" x14ac:dyDescent="0.3">
      <c r="L1313" s="2"/>
      <c r="M1313" s="2"/>
      <c r="N1313" s="2">
        <v>8158</v>
      </c>
      <c r="O1313" s="339" t="s">
        <v>4726</v>
      </c>
      <c r="P1313" s="16">
        <v>46127</v>
      </c>
      <c r="Q1313" s="329" t="s">
        <v>3286</v>
      </c>
      <c r="R1313" s="2">
        <f>VLOOKUP(SALIDAS111518[[#This Row],[CÓDIGO]],PRODUCTOS31316[],2,FALSE)</f>
        <v>0</v>
      </c>
      <c r="S1313" s="1" t="str">
        <f>VLOOKUP(SALIDAS111518[[#This Row],[CÓDIGO]],PRODUCTOS31316[],3,FALSE)</f>
        <v>CARCASA TABLET BMV</v>
      </c>
      <c r="T1313" s="2">
        <v>1</v>
      </c>
      <c r="U1313" s="2"/>
      <c r="V1313" s="2"/>
      <c r="W1313" s="2"/>
      <c r="X1313" s="2"/>
      <c r="Y1313" s="7"/>
      <c r="Z1313" s="2"/>
      <c r="AA1313" s="1"/>
      <c r="AC1313" s="2"/>
      <c r="AE1313" s="1"/>
      <c r="AG1313" s="2"/>
    </row>
    <row r="1314" spans="12:33" ht="49.95" customHeight="1" x14ac:dyDescent="0.3">
      <c r="L1314" s="2"/>
      <c r="M1314" s="2"/>
      <c r="N1314" s="2">
        <v>8158</v>
      </c>
      <c r="O1314" s="339" t="s">
        <v>4726</v>
      </c>
      <c r="P1314" s="16">
        <v>46127</v>
      </c>
      <c r="Q1314" s="339" t="s">
        <v>3095</v>
      </c>
      <c r="R1314" s="2">
        <f>VLOOKUP(SALIDAS111518[[#This Row],[CÓDIGO]],PRODUCTOS31316[],2,FALSE)</f>
        <v>0</v>
      </c>
      <c r="S1314" s="1" t="str">
        <f>VLOOKUP(SALIDAS111518[[#This Row],[CÓDIGO]],PRODUCTOS31316[],3,FALSE)</f>
        <v>GORRA MAS CAMPO</v>
      </c>
      <c r="T1314" s="2">
        <v>1</v>
      </c>
      <c r="U1314" s="2"/>
      <c r="V1314" s="2"/>
      <c r="W1314" s="2"/>
      <c r="X1314" s="2"/>
      <c r="Y1314" s="7"/>
      <c r="Z1314" s="2"/>
      <c r="AA1314" s="1"/>
      <c r="AC1314" s="2"/>
      <c r="AE1314" s="1"/>
      <c r="AG1314" s="2"/>
    </row>
    <row r="1315" spans="12:33" ht="49.95" customHeight="1" x14ac:dyDescent="0.3">
      <c r="L1315" s="329" t="s">
        <v>3521</v>
      </c>
      <c r="M1315" s="329" t="s">
        <v>4578</v>
      </c>
      <c r="N1315" s="330" t="s">
        <v>4642</v>
      </c>
      <c r="O1315" s="329" t="s">
        <v>4630</v>
      </c>
      <c r="P1315" s="16">
        <v>46120</v>
      </c>
      <c r="Q1315" s="329" t="s">
        <v>3354</v>
      </c>
      <c r="R1315" s="2" t="str">
        <f>VLOOKUP(SALIDAS111518[[#This Row],[CÓDIGO]],PRODUCTOS31316[],2,FALSE)</f>
        <v>MX5C</v>
      </c>
      <c r="S1315" s="1" t="str">
        <f>VLOOKUP(SALIDAS111518[[#This Row],[CÓDIGO]],PRODUCTOS31316[],3,FALSE)</f>
        <v>ECOGRAFO MX5C CON SONDA LINEAL RECTAL/DOPLLER COLOR</v>
      </c>
      <c r="T1315" s="2">
        <v>1</v>
      </c>
      <c r="U1315" s="2">
        <v>566</v>
      </c>
      <c r="V1315" s="2"/>
      <c r="W1315" s="329" t="s">
        <v>2823</v>
      </c>
      <c r="X1315" s="2"/>
      <c r="Y1315" s="7"/>
      <c r="Z1315" s="2"/>
      <c r="AA1315" s="1"/>
      <c r="AC1315" s="2"/>
      <c r="AE1315" s="1"/>
      <c r="AG1315" s="2"/>
    </row>
    <row r="1316" spans="12:33" ht="49.95" customHeight="1" x14ac:dyDescent="0.3">
      <c r="L1316" s="2"/>
      <c r="M1316" s="2"/>
      <c r="N1316" s="329" t="s">
        <v>4643</v>
      </c>
      <c r="O1316" s="329" t="s">
        <v>4630</v>
      </c>
      <c r="P1316" s="16">
        <v>46120</v>
      </c>
      <c r="Q1316" s="329" t="s">
        <v>3791</v>
      </c>
      <c r="R1316" s="2">
        <f>VLOOKUP(SALIDAS111518[[#This Row],[CÓDIGO]],PRODUCTOS31316[],2,FALSE)</f>
        <v>6936520864546</v>
      </c>
      <c r="S1316" s="1" t="str">
        <f>VLOOKUP(SALIDAS111518[[#This Row],[CÓDIGO]],PRODUCTOS31316[],3,FALSE)</f>
        <v>TABLET 11" HONOR PAD X8A 128 GB</v>
      </c>
      <c r="T1316" s="2">
        <v>1</v>
      </c>
      <c r="U1316" s="2">
        <v>567</v>
      </c>
      <c r="V1316" s="2"/>
      <c r="W1316" s="2"/>
      <c r="X1316" s="2"/>
      <c r="Y1316" s="7"/>
      <c r="Z1316" s="2"/>
      <c r="AA1316" s="1"/>
      <c r="AC1316" s="2"/>
      <c r="AE1316" s="1"/>
      <c r="AG1316" s="2"/>
    </row>
    <row r="1317" spans="12:33" ht="49.95" customHeight="1" x14ac:dyDescent="0.3">
      <c r="L1317" s="2"/>
      <c r="M1317" s="2"/>
      <c r="N1317" s="2">
        <v>8164</v>
      </c>
      <c r="O1317" s="329" t="s">
        <v>4630</v>
      </c>
      <c r="P1317" s="16">
        <v>46120</v>
      </c>
      <c r="Q1317" s="329" t="s">
        <v>3286</v>
      </c>
      <c r="R1317" s="2">
        <f>VLOOKUP(SALIDAS111518[[#This Row],[CÓDIGO]],PRODUCTOS31316[],2,FALSE)</f>
        <v>0</v>
      </c>
      <c r="S1317" s="1" t="str">
        <f>VLOOKUP(SALIDAS111518[[#This Row],[CÓDIGO]],PRODUCTOS31316[],3,FALSE)</f>
        <v>CARCASA TABLET BMV</v>
      </c>
      <c r="T1317" s="2">
        <v>1</v>
      </c>
      <c r="U1317" s="2"/>
      <c r="V1317" s="2"/>
      <c r="W1317" s="2"/>
      <c r="X1317" s="2"/>
      <c r="Y1317" s="7"/>
      <c r="Z1317" s="2"/>
      <c r="AA1317" s="1"/>
      <c r="AC1317" s="2"/>
      <c r="AE1317" s="1"/>
      <c r="AG1317" s="2"/>
    </row>
    <row r="1318" spans="12:33" ht="49.95" customHeight="1" x14ac:dyDescent="0.3">
      <c r="L1318" s="329" t="s">
        <v>3521</v>
      </c>
      <c r="M1318" s="329" t="s">
        <v>4578</v>
      </c>
      <c r="N1318" s="329" t="s">
        <v>4644</v>
      </c>
      <c r="O1318" s="330" t="s">
        <v>2836</v>
      </c>
      <c r="P1318" s="16">
        <v>46120</v>
      </c>
      <c r="Q1318" s="330" t="s">
        <v>4631</v>
      </c>
      <c r="R1318" s="2" t="e">
        <f>VLOOKUP(SALIDAS111518[[#This Row],[CÓDIGO]],PRODUCTOS31316[],2,FALSE)</f>
        <v>#N/A</v>
      </c>
      <c r="S1318" s="1" t="e">
        <f>VLOOKUP(SALIDAS111518[[#This Row],[CÓDIGO]],PRODUCTOS31316[],3,FALSE)</f>
        <v>#N/A</v>
      </c>
      <c r="T1318" s="2">
        <v>1</v>
      </c>
      <c r="U1318" s="2"/>
      <c r="V1318" s="2"/>
      <c r="W1318" s="2"/>
      <c r="X1318" s="2"/>
      <c r="Y1318" s="7"/>
      <c r="Z1318" s="2"/>
      <c r="AA1318" s="1"/>
      <c r="AC1318" s="2"/>
      <c r="AE1318" s="1"/>
      <c r="AG1318" s="2"/>
    </row>
    <row r="1319" spans="12:33" ht="49.95" customHeight="1" x14ac:dyDescent="0.3">
      <c r="L1319" s="329" t="s">
        <v>3521</v>
      </c>
      <c r="M1319" s="329" t="s">
        <v>4578</v>
      </c>
      <c r="N1319" s="330" t="s">
        <v>4645</v>
      </c>
      <c r="O1319" s="329" t="s">
        <v>3160</v>
      </c>
      <c r="P1319" s="16">
        <v>46120</v>
      </c>
      <c r="Q1319" s="329" t="s">
        <v>3616</v>
      </c>
      <c r="R1319" s="2" t="str">
        <f>VLOOKUP(SALIDAS111518[[#This Row],[CÓDIGO]],PRODUCTOS31316[],2,FALSE)</f>
        <v>BS-2020T</v>
      </c>
      <c r="S1319" s="1" t="str">
        <f>VLOOKUP(SALIDAS111518[[#This Row],[CÓDIGO]],PRODUCTOS31316[],3,FALSE)</f>
        <v>MICROSCOPIO TRINOCULAR BIOLOGICO Objetivo acromático finito 4×, 10×, 40×, 100× (aceite) con adaptador de montura C 0,5X</v>
      </c>
      <c r="T1319" s="2">
        <v>1</v>
      </c>
      <c r="U1319" s="2">
        <v>569</v>
      </c>
      <c r="V1319" s="2"/>
      <c r="W1319" s="2"/>
      <c r="X1319" s="2"/>
      <c r="Y1319" s="7"/>
      <c r="Z1319" s="2"/>
      <c r="AA1319" s="1"/>
      <c r="AC1319" s="2"/>
      <c r="AE1319" s="1"/>
      <c r="AG1319" s="2"/>
    </row>
    <row r="1320" spans="12:33" ht="49.95" customHeight="1" x14ac:dyDescent="0.3">
      <c r="L1320" s="2"/>
      <c r="M1320" s="2"/>
      <c r="N1320" s="2">
        <v>8166</v>
      </c>
      <c r="O1320" s="329" t="s">
        <v>3160</v>
      </c>
      <c r="P1320" s="16">
        <v>46120</v>
      </c>
      <c r="Q1320" s="329" t="s">
        <v>2339</v>
      </c>
      <c r="R1320" s="2" t="str">
        <f>VLOOKUP(SALIDAS111518[[#This Row],[CÓDIGO]],PRODUCTOS31316[],2,FALSE)</f>
        <v>SMP-24</v>
      </c>
      <c r="S1320" s="1" t="str">
        <f>VLOOKUP(SALIDAS111518[[#This Row],[CÓDIGO]],PRODUCTOS31316[],3,FALSE)</f>
        <v>ESTEREOMICROSCOPIO 2X 4X LED</v>
      </c>
      <c r="T1320" s="2">
        <v>1</v>
      </c>
      <c r="U1320" s="2"/>
      <c r="V1320" s="2"/>
      <c r="W1320" s="2"/>
      <c r="X1320" s="2"/>
      <c r="Y1320" s="7"/>
      <c r="Z1320" s="2"/>
      <c r="AA1320" s="1"/>
      <c r="AC1320" s="2"/>
      <c r="AE1320" s="1"/>
      <c r="AG1320" s="2"/>
    </row>
    <row r="1321" spans="12:33" ht="49.95" customHeight="1" x14ac:dyDescent="0.3">
      <c r="L1321" s="2"/>
      <c r="M1321" s="2"/>
      <c r="N1321" s="2">
        <v>8166</v>
      </c>
      <c r="O1321" s="329" t="s">
        <v>3160</v>
      </c>
      <c r="P1321" s="16">
        <v>46120</v>
      </c>
      <c r="Q1321" s="329" t="s">
        <v>3095</v>
      </c>
      <c r="R1321" s="2">
        <f>VLOOKUP(SALIDAS111518[[#This Row],[CÓDIGO]],PRODUCTOS31316[],2,FALSE)</f>
        <v>0</v>
      </c>
      <c r="S1321" s="1" t="str">
        <f>VLOOKUP(SALIDAS111518[[#This Row],[CÓDIGO]],PRODUCTOS31316[],3,FALSE)</f>
        <v>GORRA MAS CAMPO</v>
      </c>
      <c r="T1321" s="2">
        <v>1</v>
      </c>
      <c r="U1321" s="2"/>
      <c r="V1321" s="2"/>
      <c r="W1321" s="2"/>
      <c r="X1321" s="2"/>
      <c r="Y1321" s="7"/>
      <c r="Z1321" s="2"/>
      <c r="AA1321" s="1"/>
      <c r="AC1321" s="2"/>
      <c r="AE1321" s="1"/>
      <c r="AG1321" s="2"/>
    </row>
    <row r="1322" spans="12:33" ht="49.95" customHeight="1" x14ac:dyDescent="0.3">
      <c r="L1322" s="329" t="s">
        <v>3521</v>
      </c>
      <c r="M1322" s="329" t="s">
        <v>4578</v>
      </c>
      <c r="N1322" s="330" t="s">
        <v>4663</v>
      </c>
      <c r="O1322" s="330" t="s">
        <v>4632</v>
      </c>
      <c r="P1322" s="16">
        <v>46121</v>
      </c>
      <c r="Q1322" s="329" t="s">
        <v>3211</v>
      </c>
      <c r="R1322" s="2" t="str">
        <f>VLOOKUP(SALIDAS111518[[#This Row],[CÓDIGO]],PRODUCTOS31316[],2,FALSE)</f>
        <v>S7</v>
      </c>
      <c r="S1322" s="1" t="str">
        <f>VLOOKUP(SALIDAS111518[[#This Row],[CÓDIGO]],PRODUCTOS31316[],3,FALSE)</f>
        <v>SONDA S7 PLUS DOPPLER COLOR</v>
      </c>
      <c r="T1322" s="2">
        <v>1</v>
      </c>
      <c r="U1322" s="2">
        <v>578</v>
      </c>
      <c r="V1322" s="2"/>
      <c r="W1322" s="329" t="s">
        <v>3412</v>
      </c>
      <c r="X1322" s="2"/>
      <c r="Y1322" s="7"/>
      <c r="Z1322" s="2"/>
      <c r="AA1322" s="1"/>
      <c r="AC1322" s="2"/>
      <c r="AE1322" s="1"/>
      <c r="AG1322" s="2"/>
    </row>
    <row r="1323" spans="12:33" ht="49.95" customHeight="1" x14ac:dyDescent="0.3">
      <c r="L1323" s="2"/>
      <c r="M1323" s="2"/>
      <c r="N1323" s="2">
        <v>8171</v>
      </c>
      <c r="O1323" s="330" t="s">
        <v>4632</v>
      </c>
      <c r="P1323" s="16">
        <v>46121</v>
      </c>
      <c r="Q1323" s="329" t="s">
        <v>3791</v>
      </c>
      <c r="R1323" s="2">
        <f>VLOOKUP(SALIDAS111518[[#This Row],[CÓDIGO]],PRODUCTOS31316[],2,FALSE)</f>
        <v>6936520864546</v>
      </c>
      <c r="S1323" s="1" t="str">
        <f>VLOOKUP(SALIDAS111518[[#This Row],[CÓDIGO]],PRODUCTOS31316[],3,FALSE)</f>
        <v>TABLET 11" HONOR PAD X8A 128 GB</v>
      </c>
      <c r="T1323" s="2">
        <v>1</v>
      </c>
      <c r="U1323" s="2"/>
      <c r="V1323" s="2"/>
      <c r="W1323" s="2"/>
      <c r="X1323" s="2"/>
      <c r="Y1323" s="7"/>
      <c r="Z1323" s="2"/>
      <c r="AA1323" s="1"/>
      <c r="AC1323" s="2"/>
      <c r="AE1323" s="1"/>
      <c r="AG1323" s="2"/>
    </row>
    <row r="1324" spans="12:33" ht="49.95" customHeight="1" x14ac:dyDescent="0.3">
      <c r="L1324" s="2"/>
      <c r="M1324" s="2"/>
      <c r="N1324" s="2">
        <v>8171</v>
      </c>
      <c r="O1324" s="330" t="s">
        <v>4632</v>
      </c>
      <c r="P1324" s="16">
        <v>46121</v>
      </c>
      <c r="Q1324" s="329" t="s">
        <v>3286</v>
      </c>
      <c r="R1324" s="2">
        <f>VLOOKUP(SALIDAS111518[[#This Row],[CÓDIGO]],PRODUCTOS31316[],2,FALSE)</f>
        <v>0</v>
      </c>
      <c r="S1324" s="1" t="str">
        <f>VLOOKUP(SALIDAS111518[[#This Row],[CÓDIGO]],PRODUCTOS31316[],3,FALSE)</f>
        <v>CARCASA TABLET BMV</v>
      </c>
      <c r="T1324" s="2">
        <v>1</v>
      </c>
      <c r="U1324" s="2"/>
      <c r="V1324" s="2"/>
      <c r="W1324" s="2"/>
      <c r="X1324" s="2"/>
      <c r="Y1324" s="7"/>
      <c r="Z1324" s="2"/>
      <c r="AA1324" s="1"/>
      <c r="AC1324" s="2"/>
      <c r="AE1324" s="1"/>
      <c r="AG1324" s="2"/>
    </row>
    <row r="1325" spans="12:33" ht="49.95" customHeight="1" x14ac:dyDescent="0.3">
      <c r="L1325" s="2"/>
      <c r="M1325" s="2"/>
      <c r="N1325" s="2">
        <v>8171</v>
      </c>
      <c r="O1325" s="330" t="s">
        <v>4632</v>
      </c>
      <c r="P1325" s="16">
        <v>46121</v>
      </c>
      <c r="Q1325" s="329" t="s">
        <v>3095</v>
      </c>
      <c r="R1325" s="2">
        <f>VLOOKUP(SALIDAS111518[[#This Row],[CÓDIGO]],PRODUCTOS31316[],2,FALSE)</f>
        <v>0</v>
      </c>
      <c r="S1325" s="1" t="str">
        <f>VLOOKUP(SALIDAS111518[[#This Row],[CÓDIGO]],PRODUCTOS31316[],3,FALSE)</f>
        <v>GORRA MAS CAMPO</v>
      </c>
      <c r="T1325" s="2">
        <v>1</v>
      </c>
      <c r="U1325" s="2"/>
      <c r="V1325" s="2"/>
      <c r="W1325" s="2"/>
      <c r="X1325" s="2"/>
      <c r="Y1325" s="7"/>
      <c r="Z1325" s="2"/>
      <c r="AA1325" s="1"/>
      <c r="AC1325" s="2"/>
      <c r="AE1325" s="1"/>
      <c r="AG1325" s="2"/>
    </row>
    <row r="1326" spans="12:33" ht="49.95" customHeight="1" x14ac:dyDescent="0.3">
      <c r="L1326" s="329" t="s">
        <v>3520</v>
      </c>
      <c r="M1326" s="329" t="s">
        <v>4578</v>
      </c>
      <c r="N1326" s="330" t="s">
        <v>4662</v>
      </c>
      <c r="O1326" s="335" t="s">
        <v>2194</v>
      </c>
      <c r="P1326" s="16">
        <v>46121</v>
      </c>
      <c r="Q1326" s="329" t="s">
        <v>15</v>
      </c>
      <c r="R1326" s="2" t="str">
        <f>VLOOKUP(SALIDAS111518[[#This Row],[CÓDIGO]],PRODUCTOS31316[],2,FALSE)</f>
        <v>BTE-025PT/ 504002</v>
      </c>
      <c r="S1326" s="1" t="str">
        <f>VLOOKUP(SALIDAS111518[[#This Row],[CÓDIGO]],PRODUCTOS31316[],3,FALSE)</f>
        <v>FUNDAS PARA TRANSFERENCIA DE EMBRIONES</v>
      </c>
      <c r="T1326" s="2">
        <v>120</v>
      </c>
      <c r="U1326" s="2">
        <v>576</v>
      </c>
      <c r="V1326" s="2"/>
      <c r="W1326" s="2"/>
      <c r="X1326" s="2"/>
      <c r="Y1326" s="7"/>
      <c r="Z1326" s="2"/>
      <c r="AA1326" s="1"/>
      <c r="AC1326" s="2"/>
      <c r="AE1326" s="1"/>
      <c r="AG1326" s="2"/>
    </row>
    <row r="1327" spans="12:33" ht="49.95" customHeight="1" x14ac:dyDescent="0.3">
      <c r="L1327" s="2"/>
      <c r="M1327" s="2"/>
      <c r="N1327" s="2">
        <v>8172</v>
      </c>
      <c r="O1327" s="329" t="s">
        <v>2194</v>
      </c>
      <c r="P1327" s="16">
        <v>46121</v>
      </c>
      <c r="Q1327" s="329" t="s">
        <v>1779</v>
      </c>
      <c r="R1327" s="2">
        <f>VLOOKUP(SALIDAS111518[[#This Row],[CÓDIGO]],PRODUCTOS31316[],2,FALSE)</f>
        <v>5563</v>
      </c>
      <c r="S1327" s="1" t="str">
        <f>VLOOKUP(SALIDAS111518[[#This Row],[CÓDIGO]],PRODUCTOS31316[],3,FALSE)</f>
        <v>CAMISA SANITARIA ROLLO X 80</v>
      </c>
      <c r="T1327" s="2">
        <v>8</v>
      </c>
      <c r="U1327" s="2"/>
      <c r="V1327" s="2"/>
      <c r="W1327" s="2"/>
      <c r="X1327" s="2"/>
      <c r="Y1327" s="7"/>
      <c r="Z1327" s="2"/>
      <c r="AA1327" s="1"/>
      <c r="AC1327" s="2"/>
      <c r="AE1327" s="1"/>
      <c r="AG1327" s="2"/>
    </row>
    <row r="1328" spans="12:33" ht="49.95" customHeight="1" x14ac:dyDescent="0.3">
      <c r="L1328" s="329" t="s">
        <v>3520</v>
      </c>
      <c r="M1328" s="329" t="s">
        <v>4578</v>
      </c>
      <c r="N1328" s="330" t="s">
        <v>4664</v>
      </c>
      <c r="O1328" s="329" t="s">
        <v>4656</v>
      </c>
      <c r="P1328" s="16">
        <v>46121</v>
      </c>
      <c r="Q1328" s="329" t="s">
        <v>648</v>
      </c>
      <c r="R1328" s="2" t="str">
        <f>VLOOKUP(SALIDAS111518[[#This Row],[CÓDIGO]],PRODUCTOS31316[],2,FALSE)</f>
        <v>S5</v>
      </c>
      <c r="S1328" s="1" t="str">
        <f>VLOOKUP(SALIDAS111518[[#This Row],[CÓDIGO]],PRODUCTOS31316[],3,FALSE)</f>
        <v>SONDA S5 UNIDAD PRINCIPAL CON SONDA LINEAL RECTAL</v>
      </c>
      <c r="T1328" s="2">
        <v>1</v>
      </c>
      <c r="U1328" s="2">
        <v>579</v>
      </c>
      <c r="V1328" s="2"/>
      <c r="W1328" s="329" t="s">
        <v>3412</v>
      </c>
      <c r="X1328" s="2"/>
      <c r="Y1328" s="7"/>
      <c r="Z1328" s="2"/>
      <c r="AA1328" s="1"/>
      <c r="AC1328" s="2"/>
      <c r="AE1328" s="1"/>
      <c r="AG1328" s="2"/>
    </row>
    <row r="1329" spans="12:33" ht="49.95" customHeight="1" x14ac:dyDescent="0.3">
      <c r="L1329" s="2"/>
      <c r="M1329" s="2"/>
      <c r="N1329" s="2">
        <v>8173</v>
      </c>
      <c r="O1329" s="329" t="s">
        <v>4656</v>
      </c>
      <c r="P1329" s="16">
        <v>46121</v>
      </c>
      <c r="Q1329" s="329" t="s">
        <v>3791</v>
      </c>
      <c r="R1329" s="2">
        <f>VLOOKUP(SALIDAS111518[[#This Row],[CÓDIGO]],PRODUCTOS31316[],2,FALSE)</f>
        <v>6936520864546</v>
      </c>
      <c r="S1329" s="1" t="str">
        <f>VLOOKUP(SALIDAS111518[[#This Row],[CÓDIGO]],PRODUCTOS31316[],3,FALSE)</f>
        <v>TABLET 11" HONOR PAD X8A 128 GB</v>
      </c>
      <c r="T1329" s="2">
        <v>1</v>
      </c>
      <c r="U1329" s="2"/>
      <c r="V1329" s="2"/>
      <c r="W1329" s="2"/>
      <c r="X1329" s="2"/>
      <c r="Y1329" s="7"/>
      <c r="Z1329" s="2"/>
      <c r="AA1329" s="1"/>
      <c r="AC1329" s="2"/>
      <c r="AE1329" s="1"/>
      <c r="AG1329" s="2"/>
    </row>
    <row r="1330" spans="12:33" ht="49.95" customHeight="1" x14ac:dyDescent="0.3">
      <c r="L1330" s="2"/>
      <c r="M1330" s="2"/>
      <c r="N1330" s="2">
        <v>8173</v>
      </c>
      <c r="O1330" s="329" t="s">
        <v>4656</v>
      </c>
      <c r="P1330" s="16">
        <v>46121</v>
      </c>
      <c r="Q1330" s="329" t="s">
        <v>3286</v>
      </c>
      <c r="R1330" s="2">
        <f>VLOOKUP(SALIDAS111518[[#This Row],[CÓDIGO]],PRODUCTOS31316[],2,FALSE)</f>
        <v>0</v>
      </c>
      <c r="S1330" s="1" t="str">
        <f>VLOOKUP(SALIDAS111518[[#This Row],[CÓDIGO]],PRODUCTOS31316[],3,FALSE)</f>
        <v>CARCASA TABLET BMV</v>
      </c>
      <c r="T1330" s="2">
        <v>1</v>
      </c>
      <c r="U1330" s="2"/>
      <c r="V1330" s="2"/>
      <c r="W1330" s="2"/>
      <c r="X1330" s="2"/>
      <c r="Y1330" s="7"/>
      <c r="Z1330" s="2"/>
      <c r="AA1330" s="1"/>
      <c r="AC1330" s="2"/>
      <c r="AE1330" s="1"/>
      <c r="AG1330" s="2"/>
    </row>
    <row r="1331" spans="12:33" ht="49.95" customHeight="1" x14ac:dyDescent="0.3">
      <c r="L1331" s="2"/>
      <c r="M1331" s="2"/>
      <c r="N1331" s="2">
        <v>8173</v>
      </c>
      <c r="O1331" s="329" t="s">
        <v>4656</v>
      </c>
      <c r="P1331" s="16">
        <v>46121</v>
      </c>
      <c r="Q1331" s="329" t="s">
        <v>3095</v>
      </c>
      <c r="R1331" s="2">
        <f>VLOOKUP(SALIDAS111518[[#This Row],[CÓDIGO]],PRODUCTOS31316[],2,FALSE)</f>
        <v>0</v>
      </c>
      <c r="S1331" s="1" t="str">
        <f>VLOOKUP(SALIDAS111518[[#This Row],[CÓDIGO]],PRODUCTOS31316[],3,FALSE)</f>
        <v>GORRA MAS CAMPO</v>
      </c>
      <c r="T1331" s="2">
        <v>1</v>
      </c>
      <c r="U1331" s="2"/>
      <c r="V1331" s="2"/>
      <c r="W1331" s="2"/>
      <c r="X1331" s="2"/>
      <c r="Y1331" s="7"/>
      <c r="Z1331" s="2"/>
      <c r="AA1331" s="1"/>
      <c r="AC1331" s="2"/>
      <c r="AE1331" s="1"/>
      <c r="AG1331" s="2"/>
    </row>
    <row r="1332" spans="12:33" ht="49.95" customHeight="1" x14ac:dyDescent="0.3">
      <c r="L1332" s="329" t="s">
        <v>3521</v>
      </c>
      <c r="M1332" s="329" t="s">
        <v>4578</v>
      </c>
      <c r="N1332" s="330" t="s">
        <v>4665</v>
      </c>
      <c r="O1332" s="329" t="s">
        <v>4657</v>
      </c>
      <c r="P1332" s="16">
        <v>46121</v>
      </c>
      <c r="Q1332" s="329" t="s">
        <v>500</v>
      </c>
      <c r="R1332" s="2">
        <f>VLOOKUP(SALIDAS111518[[#This Row],[CÓDIGO]],PRODUCTOS31316[],2,FALSE)</f>
        <v>15933</v>
      </c>
      <c r="S1332" s="1" t="str">
        <f>VLOOKUP(SALIDAS111518[[#This Row],[CÓDIGO]],PRODUCTOS31316[],3,FALSE)</f>
        <v>DISPOSITIVO ENTROMETRIX</v>
      </c>
      <c r="T1332" s="2">
        <v>1</v>
      </c>
      <c r="U1332" s="2">
        <v>580</v>
      </c>
      <c r="V1332" s="2"/>
      <c r="W1332" s="2"/>
      <c r="X1332" s="2"/>
      <c r="Y1332" s="7"/>
      <c r="Z1332" s="2"/>
      <c r="AA1332" s="1"/>
      <c r="AC1332" s="2"/>
      <c r="AE1332" s="1"/>
      <c r="AG1332" s="2"/>
    </row>
    <row r="1333" spans="12:33" ht="49.95" customHeight="1" x14ac:dyDescent="0.3">
      <c r="L1333" s="329" t="s">
        <v>3520</v>
      </c>
      <c r="M1333" s="329" t="s">
        <v>4578</v>
      </c>
      <c r="N1333" s="330" t="s">
        <v>4666</v>
      </c>
      <c r="O1333" s="329" t="s">
        <v>2849</v>
      </c>
      <c r="P1333" s="16">
        <v>46121</v>
      </c>
      <c r="Q1333" s="329" t="s">
        <v>15</v>
      </c>
      <c r="R1333" s="2" t="str">
        <f>VLOOKUP(SALIDAS111518[[#This Row],[CÓDIGO]],PRODUCTOS31316[],2,FALSE)</f>
        <v>BTE-025PT/ 504002</v>
      </c>
      <c r="S1333" s="1" t="str">
        <f>VLOOKUP(SALIDAS111518[[#This Row],[CÓDIGO]],PRODUCTOS31316[],3,FALSE)</f>
        <v>FUNDAS PARA TRANSFERENCIA DE EMBRIONES</v>
      </c>
      <c r="T1333" s="2">
        <v>20</v>
      </c>
      <c r="U1333" s="2">
        <v>582</v>
      </c>
      <c r="V1333" s="2"/>
      <c r="W1333" s="2"/>
      <c r="X1333" s="55"/>
      <c r="Y1333" s="7"/>
      <c r="Z1333" s="2"/>
      <c r="AA1333" s="1"/>
      <c r="AC1333" s="2"/>
      <c r="AE1333" s="1"/>
      <c r="AG1333" s="2"/>
    </row>
    <row r="1334" spans="12:33" ht="49.95" customHeight="1" x14ac:dyDescent="0.3">
      <c r="L1334" s="329" t="s">
        <v>3520</v>
      </c>
      <c r="M1334" s="329" t="s">
        <v>4578</v>
      </c>
      <c r="N1334" s="361" t="s">
        <v>4946</v>
      </c>
      <c r="O1334" s="361" t="s">
        <v>4945</v>
      </c>
      <c r="P1334" s="346">
        <v>46139</v>
      </c>
      <c r="Q1334" s="329" t="s">
        <v>210</v>
      </c>
      <c r="R1334" s="2">
        <f>VLOOKUP(SALIDAS111518[[#This Row],[CÓDIGO]],PRODUCTOS31316[],2,FALSE)</f>
        <v>101257</v>
      </c>
      <c r="S1334" s="1" t="str">
        <f>VLOOKUP(SALIDAS111518[[#This Row],[CÓDIGO]],PRODUCTOS31316[],3,FALSE)</f>
        <v>MANGA DESECHABLE SUPER SENSITIVA</v>
      </c>
      <c r="T1334" s="2">
        <v>2</v>
      </c>
      <c r="U1334" s="359" t="s">
        <v>4947</v>
      </c>
      <c r="V1334" s="2"/>
      <c r="W1334" s="2"/>
      <c r="X1334" s="2"/>
      <c r="Y1334" s="7"/>
      <c r="Z1334" s="2"/>
      <c r="AA1334" s="1"/>
      <c r="AC1334" s="2"/>
      <c r="AE1334" s="1"/>
      <c r="AG1334" s="2"/>
    </row>
    <row r="1335" spans="12:33" ht="49.95" customHeight="1" x14ac:dyDescent="0.3">
      <c r="L1335" s="2"/>
      <c r="M1335" s="2"/>
      <c r="N1335" s="2">
        <v>8312</v>
      </c>
      <c r="O1335" s="344" t="s">
        <v>4784</v>
      </c>
      <c r="P1335" s="16">
        <v>46139</v>
      </c>
      <c r="Q1335" s="329" t="s">
        <v>15</v>
      </c>
      <c r="R1335" s="2" t="str">
        <f>VLOOKUP(SALIDAS111518[[#This Row],[CÓDIGO]],PRODUCTOS31316[],2,FALSE)</f>
        <v>BTE-025PT/ 504002</v>
      </c>
      <c r="S1335" s="1" t="str">
        <f>VLOOKUP(SALIDAS111518[[#This Row],[CÓDIGO]],PRODUCTOS31316[],3,FALSE)</f>
        <v>FUNDAS PARA TRANSFERENCIA DE EMBRIONES</v>
      </c>
      <c r="T1335" s="2">
        <v>40</v>
      </c>
      <c r="U1335" s="1" t="s">
        <v>4783</v>
      </c>
      <c r="V1335" s="2"/>
      <c r="W1335" s="2"/>
      <c r="X1335" s="2"/>
      <c r="Y1335" s="7"/>
      <c r="Z1335" s="2"/>
      <c r="AA1335" s="1"/>
      <c r="AC1335" s="2"/>
      <c r="AE1335" s="1"/>
      <c r="AG1335" s="2"/>
    </row>
    <row r="1336" spans="12:33" ht="49.95" customHeight="1" x14ac:dyDescent="0.3">
      <c r="L1336" s="329" t="s">
        <v>3520</v>
      </c>
      <c r="M1336" s="329" t="s">
        <v>4578</v>
      </c>
      <c r="N1336" s="330" t="s">
        <v>4667</v>
      </c>
      <c r="O1336" s="329" t="s">
        <v>2925</v>
      </c>
      <c r="P1336" s="16">
        <v>46121</v>
      </c>
      <c r="Q1336" s="329" t="s">
        <v>36</v>
      </c>
      <c r="R1336" s="2">
        <f>VLOOKUP(SALIDAS111518[[#This Row],[CÓDIGO]],PRODUCTOS31316[],2,FALSE)</f>
        <v>1</v>
      </c>
      <c r="S1336" s="1" t="str">
        <f>VLOOKUP(SALIDAS111518[[#This Row],[CÓDIGO]],PRODUCTOS31316[],3,FALSE)</f>
        <v xml:space="preserve">PARCHE ESTROTECT </v>
      </c>
      <c r="T1336" s="2">
        <v>12</v>
      </c>
      <c r="U1336" s="2">
        <v>583</v>
      </c>
      <c r="V1336" s="2"/>
      <c r="W1336" s="2"/>
      <c r="X1336" s="2"/>
      <c r="Y1336" s="7"/>
      <c r="Z1336" s="2"/>
      <c r="AA1336" s="1"/>
      <c r="AC1336" s="2"/>
      <c r="AE1336" s="1"/>
      <c r="AG1336" s="2"/>
    </row>
    <row r="1337" spans="12:33" ht="49.95" customHeight="1" x14ac:dyDescent="0.3">
      <c r="L1337" s="2"/>
      <c r="M1337" s="2"/>
      <c r="N1337" s="332" t="s">
        <v>4669</v>
      </c>
      <c r="O1337" s="329" t="s">
        <v>4661</v>
      </c>
      <c r="P1337" s="16">
        <v>46121</v>
      </c>
      <c r="Q1337" s="329" t="s">
        <v>648</v>
      </c>
      <c r="R1337" s="2" t="str">
        <f>VLOOKUP(SALIDAS111518[[#This Row],[CÓDIGO]],PRODUCTOS31316[],2,FALSE)</f>
        <v>S5</v>
      </c>
      <c r="S1337" s="1" t="str">
        <f>VLOOKUP(SALIDAS111518[[#This Row],[CÓDIGO]],PRODUCTOS31316[],3,FALSE)</f>
        <v>SONDA S5 UNIDAD PRINCIPAL CON SONDA LINEAL RECTAL</v>
      </c>
      <c r="T1337" s="2">
        <v>1</v>
      </c>
      <c r="U1337" s="2">
        <v>574</v>
      </c>
      <c r="V1337" s="2"/>
      <c r="W1337" s="2"/>
      <c r="X1337" s="2"/>
      <c r="Y1337" s="7"/>
      <c r="Z1337" s="2"/>
      <c r="AA1337" s="1"/>
      <c r="AC1337" s="2"/>
      <c r="AE1337" s="1"/>
      <c r="AG1337" s="2"/>
    </row>
    <row r="1338" spans="12:33" ht="49.95" customHeight="1" x14ac:dyDescent="0.3">
      <c r="L1338" s="2"/>
      <c r="M1338" s="2"/>
      <c r="N1338" s="331" t="s">
        <v>4670</v>
      </c>
      <c r="O1338" s="329" t="s">
        <v>4661</v>
      </c>
      <c r="P1338" s="16">
        <v>46121</v>
      </c>
      <c r="Q1338" s="329" t="s">
        <v>2923</v>
      </c>
      <c r="R1338" s="2" t="str">
        <f>VLOOKUP(SALIDAS111518[[#This Row],[CÓDIGO]],PRODUCTOS31316[],2,FALSE)</f>
        <v>S5B/W</v>
      </c>
      <c r="S1338" s="1" t="str">
        <f>VLOOKUP(SALIDAS111518[[#This Row],[CÓDIGO]],PRODUCTOS31316[],3,FALSE)</f>
        <v>ECOGRAFO S5 BLANCO Y NEGRO CON SONDA LINELA RECTAL</v>
      </c>
      <c r="T1338" s="2">
        <v>1</v>
      </c>
      <c r="U1338" s="2"/>
      <c r="V1338" s="2"/>
      <c r="W1338" s="2"/>
      <c r="X1338" s="2"/>
      <c r="Y1338" s="7"/>
      <c r="Z1338" s="2"/>
      <c r="AA1338" s="1"/>
      <c r="AC1338" s="2"/>
      <c r="AE1338" s="1"/>
      <c r="AG1338" s="2"/>
    </row>
    <row r="1339" spans="12:33" ht="49.95" customHeight="1" x14ac:dyDescent="0.3">
      <c r="L1339" s="329" t="s">
        <v>3521</v>
      </c>
      <c r="M1339" s="329" t="s">
        <v>4578</v>
      </c>
      <c r="N1339" s="330" t="s">
        <v>4674</v>
      </c>
      <c r="O1339" s="340" t="s">
        <v>2739</v>
      </c>
      <c r="P1339" s="16">
        <v>46122</v>
      </c>
      <c r="Q1339" s="329" t="s">
        <v>273</v>
      </c>
      <c r="R1339" s="2">
        <f>VLOOKUP(SALIDAS111518[[#This Row],[CÓDIGO]],PRODUCTOS31316[],2,FALSE)</f>
        <v>1003514</v>
      </c>
      <c r="S1339" s="1" t="str">
        <f>VLOOKUP(SALIDAS111518[[#This Row],[CÓDIGO]],PRODUCTOS31316[],3,FALSE)</f>
        <v>JALEA CONDUCTIVA (GEL ULTRASONICO) GALON X 3785 ML AZUL</v>
      </c>
      <c r="T1339" s="2">
        <v>1</v>
      </c>
      <c r="U1339" s="2">
        <v>581</v>
      </c>
      <c r="V1339" s="2"/>
      <c r="W1339" s="329" t="s">
        <v>2823</v>
      </c>
      <c r="X1339" s="2"/>
      <c r="Y1339" s="7"/>
      <c r="Z1339" s="2"/>
      <c r="AA1339" s="1"/>
      <c r="AC1339" s="2"/>
      <c r="AE1339" s="1"/>
      <c r="AG1339" s="2"/>
    </row>
    <row r="1340" spans="12:33" ht="49.95" customHeight="1" x14ac:dyDescent="0.3">
      <c r="L1340" s="329"/>
      <c r="M1340" s="329"/>
      <c r="N1340" s="2">
        <v>8177</v>
      </c>
      <c r="O1340" s="330" t="s">
        <v>2739</v>
      </c>
      <c r="P1340" s="16">
        <v>46122</v>
      </c>
      <c r="Q1340" s="329" t="s">
        <v>2420</v>
      </c>
      <c r="R1340" s="2" t="str">
        <f>VLOOKUP(SALIDAS111518[[#This Row],[CÓDIGO]],PRODUCTOS31316[],2,FALSE)</f>
        <v>L 60</v>
      </c>
      <c r="S1340" s="1" t="str">
        <f>VLOOKUP(SALIDAS111518[[#This Row],[CÓDIGO]],PRODUCTOS31316[],3,FALSE)</f>
        <v>SONDA LINEAL RECTAL L60 BMV</v>
      </c>
      <c r="T1340" s="2">
        <v>1</v>
      </c>
      <c r="U1340" s="2"/>
      <c r="V1340" s="2"/>
      <c r="W1340" s="329"/>
      <c r="X1340" s="2"/>
      <c r="Y1340" s="7"/>
      <c r="Z1340" s="2"/>
      <c r="AA1340" s="1"/>
      <c r="AC1340" s="2"/>
      <c r="AE1340" s="1"/>
      <c r="AG1340" s="2"/>
    </row>
    <row r="1341" spans="12:33" ht="49.95" customHeight="1" x14ac:dyDescent="0.3">
      <c r="L1341" s="2"/>
      <c r="M1341" s="2"/>
      <c r="N1341" s="341" t="s">
        <v>4744</v>
      </c>
      <c r="O1341" s="330" t="s">
        <v>4668</v>
      </c>
      <c r="P1341" s="16">
        <v>46125</v>
      </c>
      <c r="Q1341" s="329" t="s">
        <v>3095</v>
      </c>
      <c r="R1341" s="2">
        <f>VLOOKUP(SALIDAS111518[[#This Row],[CÓDIGO]],PRODUCTOS31316[],2,FALSE)</f>
        <v>0</v>
      </c>
      <c r="S1341" s="1" t="str">
        <f>VLOOKUP(SALIDAS111518[[#This Row],[CÓDIGO]],PRODUCTOS31316[],3,FALSE)</f>
        <v>GORRA MAS CAMPO</v>
      </c>
      <c r="T1341" s="2">
        <v>32</v>
      </c>
      <c r="U1341" s="2">
        <v>620</v>
      </c>
      <c r="V1341" s="2"/>
      <c r="W1341" s="2"/>
      <c r="X1341" s="2"/>
      <c r="Y1341" s="7"/>
      <c r="Z1341" s="2"/>
      <c r="AA1341" s="1"/>
      <c r="AC1341" s="2"/>
      <c r="AE1341" s="1"/>
      <c r="AG1341" s="2"/>
    </row>
    <row r="1342" spans="12:33" ht="49.95" customHeight="1" x14ac:dyDescent="0.3">
      <c r="L1342" s="2"/>
      <c r="M1342" s="2"/>
      <c r="N1342" s="2">
        <v>480</v>
      </c>
      <c r="O1342" s="330" t="s">
        <v>4668</v>
      </c>
      <c r="P1342" s="16">
        <v>46125</v>
      </c>
      <c r="Q1342" s="329" t="s">
        <v>3645</v>
      </c>
      <c r="R1342" s="2">
        <f>VLOOKUP(SALIDAS111518[[#This Row],[CÓDIGO]],PRODUCTOS31316[],2,FALSE)</f>
        <v>0</v>
      </c>
      <c r="S1342" s="1" t="str">
        <f>VLOOKUP(SALIDAS111518[[#This Row],[CÓDIGO]],PRODUCTOS31316[],3,FALSE)</f>
        <v>AGENDA MAS CAMPO</v>
      </c>
      <c r="T1342" s="2">
        <v>22</v>
      </c>
      <c r="U1342" s="2"/>
      <c r="V1342" s="2"/>
      <c r="W1342" s="2"/>
      <c r="X1342" s="2"/>
      <c r="Y1342" s="7"/>
      <c r="Z1342" s="2"/>
      <c r="AA1342" s="1"/>
      <c r="AC1342" s="2"/>
      <c r="AE1342" s="1"/>
      <c r="AG1342" s="2"/>
    </row>
    <row r="1343" spans="12:33" ht="49.95" customHeight="1" x14ac:dyDescent="0.3">
      <c r="L1343" s="2"/>
      <c r="M1343" s="2"/>
      <c r="N1343" s="2">
        <v>480</v>
      </c>
      <c r="O1343" s="330" t="s">
        <v>4668</v>
      </c>
      <c r="P1343" s="16">
        <v>46125</v>
      </c>
      <c r="Q1343" s="329" t="s">
        <v>3649</v>
      </c>
      <c r="R1343" s="2">
        <f>VLOOKUP(SALIDAS111518[[#This Row],[CÓDIGO]],PRODUCTOS31316[],2,FALSE)</f>
        <v>0</v>
      </c>
      <c r="S1343" s="1" t="str">
        <f>VLOOKUP(SALIDAS111518[[#This Row],[CÓDIGO]],PRODUCTOS31316[],3,FALSE)</f>
        <v>ESFEROS MAS CAMPO</v>
      </c>
      <c r="T1343" s="2">
        <v>22</v>
      </c>
      <c r="U1343" s="2"/>
      <c r="V1343" s="2"/>
      <c r="W1343" s="2"/>
      <c r="X1343" s="2"/>
      <c r="Y1343" s="7"/>
      <c r="Z1343" s="2"/>
      <c r="AA1343" s="1"/>
      <c r="AC1343" s="2"/>
      <c r="AE1343" s="1"/>
      <c r="AG1343" s="2"/>
    </row>
    <row r="1344" spans="12:33" ht="49.95" customHeight="1" x14ac:dyDescent="0.3">
      <c r="L1344" s="2"/>
      <c r="M1344" s="2"/>
      <c r="N1344" s="2">
        <v>480</v>
      </c>
      <c r="O1344" s="330" t="s">
        <v>4668</v>
      </c>
      <c r="P1344" s="16">
        <v>46125</v>
      </c>
      <c r="Q1344" s="339" t="s">
        <v>25</v>
      </c>
      <c r="R1344" s="2">
        <f>VLOOKUP(SALIDAS111518[[#This Row],[CÓDIGO]],PRODUCTOS31316[],2,FALSE)</f>
        <v>0</v>
      </c>
      <c r="S1344" s="1" t="str">
        <f>VLOOKUP(SALIDAS111518[[#This Row],[CÓDIGO]],PRODUCTOS31316[],3,FALSE)</f>
        <v>BOLSA TELA MAS CAMPO</v>
      </c>
      <c r="T1344" s="2">
        <v>18</v>
      </c>
      <c r="U1344" s="2"/>
      <c r="V1344" s="2"/>
      <c r="W1344" s="2"/>
      <c r="X1344" s="2"/>
      <c r="Y1344" s="7"/>
      <c r="Z1344" s="2"/>
      <c r="AA1344" s="1"/>
      <c r="AC1344" s="2"/>
      <c r="AE1344" s="1"/>
      <c r="AG1344" s="2"/>
    </row>
    <row r="1345" spans="12:33" ht="49.95" customHeight="1" x14ac:dyDescent="0.3">
      <c r="L1345" s="329" t="s">
        <v>3520</v>
      </c>
      <c r="M1345" s="329" t="s">
        <v>4578</v>
      </c>
      <c r="N1345" s="330" t="s">
        <v>4676</v>
      </c>
      <c r="O1345" s="329" t="s">
        <v>2728</v>
      </c>
      <c r="P1345" s="16">
        <v>46122</v>
      </c>
      <c r="Q1345" s="329" t="s">
        <v>36</v>
      </c>
      <c r="R1345" s="2">
        <f>VLOOKUP(SALIDAS111518[[#This Row],[CÓDIGO]],PRODUCTOS31316[],2,FALSE)</f>
        <v>1</v>
      </c>
      <c r="S1345" s="1" t="str">
        <f>VLOOKUP(SALIDAS111518[[#This Row],[CÓDIGO]],PRODUCTOS31316[],3,FALSE)</f>
        <v xml:space="preserve">PARCHE ESTROTECT </v>
      </c>
      <c r="T1345" s="2">
        <v>1</v>
      </c>
      <c r="U1345" s="329" t="s">
        <v>4675</v>
      </c>
      <c r="V1345" s="2"/>
      <c r="W1345" s="2"/>
      <c r="X1345" s="2"/>
      <c r="Y1345" s="7"/>
      <c r="Z1345" s="2"/>
      <c r="AA1345" s="1"/>
      <c r="AC1345" s="2"/>
      <c r="AE1345" s="1"/>
      <c r="AG1345" s="2"/>
    </row>
    <row r="1346" spans="12:33" ht="49.95" customHeight="1" x14ac:dyDescent="0.3">
      <c r="L1346" s="329" t="s">
        <v>3520</v>
      </c>
      <c r="M1346" s="329" t="s">
        <v>4578</v>
      </c>
      <c r="N1346" s="330" t="s">
        <v>4678</v>
      </c>
      <c r="O1346" s="339" t="s">
        <v>2207</v>
      </c>
      <c r="P1346" s="16">
        <v>46122</v>
      </c>
      <c r="Q1346" s="329" t="s">
        <v>4140</v>
      </c>
      <c r="R1346" s="2">
        <f>VLOOKUP(SALIDAS111518[[#This Row],[CÓDIGO]],PRODUCTOS31316[],2,FALSE)</f>
        <v>5575</v>
      </c>
      <c r="S1346" s="1" t="str">
        <f>VLOOKUP(SALIDAS111518[[#This Row],[CÓDIGO]],PRODUCTOS31316[],3,FALSE)</f>
        <v>PAJUELA AMARILLA 0.25/ PAQUETE X 2000</v>
      </c>
      <c r="T1346" s="2">
        <v>1</v>
      </c>
      <c r="U1346" s="330" t="s">
        <v>4677</v>
      </c>
      <c r="V1346" s="2"/>
      <c r="W1346" s="2"/>
      <c r="X1346" s="2"/>
      <c r="Y1346" s="7"/>
      <c r="Z1346" s="2"/>
      <c r="AA1346" s="1"/>
      <c r="AC1346" s="2"/>
      <c r="AE1346" s="1"/>
      <c r="AG1346" s="2"/>
    </row>
    <row r="1347" spans="12:33" ht="49.95" customHeight="1" x14ac:dyDescent="0.3">
      <c r="L1347" s="329" t="s">
        <v>3520</v>
      </c>
      <c r="M1347" s="329" t="s">
        <v>4578</v>
      </c>
      <c r="N1347" s="330" t="s">
        <v>4679</v>
      </c>
      <c r="O1347" s="329" t="s">
        <v>3247</v>
      </c>
      <c r="P1347" s="16">
        <v>46122</v>
      </c>
      <c r="Q1347" s="329" t="s">
        <v>369</v>
      </c>
      <c r="R1347" s="2">
        <f>VLOOKUP(SALIDAS111518[[#This Row],[CÓDIGO]],PRODUCTOS31316[],2,FALSE)</f>
        <v>0</v>
      </c>
      <c r="S1347" s="1" t="str">
        <f>VLOOKUP(SALIDAS111518[[#This Row],[CÓDIGO]],PRODUCTOS31316[],3,FALSE)</f>
        <v>FUNDA UNIVERSAL PARA I.A. RANURADA</v>
      </c>
      <c r="T1347" s="2">
        <v>1</v>
      </c>
      <c r="U1347" s="2">
        <v>586</v>
      </c>
      <c r="V1347" s="2"/>
      <c r="W1347" s="329" t="s">
        <v>2823</v>
      </c>
      <c r="X1347" s="2"/>
      <c r="Y1347" s="7"/>
      <c r="Z1347" s="2"/>
      <c r="AA1347" s="1"/>
      <c r="AC1347" s="2"/>
      <c r="AE1347" s="1"/>
      <c r="AG1347" s="2"/>
    </row>
    <row r="1348" spans="12:33" ht="49.95" customHeight="1" x14ac:dyDescent="0.3">
      <c r="L1348" s="2"/>
      <c r="M1348" s="2"/>
      <c r="N1348" s="2">
        <v>8180</v>
      </c>
      <c r="O1348" s="329" t="s">
        <v>3247</v>
      </c>
      <c r="P1348" s="16">
        <v>46122</v>
      </c>
      <c r="Q1348" s="329" t="s">
        <v>1779</v>
      </c>
      <c r="R1348" s="2">
        <f>VLOOKUP(SALIDAS111518[[#This Row],[CÓDIGO]],PRODUCTOS31316[],2,FALSE)</f>
        <v>5563</v>
      </c>
      <c r="S1348" s="1" t="str">
        <f>VLOOKUP(SALIDAS111518[[#This Row],[CÓDIGO]],PRODUCTOS31316[],3,FALSE)</f>
        <v>CAMISA SANITARIA ROLLO X 80</v>
      </c>
      <c r="T1348" s="2">
        <v>1</v>
      </c>
      <c r="U1348" s="2"/>
      <c r="V1348" s="2"/>
      <c r="W1348" s="2"/>
      <c r="X1348" s="2"/>
      <c r="Y1348" s="7"/>
      <c r="Z1348" s="2"/>
      <c r="AA1348" s="1"/>
      <c r="AC1348" s="2"/>
      <c r="AE1348" s="1"/>
      <c r="AG1348" s="2"/>
    </row>
    <row r="1349" spans="12:33" ht="49.95" customHeight="1" x14ac:dyDescent="0.3">
      <c r="L1349" s="2"/>
      <c r="M1349" s="2"/>
      <c r="N1349" s="2">
        <v>8180</v>
      </c>
      <c r="O1349" s="329" t="s">
        <v>3247</v>
      </c>
      <c r="P1349" s="16">
        <v>46122</v>
      </c>
      <c r="Q1349" s="329" t="s">
        <v>210</v>
      </c>
      <c r="R1349" s="2">
        <f>VLOOKUP(SALIDAS111518[[#This Row],[CÓDIGO]],PRODUCTOS31316[],2,FALSE)</f>
        <v>101257</v>
      </c>
      <c r="S1349" s="1" t="str">
        <f>VLOOKUP(SALIDAS111518[[#This Row],[CÓDIGO]],PRODUCTOS31316[],3,FALSE)</f>
        <v>MANGA DESECHABLE SUPER SENSITIVA</v>
      </c>
      <c r="T1349" s="2">
        <v>1</v>
      </c>
      <c r="U1349" s="2"/>
      <c r="V1349" s="2"/>
      <c r="W1349" s="2"/>
      <c r="X1349" s="2"/>
      <c r="Y1349" s="7"/>
      <c r="Z1349" s="2"/>
      <c r="AA1349" s="1"/>
      <c r="AC1349" s="2"/>
      <c r="AE1349" s="1"/>
      <c r="AG1349" s="2"/>
    </row>
    <row r="1350" spans="12:33" ht="49.95" customHeight="1" x14ac:dyDescent="0.3">
      <c r="L1350" s="2"/>
      <c r="M1350" s="2"/>
      <c r="N1350" s="2">
        <v>8180</v>
      </c>
      <c r="O1350" s="329" t="s">
        <v>3247</v>
      </c>
      <c r="P1350" s="16">
        <v>46122</v>
      </c>
      <c r="Q1350" s="329" t="s">
        <v>382</v>
      </c>
      <c r="R1350" s="2">
        <f>VLOOKUP(SALIDAS111518[[#This Row],[CÓDIGO]],PRODUCTOS31316[],2,FALSE)</f>
        <v>605032</v>
      </c>
      <c r="S1350" s="1" t="str">
        <f>VLOOKUP(SALIDAS111518[[#This Row],[CÓDIGO]],PRODUCTOS31316[],3,FALSE)</f>
        <v>LUBRICANTE OB, NO ESPERMICIDA</v>
      </c>
      <c r="T1350" s="2">
        <v>1</v>
      </c>
      <c r="U1350" s="2"/>
      <c r="V1350" s="2"/>
      <c r="W1350" s="2"/>
      <c r="X1350" s="2"/>
      <c r="Y1350" s="7"/>
      <c r="Z1350" s="2"/>
      <c r="AA1350" s="1"/>
      <c r="AC1350" s="2"/>
      <c r="AE1350" s="1"/>
      <c r="AG1350" s="2"/>
    </row>
    <row r="1351" spans="12:33" ht="49.95" customHeight="1" x14ac:dyDescent="0.3">
      <c r="L1351" s="2"/>
      <c r="M1351" s="2"/>
      <c r="N1351" s="2">
        <v>8180</v>
      </c>
      <c r="O1351" s="329" t="s">
        <v>3247</v>
      </c>
      <c r="P1351" s="16">
        <v>46122</v>
      </c>
      <c r="Q1351" s="329" t="s">
        <v>2382</v>
      </c>
      <c r="R1351" s="2">
        <f>VLOOKUP(SALIDAS111518[[#This Row],[CÓDIGO]],PRODUCTOS31316[],2,FALSE)</f>
        <v>1</v>
      </c>
      <c r="S1351" s="1" t="str">
        <f>VLOOKUP(SALIDAS111518[[#This Row],[CÓDIGO]],PRODUCTOS31316[],3,FALSE)</f>
        <v>TERMO DE TRANSPORTE 1 LITRO</v>
      </c>
      <c r="T1351" s="2">
        <v>1</v>
      </c>
      <c r="U1351" s="2"/>
      <c r="V1351" s="2"/>
      <c r="W1351" s="2"/>
      <c r="X1351" s="2"/>
      <c r="Y1351" s="7"/>
      <c r="Z1351" s="2"/>
      <c r="AA1351" s="1"/>
      <c r="AC1351" s="2"/>
      <c r="AE1351" s="1"/>
      <c r="AG1351" s="2"/>
    </row>
    <row r="1352" spans="12:33" ht="49.95" customHeight="1" x14ac:dyDescent="0.3">
      <c r="L1352" s="329" t="s">
        <v>3520</v>
      </c>
      <c r="M1352" s="329" t="s">
        <v>4578</v>
      </c>
      <c r="N1352" s="330" t="s">
        <v>4680</v>
      </c>
      <c r="O1352" s="329" t="s">
        <v>2723</v>
      </c>
      <c r="P1352" s="16">
        <v>46122</v>
      </c>
      <c r="Q1352" s="329" t="s">
        <v>70</v>
      </c>
      <c r="R1352" s="2">
        <f>VLOOKUP(SALIDAS111518[[#This Row],[CÓDIGO]],PRODUCTOS31316[],2,FALSE)</f>
        <v>25458</v>
      </c>
      <c r="S1352" s="1" t="str">
        <f>VLOOKUP(SALIDAS111518[[#This Row],[CÓDIGO]],PRODUCTOS31316[],3,FALSE)</f>
        <v>FILTROS PARA OPU 100 UL</v>
      </c>
      <c r="T1352" s="2">
        <v>5</v>
      </c>
      <c r="U1352" s="2">
        <v>587</v>
      </c>
      <c r="V1352" s="2"/>
      <c r="W1352" s="2"/>
      <c r="X1352" s="2"/>
      <c r="Y1352" s="7"/>
      <c r="Z1352" s="2"/>
      <c r="AA1352" s="1"/>
      <c r="AC1352" s="2"/>
      <c r="AE1352" s="1"/>
      <c r="AG1352" s="2"/>
    </row>
    <row r="1353" spans="12:33" ht="49.95" customHeight="1" x14ac:dyDescent="0.3">
      <c r="L1353" s="2"/>
      <c r="M1353" s="2"/>
      <c r="N1353" s="2">
        <v>8181</v>
      </c>
      <c r="O1353" s="329" t="s">
        <v>2723</v>
      </c>
      <c r="P1353" s="16">
        <v>46122</v>
      </c>
      <c r="Q1353" s="329" t="s">
        <v>33</v>
      </c>
      <c r="R1353" s="2" t="str">
        <f>VLOOKUP(SALIDAS111518[[#This Row],[CÓDIGO]],PRODUCTOS31316[],2,FALSE)</f>
        <v>LA-120 /506003</v>
      </c>
      <c r="S1353" s="1" t="str">
        <f>VLOOKUP(SALIDAS111518[[#This Row],[CÓDIGO]],PRODUCTOS31316[],3,FALSE)</f>
        <v>LíNEA PARA OPU 1,2 METROS</v>
      </c>
      <c r="T1353" s="2">
        <v>5</v>
      </c>
      <c r="U1353" s="2"/>
      <c r="V1353" s="2"/>
      <c r="W1353" s="2"/>
      <c r="X1353" s="2"/>
      <c r="Y1353" s="7"/>
      <c r="Z1353" s="2"/>
      <c r="AA1353" s="1"/>
      <c r="AC1353" s="2"/>
      <c r="AE1353" s="1"/>
      <c r="AG1353" s="2"/>
    </row>
    <row r="1354" spans="12:33" ht="49.95" customHeight="1" x14ac:dyDescent="0.3">
      <c r="L1354" s="2"/>
      <c r="M1354" s="2"/>
      <c r="N1354" s="2">
        <v>8181</v>
      </c>
      <c r="O1354" s="329" t="s">
        <v>2723</v>
      </c>
      <c r="P1354" s="16">
        <v>46122</v>
      </c>
      <c r="Q1354" s="329" t="s">
        <v>58</v>
      </c>
      <c r="R1354" s="2" t="str">
        <f>VLOOKUP(SALIDAS111518[[#This Row],[CÓDIGO]],PRODUCTOS31316[],2,FALSE)</f>
        <v>TNB-0001-16</v>
      </c>
      <c r="S1354" s="1" t="str">
        <f>VLOOKUP(SALIDAS111518[[#This Row],[CÓDIGO]],PRODUCTOS31316[],3,FALSE)</f>
        <v>CAMISA SANITARIA PARA OPU ASPIRACIÓN FOLICULAR</v>
      </c>
      <c r="T1354" s="2">
        <v>1</v>
      </c>
      <c r="U1354" s="2"/>
      <c r="V1354" s="2"/>
      <c r="W1354" s="2"/>
      <c r="X1354" s="2"/>
      <c r="Y1354" s="7"/>
      <c r="Z1354" s="2"/>
      <c r="AA1354" s="1"/>
      <c r="AC1354" s="2"/>
      <c r="AE1354" s="1"/>
      <c r="AG1354" s="2"/>
    </row>
    <row r="1355" spans="12:33" ht="49.95" customHeight="1" x14ac:dyDescent="0.3">
      <c r="L1355" s="329" t="s">
        <v>3520</v>
      </c>
      <c r="M1355" s="329" t="s">
        <v>4578</v>
      </c>
      <c r="N1355" s="330" t="s">
        <v>4681</v>
      </c>
      <c r="O1355" s="330" t="s">
        <v>3252</v>
      </c>
      <c r="P1355" s="16">
        <v>46122</v>
      </c>
      <c r="Q1355" s="329" t="s">
        <v>104</v>
      </c>
      <c r="R1355" s="2">
        <f>VLOOKUP(SALIDAS111518[[#This Row],[CÓDIGO]],PRODUCTOS31316[],2,FALSE)</f>
        <v>0</v>
      </c>
      <c r="S1355" s="1" t="str">
        <f>VLOOKUP(SALIDAS111518[[#This Row],[CÓDIGO]],PRODUCTOS31316[],3,FALSE)</f>
        <v>ISPERM CHIPS (500 TESTS PER BOX) PAQ. X 50 UND</v>
      </c>
      <c r="T1355" s="2">
        <v>2</v>
      </c>
      <c r="U1355" s="2">
        <v>588</v>
      </c>
      <c r="V1355" s="2"/>
      <c r="W1355" s="2"/>
      <c r="X1355" s="2"/>
      <c r="Y1355" s="7"/>
      <c r="Z1355" s="2"/>
      <c r="AA1355" s="1"/>
      <c r="AC1355" s="2"/>
      <c r="AE1355" s="1"/>
      <c r="AG1355" s="2"/>
    </row>
    <row r="1356" spans="12:33" ht="49.95" customHeight="1" x14ac:dyDescent="0.3">
      <c r="L1356" s="2" t="s">
        <v>3520</v>
      </c>
      <c r="M1356" s="2" t="s">
        <v>4578</v>
      </c>
      <c r="N1356" s="1" t="s">
        <v>4684</v>
      </c>
      <c r="O1356" s="2" t="s">
        <v>4309</v>
      </c>
      <c r="P1356" s="16">
        <v>46125</v>
      </c>
      <c r="Q1356" s="2" t="s">
        <v>651</v>
      </c>
      <c r="R1356" s="2">
        <f>VLOOKUP(SALIDAS111518[[#This Row],[CÓDIGO]],PRODUCTOS31316[],2,FALSE)</f>
        <v>18367</v>
      </c>
      <c r="S1356" s="1" t="str">
        <f>VLOOKUP(SALIDAS111518[[#This Row],[CÓDIGO]],PRODUCTOS31316[],3,FALSE)</f>
        <v>PISTOLA DE INSEMINACIÓN UNIVERSAL (AUTOMATIC LOCK)</v>
      </c>
      <c r="T1356" s="2">
        <v>1</v>
      </c>
      <c r="U1356" s="2">
        <v>589</v>
      </c>
      <c r="V1356" s="2"/>
      <c r="W1356" s="2" t="s">
        <v>3412</v>
      </c>
      <c r="X1356" s="2"/>
      <c r="Y1356" s="7"/>
      <c r="Z1356" s="2"/>
      <c r="AA1356" s="1"/>
      <c r="AC1356" s="2"/>
      <c r="AE1356" s="1"/>
      <c r="AG1356" s="2"/>
    </row>
    <row r="1357" spans="12:33" ht="49.95" customHeight="1" x14ac:dyDescent="0.3">
      <c r="L1357" s="2" t="s">
        <v>3520</v>
      </c>
      <c r="M1357" s="2" t="s">
        <v>4578</v>
      </c>
      <c r="N1357" s="1" t="s">
        <v>4685</v>
      </c>
      <c r="O1357" s="2" t="s">
        <v>4683</v>
      </c>
      <c r="P1357" s="16">
        <v>46125</v>
      </c>
      <c r="Q1357" s="2" t="s">
        <v>3319</v>
      </c>
      <c r="R1357" s="2">
        <f>VLOOKUP(SALIDAS111518[[#This Row],[CÓDIGO]],PRODUCTOS31316[],2,FALSE)</f>
        <v>9013002</v>
      </c>
      <c r="S1357" s="1" t="str">
        <f>VLOOKUP(SALIDAS111518[[#This Row],[CÓDIGO]],PRODUCTOS31316[],3,FALSE)</f>
        <v>TERMO DESCONGELADOR DE SEMEN Y EMBRIONES DSE-480 CON BATERÍA BLUE/GRAY</v>
      </c>
      <c r="T1357" s="2">
        <v>1</v>
      </c>
      <c r="U1357" s="2">
        <v>590</v>
      </c>
      <c r="V1357" s="2"/>
      <c r="W1357" s="2" t="s">
        <v>3412</v>
      </c>
      <c r="X1357" s="2"/>
      <c r="Y1357" s="7"/>
      <c r="Z1357" s="2"/>
      <c r="AA1357" s="1"/>
      <c r="AC1357" s="2"/>
      <c r="AE1357" s="1"/>
      <c r="AG1357" s="2"/>
    </row>
    <row r="1358" spans="12:33" ht="49.95" customHeight="1" x14ac:dyDescent="0.3">
      <c r="L1358" s="2"/>
      <c r="M1358" s="2"/>
      <c r="N1358" s="2">
        <v>8184</v>
      </c>
      <c r="O1358" s="2" t="s">
        <v>4683</v>
      </c>
      <c r="P1358" s="16">
        <v>46125</v>
      </c>
      <c r="Q1358" s="2" t="s">
        <v>15</v>
      </c>
      <c r="R1358" s="2" t="str">
        <f>VLOOKUP(SALIDAS111518[[#This Row],[CÓDIGO]],PRODUCTOS31316[],2,FALSE)</f>
        <v>BTE-025PT/ 504002</v>
      </c>
      <c r="S1358" s="1" t="str">
        <f>VLOOKUP(SALIDAS111518[[#This Row],[CÓDIGO]],PRODUCTOS31316[],3,FALSE)</f>
        <v>FUNDAS PARA TRANSFERENCIA DE EMBRIONES</v>
      </c>
      <c r="T1358" s="2">
        <v>3</v>
      </c>
      <c r="U1358" s="2"/>
      <c r="V1358" s="2"/>
      <c r="W1358" s="2"/>
      <c r="X1358" s="2"/>
      <c r="Y1358" s="7"/>
      <c r="Z1358" s="2"/>
      <c r="AA1358" s="1"/>
      <c r="AC1358" s="2"/>
      <c r="AE1358" s="1"/>
      <c r="AG1358" s="2"/>
    </row>
    <row r="1359" spans="12:33" ht="49.95" customHeight="1" x14ac:dyDescent="0.3">
      <c r="L1359" s="2"/>
      <c r="M1359" s="2"/>
      <c r="N1359" s="2">
        <v>8184</v>
      </c>
      <c r="O1359" s="2" t="s">
        <v>4683</v>
      </c>
      <c r="P1359" s="16">
        <v>46125</v>
      </c>
      <c r="Q1359" s="2" t="s">
        <v>1779</v>
      </c>
      <c r="R1359" s="2">
        <f>VLOOKUP(SALIDAS111518[[#This Row],[CÓDIGO]],PRODUCTOS31316[],2,FALSE)</f>
        <v>5563</v>
      </c>
      <c r="S1359" s="1" t="str">
        <f>VLOOKUP(SALIDAS111518[[#This Row],[CÓDIGO]],PRODUCTOS31316[],3,FALSE)</f>
        <v>CAMISA SANITARIA ROLLO X 80</v>
      </c>
      <c r="T1359" s="2">
        <v>1</v>
      </c>
      <c r="U1359" s="2"/>
      <c r="V1359" s="2"/>
      <c r="W1359" s="2"/>
      <c r="X1359" s="2"/>
      <c r="Y1359" s="7"/>
      <c r="Z1359" s="2"/>
      <c r="AA1359" s="1"/>
      <c r="AC1359" s="2"/>
      <c r="AE1359" s="1"/>
      <c r="AG1359" s="2"/>
    </row>
    <row r="1360" spans="12:33" ht="49.95" customHeight="1" x14ac:dyDescent="0.3">
      <c r="L1360" s="2" t="s">
        <v>3520</v>
      </c>
      <c r="M1360" s="2" t="s">
        <v>4578</v>
      </c>
      <c r="N1360" s="1" t="s">
        <v>4687</v>
      </c>
      <c r="O1360" s="2" t="s">
        <v>94</v>
      </c>
      <c r="P1360" s="16">
        <v>46125</v>
      </c>
      <c r="Q1360" s="2" t="s">
        <v>4386</v>
      </c>
      <c r="R1360" s="2">
        <f>VLOOKUP(SALIDAS111518[[#This Row],[CÓDIGO]],PRODUCTOS31316[],2,FALSE)</f>
        <v>754001</v>
      </c>
      <c r="S1360" s="1" t="str">
        <f>VLOOKUP(SALIDAS111518[[#This Row],[CÓDIGO]],PRODUCTOS31316[],3,FALSE)</f>
        <v>CAJA PETRI DESECHABLE ESTERIL 60X15MM MARCA: NEST</v>
      </c>
      <c r="T1360" s="2">
        <v>10</v>
      </c>
      <c r="U1360" s="2" t="s">
        <v>4686</v>
      </c>
      <c r="V1360" s="2"/>
      <c r="W1360" s="2"/>
      <c r="X1360" s="2"/>
      <c r="Y1360" s="7"/>
      <c r="Z1360" s="2"/>
      <c r="AA1360" s="1"/>
      <c r="AC1360" s="2"/>
      <c r="AE1360" s="1"/>
      <c r="AG1360" s="2"/>
    </row>
    <row r="1361" spans="12:33" ht="49.95" customHeight="1" x14ac:dyDescent="0.3">
      <c r="L1361" s="2" t="s">
        <v>3520</v>
      </c>
      <c r="M1361" s="2" t="s">
        <v>4578</v>
      </c>
      <c r="N1361" s="1" t="s">
        <v>4689</v>
      </c>
      <c r="O1361" s="2" t="s">
        <v>94</v>
      </c>
      <c r="P1361" s="16">
        <v>46125</v>
      </c>
      <c r="Q1361" s="2" t="s">
        <v>4386</v>
      </c>
      <c r="R1361" s="2">
        <f>VLOOKUP(SALIDAS111518[[#This Row],[CÓDIGO]],PRODUCTOS31316[],2,FALSE)</f>
        <v>754001</v>
      </c>
      <c r="S1361" s="1" t="str">
        <f>VLOOKUP(SALIDAS111518[[#This Row],[CÓDIGO]],PRODUCTOS31316[],3,FALSE)</f>
        <v>CAJA PETRI DESECHABLE ESTERIL 60X15MM MARCA: NEST</v>
      </c>
      <c r="T1361" s="2">
        <v>20</v>
      </c>
      <c r="U1361" s="2" t="s">
        <v>4688</v>
      </c>
      <c r="V1361" s="2"/>
      <c r="W1361" s="2"/>
      <c r="X1361" s="2"/>
      <c r="Y1361" s="7"/>
      <c r="Z1361" s="2"/>
      <c r="AA1361" s="1"/>
      <c r="AC1361" s="2"/>
      <c r="AE1361" s="1"/>
      <c r="AG1361" s="2"/>
    </row>
    <row r="1362" spans="12:33" ht="49.95" customHeight="1" x14ac:dyDescent="0.3">
      <c r="L1362" s="2" t="s">
        <v>3520</v>
      </c>
      <c r="M1362" s="2" t="s">
        <v>4578</v>
      </c>
      <c r="N1362" s="1" t="s">
        <v>4691</v>
      </c>
      <c r="O1362" s="2" t="s">
        <v>94</v>
      </c>
      <c r="P1362" s="16">
        <v>46125</v>
      </c>
      <c r="Q1362" s="2" t="s">
        <v>4386</v>
      </c>
      <c r="R1362" s="2">
        <f>VLOOKUP(SALIDAS111518[[#This Row],[CÓDIGO]],PRODUCTOS31316[],2,FALSE)</f>
        <v>754001</v>
      </c>
      <c r="S1362" s="1" t="str">
        <f>VLOOKUP(SALIDAS111518[[#This Row],[CÓDIGO]],PRODUCTOS31316[],3,FALSE)</f>
        <v>CAJA PETRI DESECHABLE ESTERIL 60X15MM MARCA: NEST</v>
      </c>
      <c r="T1362" s="2">
        <v>15</v>
      </c>
      <c r="U1362" s="2" t="s">
        <v>4690</v>
      </c>
      <c r="V1362" s="2"/>
      <c r="W1362" s="2"/>
      <c r="X1362" s="2"/>
      <c r="Y1362" s="7"/>
      <c r="Z1362" s="2"/>
      <c r="AA1362" s="1"/>
      <c r="AC1362" s="2"/>
      <c r="AE1362" s="1"/>
      <c r="AG1362" s="2"/>
    </row>
    <row r="1363" spans="12:33" ht="49.95" customHeight="1" x14ac:dyDescent="0.3">
      <c r="L1363" s="2" t="s">
        <v>3520</v>
      </c>
      <c r="M1363" s="2" t="s">
        <v>4578</v>
      </c>
      <c r="N1363" s="1" t="s">
        <v>4694</v>
      </c>
      <c r="O1363" s="2" t="s">
        <v>4693</v>
      </c>
      <c r="P1363" s="16">
        <v>46125</v>
      </c>
      <c r="Q1363" s="2" t="s">
        <v>104</v>
      </c>
      <c r="R1363" s="2">
        <f>VLOOKUP(SALIDAS111518[[#This Row],[CÓDIGO]],PRODUCTOS31316[],2,FALSE)</f>
        <v>0</v>
      </c>
      <c r="S1363" s="1" t="str">
        <f>VLOOKUP(SALIDAS111518[[#This Row],[CÓDIGO]],PRODUCTOS31316[],3,FALSE)</f>
        <v>ISPERM CHIPS (500 TESTS PER BOX) PAQ. X 50 UND</v>
      </c>
      <c r="T1363" s="2">
        <v>1</v>
      </c>
      <c r="U1363" s="2" t="s">
        <v>4692</v>
      </c>
      <c r="V1363" s="2"/>
      <c r="W1363" s="2"/>
      <c r="X1363" s="2"/>
      <c r="Y1363" s="7"/>
      <c r="Z1363" s="2"/>
      <c r="AA1363" s="1"/>
      <c r="AC1363" s="2"/>
      <c r="AE1363" s="1"/>
      <c r="AG1363" s="2"/>
    </row>
    <row r="1364" spans="12:33" ht="49.95" customHeight="1" x14ac:dyDescent="0.3">
      <c r="L1364" s="2" t="s">
        <v>3520</v>
      </c>
      <c r="M1364" s="2" t="s">
        <v>4578</v>
      </c>
      <c r="N1364" s="1" t="s">
        <v>4695</v>
      </c>
      <c r="O1364" s="1" t="s">
        <v>3409</v>
      </c>
      <c r="P1364" s="16">
        <v>46125</v>
      </c>
      <c r="Q1364" s="2" t="s">
        <v>104</v>
      </c>
      <c r="R1364" s="2">
        <f>VLOOKUP(SALIDAS111518[[#This Row],[CÓDIGO]],PRODUCTOS31316[],2,FALSE)</f>
        <v>0</v>
      </c>
      <c r="S1364" s="1" t="str">
        <f>VLOOKUP(SALIDAS111518[[#This Row],[CÓDIGO]],PRODUCTOS31316[],3,FALSE)</f>
        <v>ISPERM CHIPS (500 TESTS PER BOX) PAQ. X 50 UND</v>
      </c>
      <c r="T1364" s="2">
        <v>3</v>
      </c>
      <c r="U1364" s="2">
        <v>595</v>
      </c>
      <c r="V1364" s="2"/>
      <c r="W1364" s="2"/>
      <c r="X1364" s="2"/>
      <c r="Y1364" s="7"/>
      <c r="Z1364" s="2"/>
      <c r="AA1364" s="1"/>
      <c r="AC1364" s="2"/>
      <c r="AE1364" s="1"/>
      <c r="AG1364" s="2"/>
    </row>
    <row r="1365" spans="12:33" ht="49.95" customHeight="1" x14ac:dyDescent="0.3">
      <c r="L1365" s="15"/>
      <c r="M1365" s="15"/>
      <c r="N1365" s="352" t="s">
        <v>4912</v>
      </c>
      <c r="O1365" s="15" t="s">
        <v>4696</v>
      </c>
      <c r="P1365" s="46">
        <v>46125</v>
      </c>
      <c r="Q1365" s="2" t="s">
        <v>648</v>
      </c>
      <c r="R1365" s="2" t="str">
        <f>VLOOKUP(SALIDAS111518[[#This Row],[CÓDIGO]],PRODUCTOS31316[],2,FALSE)</f>
        <v>S5</v>
      </c>
      <c r="S1365" s="1" t="str">
        <f>VLOOKUP(SALIDAS111518[[#This Row],[CÓDIGO]],PRODUCTOS31316[],3,FALSE)</f>
        <v>SONDA S5 UNIDAD PRINCIPAL CON SONDA LINEAL RECTAL</v>
      </c>
      <c r="T1365" s="2"/>
      <c r="U1365" s="2"/>
      <c r="V1365" s="2"/>
      <c r="W1365" s="2"/>
      <c r="X1365" s="2"/>
      <c r="Y1365" s="7"/>
      <c r="Z1365" s="2"/>
      <c r="AA1365" s="1"/>
      <c r="AC1365" s="2"/>
      <c r="AE1365" s="1"/>
      <c r="AG1365" s="2"/>
    </row>
    <row r="1366" spans="12:33" ht="49.95" customHeight="1" x14ac:dyDescent="0.3">
      <c r="L1366" s="2" t="s">
        <v>4698</v>
      </c>
      <c r="M1366" s="2" t="s">
        <v>4578</v>
      </c>
      <c r="N1366" s="1" t="s">
        <v>4701</v>
      </c>
      <c r="O1366" s="2" t="s">
        <v>4696</v>
      </c>
      <c r="P1366" s="16">
        <v>46125</v>
      </c>
      <c r="Q1366" s="2" t="s">
        <v>3202</v>
      </c>
      <c r="R1366" s="2">
        <f>VLOOKUP(SALIDAS111518[[#This Row],[CÓDIGO]],PRODUCTOS31316[],2,FALSE)</f>
        <v>0</v>
      </c>
      <c r="S1366" s="1" t="str">
        <f>VLOOKUP(SALIDAS111518[[#This Row],[CÓDIGO]],PRODUCTOS31316[],3,FALSE)</f>
        <v>CABLE REPUESTO ECOGRAFO S5</v>
      </c>
      <c r="T1366" s="2">
        <v>2</v>
      </c>
      <c r="U1366" s="2">
        <v>597</v>
      </c>
      <c r="V1366" s="2"/>
      <c r="W1366" s="2"/>
      <c r="X1366" s="2"/>
      <c r="Y1366" s="7"/>
      <c r="Z1366" s="2"/>
      <c r="AA1366" s="1"/>
      <c r="AC1366" s="2"/>
      <c r="AE1366" s="1"/>
      <c r="AG1366" s="2"/>
    </row>
    <row r="1367" spans="12:33" ht="49.95" customHeight="1" x14ac:dyDescent="0.3">
      <c r="L1367" s="2" t="s">
        <v>3520</v>
      </c>
      <c r="M1367" s="2" t="s">
        <v>4578</v>
      </c>
      <c r="N1367" s="1" t="s">
        <v>4700</v>
      </c>
      <c r="O1367" s="1" t="s">
        <v>3333</v>
      </c>
      <c r="P1367" s="16">
        <v>46125</v>
      </c>
      <c r="Q1367" s="2" t="s">
        <v>3241</v>
      </c>
      <c r="R1367" s="2" t="str">
        <f>VLOOKUP(SALIDAS111518[[#This Row],[CÓDIGO]],PRODUCTOS31316[],2,FALSE)</f>
        <v>1111-3810</v>
      </c>
      <c r="S1367" s="1" t="str">
        <f>VLOOKUP(SALIDAS111518[[#This Row],[CÓDIGO]],PRODUCTOS31316[],3,FALSE)</f>
        <v>RACK DE PUNTAS 10 UL ESTERIL/ VEN 2030-01-31</v>
      </c>
      <c r="T1367" s="2">
        <v>5</v>
      </c>
      <c r="U1367" s="2">
        <v>569</v>
      </c>
      <c r="V1367" s="2"/>
      <c r="W1367" s="2"/>
      <c r="X1367" s="2"/>
      <c r="Y1367" s="7"/>
      <c r="Z1367" s="2"/>
      <c r="AA1367" s="1"/>
      <c r="AC1367" s="2"/>
      <c r="AE1367" s="1"/>
      <c r="AG1367" s="2"/>
    </row>
    <row r="1368" spans="12:33" ht="49.95" customHeight="1" x14ac:dyDescent="0.3">
      <c r="L1368" s="2"/>
      <c r="M1368" s="2"/>
      <c r="N1368" s="2">
        <v>8192</v>
      </c>
      <c r="O1368" s="1" t="s">
        <v>3333</v>
      </c>
      <c r="P1368" s="16">
        <v>46125</v>
      </c>
      <c r="Q1368" s="2" t="s">
        <v>168</v>
      </c>
      <c r="R1368" s="2">
        <f>VLOOKUP(SALIDAS111518[[#This Row],[CÓDIGO]],PRODUCTOS31316[],2,FALSE)</f>
        <v>4840</v>
      </c>
      <c r="S1368" s="1" t="str">
        <f>VLOOKUP(SALIDAS111518[[#This Row],[CÓDIGO]],PRODUCTOS31316[],3,FALSE)</f>
        <v>PUNTAS BLANCAS UNIVERSALES, PLÁSTICAS, LIBRES DE DNASAS, RNASA Y PIROGENOS, RANGO DE 0.1 A 10UL. (CORTAS).</v>
      </c>
      <c r="T1368" s="2">
        <v>5</v>
      </c>
      <c r="U1368" s="2"/>
      <c r="V1368" s="2"/>
      <c r="W1368" s="2"/>
      <c r="X1368" s="2"/>
      <c r="Y1368" s="7"/>
      <c r="Z1368" s="2"/>
      <c r="AA1368" s="1"/>
      <c r="AC1368" s="2"/>
      <c r="AE1368" s="1"/>
      <c r="AG1368" s="2"/>
    </row>
    <row r="1369" spans="12:33" ht="49.95" customHeight="1" x14ac:dyDescent="0.3">
      <c r="L1369" s="2"/>
      <c r="M1369" s="2"/>
      <c r="N1369" s="2">
        <v>8192</v>
      </c>
      <c r="O1369" s="1" t="s">
        <v>3333</v>
      </c>
      <c r="P1369" s="16">
        <v>46125</v>
      </c>
      <c r="Q1369" s="2" t="s">
        <v>602</v>
      </c>
      <c r="R1369" s="2">
        <f>VLOOKUP(SALIDAS111518[[#This Row],[CÓDIGO]],PRODUCTOS31316[],2,FALSE)</f>
        <v>4845</v>
      </c>
      <c r="S1369" s="1" t="str">
        <f>VLOOKUP(SALIDAS111518[[#This Row],[CÓDIGO]],PRODUCTOS31316[],3,FALSE)</f>
        <v>PUNTAS AMARILLAS, UNIVERSALES. PLASTICAS, NO ESTERIL. LIBRES DE RNASE, DNASE Y PYROGENOS. RANGO DE 1-200UL. BOLSA X1000UDS.</v>
      </c>
      <c r="T1369" s="2">
        <v>3</v>
      </c>
      <c r="U1369" s="2"/>
      <c r="V1369" s="2"/>
      <c r="W1369" s="2"/>
      <c r="X1369" s="2"/>
      <c r="Y1369" s="7"/>
      <c r="Z1369" s="2"/>
      <c r="AA1369" s="1"/>
      <c r="AC1369" s="2"/>
      <c r="AE1369" s="1"/>
      <c r="AG1369" s="2"/>
    </row>
    <row r="1370" spans="12:33" ht="49.95" customHeight="1" x14ac:dyDescent="0.3">
      <c r="L1370" s="2"/>
      <c r="M1370" s="2"/>
      <c r="N1370" s="2">
        <v>8192</v>
      </c>
      <c r="O1370" s="336" t="s">
        <v>3333</v>
      </c>
      <c r="P1370" s="16">
        <v>46125</v>
      </c>
      <c r="Q1370" s="2" t="s">
        <v>1799</v>
      </c>
      <c r="R1370" s="2">
        <f>VLOOKUP(SALIDAS111518[[#This Row],[CÓDIGO]],PRODUCTOS31316[],2,FALSE)</f>
        <v>4846</v>
      </c>
      <c r="S1370" s="1" t="str">
        <f>VLOOKUP(SALIDAS111518[[#This Row],[CÓDIGO]],PRODUCTOS31316[],3,FALSE)</f>
        <v>PUNTA AZULES UNIVERSALES 100- 1000 UL</v>
      </c>
      <c r="T1370" s="2">
        <v>3</v>
      </c>
      <c r="U1370" s="2"/>
      <c r="V1370" s="2"/>
      <c r="W1370" s="2"/>
      <c r="X1370" s="2"/>
      <c r="Y1370" s="7"/>
      <c r="Z1370" s="2"/>
      <c r="AA1370" s="1"/>
      <c r="AC1370" s="2"/>
      <c r="AE1370" s="1"/>
      <c r="AG1370" s="2"/>
    </row>
    <row r="1371" spans="12:33" ht="49.95" customHeight="1" x14ac:dyDescent="0.3">
      <c r="L1371" s="2" t="s">
        <v>3521</v>
      </c>
      <c r="M1371" s="2" t="s">
        <v>4578</v>
      </c>
      <c r="N1371" s="336" t="s">
        <v>4712</v>
      </c>
      <c r="O1371" s="1" t="s">
        <v>4697</v>
      </c>
      <c r="P1371" s="16">
        <v>46126</v>
      </c>
      <c r="Q1371" s="2" t="s">
        <v>648</v>
      </c>
      <c r="R1371" s="2" t="str">
        <f>VLOOKUP(SALIDAS111518[[#This Row],[CÓDIGO]],PRODUCTOS31316[],2,FALSE)</f>
        <v>S5</v>
      </c>
      <c r="S1371" s="1" t="str">
        <f>VLOOKUP(SALIDAS111518[[#This Row],[CÓDIGO]],PRODUCTOS31316[],3,FALSE)</f>
        <v>SONDA S5 UNIDAD PRINCIPAL CON SONDA LINEAL RECTAL</v>
      </c>
      <c r="T1371" s="2">
        <v>1</v>
      </c>
      <c r="U1371" s="2">
        <v>598</v>
      </c>
      <c r="V1371" s="2"/>
      <c r="W1371" s="2"/>
      <c r="X1371" s="2"/>
      <c r="Y1371" s="7"/>
      <c r="Z1371" s="2"/>
      <c r="AA1371" s="1"/>
      <c r="AC1371" s="2"/>
      <c r="AE1371" s="1"/>
      <c r="AG1371" s="2"/>
    </row>
    <row r="1372" spans="12:33" ht="49.95" customHeight="1" x14ac:dyDescent="0.3">
      <c r="L1372" s="2"/>
      <c r="M1372" s="2"/>
      <c r="N1372" s="2">
        <v>8190</v>
      </c>
      <c r="O1372" s="336" t="s">
        <v>4697</v>
      </c>
      <c r="P1372" s="16">
        <v>46126</v>
      </c>
      <c r="Q1372" s="2" t="s">
        <v>3791</v>
      </c>
      <c r="R1372" s="2">
        <f>VLOOKUP(SALIDAS111518[[#This Row],[CÓDIGO]],PRODUCTOS31316[],2,FALSE)</f>
        <v>6936520864546</v>
      </c>
      <c r="S1372" s="1" t="str">
        <f>VLOOKUP(SALIDAS111518[[#This Row],[CÓDIGO]],PRODUCTOS31316[],3,FALSE)</f>
        <v>TABLET 11" HONOR PAD X8A 128 GB</v>
      </c>
      <c r="T1372" s="2">
        <v>1</v>
      </c>
      <c r="U1372" s="2"/>
      <c r="V1372" s="2"/>
      <c r="W1372" s="2"/>
      <c r="X1372" s="2"/>
      <c r="Y1372" s="7"/>
      <c r="Z1372" s="2"/>
      <c r="AA1372" s="1"/>
      <c r="AC1372" s="2"/>
      <c r="AE1372" s="1"/>
      <c r="AG1372" s="2"/>
    </row>
    <row r="1373" spans="12:33" ht="49.95" customHeight="1" x14ac:dyDescent="0.3">
      <c r="L1373" s="2"/>
      <c r="M1373" s="2"/>
      <c r="N1373" s="2">
        <v>8190</v>
      </c>
      <c r="O1373" s="1" t="s">
        <v>4697</v>
      </c>
      <c r="P1373" s="16">
        <v>46126</v>
      </c>
      <c r="Q1373" s="2" t="s">
        <v>3286</v>
      </c>
      <c r="R1373" s="2">
        <f>VLOOKUP(SALIDAS111518[[#This Row],[CÓDIGO]],PRODUCTOS31316[],2,FALSE)</f>
        <v>0</v>
      </c>
      <c r="S1373" s="1" t="str">
        <f>VLOOKUP(SALIDAS111518[[#This Row],[CÓDIGO]],PRODUCTOS31316[],3,FALSE)</f>
        <v>CARCASA TABLET BMV</v>
      </c>
      <c r="T1373" s="2">
        <v>1</v>
      </c>
      <c r="U1373" s="2"/>
      <c r="V1373" s="2"/>
      <c r="W1373" s="2"/>
      <c r="X1373" s="2"/>
      <c r="Y1373" s="7"/>
      <c r="Z1373" s="2"/>
      <c r="AA1373" s="1"/>
      <c r="AC1373" s="2"/>
      <c r="AE1373" s="1"/>
      <c r="AG1373" s="2"/>
    </row>
    <row r="1374" spans="12:33" ht="49.95" customHeight="1" x14ac:dyDescent="0.3">
      <c r="L1374" s="2"/>
      <c r="M1374" s="2"/>
      <c r="N1374" s="2">
        <v>8190</v>
      </c>
      <c r="O1374" s="1" t="s">
        <v>4697</v>
      </c>
      <c r="P1374" s="16">
        <v>46126</v>
      </c>
      <c r="Q1374" s="335" t="s">
        <v>3095</v>
      </c>
      <c r="R1374" s="2">
        <f>VLOOKUP(SALIDAS111518[[#This Row],[CÓDIGO]],PRODUCTOS31316[],2,FALSE)</f>
        <v>0</v>
      </c>
      <c r="S1374" s="1" t="str">
        <f>VLOOKUP(SALIDAS111518[[#This Row],[CÓDIGO]],PRODUCTOS31316[],3,FALSE)</f>
        <v>GORRA MAS CAMPO</v>
      </c>
      <c r="T1374" s="2">
        <v>1</v>
      </c>
      <c r="U1374" s="2"/>
      <c r="V1374" s="2"/>
      <c r="W1374" s="2"/>
      <c r="X1374" s="2"/>
      <c r="Y1374" s="7"/>
      <c r="Z1374" s="2"/>
      <c r="AA1374" s="1"/>
      <c r="AC1374" s="2"/>
      <c r="AE1374" s="1"/>
      <c r="AG1374" s="2"/>
    </row>
    <row r="1375" spans="12:33" ht="49.95" customHeight="1" x14ac:dyDescent="0.3">
      <c r="L1375" s="2" t="s">
        <v>3521</v>
      </c>
      <c r="M1375" s="2" t="s">
        <v>4578</v>
      </c>
      <c r="N1375" s="336" t="s">
        <v>4713</v>
      </c>
      <c r="O1375" s="1" t="s">
        <v>4697</v>
      </c>
      <c r="P1375" s="16">
        <v>46126</v>
      </c>
      <c r="Q1375" s="2" t="s">
        <v>153</v>
      </c>
      <c r="R1375" s="2">
        <f>VLOOKUP(SALIDAS111518[[#This Row],[CÓDIGO]],PRODUCTOS31316[],2,FALSE)</f>
        <v>1132</v>
      </c>
      <c r="S1375" s="1" t="str">
        <f>VLOOKUP(SALIDAS111518[[#This Row],[CÓDIGO]],PRODUCTOS31316[],3,FALSE)</f>
        <v>PISTOLA QUICKLOCK CLASIC</v>
      </c>
      <c r="T1375" s="2">
        <v>2</v>
      </c>
      <c r="U1375" s="2">
        <v>599</v>
      </c>
      <c r="V1375" s="2"/>
      <c r="W1375" s="2"/>
      <c r="X1375" s="2"/>
      <c r="Y1375" s="7"/>
      <c r="Z1375" s="2"/>
      <c r="AA1375" s="1"/>
      <c r="AC1375" s="2"/>
      <c r="AE1375" s="1"/>
      <c r="AG1375" s="2"/>
    </row>
    <row r="1376" spans="12:33" ht="49.95" customHeight="1" x14ac:dyDescent="0.3">
      <c r="L1376" s="2"/>
      <c r="M1376" s="2"/>
      <c r="N1376" s="2">
        <v>8191</v>
      </c>
      <c r="O1376" s="1" t="s">
        <v>4697</v>
      </c>
      <c r="P1376" s="16">
        <v>46126</v>
      </c>
      <c r="Q1376" s="2" t="s">
        <v>149</v>
      </c>
      <c r="R1376" s="2">
        <f>VLOOKUP(SALIDAS111518[[#This Row],[CÓDIGO]],PRODUCTOS31316[],2,FALSE)</f>
        <v>18621</v>
      </c>
      <c r="S1376" s="1" t="str">
        <f>VLOOKUP(SALIDAS111518[[#This Row],[CÓDIGO]],PRODUCTOS31316[],3,FALSE)</f>
        <v>TERMO DESCONGELADOR DE SEMEN DE EMBRIONES ROJO</v>
      </c>
      <c r="T1376" s="2">
        <v>1</v>
      </c>
      <c r="U1376" s="2"/>
      <c r="V1376" s="2"/>
      <c r="W1376" s="2"/>
      <c r="X1376" s="2"/>
      <c r="Y1376" s="7"/>
      <c r="Z1376" s="2"/>
      <c r="AA1376" s="1"/>
      <c r="AC1376" s="2"/>
      <c r="AE1376" s="1"/>
      <c r="AG1376" s="2"/>
    </row>
    <row r="1377" spans="12:33" ht="49.95" customHeight="1" x14ac:dyDescent="0.3">
      <c r="L1377" s="2" t="s">
        <v>3521</v>
      </c>
      <c r="M1377" s="2" t="s">
        <v>4578</v>
      </c>
      <c r="N1377" s="336" t="s">
        <v>4714</v>
      </c>
      <c r="O1377" s="336" t="s">
        <v>4699</v>
      </c>
      <c r="P1377" s="16">
        <v>46126</v>
      </c>
      <c r="Q1377" s="2" t="s">
        <v>648</v>
      </c>
      <c r="R1377" s="2" t="str">
        <f>VLOOKUP(SALIDAS111518[[#This Row],[CÓDIGO]],PRODUCTOS31316[],2,FALSE)</f>
        <v>S5</v>
      </c>
      <c r="S1377" s="1" t="str">
        <f>VLOOKUP(SALIDAS111518[[#This Row],[CÓDIGO]],PRODUCTOS31316[],3,FALSE)</f>
        <v>SONDA S5 UNIDAD PRINCIPAL CON SONDA LINEAL RECTAL</v>
      </c>
      <c r="T1377" s="2">
        <v>1</v>
      </c>
      <c r="U1377" s="338" t="s">
        <v>4715</v>
      </c>
      <c r="V1377" s="2"/>
      <c r="W1377" s="2"/>
      <c r="X1377" s="2"/>
      <c r="Y1377" s="7"/>
      <c r="Z1377" s="2"/>
      <c r="AA1377" s="1"/>
      <c r="AC1377" s="2"/>
      <c r="AE1377" s="1"/>
      <c r="AG1377" s="2"/>
    </row>
    <row r="1378" spans="12:33" ht="49.95" customHeight="1" x14ac:dyDescent="0.3">
      <c r="L1378" s="2"/>
      <c r="M1378" s="2"/>
      <c r="N1378" s="2">
        <v>8193</v>
      </c>
      <c r="O1378" s="1" t="s">
        <v>4699</v>
      </c>
      <c r="P1378" s="16">
        <v>46126</v>
      </c>
      <c r="Q1378" s="2" t="s">
        <v>3791</v>
      </c>
      <c r="R1378" s="2">
        <f>VLOOKUP(SALIDAS111518[[#This Row],[CÓDIGO]],PRODUCTOS31316[],2,FALSE)</f>
        <v>6936520864546</v>
      </c>
      <c r="S1378" s="1" t="str">
        <f>VLOOKUP(SALIDAS111518[[#This Row],[CÓDIGO]],PRODUCTOS31316[],3,FALSE)</f>
        <v>TABLET 11" HONOR PAD X8A 128 GB</v>
      </c>
      <c r="T1378" s="2">
        <v>1</v>
      </c>
      <c r="U1378" s="337" t="s">
        <v>4711</v>
      </c>
      <c r="V1378" s="2"/>
      <c r="W1378" s="2"/>
      <c r="X1378" s="2"/>
      <c r="Y1378" s="7"/>
      <c r="Z1378" s="2"/>
      <c r="AA1378" s="1"/>
      <c r="AC1378" s="2"/>
      <c r="AE1378" s="1"/>
      <c r="AG1378" s="2"/>
    </row>
    <row r="1379" spans="12:33" ht="49.95" customHeight="1" x14ac:dyDescent="0.3">
      <c r="L1379" s="2"/>
      <c r="M1379" s="2"/>
      <c r="N1379" s="2">
        <v>8193</v>
      </c>
      <c r="O1379" s="1" t="s">
        <v>4699</v>
      </c>
      <c r="P1379" s="16">
        <v>46126</v>
      </c>
      <c r="Q1379" s="2" t="s">
        <v>3286</v>
      </c>
      <c r="R1379" s="2">
        <f>VLOOKUP(SALIDAS111518[[#This Row],[CÓDIGO]],PRODUCTOS31316[],2,FALSE)</f>
        <v>0</v>
      </c>
      <c r="S1379" s="1" t="str">
        <f>VLOOKUP(SALIDAS111518[[#This Row],[CÓDIGO]],PRODUCTOS31316[],3,FALSE)</f>
        <v>CARCASA TABLET BMV</v>
      </c>
      <c r="T1379" s="2">
        <v>1</v>
      </c>
      <c r="U1379" s="2"/>
      <c r="V1379" s="2"/>
      <c r="W1379" s="2"/>
      <c r="X1379" s="2"/>
      <c r="Y1379" s="7"/>
      <c r="Z1379" s="2"/>
      <c r="AA1379" s="1"/>
      <c r="AC1379" s="2"/>
      <c r="AE1379" s="1"/>
      <c r="AG1379" s="2"/>
    </row>
    <row r="1380" spans="12:33" ht="49.95" customHeight="1" x14ac:dyDescent="0.3">
      <c r="L1380" s="2"/>
      <c r="M1380" s="2"/>
      <c r="N1380" s="2">
        <v>8193</v>
      </c>
      <c r="O1380" s="1" t="s">
        <v>4699</v>
      </c>
      <c r="P1380" s="16">
        <v>46126</v>
      </c>
      <c r="Q1380" s="2" t="s">
        <v>3095</v>
      </c>
      <c r="R1380" s="2">
        <f>VLOOKUP(SALIDAS111518[[#This Row],[CÓDIGO]],PRODUCTOS31316[],2,FALSE)</f>
        <v>0</v>
      </c>
      <c r="S1380" s="1" t="str">
        <f>VLOOKUP(SALIDAS111518[[#This Row],[CÓDIGO]],PRODUCTOS31316[],3,FALSE)</f>
        <v>GORRA MAS CAMPO</v>
      </c>
      <c r="T1380" s="2">
        <v>1</v>
      </c>
      <c r="U1380" s="2"/>
      <c r="V1380" s="2"/>
      <c r="W1380" s="2"/>
      <c r="X1380" s="2"/>
      <c r="Y1380" s="7"/>
      <c r="Z1380" s="2"/>
      <c r="AA1380" s="1"/>
      <c r="AC1380" s="2"/>
      <c r="AE1380" s="1"/>
      <c r="AG1380" s="2"/>
    </row>
    <row r="1381" spans="12:33" ht="49.95" customHeight="1" x14ac:dyDescent="0.3">
      <c r="L1381" s="2" t="s">
        <v>3520</v>
      </c>
      <c r="M1381" s="2" t="s">
        <v>4578</v>
      </c>
      <c r="N1381" s="336" t="s">
        <v>4716</v>
      </c>
      <c r="O1381" s="1" t="s">
        <v>3409</v>
      </c>
      <c r="P1381" s="16">
        <v>46126</v>
      </c>
      <c r="Q1381" s="2" t="s">
        <v>3435</v>
      </c>
      <c r="R1381" s="2" t="str">
        <f>VLOOKUP(SALIDAS111518[[#This Row],[CÓDIGO]],PRODUCTOS31316[],2,FALSE)</f>
        <v>BK-S2</v>
      </c>
      <c r="S1381" s="1" t="str">
        <f>VLOOKUP(SALIDAS111518[[#This Row],[CÓDIGO]],PRODUCTOS31316[],3,FALSE)</f>
        <v>BAÑO DE MARÍA DE 5 LITROS</v>
      </c>
      <c r="T1381" s="2">
        <v>1</v>
      </c>
      <c r="U1381" s="2">
        <v>601</v>
      </c>
      <c r="V1381" s="2"/>
      <c r="W1381" s="2"/>
      <c r="X1381" s="2"/>
      <c r="Y1381" s="7"/>
      <c r="Z1381" s="2"/>
      <c r="AA1381" s="1"/>
      <c r="AC1381" s="2"/>
      <c r="AE1381" s="1"/>
      <c r="AG1381" s="2"/>
    </row>
    <row r="1382" spans="12:33" ht="49.95" customHeight="1" x14ac:dyDescent="0.3">
      <c r="L1382" s="2" t="s">
        <v>3521</v>
      </c>
      <c r="M1382" s="2" t="s">
        <v>4578</v>
      </c>
      <c r="N1382" s="340" t="s">
        <v>4753</v>
      </c>
      <c r="O1382" s="340" t="s">
        <v>4702</v>
      </c>
      <c r="P1382" s="16">
        <v>46128</v>
      </c>
      <c r="Q1382" s="2" t="s">
        <v>210</v>
      </c>
      <c r="R1382" s="2">
        <f>VLOOKUP(SALIDAS111518[[#This Row],[CÓDIGO]],PRODUCTOS31316[],2,FALSE)</f>
        <v>101257</v>
      </c>
      <c r="S1382" s="1" t="str">
        <f>VLOOKUP(SALIDAS111518[[#This Row],[CÓDIGO]],PRODUCTOS31316[],3,FALSE)</f>
        <v>MANGA DESECHABLE SUPER SENSITIVA</v>
      </c>
      <c r="T1382" s="2">
        <v>5</v>
      </c>
      <c r="U1382" s="2">
        <v>623</v>
      </c>
      <c r="V1382" s="2"/>
      <c r="W1382" s="2"/>
      <c r="X1382" s="2"/>
      <c r="Y1382" s="7"/>
      <c r="Z1382" s="2"/>
      <c r="AA1382" s="1"/>
      <c r="AC1382" s="2"/>
      <c r="AE1382" s="1"/>
      <c r="AG1382" s="2"/>
    </row>
    <row r="1383" spans="12:33" ht="49.95" customHeight="1" x14ac:dyDescent="0.3">
      <c r="L1383" s="2"/>
      <c r="M1383" s="2"/>
      <c r="N1383" s="2">
        <v>8214</v>
      </c>
      <c r="O1383" s="1" t="s">
        <v>4702</v>
      </c>
      <c r="P1383" s="16">
        <v>46128</v>
      </c>
      <c r="Q1383" s="2" t="s">
        <v>369</v>
      </c>
      <c r="R1383" s="2">
        <f>VLOOKUP(SALIDAS111518[[#This Row],[CÓDIGO]],PRODUCTOS31316[],2,FALSE)</f>
        <v>0</v>
      </c>
      <c r="S1383" s="1" t="str">
        <f>VLOOKUP(SALIDAS111518[[#This Row],[CÓDIGO]],PRODUCTOS31316[],3,FALSE)</f>
        <v>FUNDA UNIVERSAL PARA I.A. RANURADA</v>
      </c>
      <c r="T1383" s="2">
        <v>10</v>
      </c>
      <c r="U1383" s="2"/>
      <c r="V1383" s="2"/>
      <c r="W1383" s="2"/>
      <c r="X1383" s="2"/>
      <c r="Y1383" s="7"/>
      <c r="Z1383" s="2"/>
      <c r="AA1383" s="1"/>
      <c r="AC1383" s="2"/>
      <c r="AE1383" s="1"/>
      <c r="AG1383" s="2"/>
    </row>
    <row r="1384" spans="12:33" ht="49.95" customHeight="1" x14ac:dyDescent="0.3">
      <c r="L1384" s="2"/>
      <c r="M1384" s="2"/>
      <c r="N1384" s="2">
        <v>8214</v>
      </c>
      <c r="O1384" s="1" t="s">
        <v>4702</v>
      </c>
      <c r="P1384" s="342">
        <v>46128</v>
      </c>
      <c r="Q1384" s="2" t="s">
        <v>1779</v>
      </c>
      <c r="R1384" s="2">
        <f>VLOOKUP(SALIDAS111518[[#This Row],[CÓDIGO]],PRODUCTOS31316[],2,FALSE)</f>
        <v>5563</v>
      </c>
      <c r="S1384" s="1" t="str">
        <f>VLOOKUP(SALIDAS111518[[#This Row],[CÓDIGO]],PRODUCTOS31316[],3,FALSE)</f>
        <v>CAMISA SANITARIA ROLLO X 80</v>
      </c>
      <c r="T1384" s="2">
        <v>5</v>
      </c>
      <c r="U1384" s="2"/>
      <c r="V1384" s="2"/>
      <c r="W1384" s="2"/>
      <c r="X1384" s="2"/>
      <c r="Y1384" s="7"/>
      <c r="Z1384" s="2"/>
      <c r="AA1384" s="1"/>
      <c r="AC1384" s="2"/>
      <c r="AE1384" s="1"/>
      <c r="AG1384" s="2"/>
    </row>
    <row r="1385" spans="12:33" ht="49.95" customHeight="1" x14ac:dyDescent="0.3">
      <c r="L1385" s="2"/>
      <c r="M1385" s="2"/>
      <c r="N1385" s="2">
        <v>8214</v>
      </c>
      <c r="O1385" s="1" t="s">
        <v>4702</v>
      </c>
      <c r="P1385" s="16">
        <v>46128</v>
      </c>
      <c r="Q1385" s="2" t="s">
        <v>1631</v>
      </c>
      <c r="R1385" s="2" t="str">
        <f>VLOOKUP(SALIDAS111518[[#This Row],[CÓDIGO]],PRODUCTOS31316[],2,FALSE)</f>
        <v>7101-CRAL</v>
      </c>
      <c r="S1385" s="1" t="str">
        <f>VLOOKUP(SALIDAS111518[[#This Row],[CÓDIGO]],PRODUCTOS31316[],3,FALSE)</f>
        <v>LAMINA PORTA OBJETOS LISA EN VIDRIO 26X76MM, BORDE ESMERILADO</v>
      </c>
      <c r="T1385" s="2">
        <v>2</v>
      </c>
      <c r="U1385" s="2"/>
      <c r="V1385" s="2"/>
      <c r="W1385" s="2"/>
      <c r="X1385" s="2"/>
      <c r="Y1385" s="7"/>
      <c r="Z1385" s="2"/>
      <c r="AA1385" s="1"/>
      <c r="AC1385" s="2"/>
      <c r="AE1385" s="1"/>
      <c r="AG1385" s="2"/>
    </row>
    <row r="1386" spans="12:33" ht="49.95" customHeight="1" x14ac:dyDescent="0.3">
      <c r="L1386" s="2"/>
      <c r="M1386" s="2"/>
      <c r="N1386" s="2">
        <v>8214</v>
      </c>
      <c r="O1386" s="1" t="s">
        <v>4702</v>
      </c>
      <c r="P1386" s="342">
        <v>46128</v>
      </c>
      <c r="Q1386" s="2" t="s">
        <v>1637</v>
      </c>
      <c r="R1386" s="2" t="str">
        <f>VLOOKUP(SALIDAS111518[[#This Row],[CÓDIGO]],PRODUCTOS31316[],2,FALSE)</f>
        <v>P22X22</v>
      </c>
      <c r="S1386" s="1" t="str">
        <f>VLOOKUP(SALIDAS111518[[#This Row],[CÓDIGO]],PRODUCTOS31316[],3,FALSE)</f>
        <v>LAMINA CUBRE OBJETO EN VIDRIO 22X22</v>
      </c>
      <c r="T1386" s="2">
        <v>2</v>
      </c>
      <c r="U1386" s="2"/>
      <c r="V1386" s="2"/>
      <c r="W1386" s="2"/>
      <c r="X1386" s="2"/>
      <c r="Y1386" s="7"/>
      <c r="Z1386" s="2"/>
      <c r="AA1386" s="1"/>
      <c r="AC1386" s="2"/>
      <c r="AE1386" s="1"/>
      <c r="AG1386" s="2"/>
    </row>
    <row r="1387" spans="12:33" ht="49.95" customHeight="1" x14ac:dyDescent="0.3">
      <c r="L1387" s="2"/>
      <c r="M1387" s="2"/>
      <c r="N1387" s="2">
        <v>8214</v>
      </c>
      <c r="O1387" s="1" t="s">
        <v>4702</v>
      </c>
      <c r="P1387" s="16">
        <v>46128</v>
      </c>
      <c r="Q1387" s="2" t="s">
        <v>333</v>
      </c>
      <c r="R1387" s="2" t="str">
        <f>VLOOKUP(SALIDAS111518[[#This Row],[CÓDIGO]],PRODUCTOS31316[],2,FALSE)</f>
        <v>CTB15</v>
      </c>
      <c r="S1387" s="1" t="str">
        <f>VLOOKUP(SALIDAS111518[[#This Row],[CÓDIGO]],PRODUCTOS31316[],3,FALSE)</f>
        <v>TUBO CÓNICO DE 15 ML, TAPA ROSCA ESTÉRIL  RCF MAX: 10000xg, 
graduados, PCR puro. VENCE: 03/04/2028</v>
      </c>
      <c r="T1387" s="2">
        <v>1</v>
      </c>
      <c r="U1387" s="2"/>
      <c r="V1387" s="2"/>
      <c r="W1387" s="2"/>
      <c r="X1387" s="2"/>
      <c r="Y1387" s="7"/>
      <c r="Z1387" s="2"/>
      <c r="AA1387" s="1"/>
      <c r="AC1387" s="2"/>
      <c r="AE1387" s="1"/>
      <c r="AG1387" s="2"/>
    </row>
    <row r="1388" spans="12:33" ht="49.95" customHeight="1" x14ac:dyDescent="0.3">
      <c r="L1388" s="2"/>
      <c r="M1388" s="2"/>
      <c r="N1388" s="2">
        <v>8214</v>
      </c>
      <c r="O1388" s="1" t="s">
        <v>4702</v>
      </c>
      <c r="P1388" s="342">
        <v>46128</v>
      </c>
      <c r="Q1388" s="2" t="s">
        <v>341</v>
      </c>
      <c r="R1388" s="2" t="str">
        <f>VLOOKUP(SALIDAS111518[[#This Row],[CÓDIGO]],PRODUCTOS31316[],2,FALSE)</f>
        <v>CTB50</v>
      </c>
      <c r="S1388" s="1" t="str">
        <f>VLOOKUP(SALIDAS111518[[#This Row],[CÓDIGO]],PRODUCTOS31316[],3,FALSE)</f>
        <v>TUBO CÓNICO DE 50 mL, TAPA ROSCA, PRE ESTERILIZADO. RCF MAX: 10000xg, graduados, PCR puro.</v>
      </c>
      <c r="T1388" s="2">
        <v>1</v>
      </c>
      <c r="U1388" s="2"/>
      <c r="V1388" s="2"/>
      <c r="W1388" s="2"/>
      <c r="X1388" s="2"/>
      <c r="Y1388" s="7"/>
      <c r="Z1388" s="2"/>
      <c r="AA1388" s="1"/>
      <c r="AC1388" s="2"/>
      <c r="AE1388" s="1"/>
      <c r="AG1388" s="2"/>
    </row>
    <row r="1389" spans="12:33" ht="49.95" customHeight="1" x14ac:dyDescent="0.3">
      <c r="L1389" s="2"/>
      <c r="M1389" s="2"/>
      <c r="N1389" s="2">
        <v>8214</v>
      </c>
      <c r="O1389" s="1" t="s">
        <v>4702</v>
      </c>
      <c r="P1389" s="16">
        <v>46128</v>
      </c>
      <c r="Q1389" s="2" t="s">
        <v>3703</v>
      </c>
      <c r="R1389" s="2" t="str">
        <f>VLOOKUP(SALIDAS111518[[#This Row],[CÓDIGO]],PRODUCTOS31316[],2,FALSE)</f>
        <v>13407-010</v>
      </c>
      <c r="S1389" s="1" t="str">
        <f>VLOOKUP(SALIDAS111518[[#This Row],[CÓDIGO]],PRODUCTOS31316[],3,FALSE)</f>
        <v>PAJUELA TRANSPARENTES 0.25/ PAQ. X 2000 MARCA MINITUBE</v>
      </c>
      <c r="T1389" s="2">
        <v>1</v>
      </c>
      <c r="U1389" s="2"/>
      <c r="V1389" s="2"/>
      <c r="W1389" s="2"/>
      <c r="X1389" s="2"/>
      <c r="Y1389" s="7"/>
      <c r="Z1389" s="2"/>
      <c r="AA1389" s="1"/>
      <c r="AC1389" s="2"/>
      <c r="AE1389" s="1"/>
      <c r="AG1389" s="2"/>
    </row>
    <row r="1390" spans="12:33" ht="49.95" customHeight="1" x14ac:dyDescent="0.3">
      <c r="L1390" s="2"/>
      <c r="M1390" s="2"/>
      <c r="N1390" s="2">
        <v>8214</v>
      </c>
      <c r="O1390" s="1" t="s">
        <v>4702</v>
      </c>
      <c r="P1390" s="342">
        <v>46128</v>
      </c>
      <c r="Q1390" s="2" t="s">
        <v>3142</v>
      </c>
      <c r="R1390" s="2">
        <f>VLOOKUP(SALIDAS111518[[#This Row],[CÓDIGO]],PRODUCTOS31316[],2,FALSE)</f>
        <v>16301</v>
      </c>
      <c r="S1390" s="1" t="str">
        <f>VLOOKUP(SALIDAS111518[[#This Row],[CÓDIGO]],PRODUCTOS31316[],3,FALSE)</f>
        <v>PISTOLA DE TRANSFERENCIA DE EMBRIONES 0,25 DE MANGO DE ALUMINIO</v>
      </c>
      <c r="T1390" s="2">
        <v>2</v>
      </c>
      <c r="U1390" s="2"/>
      <c r="V1390" s="2"/>
      <c r="W1390" s="2"/>
      <c r="X1390" s="2"/>
      <c r="Y1390" s="7"/>
      <c r="Z1390" s="2"/>
      <c r="AA1390" s="1"/>
      <c r="AC1390" s="2"/>
      <c r="AE1390" s="1"/>
      <c r="AG1390" s="2"/>
    </row>
    <row r="1391" spans="12:33" ht="49.95" customHeight="1" x14ac:dyDescent="0.3">
      <c r="L1391" s="2"/>
      <c r="M1391" s="2"/>
      <c r="N1391" s="2">
        <v>8214</v>
      </c>
      <c r="O1391" s="1" t="s">
        <v>4702</v>
      </c>
      <c r="P1391" s="16">
        <v>46128</v>
      </c>
      <c r="Q1391" s="2" t="s">
        <v>15</v>
      </c>
      <c r="R1391" s="2" t="str">
        <f>VLOOKUP(SALIDAS111518[[#This Row],[CÓDIGO]],PRODUCTOS31316[],2,FALSE)</f>
        <v>BTE-025PT/ 504002</v>
      </c>
      <c r="S1391" s="1" t="str">
        <f>VLOOKUP(SALIDAS111518[[#This Row],[CÓDIGO]],PRODUCTOS31316[],3,FALSE)</f>
        <v>FUNDAS PARA TRANSFERENCIA DE EMBRIONES</v>
      </c>
      <c r="T1391" s="2">
        <v>30</v>
      </c>
      <c r="U1391" s="2"/>
      <c r="V1391" s="2"/>
      <c r="W1391" s="2"/>
      <c r="X1391" s="2"/>
      <c r="Y1391" s="7"/>
      <c r="Z1391" s="2"/>
      <c r="AA1391" s="1"/>
      <c r="AC1391" s="2"/>
      <c r="AE1391" s="1"/>
      <c r="AG1391" s="2"/>
    </row>
    <row r="1392" spans="12:33" ht="49.95" customHeight="1" x14ac:dyDescent="0.3">
      <c r="L1392" s="2"/>
      <c r="M1392" s="2"/>
      <c r="N1392" s="2">
        <v>8214</v>
      </c>
      <c r="O1392" s="1" t="s">
        <v>4702</v>
      </c>
      <c r="P1392" s="342">
        <v>46128</v>
      </c>
      <c r="Q1392" s="2" t="s">
        <v>1779</v>
      </c>
      <c r="R1392" s="2">
        <f>VLOOKUP(SALIDAS111518[[#This Row],[CÓDIGO]],PRODUCTOS31316[],2,FALSE)</f>
        <v>5563</v>
      </c>
      <c r="S1392" s="1" t="str">
        <f>VLOOKUP(SALIDAS111518[[#This Row],[CÓDIGO]],PRODUCTOS31316[],3,FALSE)</f>
        <v>CAMISA SANITARIA ROLLO X 80</v>
      </c>
      <c r="T1392" s="2">
        <v>2</v>
      </c>
      <c r="U1392" s="2"/>
      <c r="V1392" s="2"/>
      <c r="W1392" s="2"/>
      <c r="X1392" s="2"/>
      <c r="Y1392" s="7"/>
      <c r="Z1392" s="2"/>
      <c r="AA1392" s="1"/>
      <c r="AC1392" s="2"/>
      <c r="AE1392" s="1"/>
      <c r="AG1392" s="2"/>
    </row>
    <row r="1393" spans="12:33" ht="49.95" customHeight="1" x14ac:dyDescent="0.3">
      <c r="L1393" s="2"/>
      <c r="M1393" s="2"/>
      <c r="N1393" s="2">
        <v>8214</v>
      </c>
      <c r="O1393" s="1" t="s">
        <v>4702</v>
      </c>
      <c r="P1393" s="16">
        <v>46128</v>
      </c>
      <c r="Q1393" s="2" t="s">
        <v>3095</v>
      </c>
      <c r="R1393" s="2">
        <f>VLOOKUP(SALIDAS111518[[#This Row],[CÓDIGO]],PRODUCTOS31316[],2,FALSE)</f>
        <v>0</v>
      </c>
      <c r="S1393" s="1" t="str">
        <f>VLOOKUP(SALIDAS111518[[#This Row],[CÓDIGO]],PRODUCTOS31316[],3,FALSE)</f>
        <v>GORRA MAS CAMPO</v>
      </c>
      <c r="T1393" s="2">
        <v>1</v>
      </c>
      <c r="U1393" s="2"/>
      <c r="V1393" s="2"/>
      <c r="W1393" s="2"/>
      <c r="X1393" s="2"/>
      <c r="Y1393" s="7"/>
      <c r="Z1393" s="2"/>
      <c r="AA1393" s="1"/>
      <c r="AC1393" s="2"/>
      <c r="AE1393" s="1"/>
      <c r="AG1393" s="2"/>
    </row>
    <row r="1394" spans="12:33" ht="49.95" customHeight="1" x14ac:dyDescent="0.3">
      <c r="L1394" s="2" t="s">
        <v>3520</v>
      </c>
      <c r="M1394" s="2" t="s">
        <v>4578</v>
      </c>
      <c r="N1394" s="336" t="s">
        <v>4717</v>
      </c>
      <c r="O1394" s="335" t="s">
        <v>4703</v>
      </c>
      <c r="P1394" s="16">
        <v>46126</v>
      </c>
      <c r="Q1394" s="2" t="s">
        <v>3241</v>
      </c>
      <c r="R1394" s="2" t="str">
        <f>VLOOKUP(SALIDAS111518[[#This Row],[CÓDIGO]],PRODUCTOS31316[],2,FALSE)</f>
        <v>1111-3810</v>
      </c>
      <c r="S1394" s="1" t="str">
        <f>VLOOKUP(SALIDAS111518[[#This Row],[CÓDIGO]],PRODUCTOS31316[],3,FALSE)</f>
        <v>RACK DE PUNTAS 10 UL ESTERIL/ VEN 2030-01-31</v>
      </c>
      <c r="T1394" s="2">
        <v>1</v>
      </c>
      <c r="U1394" s="2">
        <v>602</v>
      </c>
      <c r="V1394" s="2"/>
      <c r="W1394" s="2"/>
      <c r="X1394" s="75"/>
      <c r="Y1394" s="7"/>
      <c r="Z1394" s="2"/>
      <c r="AA1394" s="1"/>
      <c r="AC1394" s="2"/>
      <c r="AE1394" s="1"/>
      <c r="AG1394" s="2"/>
    </row>
    <row r="1395" spans="12:33" ht="49.95" customHeight="1" x14ac:dyDescent="0.3">
      <c r="L1395" s="2"/>
      <c r="M1395" s="2"/>
      <c r="N1395" s="2">
        <v>8195</v>
      </c>
      <c r="O1395" s="2" t="s">
        <v>4703</v>
      </c>
      <c r="P1395" s="16">
        <v>46126</v>
      </c>
      <c r="Q1395" s="2" t="s">
        <v>70</v>
      </c>
      <c r="R1395" s="2">
        <f>VLOOKUP(SALIDAS111518[[#This Row],[CÓDIGO]],PRODUCTOS31316[],2,FALSE)</f>
        <v>25458</v>
      </c>
      <c r="S1395" s="1" t="str">
        <f>VLOOKUP(SALIDAS111518[[#This Row],[CÓDIGO]],PRODUCTOS31316[],3,FALSE)</f>
        <v>FILTROS PARA OPU 100 UL</v>
      </c>
      <c r="T1395" s="2">
        <v>5</v>
      </c>
      <c r="U1395" s="2"/>
      <c r="V1395" s="2"/>
      <c r="W1395" s="2"/>
      <c r="X1395" s="75"/>
      <c r="Y1395" s="7"/>
      <c r="Z1395" s="2"/>
      <c r="AA1395" s="1"/>
      <c r="AC1395" s="2"/>
      <c r="AE1395" s="1"/>
      <c r="AG1395" s="2"/>
    </row>
    <row r="1396" spans="12:33" ht="49.95" customHeight="1" x14ac:dyDescent="0.3">
      <c r="L1396" s="2" t="s">
        <v>3520</v>
      </c>
      <c r="M1396" s="2" t="s">
        <v>4578</v>
      </c>
      <c r="N1396" s="340" t="s">
        <v>4752</v>
      </c>
      <c r="O1396" s="2" t="s">
        <v>4704</v>
      </c>
      <c r="P1396" s="16">
        <v>46128</v>
      </c>
      <c r="Q1396" s="2" t="s">
        <v>2246</v>
      </c>
      <c r="R1396" s="2" t="str">
        <f>VLOOKUP(SALIDAS111518[[#This Row],[CÓDIGO]],PRODUCTOS31316[],2,FALSE)</f>
        <v>00051076-02</v>
      </c>
      <c r="S1396" s="1" t="str">
        <f>VLOOKUP(SALIDAS111518[[#This Row],[CÓDIGO]],PRODUCTOS31316[],3,FALSE)</f>
        <v>LIDOCAÍNA  HCL 2 % X 100 ML/ 2025-12-16</v>
      </c>
      <c r="T1396" s="2">
        <v>4</v>
      </c>
      <c r="U1396" s="2">
        <v>622</v>
      </c>
      <c r="V1396" s="2"/>
      <c r="W1396" s="2"/>
      <c r="X1396" s="2"/>
      <c r="Y1396" s="7"/>
      <c r="Z1396" s="2"/>
      <c r="AA1396" s="1"/>
      <c r="AC1396" s="2"/>
      <c r="AE1396" s="1"/>
      <c r="AG1396" s="2"/>
    </row>
    <row r="1397" spans="12:33" ht="49.95" customHeight="1" x14ac:dyDescent="0.3">
      <c r="L1397" s="2"/>
      <c r="M1397" s="2"/>
      <c r="N1397" s="2">
        <v>8213</v>
      </c>
      <c r="O1397" s="335" t="s">
        <v>4704</v>
      </c>
      <c r="P1397" s="16">
        <v>46128</v>
      </c>
      <c r="Q1397" s="2" t="s">
        <v>969</v>
      </c>
      <c r="R1397" s="2">
        <f>VLOOKUP(SALIDAS111518[[#This Row],[CÓDIGO]],PRODUCTOS31316[],2,FALSE)</f>
        <v>13316</v>
      </c>
      <c r="S1397" s="1" t="str">
        <f>VLOOKUP(SALIDAS111518[[#This Row],[CÓDIGO]],PRODUCTOS31316[],3,FALSE)</f>
        <v>AGUJA PARA ASPIRACIÓN 20G</v>
      </c>
      <c r="T1397" s="2">
        <v>100</v>
      </c>
      <c r="U1397" s="2"/>
      <c r="V1397" s="2"/>
      <c r="W1397" s="2"/>
      <c r="X1397" s="2"/>
      <c r="Y1397" s="7"/>
      <c r="Z1397" s="2"/>
      <c r="AA1397" s="1"/>
      <c r="AC1397" s="2"/>
      <c r="AE1397" s="1"/>
      <c r="AG1397" s="2"/>
    </row>
    <row r="1398" spans="12:33" ht="49.95" customHeight="1" x14ac:dyDescent="0.3">
      <c r="L1398" s="2" t="s">
        <v>3520</v>
      </c>
      <c r="M1398" s="2" t="s">
        <v>4578</v>
      </c>
      <c r="N1398" s="335" t="s">
        <v>4718</v>
      </c>
      <c r="O1398" s="1" t="s">
        <v>2725</v>
      </c>
      <c r="P1398" s="16">
        <v>46132</v>
      </c>
      <c r="Q1398" s="2" t="s">
        <v>15</v>
      </c>
      <c r="R1398" s="2" t="str">
        <f>VLOOKUP(SALIDAS111518[[#This Row],[CÓDIGO]],PRODUCTOS31316[],2,FALSE)</f>
        <v>BTE-025PT/ 504002</v>
      </c>
      <c r="S1398" s="1" t="str">
        <f>VLOOKUP(SALIDAS111518[[#This Row],[CÓDIGO]],PRODUCTOS31316[],3,FALSE)</f>
        <v>FUNDAS PARA TRANSFERENCIA DE EMBRIONES</v>
      </c>
      <c r="T1398" s="2">
        <v>200</v>
      </c>
      <c r="U1398" s="2">
        <v>926</v>
      </c>
      <c r="V1398" s="2"/>
      <c r="W1398" s="2"/>
      <c r="X1398" s="2"/>
      <c r="Y1398" s="7"/>
      <c r="Z1398" s="2"/>
      <c r="AA1398" s="1"/>
      <c r="AC1398" s="2"/>
      <c r="AE1398" s="1"/>
      <c r="AG1398" s="2"/>
    </row>
    <row r="1399" spans="12:33" ht="49.95" customHeight="1" x14ac:dyDescent="0.3">
      <c r="L1399" s="2"/>
      <c r="M1399" s="2"/>
      <c r="N1399" s="2">
        <v>8196</v>
      </c>
      <c r="O1399" s="1" t="s">
        <v>2725</v>
      </c>
      <c r="P1399" s="16">
        <v>46126</v>
      </c>
      <c r="Q1399" s="2" t="s">
        <v>1779</v>
      </c>
      <c r="R1399" s="2">
        <f>VLOOKUP(SALIDAS111518[[#This Row],[CÓDIGO]],PRODUCTOS31316[],2,FALSE)</f>
        <v>5563</v>
      </c>
      <c r="S1399" s="1" t="str">
        <f>VLOOKUP(SALIDAS111518[[#This Row],[CÓDIGO]],PRODUCTOS31316[],3,FALSE)</f>
        <v>CAMISA SANITARIA ROLLO X 80</v>
      </c>
      <c r="T1399" s="2">
        <v>5</v>
      </c>
      <c r="U1399" s="2">
        <v>603</v>
      </c>
      <c r="V1399" s="2"/>
      <c r="W1399" s="2"/>
      <c r="X1399" s="2"/>
      <c r="Y1399" s="7"/>
      <c r="Z1399" s="2"/>
      <c r="AA1399" s="1"/>
      <c r="AC1399" s="2"/>
      <c r="AE1399" s="1"/>
      <c r="AG1399" s="2"/>
    </row>
    <row r="1400" spans="12:33" ht="49.95" customHeight="1" x14ac:dyDescent="0.3">
      <c r="L1400" s="2"/>
      <c r="M1400" s="2"/>
      <c r="N1400" s="2">
        <v>8196</v>
      </c>
      <c r="O1400" s="344" t="s">
        <v>2725</v>
      </c>
      <c r="P1400" s="16">
        <v>46126</v>
      </c>
      <c r="Q1400" s="2" t="s">
        <v>4140</v>
      </c>
      <c r="R1400" s="2">
        <f>VLOOKUP(SALIDAS111518[[#This Row],[CÓDIGO]],PRODUCTOS31316[],2,FALSE)</f>
        <v>5575</v>
      </c>
      <c r="S1400" s="1" t="str">
        <f>VLOOKUP(SALIDAS111518[[#This Row],[CÓDIGO]],PRODUCTOS31316[],3,FALSE)</f>
        <v>PAJUELA AMARILLA 0.25/ PAQUETE X 2000</v>
      </c>
      <c r="T1400" s="2">
        <v>2</v>
      </c>
      <c r="U1400" s="2"/>
      <c r="V1400" s="2"/>
      <c r="W1400" s="2"/>
      <c r="X1400" s="2"/>
      <c r="Y1400" s="7"/>
      <c r="Z1400" s="2"/>
      <c r="AA1400" s="1"/>
      <c r="AC1400" s="2"/>
      <c r="AE1400" s="1"/>
      <c r="AG1400" s="2"/>
    </row>
    <row r="1401" spans="12:33" ht="49.95" customHeight="1" x14ac:dyDescent="0.3">
      <c r="L1401" s="345" t="s">
        <v>3520</v>
      </c>
      <c r="M1401" s="345" t="s">
        <v>4578</v>
      </c>
      <c r="N1401" s="344" t="s">
        <v>4789</v>
      </c>
      <c r="O1401" s="1" t="s">
        <v>2725</v>
      </c>
      <c r="P1401" s="16">
        <v>46132</v>
      </c>
      <c r="Q1401" s="2" t="s">
        <v>438</v>
      </c>
      <c r="R1401" s="2">
        <f>VLOOKUP(SALIDAS111518[[#This Row],[CÓDIGO]],PRODUCTOS31316[],2,FALSE)</f>
        <v>18421</v>
      </c>
      <c r="S1401" s="1" t="str">
        <f>VLOOKUP(SALIDAS111518[[#This Row],[CÓDIGO]],PRODUCTOS31316[],3,FALSE)</f>
        <v xml:space="preserve">PISTOLA DE TRANSFERENCIA DE EMBRIONES 0,25 / BLOQUEO AUTOMÁTICO </v>
      </c>
      <c r="T1401" s="2">
        <v>1</v>
      </c>
      <c r="U1401" s="2">
        <v>638</v>
      </c>
      <c r="V1401" s="2"/>
      <c r="W1401" s="2"/>
      <c r="X1401" s="2"/>
      <c r="Y1401" s="7"/>
      <c r="Z1401" s="2"/>
      <c r="AA1401" s="1"/>
      <c r="AC1401" s="2"/>
      <c r="AE1401" s="1"/>
      <c r="AG1401" s="2"/>
    </row>
    <row r="1402" spans="12:33" ht="49.95" customHeight="1" x14ac:dyDescent="0.3">
      <c r="L1402" s="2" t="s">
        <v>3521</v>
      </c>
      <c r="M1402" s="2" t="s">
        <v>4578</v>
      </c>
      <c r="N1402" s="336" t="s">
        <v>4719</v>
      </c>
      <c r="O1402" s="336" t="s">
        <v>4705</v>
      </c>
      <c r="P1402" s="16">
        <v>46126</v>
      </c>
      <c r="Q1402" s="2" t="s">
        <v>104</v>
      </c>
      <c r="R1402" s="2">
        <f>VLOOKUP(SALIDAS111518[[#This Row],[CÓDIGO]],PRODUCTOS31316[],2,FALSE)</f>
        <v>0</v>
      </c>
      <c r="S1402" s="1" t="str">
        <f>VLOOKUP(SALIDAS111518[[#This Row],[CÓDIGO]],PRODUCTOS31316[],3,FALSE)</f>
        <v>ISPERM CHIPS (500 TESTS PER BOX) PAQ. X 50 UND</v>
      </c>
      <c r="T1402" s="2">
        <v>1</v>
      </c>
      <c r="U1402" s="2">
        <v>604</v>
      </c>
      <c r="V1402" s="2"/>
      <c r="W1402" s="2"/>
      <c r="X1402" s="2"/>
      <c r="Y1402" s="7"/>
      <c r="Z1402" s="2"/>
      <c r="AA1402" s="1"/>
      <c r="AC1402" s="2"/>
      <c r="AE1402" s="1"/>
      <c r="AG1402" s="2"/>
    </row>
    <row r="1403" spans="12:33" ht="49.95" customHeight="1" x14ac:dyDescent="0.3">
      <c r="L1403" s="2" t="s">
        <v>3520</v>
      </c>
      <c r="M1403" s="2" t="s">
        <v>4578</v>
      </c>
      <c r="N1403" s="336" t="s">
        <v>4720</v>
      </c>
      <c r="O1403" s="2" t="s">
        <v>2200</v>
      </c>
      <c r="P1403" s="16">
        <v>46126</v>
      </c>
      <c r="Q1403" s="2" t="s">
        <v>2381</v>
      </c>
      <c r="R1403" s="2">
        <f>VLOOKUP(SALIDAS111518[[#This Row],[CÓDIGO]],PRODUCTOS31316[],2,FALSE)</f>
        <v>21532</v>
      </c>
      <c r="S1403" s="1" t="str">
        <f>VLOOKUP(SALIDAS111518[[#This Row],[CÓDIGO]],PRODUCTOS31316[],3,FALSE)</f>
        <v>AGUJA PARA ASPIRACIÓN 18G</v>
      </c>
      <c r="T1403" s="2">
        <v>10</v>
      </c>
      <c r="U1403" s="2">
        <v>605</v>
      </c>
      <c r="V1403" s="2"/>
      <c r="W1403" s="2"/>
      <c r="X1403" s="2"/>
      <c r="Y1403" s="7"/>
      <c r="Z1403" s="2"/>
      <c r="AA1403" s="1"/>
      <c r="AC1403" s="2"/>
      <c r="AE1403" s="1"/>
      <c r="AG1403" s="2"/>
    </row>
    <row r="1404" spans="12:33" ht="49.95" customHeight="1" x14ac:dyDescent="0.3">
      <c r="L1404" s="2"/>
      <c r="M1404" s="2"/>
      <c r="N1404" s="2">
        <v>8198</v>
      </c>
      <c r="O1404" s="2" t="s">
        <v>2200</v>
      </c>
      <c r="P1404" s="16">
        <v>46126</v>
      </c>
      <c r="Q1404" s="2" t="s">
        <v>33</v>
      </c>
      <c r="R1404" s="2" t="str">
        <f>VLOOKUP(SALIDAS111518[[#This Row],[CÓDIGO]],PRODUCTOS31316[],2,FALSE)</f>
        <v>LA-120 /506003</v>
      </c>
      <c r="S1404" s="1" t="str">
        <f>VLOOKUP(SALIDAS111518[[#This Row],[CÓDIGO]],PRODUCTOS31316[],3,FALSE)</f>
        <v>LíNEA PARA OPU 1,2 METROS</v>
      </c>
      <c r="T1404" s="2">
        <v>2</v>
      </c>
      <c r="U1404" s="2"/>
      <c r="V1404" s="2"/>
      <c r="W1404" s="2"/>
      <c r="X1404" s="2"/>
      <c r="Y1404" s="7"/>
      <c r="Z1404" s="2"/>
      <c r="AA1404" s="1"/>
      <c r="AC1404" s="2"/>
      <c r="AE1404" s="1"/>
      <c r="AG1404" s="2"/>
    </row>
    <row r="1405" spans="12:33" ht="49.95" customHeight="1" x14ac:dyDescent="0.3">
      <c r="L1405" s="333" t="s">
        <v>3521</v>
      </c>
      <c r="M1405" s="333" t="s">
        <v>4578</v>
      </c>
      <c r="N1405" s="336" t="s">
        <v>4721</v>
      </c>
      <c r="O1405" s="335" t="s">
        <v>4709</v>
      </c>
      <c r="P1405" s="16">
        <v>46126</v>
      </c>
      <c r="Q1405" s="333" t="s">
        <v>2420</v>
      </c>
      <c r="R1405" s="2" t="str">
        <f>VLOOKUP(SALIDAS111518[[#This Row],[CÓDIGO]],PRODUCTOS31316[],2,FALSE)</f>
        <v>L 60</v>
      </c>
      <c r="S1405" s="1" t="str">
        <f>VLOOKUP(SALIDAS111518[[#This Row],[CÓDIGO]],PRODUCTOS31316[],3,FALSE)</f>
        <v>SONDA LINEAL RECTAL L60 BMV</v>
      </c>
      <c r="T1405" s="2">
        <v>1</v>
      </c>
      <c r="U1405" s="2">
        <v>606</v>
      </c>
      <c r="V1405" s="2"/>
      <c r="W1405" s="333" t="s">
        <v>3412</v>
      </c>
      <c r="X1405" s="2"/>
      <c r="Y1405" s="7"/>
      <c r="Z1405" s="2"/>
      <c r="AA1405" s="1"/>
      <c r="AC1405" s="2"/>
      <c r="AE1405" s="1"/>
      <c r="AG1405" s="2"/>
    </row>
    <row r="1406" spans="12:33" ht="49.95" customHeight="1" x14ac:dyDescent="0.3">
      <c r="L1406" s="333" t="s">
        <v>3520</v>
      </c>
      <c r="M1406" s="333" t="s">
        <v>4578</v>
      </c>
      <c r="N1406" s="336" t="s">
        <v>4722</v>
      </c>
      <c r="O1406" s="335" t="s">
        <v>4630</v>
      </c>
      <c r="P1406" s="333" t="s">
        <v>4710</v>
      </c>
      <c r="Q1406" s="333" t="s">
        <v>273</v>
      </c>
      <c r="R1406" s="2">
        <f>VLOOKUP(SALIDAS111518[[#This Row],[CÓDIGO]],PRODUCTOS31316[],2,FALSE)</f>
        <v>1003514</v>
      </c>
      <c r="S1406" s="1" t="str">
        <f>VLOOKUP(SALIDAS111518[[#This Row],[CÓDIGO]],PRODUCTOS31316[],3,FALSE)</f>
        <v>JALEA CONDUCTIVA (GEL ULTRASONICO) GALON X 3785 ML AZUL</v>
      </c>
      <c r="T1406" s="2">
        <v>1</v>
      </c>
      <c r="U1406" s="2">
        <v>607</v>
      </c>
      <c r="V1406" s="2"/>
      <c r="W1406" s="333" t="s">
        <v>2823</v>
      </c>
      <c r="X1406" s="2"/>
      <c r="Y1406" s="7"/>
      <c r="Z1406" s="2"/>
      <c r="AA1406" s="1"/>
      <c r="AC1406" s="2"/>
      <c r="AE1406" s="1"/>
      <c r="AG1406" s="2"/>
    </row>
    <row r="1407" spans="12:33" ht="49.95" customHeight="1" x14ac:dyDescent="0.3">
      <c r="L1407" s="333" t="s">
        <v>3520</v>
      </c>
      <c r="M1407" s="333" t="s">
        <v>4578</v>
      </c>
      <c r="N1407" s="340" t="s">
        <v>4751</v>
      </c>
      <c r="O1407" s="333" t="s">
        <v>2193</v>
      </c>
      <c r="P1407" s="16">
        <v>46128</v>
      </c>
      <c r="Q1407" s="333" t="s">
        <v>15</v>
      </c>
      <c r="R1407" s="2" t="str">
        <f>VLOOKUP(SALIDAS111518[[#This Row],[CÓDIGO]],PRODUCTOS31316[],2,FALSE)</f>
        <v>BTE-025PT/ 504002</v>
      </c>
      <c r="S1407" s="1" t="str">
        <f>VLOOKUP(SALIDAS111518[[#This Row],[CÓDIGO]],PRODUCTOS31316[],3,FALSE)</f>
        <v>FUNDAS PARA TRANSFERENCIA DE EMBRIONES</v>
      </c>
      <c r="T1407" s="2">
        <v>20</v>
      </c>
      <c r="U1407" s="2">
        <v>608</v>
      </c>
      <c r="V1407" s="2"/>
      <c r="W1407" s="2"/>
      <c r="X1407" s="2"/>
      <c r="Y1407" s="7"/>
      <c r="Z1407" s="2"/>
      <c r="AA1407" s="1"/>
      <c r="AC1407" s="2"/>
      <c r="AE1407" s="1"/>
      <c r="AG1407" s="2"/>
    </row>
    <row r="1408" spans="12:33" ht="49.95" customHeight="1" x14ac:dyDescent="0.3">
      <c r="L1408" s="2"/>
      <c r="M1408" s="2"/>
      <c r="N1408" s="2">
        <v>8212</v>
      </c>
      <c r="O1408" s="335" t="s">
        <v>2193</v>
      </c>
      <c r="P1408" s="16">
        <v>46128</v>
      </c>
      <c r="Q1408" s="333" t="s">
        <v>1779</v>
      </c>
      <c r="R1408" s="2">
        <f>VLOOKUP(SALIDAS111518[[#This Row],[CÓDIGO]],PRODUCTOS31316[],2,FALSE)</f>
        <v>5563</v>
      </c>
      <c r="S1408" s="1" t="str">
        <f>VLOOKUP(SALIDAS111518[[#This Row],[CÓDIGO]],PRODUCTOS31316[],3,FALSE)</f>
        <v>CAMISA SANITARIA ROLLO X 80</v>
      </c>
      <c r="T1408" s="2">
        <v>1</v>
      </c>
      <c r="U1408" s="2"/>
      <c r="V1408" s="2"/>
      <c r="W1408" s="2"/>
      <c r="X1408" s="2"/>
      <c r="Y1408" s="7"/>
      <c r="Z1408" s="2"/>
      <c r="AA1408" s="1"/>
      <c r="AC1408" s="2"/>
      <c r="AE1408" s="1"/>
      <c r="AG1408" s="2"/>
    </row>
    <row r="1409" spans="12:33" ht="49.95" customHeight="1" x14ac:dyDescent="0.3">
      <c r="L1409" s="335" t="s">
        <v>3521</v>
      </c>
      <c r="M1409" s="335" t="s">
        <v>4578</v>
      </c>
      <c r="N1409" s="336" t="s">
        <v>4724</v>
      </c>
      <c r="O1409" s="335" t="s">
        <v>4599</v>
      </c>
      <c r="P1409" s="16">
        <v>46126</v>
      </c>
      <c r="Q1409" s="335" t="s">
        <v>1799</v>
      </c>
      <c r="R1409" s="2">
        <f>VLOOKUP(SALIDAS111518[[#This Row],[CÓDIGO]],PRODUCTOS31316[],2,FALSE)</f>
        <v>4846</v>
      </c>
      <c r="S1409" s="1" t="str">
        <f>VLOOKUP(SALIDAS111518[[#This Row],[CÓDIGO]],PRODUCTOS31316[],3,FALSE)</f>
        <v>PUNTA AZULES UNIVERSALES 100- 1000 UL</v>
      </c>
      <c r="T1409" s="2">
        <v>1</v>
      </c>
      <c r="U1409" s="336" t="s">
        <v>4723</v>
      </c>
      <c r="V1409" s="2"/>
      <c r="W1409" s="2"/>
      <c r="X1409" s="2"/>
      <c r="Y1409" s="7"/>
      <c r="Z1409" s="2"/>
      <c r="AA1409" s="1"/>
      <c r="AC1409" s="2"/>
      <c r="AE1409" s="1"/>
      <c r="AG1409" s="2"/>
    </row>
    <row r="1410" spans="12:33" ht="49.95" customHeight="1" x14ac:dyDescent="0.3">
      <c r="L1410" s="2"/>
      <c r="M1410" s="2"/>
      <c r="N1410" s="2">
        <v>8201</v>
      </c>
      <c r="O1410" s="335" t="s">
        <v>4599</v>
      </c>
      <c r="P1410" s="16">
        <v>46126</v>
      </c>
      <c r="Q1410" s="335" t="s">
        <v>3242</v>
      </c>
      <c r="R1410" s="2" t="str">
        <f>VLOOKUP(SALIDAS111518[[#This Row],[CÓDIGO]],PRODUCTOS31316[],2,FALSE)</f>
        <v>1111-1800</v>
      </c>
      <c r="S1410" s="1" t="str">
        <f>VLOOKUP(SALIDAS111518[[#This Row],[CÓDIGO]],PRODUCTOS31316[],3,FALSE)</f>
        <v>RACK DE PUNTAS 200 UL NO ESTERIL/   LT M1355851</v>
      </c>
      <c r="T1410" s="2">
        <v>4</v>
      </c>
      <c r="U1410" s="2"/>
      <c r="V1410" s="2"/>
      <c r="W1410" s="2"/>
      <c r="X1410" s="2"/>
      <c r="Y1410" s="7"/>
      <c r="Z1410" s="2"/>
      <c r="AA1410" s="1"/>
      <c r="AC1410" s="2"/>
      <c r="AE1410" s="1"/>
      <c r="AG1410" s="2"/>
    </row>
    <row r="1411" spans="12:33" ht="49.95" customHeight="1" x14ac:dyDescent="0.3">
      <c r="L1411" s="2"/>
      <c r="M1411" s="2"/>
      <c r="N1411" s="2">
        <v>8201</v>
      </c>
      <c r="O1411" s="335" t="s">
        <v>4599</v>
      </c>
      <c r="P1411" s="16">
        <v>46126</v>
      </c>
      <c r="Q1411" s="335" t="s">
        <v>3237</v>
      </c>
      <c r="R1411" s="2" t="str">
        <f>VLOOKUP(SALIDAS111518[[#This Row],[CÓDIGO]],PRODUCTOS31316[],2,FALSE)</f>
        <v>1111-3800</v>
      </c>
      <c r="S1411" s="1" t="str">
        <f>VLOOKUP(SALIDAS111518[[#This Row],[CÓDIGO]],PRODUCTOS31316[],3,FALSE)</f>
        <v>RACK DE PUNTAS 10 UL NO ESTERIL/ LT N1394910O/ N139103M</v>
      </c>
      <c r="T1411" s="2">
        <v>4</v>
      </c>
      <c r="U1411" s="2"/>
      <c r="V1411" s="2"/>
      <c r="W1411" s="2"/>
      <c r="X1411" s="2"/>
      <c r="Y1411" s="7"/>
      <c r="Z1411" s="2"/>
      <c r="AA1411" s="1"/>
      <c r="AC1411" s="2"/>
      <c r="AE1411" s="1"/>
      <c r="AG1411" s="2"/>
    </row>
    <row r="1412" spans="12:33" ht="49.95" customHeight="1" x14ac:dyDescent="0.3">
      <c r="L1412" s="2"/>
      <c r="M1412" s="2"/>
      <c r="N1412" s="2">
        <v>8201</v>
      </c>
      <c r="O1412" s="335" t="s">
        <v>4599</v>
      </c>
      <c r="P1412" s="16">
        <v>46126</v>
      </c>
      <c r="Q1412" s="335" t="s">
        <v>3241</v>
      </c>
      <c r="R1412" s="2" t="str">
        <f>VLOOKUP(SALIDAS111518[[#This Row],[CÓDIGO]],PRODUCTOS31316[],2,FALSE)</f>
        <v>1111-3810</v>
      </c>
      <c r="S1412" s="1" t="str">
        <f>VLOOKUP(SALIDAS111518[[#This Row],[CÓDIGO]],PRODUCTOS31316[],3,FALSE)</f>
        <v>RACK DE PUNTAS 10 UL ESTERIL/ VEN 2030-01-31</v>
      </c>
      <c r="T1412" s="2">
        <v>4</v>
      </c>
      <c r="U1412" s="2"/>
      <c r="V1412" s="2"/>
      <c r="W1412" s="2"/>
      <c r="X1412" s="2"/>
      <c r="Y1412" s="7"/>
      <c r="Z1412" s="2"/>
      <c r="AA1412" s="1"/>
      <c r="AC1412" s="2"/>
      <c r="AE1412" s="1"/>
      <c r="AG1412" s="2"/>
    </row>
    <row r="1413" spans="12:33" ht="49.95" customHeight="1" x14ac:dyDescent="0.3">
      <c r="L1413" s="2"/>
      <c r="M1413" s="2"/>
      <c r="N1413" s="2">
        <v>8201</v>
      </c>
      <c r="O1413" s="335" t="s">
        <v>4599</v>
      </c>
      <c r="P1413" s="16">
        <v>46126</v>
      </c>
      <c r="Q1413" s="335" t="s">
        <v>272</v>
      </c>
      <c r="R1413" s="2">
        <f>VLOOKUP(SALIDAS111518[[#This Row],[CÓDIGO]],PRODUCTOS31316[],2,FALSE)</f>
        <v>627161</v>
      </c>
      <c r="S1413" s="1" t="str">
        <f>VLOOKUP(SALIDAS111518[[#This Row],[CÓDIGO]],PRODUCTOS31316[],3,FALSE)</f>
        <v xml:space="preserve">CAJA PETRI 35X10 ESTERIL </v>
      </c>
      <c r="T1413" s="2">
        <v>50</v>
      </c>
      <c r="U1413" s="2"/>
      <c r="V1413" s="2"/>
      <c r="W1413" s="2"/>
      <c r="X1413" s="2"/>
      <c r="Y1413" s="7"/>
      <c r="Z1413" s="2"/>
      <c r="AA1413" s="1"/>
      <c r="AC1413" s="2"/>
      <c r="AE1413" s="1"/>
      <c r="AG1413" s="2"/>
    </row>
    <row r="1414" spans="12:33" ht="49.95" customHeight="1" x14ac:dyDescent="0.3">
      <c r="L1414" s="2"/>
      <c r="M1414" s="2"/>
      <c r="N1414" s="2">
        <v>8201</v>
      </c>
      <c r="O1414" s="335" t="s">
        <v>4599</v>
      </c>
      <c r="P1414" s="16">
        <v>46126</v>
      </c>
      <c r="Q1414" s="335" t="s">
        <v>3165</v>
      </c>
      <c r="R1414" s="2">
        <f>VLOOKUP(SALIDAS111518[[#This Row],[CÓDIGO]],PRODUCTOS31316[],2,FALSE)</f>
        <v>30943</v>
      </c>
      <c r="S1414" s="1" t="str">
        <f>VLOOKUP(SALIDAS111518[[#This Row],[CÓDIGO]],PRODUCTOS31316[],3,FALSE)</f>
        <v xml:space="preserve">CAJA PETRI DESECHABLE ESTERIL 90X 15 </v>
      </c>
      <c r="T1414" s="2">
        <v>50</v>
      </c>
      <c r="U1414" s="2"/>
      <c r="V1414" s="2"/>
      <c r="W1414" s="2"/>
      <c r="X1414" s="2"/>
      <c r="Y1414" s="7"/>
      <c r="Z1414" s="2"/>
      <c r="AA1414" s="1"/>
      <c r="AC1414" s="2"/>
      <c r="AE1414" s="1"/>
      <c r="AG1414" s="2"/>
    </row>
    <row r="1415" spans="12:33" ht="49.95" customHeight="1" x14ac:dyDescent="0.3">
      <c r="L1415" s="335" t="s">
        <v>3520</v>
      </c>
      <c r="M1415" s="335" t="s">
        <v>4578</v>
      </c>
      <c r="N1415" s="336" t="s">
        <v>4725</v>
      </c>
      <c r="O1415" s="344" t="s">
        <v>3361</v>
      </c>
      <c r="P1415" s="16">
        <v>46126</v>
      </c>
      <c r="Q1415" s="335" t="s">
        <v>796</v>
      </c>
      <c r="R1415" s="2">
        <f>VLOOKUP(SALIDAS111518[[#This Row],[CÓDIGO]],PRODUCTOS31316[],2,FALSE)</f>
        <v>8419899900</v>
      </c>
      <c r="S1415" s="1" t="str">
        <f>VLOOKUP(SALIDAS111518[[#This Row],[CÓDIGO]],PRODUCTOS31316[],3,FALSE)</f>
        <v>FUNDA TÉRMICA / USO AGROPECUARIO</v>
      </c>
      <c r="T1415" s="2">
        <v>1</v>
      </c>
      <c r="U1415" s="150" t="s">
        <v>4826</v>
      </c>
      <c r="V1415" s="2"/>
      <c r="W1415" s="335" t="s">
        <v>3412</v>
      </c>
      <c r="X1415" s="2"/>
      <c r="Y1415" s="7"/>
      <c r="Z1415" s="2"/>
      <c r="AA1415" s="1"/>
      <c r="AC1415" s="2"/>
      <c r="AE1415" s="1"/>
      <c r="AG1415" s="2"/>
    </row>
    <row r="1416" spans="12:33" ht="49.95" customHeight="1" x14ac:dyDescent="0.3">
      <c r="L1416" s="2"/>
      <c r="M1416" s="2"/>
      <c r="N1416" s="2">
        <v>8202</v>
      </c>
      <c r="O1416" s="336" t="s">
        <v>3361</v>
      </c>
      <c r="P1416" s="16">
        <v>46126</v>
      </c>
      <c r="Q1416" s="335" t="s">
        <v>1466</v>
      </c>
      <c r="R1416" s="2">
        <f>VLOOKUP(SALIDAS111518[[#This Row],[CÓDIGO]],PRODUCTOS31316[],2,FALSE)</f>
        <v>0</v>
      </c>
      <c r="S1416" s="1" t="str">
        <f>VLOOKUP(SALIDAS111518[[#This Row],[CÓDIGO]],PRODUCTOS31316[],3,FALSE)</f>
        <v xml:space="preserve">BATERÍA PORTÁTIL 10000 mAh </v>
      </c>
      <c r="T1416" s="2">
        <v>1</v>
      </c>
      <c r="U1416" s="2"/>
      <c r="V1416" s="2"/>
      <c r="W1416" s="2"/>
      <c r="X1416" s="2"/>
      <c r="Y1416" s="7"/>
      <c r="Z1416" s="2"/>
      <c r="AA1416" s="1"/>
      <c r="AC1416" s="2"/>
      <c r="AE1416" s="1"/>
      <c r="AG1416" s="2"/>
    </row>
    <row r="1417" spans="12:33" ht="49.95" customHeight="1" x14ac:dyDescent="0.3">
      <c r="L1417" s="335" t="s">
        <v>3520</v>
      </c>
      <c r="M1417" s="335" t="s">
        <v>4578</v>
      </c>
      <c r="N1417" s="340" t="s">
        <v>4765</v>
      </c>
      <c r="O1417" s="335" t="s">
        <v>2204</v>
      </c>
      <c r="P1417" s="343" t="s">
        <v>4762</v>
      </c>
      <c r="Q1417" s="335" t="s">
        <v>4386</v>
      </c>
      <c r="R1417" s="2">
        <f>VLOOKUP(SALIDAS111518[[#This Row],[CÓDIGO]],PRODUCTOS31316[],2,FALSE)</f>
        <v>754001</v>
      </c>
      <c r="S1417" s="1" t="str">
        <f>VLOOKUP(SALIDAS111518[[#This Row],[CÓDIGO]],PRODUCTOS31316[],3,FALSE)</f>
        <v>CAJA PETRI DESECHABLE ESTERIL 60X15MM MARCA: NEST</v>
      </c>
      <c r="T1417" s="2">
        <v>8</v>
      </c>
      <c r="U1417" s="344" t="s">
        <v>4824</v>
      </c>
      <c r="V1417" s="2"/>
      <c r="W1417" s="2"/>
      <c r="X1417" s="2"/>
      <c r="Y1417" s="7"/>
      <c r="Z1417" s="2"/>
      <c r="AA1417" s="1"/>
      <c r="AC1417" s="2"/>
      <c r="AE1417" s="1"/>
      <c r="AG1417" s="2"/>
    </row>
    <row r="1418" spans="12:33" ht="49.95" customHeight="1" x14ac:dyDescent="0.3">
      <c r="L1418" s="2"/>
      <c r="M1418" s="2"/>
      <c r="N1418" s="2">
        <v>8210</v>
      </c>
      <c r="O1418" s="339" t="s">
        <v>2204</v>
      </c>
      <c r="P1418" s="343" t="s">
        <v>4762</v>
      </c>
      <c r="Q1418" s="335" t="s">
        <v>333</v>
      </c>
      <c r="R1418" s="2" t="str">
        <f>VLOOKUP(SALIDAS111518[[#This Row],[CÓDIGO]],PRODUCTOS31316[],2,FALSE)</f>
        <v>CTB15</v>
      </c>
      <c r="S1418" s="1" t="str">
        <f>VLOOKUP(SALIDAS111518[[#This Row],[CÓDIGO]],PRODUCTOS31316[],3,FALSE)</f>
        <v>TUBO CÓNICO DE 15 ML, TAPA ROSCA ESTÉRIL  RCF MAX: 10000xg, 
graduados, PCR puro. VENCE: 03/04/2028</v>
      </c>
      <c r="T1418" s="2">
        <v>6</v>
      </c>
      <c r="U1418" s="2"/>
      <c r="V1418" s="2"/>
      <c r="W1418" s="2"/>
      <c r="X1418" s="2"/>
      <c r="Y1418" s="7"/>
      <c r="Z1418" s="2"/>
      <c r="AA1418" s="1"/>
      <c r="AC1418" s="2"/>
      <c r="AE1418" s="1"/>
      <c r="AG1418" s="2"/>
    </row>
    <row r="1419" spans="12:33" ht="49.95" customHeight="1" x14ac:dyDescent="0.3">
      <c r="L1419" s="2"/>
      <c r="M1419" s="2"/>
      <c r="N1419" s="2">
        <v>8210</v>
      </c>
      <c r="O1419" s="335" t="s">
        <v>2204</v>
      </c>
      <c r="P1419" s="343" t="s">
        <v>4762</v>
      </c>
      <c r="Q1419" s="335" t="s">
        <v>272</v>
      </c>
      <c r="R1419" s="2">
        <f>VLOOKUP(SALIDAS111518[[#This Row],[CÓDIGO]],PRODUCTOS31316[],2,FALSE)</f>
        <v>627161</v>
      </c>
      <c r="S1419" s="1" t="str">
        <f>VLOOKUP(SALIDAS111518[[#This Row],[CÓDIGO]],PRODUCTOS31316[],3,FALSE)</f>
        <v xml:space="preserve">CAJA PETRI 35X10 ESTERIL </v>
      </c>
      <c r="T1419" s="2">
        <v>100</v>
      </c>
      <c r="U1419" s="2"/>
      <c r="V1419" s="2"/>
      <c r="W1419" s="2"/>
      <c r="X1419" s="2"/>
      <c r="Y1419" s="7"/>
      <c r="Z1419" s="2"/>
      <c r="AA1419" s="1"/>
      <c r="AC1419" s="2"/>
      <c r="AE1419" s="1"/>
      <c r="AG1419" s="2"/>
    </row>
    <row r="1420" spans="12:33" ht="49.95" customHeight="1" x14ac:dyDescent="0.3">
      <c r="L1420" s="2"/>
      <c r="M1420" s="2"/>
      <c r="N1420" s="2">
        <v>8210</v>
      </c>
      <c r="O1420" s="335" t="s">
        <v>2204</v>
      </c>
      <c r="P1420" s="343" t="s">
        <v>4762</v>
      </c>
      <c r="Q1420" s="339" t="s">
        <v>2306</v>
      </c>
      <c r="R1420" s="2">
        <f>VLOOKUP(SALIDAS111518[[#This Row],[CÓDIGO]],PRODUCTOS31316[],2,FALSE)</f>
        <v>0</v>
      </c>
      <c r="S1420" s="1" t="str">
        <f>VLOOKUP(SALIDAS111518[[#This Row],[CÓDIGO]],PRODUCTOS31316[],3,FALSE)</f>
        <v>ESCALERILLAS METÁLICAS DE 10 MM</v>
      </c>
      <c r="T1420" s="2">
        <v>4</v>
      </c>
      <c r="U1420" s="2"/>
      <c r="V1420" s="2"/>
      <c r="W1420" s="2"/>
      <c r="X1420" s="2"/>
      <c r="Y1420" s="7"/>
      <c r="Z1420" s="2"/>
      <c r="AA1420" s="1"/>
      <c r="AC1420" s="2"/>
      <c r="AE1420" s="1"/>
      <c r="AG1420" s="2"/>
    </row>
    <row r="1421" spans="12:33" ht="49.95" customHeight="1" x14ac:dyDescent="0.3">
      <c r="L1421" s="2"/>
      <c r="M1421" s="2"/>
      <c r="N1421" s="2">
        <v>8210</v>
      </c>
      <c r="O1421" s="335" t="s">
        <v>2204</v>
      </c>
      <c r="P1421" s="343" t="s">
        <v>4762</v>
      </c>
      <c r="Q1421" s="335" t="s">
        <v>3325</v>
      </c>
      <c r="R1421" s="2">
        <f>VLOOKUP(SALIDAS111518[[#This Row],[CÓDIGO]],PRODUCTOS31316[],2,FALSE)</f>
        <v>9006001</v>
      </c>
      <c r="S1421" s="1" t="str">
        <f>VLOOKUP(SALIDAS111518[[#This Row],[CÓDIGO]],PRODUCTOS31316[],3,FALSE)</f>
        <v>LACRADOR LARGO ROJOS</v>
      </c>
      <c r="T1421" s="2">
        <v>5</v>
      </c>
      <c r="U1421" s="2"/>
      <c r="V1421" s="2"/>
      <c r="W1421" s="2"/>
      <c r="X1421" s="2"/>
      <c r="Y1421" s="7"/>
      <c r="Z1421" s="2"/>
      <c r="AA1421" s="1"/>
      <c r="AC1421" s="2"/>
      <c r="AE1421" s="1"/>
      <c r="AG1421" s="2"/>
    </row>
    <row r="1422" spans="12:33" ht="49.95" customHeight="1" x14ac:dyDescent="0.3">
      <c r="L1422" s="2"/>
      <c r="M1422" s="2"/>
      <c r="N1422" s="2">
        <v>8210</v>
      </c>
      <c r="O1422" s="335" t="s">
        <v>2204</v>
      </c>
      <c r="P1422" s="343" t="s">
        <v>4762</v>
      </c>
      <c r="Q1422" s="339" t="s">
        <v>1681</v>
      </c>
      <c r="R1422" s="2">
        <f>VLOOKUP(SALIDAS111518[[#This Row],[CÓDIGO]],PRODUCTOS31316[],2,FALSE)</f>
        <v>347430</v>
      </c>
      <c r="S1422" s="1" t="str">
        <f>VLOOKUP(SALIDAS111518[[#This Row],[CÓDIGO]],PRODUCTOS31316[],3,FALSE)</f>
        <v>GOBLETS BLANCOS DE 10 MM</v>
      </c>
      <c r="T1422" s="2">
        <v>5</v>
      </c>
      <c r="U1422" s="2"/>
      <c r="V1422" s="2"/>
      <c r="W1422" s="2"/>
      <c r="X1422" s="2"/>
      <c r="Y1422" s="7"/>
      <c r="Z1422" s="2"/>
      <c r="AA1422" s="1"/>
      <c r="AC1422" s="2"/>
      <c r="AE1422" s="1"/>
      <c r="AG1422" s="2"/>
    </row>
    <row r="1423" spans="12:33" ht="49.95" customHeight="1" x14ac:dyDescent="0.3">
      <c r="L1423" s="2"/>
      <c r="M1423" s="2"/>
      <c r="N1423" s="340" t="s">
        <v>4763</v>
      </c>
      <c r="O1423" s="335" t="s">
        <v>2204</v>
      </c>
      <c r="P1423" s="16">
        <v>46128</v>
      </c>
      <c r="Q1423" s="339" t="s">
        <v>75</v>
      </c>
      <c r="R1423" s="2" t="str">
        <f>VLOOKUP(SALIDAS111518[[#This Row],[CÓDIGO]],PRODUCTOS31316[],2,FALSE)</f>
        <v>18130E</v>
      </c>
      <c r="S1423" s="1" t="str">
        <f>VLOOKUP(SALIDAS111518[[#This Row],[CÓDIGO]],PRODUCTOS31316[],3,FALSE)</f>
        <v>CAJA PETRI DESECHABLE ESTERIL 60X15 MM</v>
      </c>
      <c r="T1423" s="2">
        <v>30</v>
      </c>
      <c r="U1423" s="2">
        <v>631</v>
      </c>
      <c r="V1423" s="2"/>
      <c r="W1423" s="2"/>
      <c r="X1423" s="2"/>
      <c r="Y1423" s="7"/>
      <c r="Z1423" s="2"/>
      <c r="AA1423" s="1"/>
      <c r="AC1423" s="2"/>
      <c r="AE1423" s="1"/>
      <c r="AG1423" s="2"/>
    </row>
    <row r="1424" spans="12:33" ht="49.95" customHeight="1" x14ac:dyDescent="0.3">
      <c r="L1424" s="335" t="s">
        <v>3520</v>
      </c>
      <c r="M1424" s="335" t="s">
        <v>4578</v>
      </c>
      <c r="N1424" s="1" t="s">
        <v>4730</v>
      </c>
      <c r="O1424" s="335" t="s">
        <v>2706</v>
      </c>
      <c r="P1424" s="16">
        <v>46127</v>
      </c>
      <c r="Q1424" s="335" t="s">
        <v>3703</v>
      </c>
      <c r="R1424" s="2" t="str">
        <f>VLOOKUP(SALIDAS111518[[#This Row],[CÓDIGO]],PRODUCTOS31316[],2,FALSE)</f>
        <v>13407-010</v>
      </c>
      <c r="S1424" s="1" t="str">
        <f>VLOOKUP(SALIDAS111518[[#This Row],[CÓDIGO]],PRODUCTOS31316[],3,FALSE)</f>
        <v>PAJUELA TRANSPARENTES 0.25/ PAQ. X 2000 MARCA MINITUBE</v>
      </c>
      <c r="T1424" s="2">
        <v>1</v>
      </c>
      <c r="U1424" s="2" t="s">
        <v>4729</v>
      </c>
      <c r="V1424" s="2"/>
      <c r="W1424" s="2"/>
      <c r="X1424" s="2"/>
      <c r="Y1424" s="7"/>
      <c r="Z1424" s="2"/>
      <c r="AA1424" s="1"/>
      <c r="AC1424" s="2"/>
      <c r="AE1424" s="1"/>
      <c r="AG1424" s="2"/>
    </row>
    <row r="1425" spans="12:33" ht="49.95" customHeight="1" x14ac:dyDescent="0.3">
      <c r="L1425" s="2"/>
      <c r="M1425" s="2"/>
      <c r="N1425" s="2">
        <v>8204</v>
      </c>
      <c r="O1425" s="335" t="s">
        <v>2706</v>
      </c>
      <c r="P1425" s="16">
        <v>46127</v>
      </c>
      <c r="Q1425" s="335" t="s">
        <v>167</v>
      </c>
      <c r="R1425" s="2" t="str">
        <f>VLOOKUP(SALIDAS111518[[#This Row],[CÓDIGO]],PRODUCTOS31316[],2,FALSE)</f>
        <v>50050-1</v>
      </c>
      <c r="S1425" s="1" t="str">
        <f>VLOOKUP(SALIDAS111518[[#This Row],[CÓDIGO]],PRODUCTOS31316[],3,FALSE)</f>
        <v>TUBO CONICO PLUG, AUTOCLAVABLE ESTERIL  TAPA ROSCA DE 50 ML</v>
      </c>
      <c r="T1425" s="2">
        <v>3</v>
      </c>
      <c r="U1425" s="2"/>
      <c r="V1425" s="2"/>
      <c r="W1425" s="2"/>
      <c r="X1425" s="2"/>
      <c r="Y1425" s="7"/>
      <c r="Z1425" s="2"/>
      <c r="AA1425" s="1"/>
      <c r="AC1425" s="2"/>
      <c r="AE1425" s="1"/>
      <c r="AG1425" s="2"/>
    </row>
    <row r="1426" spans="12:33" ht="49.95" customHeight="1" x14ac:dyDescent="0.3">
      <c r="L1426" s="2"/>
      <c r="M1426" s="2"/>
      <c r="N1426" s="2">
        <v>8204</v>
      </c>
      <c r="O1426" s="335" t="s">
        <v>2706</v>
      </c>
      <c r="P1426" s="16">
        <v>46127</v>
      </c>
      <c r="Q1426" s="335" t="s">
        <v>333</v>
      </c>
      <c r="R1426" s="2" t="str">
        <f>VLOOKUP(SALIDAS111518[[#This Row],[CÓDIGO]],PRODUCTOS31316[],2,FALSE)</f>
        <v>CTB15</v>
      </c>
      <c r="S1426" s="1" t="str">
        <f>VLOOKUP(SALIDAS111518[[#This Row],[CÓDIGO]],PRODUCTOS31316[],3,FALSE)</f>
        <v>TUBO CÓNICO DE 15 ML, TAPA ROSCA ESTÉRIL  RCF MAX: 10000xg, 
graduados, PCR puro. VENCE: 03/04/2028</v>
      </c>
      <c r="T1426" s="2">
        <v>2</v>
      </c>
      <c r="U1426" s="2"/>
      <c r="V1426" s="2"/>
      <c r="W1426" s="2"/>
      <c r="X1426" s="2"/>
      <c r="Y1426" s="7"/>
      <c r="Z1426" s="2"/>
      <c r="AA1426" s="1"/>
      <c r="AC1426" s="2"/>
      <c r="AE1426" s="1"/>
      <c r="AG1426" s="2"/>
    </row>
    <row r="1427" spans="12:33" ht="49.95" customHeight="1" x14ac:dyDescent="0.3">
      <c r="L1427" s="2"/>
      <c r="M1427" s="2"/>
      <c r="N1427" s="2">
        <v>8204</v>
      </c>
      <c r="O1427" s="339" t="s">
        <v>2706</v>
      </c>
      <c r="P1427" s="16">
        <v>46127</v>
      </c>
      <c r="Q1427" s="335" t="s">
        <v>247</v>
      </c>
      <c r="R1427" s="2">
        <f>VLOOKUP(SALIDAS111518[[#This Row],[CÓDIGO]],PRODUCTOS31316[],2,FALSE)</f>
        <v>352054</v>
      </c>
      <c r="S1427" s="1" t="str">
        <f>VLOOKUP(SALIDAS111518[[#This Row],[CÓDIGO]],PRODUCTOS31316[],3,FALSE)</f>
        <v>TUBO DE FONDO REDONDO DE 5ML 12X75MM , POLIESTIRENO</v>
      </c>
      <c r="T1427" s="2">
        <v>1</v>
      </c>
      <c r="U1427" s="2"/>
      <c r="V1427" s="2"/>
      <c r="W1427" s="2"/>
      <c r="X1427" s="2"/>
      <c r="Y1427" s="7"/>
      <c r="Z1427" s="2"/>
      <c r="AA1427" s="1"/>
      <c r="AC1427" s="2"/>
      <c r="AE1427" s="1"/>
      <c r="AG1427" s="2"/>
    </row>
    <row r="1428" spans="12:33" ht="49.95" customHeight="1" x14ac:dyDescent="0.3">
      <c r="L1428" s="2"/>
      <c r="M1428" s="2"/>
      <c r="N1428" s="2">
        <v>8204</v>
      </c>
      <c r="O1428" s="335" t="s">
        <v>2706</v>
      </c>
      <c r="P1428" s="16">
        <v>46127</v>
      </c>
      <c r="Q1428" s="335" t="s">
        <v>602</v>
      </c>
      <c r="R1428" s="2">
        <f>VLOOKUP(SALIDAS111518[[#This Row],[CÓDIGO]],PRODUCTOS31316[],2,FALSE)</f>
        <v>4845</v>
      </c>
      <c r="S1428" s="1" t="str">
        <f>VLOOKUP(SALIDAS111518[[#This Row],[CÓDIGO]],PRODUCTOS31316[],3,FALSE)</f>
        <v>PUNTAS AMARILLAS, UNIVERSALES. PLASTICAS, NO ESTERIL. LIBRES DE RNASE, DNASE Y PYROGENOS. RANGO DE 1-200UL. BOLSA X1000UDS.</v>
      </c>
      <c r="T1428" s="2">
        <v>3</v>
      </c>
      <c r="U1428" s="2"/>
      <c r="V1428" s="2"/>
      <c r="W1428" s="2"/>
      <c r="X1428" s="69"/>
      <c r="Y1428" s="7"/>
      <c r="Z1428" s="2"/>
      <c r="AA1428" s="1"/>
      <c r="AC1428" s="2"/>
      <c r="AE1428" s="1"/>
      <c r="AG1428" s="2"/>
    </row>
    <row r="1429" spans="12:33" ht="49.95" customHeight="1" x14ac:dyDescent="0.3">
      <c r="L1429" s="2"/>
      <c r="M1429" s="2"/>
      <c r="N1429" s="2">
        <v>8204</v>
      </c>
      <c r="O1429" s="335" t="s">
        <v>2706</v>
      </c>
      <c r="P1429" s="16">
        <v>46127</v>
      </c>
      <c r="Q1429" s="335" t="s">
        <v>3168</v>
      </c>
      <c r="R1429" s="2" t="str">
        <f>VLOOKUP(SALIDAS111518[[#This Row],[CÓDIGO]],PRODUCTOS31316[],2,FALSE)</f>
        <v>MCTB015</v>
      </c>
      <c r="S1429" s="1" t="str">
        <f>VLOOKUP(SALIDAS111518[[#This Row],[CÓDIGO]],PRODUCTOS31316[],3,FALSE)</f>
        <v>TUBO CONICO DE 1,5ml PRE ESTERILIZADO LIBRE DE Rnasa y Dnasa No pirogenico No DNA Humano Tapa a Presion</v>
      </c>
      <c r="T1429" s="2">
        <v>1</v>
      </c>
      <c r="U1429" s="2"/>
      <c r="V1429" s="2"/>
      <c r="W1429" s="2"/>
      <c r="X1429" s="2"/>
      <c r="Y1429" s="7"/>
      <c r="Z1429" s="2"/>
      <c r="AA1429" s="1"/>
      <c r="AC1429" s="2"/>
      <c r="AE1429" s="1"/>
      <c r="AG1429" s="2"/>
    </row>
    <row r="1430" spans="12:33" ht="49.95" customHeight="1" x14ac:dyDescent="0.3">
      <c r="L1430" s="2"/>
      <c r="M1430" s="2"/>
      <c r="N1430" s="2">
        <v>8204</v>
      </c>
      <c r="O1430" s="339" t="s">
        <v>2706</v>
      </c>
      <c r="P1430" s="16">
        <v>46127</v>
      </c>
      <c r="Q1430" s="339" t="s">
        <v>1799</v>
      </c>
      <c r="R1430" s="2">
        <f>VLOOKUP(SALIDAS111518[[#This Row],[CÓDIGO]],PRODUCTOS31316[],2,FALSE)</f>
        <v>4846</v>
      </c>
      <c r="S1430" s="1" t="str">
        <f>VLOOKUP(SALIDAS111518[[#This Row],[CÓDIGO]],PRODUCTOS31316[],3,FALSE)</f>
        <v>PUNTA AZULES UNIVERSALES 100- 1000 UL</v>
      </c>
      <c r="T1430" s="2">
        <v>1</v>
      </c>
      <c r="U1430" s="54" t="s">
        <v>4731</v>
      </c>
      <c r="V1430" s="2"/>
      <c r="W1430" s="2"/>
      <c r="X1430" s="2"/>
      <c r="Y1430" s="7"/>
      <c r="Z1430" s="2"/>
      <c r="AA1430" s="1"/>
      <c r="AC1430" s="2"/>
      <c r="AE1430" s="1"/>
      <c r="AG1430" s="2"/>
    </row>
    <row r="1431" spans="12:33" ht="49.95" customHeight="1" x14ac:dyDescent="0.3">
      <c r="L1431" s="2" t="s">
        <v>3520</v>
      </c>
      <c r="M1431" s="2" t="s">
        <v>4578</v>
      </c>
      <c r="N1431" s="1" t="s">
        <v>4732</v>
      </c>
      <c r="O1431" s="2" t="s">
        <v>1358</v>
      </c>
      <c r="P1431" s="16">
        <v>46127</v>
      </c>
      <c r="Q1431" s="2" t="s">
        <v>104</v>
      </c>
      <c r="R1431" s="2">
        <f>VLOOKUP(SALIDAS111518[[#This Row],[CÓDIGO]],PRODUCTOS31316[],2,FALSE)</f>
        <v>0</v>
      </c>
      <c r="S1431" s="1" t="str">
        <f>VLOOKUP(SALIDAS111518[[#This Row],[CÓDIGO]],PRODUCTOS31316[],3,FALSE)</f>
        <v>ISPERM CHIPS (500 TESTS PER BOX) PAQ. X 50 UND</v>
      </c>
      <c r="T1431" s="2">
        <v>4</v>
      </c>
      <c r="U1431" s="2">
        <v>613</v>
      </c>
      <c r="V1431" s="2"/>
      <c r="W1431" s="2"/>
      <c r="X1431" s="2"/>
      <c r="Y1431" s="7"/>
      <c r="Z1431" s="2"/>
      <c r="AA1431" s="1"/>
      <c r="AC1431" s="2"/>
      <c r="AE1431" s="1"/>
      <c r="AG1431" s="2"/>
    </row>
    <row r="1432" spans="12:33" ht="49.95" customHeight="1" x14ac:dyDescent="0.3">
      <c r="L1432" s="2" t="s">
        <v>3520</v>
      </c>
      <c r="M1432" s="2" t="s">
        <v>4578</v>
      </c>
      <c r="N1432" s="340" t="s">
        <v>4754</v>
      </c>
      <c r="O1432" s="2" t="s">
        <v>2256</v>
      </c>
      <c r="P1432" s="16">
        <v>46128</v>
      </c>
      <c r="Q1432" s="2" t="s">
        <v>969</v>
      </c>
      <c r="R1432" s="2">
        <f>VLOOKUP(SALIDAS111518[[#This Row],[CÓDIGO]],PRODUCTOS31316[],2,FALSE)</f>
        <v>13316</v>
      </c>
      <c r="S1432" s="1" t="str">
        <f>VLOOKUP(SALIDAS111518[[#This Row],[CÓDIGO]],PRODUCTOS31316[],3,FALSE)</f>
        <v>AGUJA PARA ASPIRACIÓN 20G</v>
      </c>
      <c r="T1432" s="2">
        <v>17</v>
      </c>
      <c r="U1432" s="2">
        <v>624</v>
      </c>
      <c r="V1432" s="2"/>
      <c r="W1432" s="2"/>
      <c r="X1432" s="2"/>
      <c r="Y1432" s="7"/>
      <c r="Z1432" s="2"/>
      <c r="AA1432" s="1"/>
      <c r="AC1432" s="2"/>
      <c r="AE1432" s="1"/>
      <c r="AG1432" s="2"/>
    </row>
    <row r="1433" spans="12:33" ht="49.95" customHeight="1" x14ac:dyDescent="0.3">
      <c r="L1433" s="2" t="s">
        <v>3521</v>
      </c>
      <c r="M1433" s="2" t="s">
        <v>4578</v>
      </c>
      <c r="N1433" s="1" t="s">
        <v>4733</v>
      </c>
      <c r="O1433" s="2" t="s">
        <v>4728</v>
      </c>
      <c r="P1433" s="16">
        <v>46127</v>
      </c>
      <c r="Q1433" s="2" t="s">
        <v>2419</v>
      </c>
      <c r="R1433" s="2">
        <f>VLOOKUP(SALIDAS111518[[#This Row],[CÓDIGO]],PRODUCTOS31316[],2,FALSE)</f>
        <v>0</v>
      </c>
      <c r="S1433" s="1" t="str">
        <f>VLOOKUP(SALIDAS111518[[#This Row],[CÓDIGO]],PRODUCTOS31316[],3,FALSE)</f>
        <v>TUBO PLÁSTICO PARA PISTOLA DE INSEMINACIÓN</v>
      </c>
      <c r="T1433" s="2">
        <v>1</v>
      </c>
      <c r="U1433" s="2">
        <v>614</v>
      </c>
      <c r="V1433" s="2"/>
      <c r="W1433" s="2"/>
      <c r="X1433" s="2"/>
      <c r="Y1433" s="7"/>
      <c r="Z1433" s="2"/>
      <c r="AA1433" s="1"/>
      <c r="AC1433" s="2"/>
      <c r="AE1433" s="1"/>
      <c r="AG1433" s="2"/>
    </row>
    <row r="1434" spans="12:33" ht="49.95" customHeight="1" x14ac:dyDescent="0.3">
      <c r="L1434" s="2" t="s">
        <v>3521</v>
      </c>
      <c r="M1434" s="2" t="s">
        <v>4578</v>
      </c>
      <c r="N1434" s="1" t="s">
        <v>4736</v>
      </c>
      <c r="O1434" s="2" t="s">
        <v>2722</v>
      </c>
      <c r="P1434" s="16">
        <v>46127</v>
      </c>
      <c r="Q1434" s="2" t="s">
        <v>4476</v>
      </c>
      <c r="R1434" s="2">
        <f>VLOOKUP(SALIDAS111518[[#This Row],[CÓDIGO]],PRODUCTOS31316[],2,FALSE)</f>
        <v>0</v>
      </c>
      <c r="S1434" s="1" t="str">
        <f>VLOOKUP(SALIDAS111518[[#This Row],[CÓDIGO]],PRODUCTOS31316[],3,FALSE)</f>
        <v>SONDA EN "Y" CON VÁLVULA PARA EQUINOS</v>
      </c>
      <c r="T1434" s="2">
        <v>1</v>
      </c>
      <c r="U1434" s="2">
        <v>615</v>
      </c>
      <c r="V1434" s="2"/>
      <c r="W1434" s="2"/>
      <c r="X1434" s="2"/>
      <c r="Y1434" s="7"/>
      <c r="Z1434" s="2"/>
      <c r="AA1434" s="1"/>
      <c r="AC1434" s="2"/>
      <c r="AE1434" s="1"/>
      <c r="AG1434" s="2"/>
    </row>
    <row r="1435" spans="12:33" ht="49.95" customHeight="1" x14ac:dyDescent="0.3">
      <c r="L1435" s="2"/>
      <c r="M1435" s="2"/>
      <c r="N1435" s="2">
        <v>8207</v>
      </c>
      <c r="O1435" s="2" t="s">
        <v>2722</v>
      </c>
      <c r="P1435" s="16">
        <v>46127</v>
      </c>
      <c r="Q1435" s="2" t="s">
        <v>1631</v>
      </c>
      <c r="R1435" s="2" t="str">
        <f>VLOOKUP(SALIDAS111518[[#This Row],[CÓDIGO]],PRODUCTOS31316[],2,FALSE)</f>
        <v>7101-CRAL</v>
      </c>
      <c r="S1435" s="1" t="str">
        <f>VLOOKUP(SALIDAS111518[[#This Row],[CÓDIGO]],PRODUCTOS31316[],3,FALSE)</f>
        <v>LAMINA PORTA OBJETOS LISA EN VIDRIO 26X76MM, BORDE ESMERILADO</v>
      </c>
      <c r="T1435" s="2">
        <v>1</v>
      </c>
      <c r="U1435" s="2"/>
      <c r="V1435" s="2"/>
      <c r="W1435" s="2"/>
      <c r="X1435" s="2"/>
      <c r="Y1435" s="7"/>
      <c r="Z1435" s="2"/>
      <c r="AA1435" s="1"/>
      <c r="AC1435" s="2"/>
      <c r="AE1435" s="1"/>
      <c r="AG1435" s="2"/>
    </row>
    <row r="1436" spans="12:33" ht="49.95" customHeight="1" x14ac:dyDescent="0.3">
      <c r="L1436" s="2"/>
      <c r="M1436" s="2"/>
      <c r="N1436" s="2">
        <v>8207</v>
      </c>
      <c r="O1436" s="2" t="s">
        <v>2722</v>
      </c>
      <c r="P1436" s="16">
        <v>46127</v>
      </c>
      <c r="Q1436" s="2" t="s">
        <v>1637</v>
      </c>
      <c r="R1436" s="2" t="str">
        <f>VLOOKUP(SALIDAS111518[[#This Row],[CÓDIGO]],PRODUCTOS31316[],2,FALSE)</f>
        <v>P22X22</v>
      </c>
      <c r="S1436" s="1" t="str">
        <f>VLOOKUP(SALIDAS111518[[#This Row],[CÓDIGO]],PRODUCTOS31316[],3,FALSE)</f>
        <v>LAMINA CUBRE OBJETO EN VIDRIO 22X22</v>
      </c>
      <c r="T1436" s="2">
        <v>1</v>
      </c>
      <c r="U1436" s="2"/>
      <c r="V1436" s="2"/>
      <c r="W1436" s="2"/>
      <c r="X1436" s="2"/>
      <c r="Y1436" s="7"/>
      <c r="Z1436" s="2"/>
      <c r="AA1436" s="1"/>
      <c r="AC1436" s="2"/>
      <c r="AE1436" s="1"/>
      <c r="AG1436" s="2"/>
    </row>
    <row r="1437" spans="12:33" ht="49.95" customHeight="1" x14ac:dyDescent="0.3">
      <c r="L1437" s="2"/>
      <c r="M1437" s="2"/>
      <c r="N1437" s="2">
        <v>8207</v>
      </c>
      <c r="O1437" s="2" t="s">
        <v>2722</v>
      </c>
      <c r="P1437" s="16">
        <v>46127</v>
      </c>
      <c r="Q1437" s="2" t="s">
        <v>3504</v>
      </c>
      <c r="R1437" s="2">
        <f>VLOOKUP(SALIDAS111518[[#This Row],[CÓDIGO]],PRODUCTOS31316[],2,FALSE)</f>
        <v>26</v>
      </c>
      <c r="S1437" s="1" t="str">
        <f>VLOOKUP(SALIDAS111518[[#This Row],[CÓDIGO]],PRODUCTOS31316[],3,FALSE)</f>
        <v>MUCOSA DE PLÁSTICA EQUINA  BOTUPHARMA</v>
      </c>
      <c r="T1437" s="2">
        <v>10</v>
      </c>
      <c r="U1437" s="2"/>
      <c r="V1437" s="2"/>
      <c r="W1437" s="2"/>
      <c r="X1437" s="2"/>
      <c r="Y1437" s="7"/>
      <c r="Z1437" s="2"/>
      <c r="AA1437" s="1"/>
      <c r="AC1437" s="2"/>
      <c r="AE1437" s="1"/>
      <c r="AG1437" s="2"/>
    </row>
    <row r="1438" spans="12:33" ht="49.95" customHeight="1" x14ac:dyDescent="0.3">
      <c r="L1438" s="2"/>
      <c r="M1438" s="2"/>
      <c r="N1438" s="2">
        <v>8207</v>
      </c>
      <c r="O1438" s="2" t="s">
        <v>2722</v>
      </c>
      <c r="P1438" s="16">
        <v>46127</v>
      </c>
      <c r="Q1438" s="2" t="s">
        <v>1426</v>
      </c>
      <c r="R1438" s="2">
        <f>VLOOKUP(SALIDAS111518[[#This Row],[CÓDIGO]],PRODUCTOS31316[],2,FALSE)</f>
        <v>4166</v>
      </c>
      <c r="S1438" s="1" t="str">
        <f>VLOOKUP(SALIDAS111518[[#This Row],[CÓDIGO]],PRODUCTOS31316[],3,FALSE)</f>
        <v>PAJILLAS 1/4 CC IRRADIADAS/ 0,25</v>
      </c>
      <c r="T1438" s="2">
        <v>1</v>
      </c>
      <c r="U1438" s="2"/>
      <c r="V1438" s="2"/>
      <c r="W1438" s="2"/>
      <c r="X1438" s="2"/>
      <c r="Y1438" s="7"/>
      <c r="Z1438" s="2"/>
      <c r="AA1438" s="1"/>
      <c r="AC1438" s="2"/>
      <c r="AE1438" s="1"/>
      <c r="AG1438" s="2"/>
    </row>
    <row r="1439" spans="12:33" ht="49.95" customHeight="1" x14ac:dyDescent="0.3">
      <c r="L1439" s="2"/>
      <c r="M1439" s="2"/>
      <c r="N1439" s="2">
        <v>8207</v>
      </c>
      <c r="O1439" s="2" t="s">
        <v>2722</v>
      </c>
      <c r="P1439" s="16">
        <v>46127</v>
      </c>
      <c r="Q1439" s="2" t="s">
        <v>396</v>
      </c>
      <c r="R1439" s="2">
        <f>VLOOKUP(SALIDAS111518[[#This Row],[CÓDIGO]],PRODUCTOS31316[],2,FALSE)</f>
        <v>4168</v>
      </c>
      <c r="S1439" s="1" t="str">
        <f>VLOOKUP(SALIDAS111518[[#This Row],[CÓDIGO]],PRODUCTOS31316[],3,FALSE)</f>
        <v>PAJILLAS 1/2  IRRADIADAS CC/ ,05</v>
      </c>
      <c r="T1439" s="2">
        <v>1</v>
      </c>
      <c r="U1439" s="2"/>
      <c r="V1439" s="2"/>
      <c r="W1439" s="2"/>
      <c r="X1439" s="2"/>
      <c r="Y1439" s="7"/>
      <c r="Z1439" s="2"/>
      <c r="AA1439" s="1"/>
      <c r="AC1439" s="2"/>
      <c r="AE1439" s="1"/>
      <c r="AG1439" s="2"/>
    </row>
    <row r="1440" spans="12:33" ht="49.95" customHeight="1" x14ac:dyDescent="0.3">
      <c r="L1440" s="2"/>
      <c r="M1440" s="2"/>
      <c r="N1440" s="2">
        <v>8207</v>
      </c>
      <c r="O1440" s="2" t="s">
        <v>2722</v>
      </c>
      <c r="P1440" s="16">
        <v>46127</v>
      </c>
      <c r="Q1440" s="2" t="s">
        <v>79</v>
      </c>
      <c r="R1440" s="2" t="str">
        <f>VLOOKUP(SALIDAS111518[[#This Row],[CÓDIGO]],PRODUCTOS31316[],2,FALSE)</f>
        <v>ABT ADAPT HOLDING</v>
      </c>
      <c r="S1440" s="1" t="str">
        <f>VLOOKUP(SALIDAS111518[[#This Row],[CÓDIGO]],PRODUCTOS31316[],3,FALSE)</f>
        <v>ABT ADAPT HOLDING CON HA 7 ML</v>
      </c>
      <c r="T1440" s="2">
        <v>1</v>
      </c>
      <c r="U1440" s="2"/>
      <c r="V1440" s="2"/>
      <c r="W1440" s="2"/>
      <c r="X1440" s="2"/>
      <c r="Y1440" s="7"/>
      <c r="Z1440" s="2"/>
      <c r="AA1440" s="1"/>
      <c r="AC1440" s="2"/>
      <c r="AE1440" s="1"/>
      <c r="AG1440" s="2"/>
    </row>
    <row r="1441" spans="12:33" ht="49.95" customHeight="1" x14ac:dyDescent="0.3">
      <c r="L1441" s="2"/>
      <c r="M1441" s="2"/>
      <c r="N1441" s="2">
        <v>8207</v>
      </c>
      <c r="O1441" s="2" t="s">
        <v>2722</v>
      </c>
      <c r="P1441" s="16">
        <v>46127</v>
      </c>
      <c r="Q1441" s="2" t="s">
        <v>27</v>
      </c>
      <c r="R1441" s="2" t="str">
        <f>VLOOKUP(SALIDAS111518[[#This Row],[CÓDIGO]],PRODUCTOS31316[],2,FALSE)</f>
        <v>INO-025/ 508001</v>
      </c>
      <c r="S1441" s="1" t="str">
        <f>VLOOKUP(SALIDAS111518[[#This Row],[CÓDIGO]],PRODUCTOS31316[],3,FALSE)</f>
        <v>PISTOLA DE TRANSFERENCIA DE EMBRIONES</v>
      </c>
      <c r="T1441" s="2">
        <v>1</v>
      </c>
      <c r="U1441" s="2"/>
      <c r="V1441" s="2"/>
      <c r="W1441" s="2"/>
      <c r="X1441" s="2"/>
      <c r="Y1441" s="7"/>
      <c r="Z1441" s="2"/>
      <c r="AA1441" s="1"/>
      <c r="AC1441" s="2"/>
      <c r="AE1441" s="1"/>
      <c r="AG1441" s="2"/>
    </row>
    <row r="1442" spans="12:33" ht="49.95" customHeight="1" x14ac:dyDescent="0.3">
      <c r="L1442" s="2"/>
      <c r="M1442" s="2"/>
      <c r="N1442" s="2">
        <v>8207</v>
      </c>
      <c r="O1442" s="2" t="s">
        <v>2722</v>
      </c>
      <c r="P1442" s="16">
        <v>46127</v>
      </c>
      <c r="Q1442" s="2" t="s">
        <v>2401</v>
      </c>
      <c r="R1442" s="2">
        <f>VLOOKUP(SALIDAS111518[[#This Row],[CÓDIGO]],PRODUCTOS31316[],2,FALSE)</f>
        <v>5540</v>
      </c>
      <c r="S1442" s="1" t="str">
        <f>VLOOKUP(SALIDAS111518[[#This Row],[CÓDIGO]],PRODUCTOS31316[],3,FALSE)</f>
        <v xml:space="preserve">FUNDAS DE TRANSFERENCIA AZUL PUNTA METÁLICA 21"                 </v>
      </c>
      <c r="T1442" s="2">
        <v>1</v>
      </c>
      <c r="U1442" s="2"/>
      <c r="V1442" s="2"/>
      <c r="W1442" s="2"/>
      <c r="X1442" s="2"/>
      <c r="Y1442" s="7"/>
      <c r="Z1442" s="2"/>
      <c r="AA1442" s="1"/>
      <c r="AC1442" s="2"/>
      <c r="AE1442" s="1"/>
      <c r="AG1442" s="2"/>
    </row>
    <row r="1443" spans="12:33" ht="49.95" customHeight="1" x14ac:dyDescent="0.3">
      <c r="L1443" s="2"/>
      <c r="M1443" s="2"/>
      <c r="N1443" s="2">
        <v>8207</v>
      </c>
      <c r="O1443" s="2" t="s">
        <v>2722</v>
      </c>
      <c r="P1443" s="16">
        <v>46127</v>
      </c>
      <c r="Q1443" s="2" t="s">
        <v>2402</v>
      </c>
      <c r="R1443" s="2">
        <f>VLOOKUP(SALIDAS111518[[#This Row],[CÓDIGO]],PRODUCTOS31316[],2,FALSE)</f>
        <v>17532</v>
      </c>
      <c r="S1443" s="1" t="str">
        <f>VLOOKUP(SALIDAS111518[[#This Row],[CÓDIGO]],PRODUCTOS31316[],3,FALSE)</f>
        <v xml:space="preserve"> FUNDAS DE TRANSFERENCAI DE 0,5 PARA EQUINOS        IMV
</v>
      </c>
      <c r="T1443" s="2">
        <v>4</v>
      </c>
      <c r="U1443" s="2"/>
      <c r="V1443" s="2"/>
      <c r="W1443" s="2"/>
      <c r="X1443" s="2"/>
      <c r="Y1443" s="7"/>
      <c r="Z1443" s="2"/>
      <c r="AA1443" s="1"/>
      <c r="AC1443" s="2"/>
      <c r="AE1443" s="1"/>
      <c r="AG1443" s="2"/>
    </row>
    <row r="1444" spans="12:33" ht="49.95" customHeight="1" x14ac:dyDescent="0.3">
      <c r="L1444" s="2"/>
      <c r="M1444" s="2"/>
      <c r="N1444" s="2">
        <v>8207</v>
      </c>
      <c r="O1444" s="2" t="s">
        <v>2722</v>
      </c>
      <c r="P1444" s="16">
        <v>46127</v>
      </c>
      <c r="Q1444" s="2" t="s">
        <v>1779</v>
      </c>
      <c r="R1444" s="2">
        <f>VLOOKUP(SALIDAS111518[[#This Row],[CÓDIGO]],PRODUCTOS31316[],2,FALSE)</f>
        <v>5563</v>
      </c>
      <c r="S1444" s="1" t="str">
        <f>VLOOKUP(SALIDAS111518[[#This Row],[CÓDIGO]],PRODUCTOS31316[],3,FALSE)</f>
        <v>CAMISA SANITARIA ROLLO X 80</v>
      </c>
      <c r="T1444" s="2">
        <v>4</v>
      </c>
      <c r="U1444" s="2"/>
      <c r="V1444" s="2"/>
      <c r="W1444" s="2"/>
      <c r="X1444" s="2"/>
      <c r="Y1444" s="7"/>
      <c r="Z1444" s="2"/>
      <c r="AA1444" s="1"/>
      <c r="AC1444" s="2"/>
      <c r="AE1444" s="1"/>
      <c r="AG1444" s="2"/>
    </row>
    <row r="1445" spans="12:33" ht="49.95" customHeight="1" x14ac:dyDescent="0.3">
      <c r="L1445" s="2" t="s">
        <v>3520</v>
      </c>
      <c r="M1445" s="2" t="s">
        <v>4578</v>
      </c>
      <c r="N1445" s="1" t="s">
        <v>4739</v>
      </c>
      <c r="O1445" s="1" t="s">
        <v>4096</v>
      </c>
      <c r="P1445" s="16">
        <v>46127</v>
      </c>
      <c r="Q1445" s="2" t="s">
        <v>273</v>
      </c>
      <c r="R1445" s="2">
        <f>VLOOKUP(SALIDAS111518[[#This Row],[CÓDIGO]],PRODUCTOS31316[],2,FALSE)</f>
        <v>1003514</v>
      </c>
      <c r="S1445" s="1" t="str">
        <f>VLOOKUP(SALIDAS111518[[#This Row],[CÓDIGO]],PRODUCTOS31316[],3,FALSE)</f>
        <v>JALEA CONDUCTIVA (GEL ULTRASONICO) GALON X 3785 ML AZUL</v>
      </c>
      <c r="T1445" s="2">
        <v>1</v>
      </c>
      <c r="U1445" s="2">
        <v>617</v>
      </c>
      <c r="V1445" s="2"/>
      <c r="W1445" s="2" t="s">
        <v>2823</v>
      </c>
      <c r="X1445" s="77"/>
      <c r="Y1445" s="7"/>
      <c r="Z1445" s="2"/>
      <c r="AA1445" s="1"/>
      <c r="AC1445" s="2"/>
      <c r="AE1445" s="1"/>
      <c r="AG1445" s="2"/>
    </row>
    <row r="1446" spans="12:33" ht="49.95" customHeight="1" x14ac:dyDescent="0.3">
      <c r="L1446" s="2"/>
      <c r="M1446" s="2" t="s">
        <v>4578</v>
      </c>
      <c r="N1446" s="40" t="s">
        <v>4741</v>
      </c>
      <c r="O1446" s="1" t="s">
        <v>4740</v>
      </c>
      <c r="P1446" s="16">
        <v>46127</v>
      </c>
      <c r="Q1446" s="2" t="s">
        <v>25</v>
      </c>
      <c r="R1446" s="2">
        <f>VLOOKUP(SALIDAS111518[[#This Row],[CÓDIGO]],PRODUCTOS31316[],2,FALSE)</f>
        <v>0</v>
      </c>
      <c r="S1446" s="1" t="str">
        <f>VLOOKUP(SALIDAS111518[[#This Row],[CÓDIGO]],PRODUCTOS31316[],3,FALSE)</f>
        <v>BOLSA TELA MAS CAMPO</v>
      </c>
      <c r="T1446" s="2">
        <v>22</v>
      </c>
      <c r="U1446" s="2">
        <v>619</v>
      </c>
      <c r="V1446" s="2"/>
      <c r="W1446" s="2"/>
      <c r="X1446" s="2"/>
      <c r="Y1446" s="7"/>
      <c r="Z1446" s="2"/>
      <c r="AA1446" s="1"/>
      <c r="AC1446" s="2"/>
      <c r="AE1446" s="1"/>
      <c r="AG1446" s="2"/>
    </row>
    <row r="1447" spans="12:33" ht="49.95" customHeight="1" x14ac:dyDescent="0.3">
      <c r="L1447" s="2"/>
      <c r="M1447" s="2"/>
      <c r="N1447" s="2">
        <v>479</v>
      </c>
      <c r="O1447" s="1" t="s">
        <v>4740</v>
      </c>
      <c r="P1447" s="16">
        <v>46127</v>
      </c>
      <c r="Q1447" s="2" t="s">
        <v>3095</v>
      </c>
      <c r="R1447" s="2">
        <f>VLOOKUP(SALIDAS111518[[#This Row],[CÓDIGO]],PRODUCTOS31316[],2,FALSE)</f>
        <v>0</v>
      </c>
      <c r="S1447" s="1" t="str">
        <f>VLOOKUP(SALIDAS111518[[#This Row],[CÓDIGO]],PRODUCTOS31316[],3,FALSE)</f>
        <v>GORRA MAS CAMPO</v>
      </c>
      <c r="T1447" s="2">
        <v>24</v>
      </c>
      <c r="U1447" s="2"/>
      <c r="V1447" s="2"/>
      <c r="W1447" s="2"/>
      <c r="X1447" s="2"/>
      <c r="Y1447" s="7"/>
      <c r="Z1447" s="2"/>
      <c r="AA1447" s="1"/>
      <c r="AC1447" s="2"/>
      <c r="AE1447" s="1"/>
      <c r="AG1447" s="2"/>
    </row>
    <row r="1448" spans="12:33" ht="49.95" customHeight="1" x14ac:dyDescent="0.3">
      <c r="L1448" s="2"/>
      <c r="M1448" s="2"/>
      <c r="N1448" s="2">
        <v>479</v>
      </c>
      <c r="O1448" s="1" t="s">
        <v>4740</v>
      </c>
      <c r="P1448" s="16">
        <v>46127</v>
      </c>
      <c r="Q1448" s="2" t="s">
        <v>3645</v>
      </c>
      <c r="R1448" s="2">
        <f>VLOOKUP(SALIDAS111518[[#This Row],[CÓDIGO]],PRODUCTOS31316[],2,FALSE)</f>
        <v>0</v>
      </c>
      <c r="S1448" s="1" t="str">
        <f>VLOOKUP(SALIDAS111518[[#This Row],[CÓDIGO]],PRODUCTOS31316[],3,FALSE)</f>
        <v>AGENDA MAS CAMPO</v>
      </c>
      <c r="T1448" s="2">
        <v>22</v>
      </c>
      <c r="U1448" s="2"/>
      <c r="V1448" s="2"/>
      <c r="W1448" s="2"/>
      <c r="X1448" s="2"/>
      <c r="Y1448" s="7"/>
      <c r="Z1448" s="2"/>
      <c r="AA1448" s="1"/>
      <c r="AC1448" s="2"/>
      <c r="AE1448" s="1"/>
      <c r="AG1448" s="2"/>
    </row>
    <row r="1449" spans="12:33" ht="49.95" customHeight="1" x14ac:dyDescent="0.3">
      <c r="L1449" s="2"/>
      <c r="M1449" s="2"/>
      <c r="N1449" s="2">
        <v>479</v>
      </c>
      <c r="O1449" s="1" t="s">
        <v>4740</v>
      </c>
      <c r="P1449" s="16">
        <v>46127</v>
      </c>
      <c r="Q1449" s="2" t="s">
        <v>3649</v>
      </c>
      <c r="R1449" s="2">
        <f>VLOOKUP(SALIDAS111518[[#This Row],[CÓDIGO]],PRODUCTOS31316[],2,FALSE)</f>
        <v>0</v>
      </c>
      <c r="S1449" s="1" t="str">
        <f>VLOOKUP(SALIDAS111518[[#This Row],[CÓDIGO]],PRODUCTOS31316[],3,FALSE)</f>
        <v>ESFEROS MAS CAMPO</v>
      </c>
      <c r="T1449" s="2">
        <v>22</v>
      </c>
      <c r="U1449" s="2"/>
      <c r="V1449" s="2"/>
      <c r="W1449" s="2"/>
      <c r="X1449" s="2"/>
      <c r="Y1449" s="7"/>
      <c r="Z1449" s="2"/>
      <c r="AA1449" s="1"/>
      <c r="AC1449" s="2"/>
      <c r="AE1449" s="1"/>
      <c r="AG1449" s="2"/>
    </row>
    <row r="1450" spans="12:33" ht="49.95" customHeight="1" x14ac:dyDescent="0.3">
      <c r="L1450" s="2" t="s">
        <v>3520</v>
      </c>
      <c r="M1450" s="2" t="s">
        <v>4578</v>
      </c>
      <c r="N1450" s="340" t="s">
        <v>4750</v>
      </c>
      <c r="O1450" s="350" t="s">
        <v>2195</v>
      </c>
      <c r="P1450" s="16">
        <v>46128</v>
      </c>
      <c r="Q1450" s="2" t="s">
        <v>36</v>
      </c>
      <c r="R1450" s="2">
        <f>VLOOKUP(SALIDAS111518[[#This Row],[CÓDIGO]],PRODUCTOS31316[],2,FALSE)</f>
        <v>1</v>
      </c>
      <c r="S1450" s="1" t="str">
        <f>VLOOKUP(SALIDAS111518[[#This Row],[CÓDIGO]],PRODUCTOS31316[],3,FALSE)</f>
        <v xml:space="preserve">PARCHE ESTROTECT </v>
      </c>
      <c r="T1450" s="2">
        <v>2</v>
      </c>
      <c r="U1450" s="2">
        <v>621</v>
      </c>
      <c r="V1450" s="2"/>
      <c r="W1450" s="2"/>
      <c r="X1450" s="2"/>
      <c r="Y1450" s="7"/>
      <c r="Z1450" s="2"/>
      <c r="AA1450" s="1"/>
      <c r="AC1450" s="2"/>
      <c r="AE1450" s="1"/>
      <c r="AG1450" s="2"/>
    </row>
    <row r="1451" spans="12:33" ht="49.95" customHeight="1" x14ac:dyDescent="0.3">
      <c r="L1451" s="2" t="s">
        <v>3520</v>
      </c>
      <c r="M1451" s="2" t="s">
        <v>4578</v>
      </c>
      <c r="N1451" s="340" t="s">
        <v>4755</v>
      </c>
      <c r="O1451" s="2" t="s">
        <v>2796</v>
      </c>
      <c r="P1451" s="16">
        <v>46128</v>
      </c>
      <c r="Q1451" s="2" t="s">
        <v>741</v>
      </c>
      <c r="R1451" s="2" t="str">
        <f>VLOOKUP(SALIDAS111518[[#This Row],[CÓDIGO]],PRODUCTOS31316[],2,FALSE)</f>
        <v>17209/1165</v>
      </c>
      <c r="S1451" s="1" t="str">
        <f>VLOOKUP(SALIDAS111518[[#This Row],[CÓDIGO]],PRODUCTOS31316[],3,FALSE)</f>
        <v>PIPETA EQUINA 65CM</v>
      </c>
      <c r="T1451" s="2">
        <v>2</v>
      </c>
      <c r="U1451" s="2">
        <v>625</v>
      </c>
      <c r="V1451" s="2"/>
      <c r="W1451" s="2" t="s">
        <v>3412</v>
      </c>
      <c r="X1451" s="2"/>
      <c r="Y1451" s="7"/>
      <c r="Z1451" s="2"/>
      <c r="AA1451" s="1"/>
      <c r="AC1451" s="2"/>
      <c r="AE1451" s="1"/>
      <c r="AG1451" s="2"/>
    </row>
    <row r="1452" spans="12:33" ht="49.95" customHeight="1" x14ac:dyDescent="0.3">
      <c r="L1452" s="2"/>
      <c r="M1452" s="2"/>
      <c r="N1452" s="2">
        <v>8216</v>
      </c>
      <c r="O1452" s="339" t="s">
        <v>2796</v>
      </c>
      <c r="P1452" s="16">
        <v>46128</v>
      </c>
      <c r="Q1452" s="2" t="s">
        <v>1631</v>
      </c>
      <c r="R1452" s="2" t="str">
        <f>VLOOKUP(SALIDAS111518[[#This Row],[CÓDIGO]],PRODUCTOS31316[],2,FALSE)</f>
        <v>7101-CRAL</v>
      </c>
      <c r="S1452" s="1" t="str">
        <f>VLOOKUP(SALIDAS111518[[#This Row],[CÓDIGO]],PRODUCTOS31316[],3,FALSE)</f>
        <v>LAMINA PORTA OBJETOS LISA EN VIDRIO 26X76MM, BORDE ESMERILADO</v>
      </c>
      <c r="T1452" s="2">
        <v>1</v>
      </c>
      <c r="U1452" s="2"/>
      <c r="V1452" s="2"/>
      <c r="W1452" s="2"/>
      <c r="X1452" s="2"/>
      <c r="Y1452" s="7"/>
      <c r="Z1452" s="2"/>
      <c r="AA1452" s="1"/>
      <c r="AC1452" s="2"/>
      <c r="AE1452" s="1"/>
      <c r="AG1452" s="2"/>
    </row>
    <row r="1453" spans="12:33" ht="49.95" customHeight="1" x14ac:dyDescent="0.3">
      <c r="L1453" s="2"/>
      <c r="M1453" s="2"/>
      <c r="N1453" s="2">
        <v>8216</v>
      </c>
      <c r="O1453" s="2" t="s">
        <v>2796</v>
      </c>
      <c r="P1453" s="16">
        <v>46128</v>
      </c>
      <c r="Q1453" s="2" t="s">
        <v>1637</v>
      </c>
      <c r="R1453" s="2" t="str">
        <f>VLOOKUP(SALIDAS111518[[#This Row],[CÓDIGO]],PRODUCTOS31316[],2,FALSE)</f>
        <v>P22X22</v>
      </c>
      <c r="S1453" s="1" t="str">
        <f>VLOOKUP(SALIDAS111518[[#This Row],[CÓDIGO]],PRODUCTOS31316[],3,FALSE)</f>
        <v>LAMINA CUBRE OBJETO EN VIDRIO 22X22</v>
      </c>
      <c r="T1453" s="2">
        <v>1</v>
      </c>
      <c r="U1453" s="2"/>
      <c r="V1453" s="2"/>
      <c r="W1453" s="2"/>
      <c r="X1453" s="2"/>
      <c r="Y1453" s="7"/>
      <c r="Z1453" s="2"/>
      <c r="AA1453" s="1"/>
      <c r="AC1453" s="2"/>
      <c r="AE1453" s="1"/>
      <c r="AG1453" s="2"/>
    </row>
    <row r="1454" spans="12:33" ht="49.95" customHeight="1" x14ac:dyDescent="0.3">
      <c r="L1454" s="2"/>
      <c r="M1454" s="2"/>
      <c r="N1454" s="2">
        <v>8216</v>
      </c>
      <c r="O1454" s="2" t="s">
        <v>2796</v>
      </c>
      <c r="P1454" s="16">
        <v>46128</v>
      </c>
      <c r="Q1454" s="2" t="s">
        <v>3308</v>
      </c>
      <c r="R1454" s="2">
        <f>VLOOKUP(SALIDAS111518[[#This Row],[CÓDIGO]],PRODUCTOS31316[],2,FALSE)</f>
        <v>50</v>
      </c>
      <c r="S1454" s="1" t="str">
        <f>VLOOKUP(SALIDAS111518[[#This Row],[CÓDIGO]],PRODUCTOS31316[],3,FALSE)</f>
        <v>MAXI FILTRO</v>
      </c>
      <c r="T1454" s="2">
        <v>2</v>
      </c>
      <c r="U1454" s="2"/>
      <c r="V1454" s="2"/>
      <c r="W1454" s="2"/>
      <c r="X1454" s="2"/>
      <c r="Y1454" s="7"/>
      <c r="Z1454" s="2"/>
      <c r="AA1454" s="1"/>
      <c r="AC1454" s="2"/>
      <c r="AE1454" s="1"/>
      <c r="AG1454" s="2"/>
    </row>
    <row r="1455" spans="12:33" ht="49.95" customHeight="1" x14ac:dyDescent="0.3">
      <c r="L1455" s="2"/>
      <c r="M1455" s="2"/>
      <c r="N1455" s="2">
        <v>8216</v>
      </c>
      <c r="O1455" s="2" t="s">
        <v>2796</v>
      </c>
      <c r="P1455" s="16">
        <v>46128</v>
      </c>
      <c r="Q1455" s="2" t="s">
        <v>3309</v>
      </c>
      <c r="R1455" s="2">
        <f>VLOOKUP(SALIDAS111518[[#This Row],[CÓDIGO]],PRODUCTOS31316[],2,FALSE)</f>
        <v>60</v>
      </c>
      <c r="S1455" s="1" t="str">
        <f>VLOOKUP(SALIDAS111518[[#This Row],[CÓDIGO]],PRODUCTOS31316[],3,FALSE)</f>
        <v>SONDA EN "Y" CON VÁLVULA PARA BOVINOS</v>
      </c>
      <c r="T1455" s="2">
        <v>2</v>
      </c>
      <c r="U1455" s="2"/>
      <c r="V1455" s="2"/>
      <c r="W1455" s="2"/>
      <c r="X1455" s="2"/>
      <c r="Y1455" s="7"/>
      <c r="Z1455" s="2"/>
      <c r="AA1455" s="1"/>
      <c r="AC1455" s="2"/>
      <c r="AE1455" s="1"/>
      <c r="AG1455" s="2"/>
    </row>
    <row r="1456" spans="12:33" ht="49.95" customHeight="1" x14ac:dyDescent="0.3">
      <c r="L1456" s="2" t="s">
        <v>3520</v>
      </c>
      <c r="M1456" s="2" t="s">
        <v>4578</v>
      </c>
      <c r="N1456" s="340" t="s">
        <v>4756</v>
      </c>
      <c r="O1456" s="2" t="s">
        <v>2693</v>
      </c>
      <c r="P1456" s="16">
        <v>46128</v>
      </c>
      <c r="Q1456" s="2" t="s">
        <v>168</v>
      </c>
      <c r="R1456" s="2">
        <f>VLOOKUP(SALIDAS111518[[#This Row],[CÓDIGO]],PRODUCTOS31316[],2,FALSE)</f>
        <v>4840</v>
      </c>
      <c r="S1456" s="1" t="str">
        <f>VLOOKUP(SALIDAS111518[[#This Row],[CÓDIGO]],PRODUCTOS31316[],3,FALSE)</f>
        <v>PUNTAS BLANCAS UNIVERSALES, PLÁSTICAS, LIBRES DE DNASAS, RNASA Y PIROGENOS, RANGO DE 0.1 A 10UL. (CORTAS).</v>
      </c>
      <c r="T1456" s="2">
        <v>12</v>
      </c>
      <c r="U1456" s="2">
        <v>626</v>
      </c>
      <c r="V1456" s="2"/>
      <c r="W1456" s="2"/>
      <c r="X1456" s="2"/>
      <c r="Y1456" s="7"/>
      <c r="Z1456" s="2"/>
      <c r="AA1456" s="1"/>
      <c r="AC1456" s="2"/>
      <c r="AE1456" s="1"/>
      <c r="AG1456" s="2"/>
    </row>
    <row r="1457" spans="12:33" ht="56.4" customHeight="1" x14ac:dyDescent="0.3">
      <c r="L1457" s="2"/>
      <c r="M1457" s="2"/>
      <c r="N1457" s="384" t="s">
        <v>5578</v>
      </c>
      <c r="O1457" s="339" t="s">
        <v>2693</v>
      </c>
      <c r="P1457" s="16">
        <v>46189</v>
      </c>
      <c r="Q1457" s="384" t="s">
        <v>5123</v>
      </c>
      <c r="R1457" s="2">
        <f>VLOOKUP(SALIDAS111518[[#This Row],[CÓDIGO]],PRODUCTOS31316[],2,FALSE)</f>
        <v>0</v>
      </c>
      <c r="S1457" s="1" t="str">
        <f>VLOOKUP(SALIDAS111518[[#This Row],[CÓDIGO]],PRODUCTOS31316[],3,FALSE)</f>
        <v>MICROFILTRO 0,90 UM  PAQ. X 20 UND MARCA: TED</v>
      </c>
      <c r="T1457" s="2">
        <v>3</v>
      </c>
      <c r="U1457" s="107">
        <v>1155</v>
      </c>
      <c r="V1457" s="2"/>
      <c r="W1457" s="2"/>
      <c r="X1457" s="2"/>
      <c r="Y1457" s="7"/>
      <c r="Z1457" s="2"/>
      <c r="AA1457" s="1"/>
      <c r="AC1457" s="2"/>
      <c r="AE1457" s="1"/>
      <c r="AG1457" s="2"/>
    </row>
    <row r="1458" spans="12:33" ht="49.95" customHeight="1" x14ac:dyDescent="0.3">
      <c r="L1458" s="2"/>
      <c r="M1458" s="2"/>
      <c r="N1458" s="2">
        <v>8217</v>
      </c>
      <c r="O1458" s="2" t="s">
        <v>2693</v>
      </c>
      <c r="P1458" s="16">
        <v>46128</v>
      </c>
      <c r="Q1458" s="2" t="s">
        <v>15</v>
      </c>
      <c r="R1458" s="2" t="str">
        <f>VLOOKUP(SALIDAS111518[[#This Row],[CÓDIGO]],PRODUCTOS31316[],2,FALSE)</f>
        <v>BTE-025PT/ 504002</v>
      </c>
      <c r="S1458" s="1" t="str">
        <f>VLOOKUP(SALIDAS111518[[#This Row],[CÓDIGO]],PRODUCTOS31316[],3,FALSE)</f>
        <v>FUNDAS PARA TRANSFERENCIA DE EMBRIONES</v>
      </c>
      <c r="T1458" s="2">
        <v>100</v>
      </c>
      <c r="U1458" s="2"/>
      <c r="V1458" s="2"/>
      <c r="W1458" s="2"/>
      <c r="X1458" s="2"/>
      <c r="Y1458" s="7"/>
      <c r="Z1458" s="2"/>
      <c r="AA1458" s="1"/>
      <c r="AC1458" s="2"/>
      <c r="AE1458" s="1"/>
      <c r="AG1458" s="2"/>
    </row>
    <row r="1459" spans="12:33" ht="49.95" customHeight="1" x14ac:dyDescent="0.3">
      <c r="L1459" s="2"/>
      <c r="M1459" s="2"/>
      <c r="N1459" s="2">
        <v>8217</v>
      </c>
      <c r="O1459" s="2" t="s">
        <v>2693</v>
      </c>
      <c r="P1459" s="16">
        <v>46128</v>
      </c>
      <c r="Q1459" s="2" t="s">
        <v>2246</v>
      </c>
      <c r="R1459" s="2" t="str">
        <f>VLOOKUP(SALIDAS111518[[#This Row],[CÓDIGO]],PRODUCTOS31316[],2,FALSE)</f>
        <v>00051076-02</v>
      </c>
      <c r="S1459" s="1" t="str">
        <f>VLOOKUP(SALIDAS111518[[#This Row],[CÓDIGO]],PRODUCTOS31316[],3,FALSE)</f>
        <v>LIDOCAÍNA  HCL 2 % X 100 ML/ 2025-12-16</v>
      </c>
      <c r="T1459" s="2">
        <v>100</v>
      </c>
      <c r="U1459" s="2"/>
      <c r="V1459" s="2"/>
      <c r="W1459" s="2"/>
      <c r="X1459" s="77"/>
      <c r="Y1459" s="7"/>
      <c r="Z1459" s="2"/>
      <c r="AA1459" s="1"/>
      <c r="AC1459" s="2"/>
      <c r="AE1459" s="1"/>
      <c r="AG1459" s="2"/>
    </row>
    <row r="1460" spans="12:33" ht="49.95" customHeight="1" x14ac:dyDescent="0.3">
      <c r="L1460" s="2"/>
      <c r="M1460" s="2"/>
      <c r="N1460" s="2">
        <v>8217</v>
      </c>
      <c r="O1460" s="2" t="s">
        <v>2693</v>
      </c>
      <c r="P1460" s="16">
        <v>46128</v>
      </c>
      <c r="Q1460" s="2" t="s">
        <v>360</v>
      </c>
      <c r="R1460" s="2">
        <f>VLOOKUP(SALIDAS111518[[#This Row],[CÓDIGO]],PRODUCTOS31316[],2,FALSE)</f>
        <v>505006</v>
      </c>
      <c r="S1460" s="1" t="str">
        <f>VLOOKUP(SALIDAS111518[[#This Row],[CÓDIGO]],PRODUCTOS31316[],3,FALSE)</f>
        <v>LACRADOR REDONDO AMARILLO</v>
      </c>
      <c r="T1460" s="2">
        <v>20</v>
      </c>
      <c r="U1460" s="2"/>
      <c r="V1460" s="2"/>
      <c r="W1460" s="2"/>
      <c r="X1460" s="2"/>
      <c r="Y1460" s="7"/>
      <c r="Z1460" s="2"/>
      <c r="AA1460" s="1"/>
      <c r="AC1460" s="2"/>
      <c r="AE1460" s="1"/>
      <c r="AG1460" s="2"/>
    </row>
    <row r="1461" spans="12:33" ht="49.95" customHeight="1" x14ac:dyDescent="0.3">
      <c r="L1461" s="2" t="s">
        <v>3521</v>
      </c>
      <c r="M1461" s="2" t="s">
        <v>4578</v>
      </c>
      <c r="N1461" s="340" t="s">
        <v>4757</v>
      </c>
      <c r="O1461" s="339" t="s">
        <v>4749</v>
      </c>
      <c r="P1461" s="16">
        <v>46128</v>
      </c>
      <c r="Q1461" s="2" t="s">
        <v>15</v>
      </c>
      <c r="R1461" s="2" t="str">
        <f>VLOOKUP(SALIDAS111518[[#This Row],[CÓDIGO]],PRODUCTOS31316[],2,FALSE)</f>
        <v>BTE-025PT/ 504002</v>
      </c>
      <c r="S1461" s="1" t="str">
        <f>VLOOKUP(SALIDAS111518[[#This Row],[CÓDIGO]],PRODUCTOS31316[],3,FALSE)</f>
        <v>FUNDAS PARA TRANSFERENCIA DE EMBRIONES</v>
      </c>
      <c r="T1461" s="2">
        <v>5</v>
      </c>
      <c r="U1461" s="2">
        <v>627</v>
      </c>
      <c r="V1461" s="2"/>
      <c r="W1461" s="2"/>
      <c r="X1461" s="2"/>
      <c r="Y1461" s="7"/>
      <c r="Z1461" s="2"/>
      <c r="AA1461" s="1"/>
      <c r="AC1461" s="2"/>
      <c r="AE1461" s="1"/>
      <c r="AG1461" s="2"/>
    </row>
    <row r="1462" spans="12:33" ht="49.95" customHeight="1" x14ac:dyDescent="0.3">
      <c r="L1462" s="2"/>
      <c r="M1462" s="2"/>
      <c r="N1462" s="2">
        <v>8218</v>
      </c>
      <c r="O1462" s="2" t="s">
        <v>4749</v>
      </c>
      <c r="P1462" s="16">
        <v>46128</v>
      </c>
      <c r="Q1462" s="2" t="s">
        <v>1779</v>
      </c>
      <c r="R1462" s="2">
        <f>VLOOKUP(SALIDAS111518[[#This Row],[CÓDIGO]],PRODUCTOS31316[],2,FALSE)</f>
        <v>5563</v>
      </c>
      <c r="S1462" s="1" t="str">
        <f>VLOOKUP(SALIDAS111518[[#This Row],[CÓDIGO]],PRODUCTOS31316[],3,FALSE)</f>
        <v>CAMISA SANITARIA ROLLO X 80</v>
      </c>
      <c r="T1462" s="2">
        <v>4</v>
      </c>
      <c r="U1462" s="2"/>
      <c r="V1462" s="2"/>
      <c r="W1462" s="2"/>
      <c r="X1462" s="2"/>
      <c r="Y1462" s="7"/>
      <c r="Z1462" s="2"/>
      <c r="AA1462" s="1"/>
      <c r="AC1462" s="2"/>
      <c r="AE1462" s="1"/>
      <c r="AG1462" s="2"/>
    </row>
    <row r="1463" spans="12:33" ht="49.95" customHeight="1" x14ac:dyDescent="0.3">
      <c r="L1463" s="2" t="s">
        <v>3520</v>
      </c>
      <c r="M1463" s="2" t="s">
        <v>4578</v>
      </c>
      <c r="N1463" s="340" t="s">
        <v>4759</v>
      </c>
      <c r="O1463" s="1" t="s">
        <v>2440</v>
      </c>
      <c r="P1463" s="16">
        <v>46128</v>
      </c>
      <c r="Q1463" s="2" t="s">
        <v>3097</v>
      </c>
      <c r="R1463" s="2">
        <f>VLOOKUP(SALIDAS111518[[#This Row],[CÓDIGO]],PRODUCTOS31316[],2,FALSE)</f>
        <v>0</v>
      </c>
      <c r="S1463" s="1" t="str">
        <f>VLOOKUP(SALIDAS111518[[#This Row],[CÓDIGO]],PRODUCTOS31316[],3,FALSE)</f>
        <v>PLATINA TERMICA PARA MICROSCOPIO PT0805</v>
      </c>
      <c r="T1463" s="2">
        <v>1</v>
      </c>
      <c r="U1463" s="2">
        <v>628</v>
      </c>
      <c r="V1463" s="2"/>
      <c r="W1463" s="2"/>
      <c r="X1463" s="2"/>
      <c r="Y1463" s="7"/>
      <c r="Z1463" s="2"/>
      <c r="AA1463" s="1"/>
      <c r="AC1463" s="2"/>
      <c r="AE1463" s="1"/>
      <c r="AG1463" s="2"/>
    </row>
    <row r="1464" spans="12:33" ht="49.95" customHeight="1" x14ac:dyDescent="0.3">
      <c r="L1464" s="2"/>
      <c r="M1464" s="2"/>
      <c r="N1464" s="2">
        <v>8219</v>
      </c>
      <c r="O1464" s="340" t="s">
        <v>2440</v>
      </c>
      <c r="P1464" s="16">
        <v>46128</v>
      </c>
      <c r="Q1464" s="2" t="s">
        <v>2254</v>
      </c>
      <c r="R1464" s="2">
        <f>VLOOKUP(SALIDAS111518[[#This Row],[CÓDIGO]],PRODUCTOS31316[],2,FALSE)</f>
        <v>6935</v>
      </c>
      <c r="S1464" s="1" t="str">
        <f>VLOOKUP(SALIDAS111518[[#This Row],[CÓDIGO]],PRODUCTOS31316[],3,FALSE)</f>
        <v>CUBETA PLÁSTICA MEDIANA PARA 0,50 P/25</v>
      </c>
      <c r="T1464" s="2">
        <v>1</v>
      </c>
      <c r="U1464" s="2"/>
      <c r="V1464" s="2"/>
      <c r="W1464" s="2"/>
      <c r="X1464" s="2"/>
      <c r="Y1464" s="7"/>
      <c r="Z1464" s="2"/>
      <c r="AA1464" s="1"/>
      <c r="AC1464" s="2"/>
      <c r="AE1464" s="1"/>
      <c r="AG1464" s="2"/>
    </row>
    <row r="1465" spans="12:33" ht="49.95" customHeight="1" x14ac:dyDescent="0.3">
      <c r="L1465" s="2" t="s">
        <v>3520</v>
      </c>
      <c r="M1465" s="2" t="s">
        <v>4578</v>
      </c>
      <c r="N1465" s="340" t="s">
        <v>4760</v>
      </c>
      <c r="O1465" s="2" t="s">
        <v>1358</v>
      </c>
      <c r="P1465" s="16">
        <v>46128</v>
      </c>
      <c r="Q1465" s="350" t="s">
        <v>236</v>
      </c>
      <c r="R1465" s="2">
        <f>VLOOKUP(SALIDAS111518[[#This Row],[CÓDIGO]],PRODUCTOS31316[],2,FALSE)</f>
        <v>0</v>
      </c>
      <c r="S1465" s="1" t="str">
        <f>VLOOKUP(SALIDAS111518[[#This Row],[CÓDIGO]],PRODUCTOS31316[],3,FALSE)</f>
        <v>TERMO METÁLICO DESCONGELADOR</v>
      </c>
      <c r="T1465" s="2">
        <v>2</v>
      </c>
      <c r="U1465" s="2">
        <v>629</v>
      </c>
      <c r="V1465" s="2"/>
      <c r="W1465" s="2"/>
      <c r="X1465" s="2"/>
      <c r="Y1465" s="7"/>
      <c r="Z1465" s="2"/>
      <c r="AA1465" s="1"/>
      <c r="AC1465" s="2"/>
      <c r="AE1465" s="1"/>
      <c r="AG1465" s="2"/>
    </row>
    <row r="1466" spans="12:33" ht="49.95" customHeight="1" x14ac:dyDescent="0.3">
      <c r="L1466" s="339" t="s">
        <v>3520</v>
      </c>
      <c r="M1466" s="339" t="s">
        <v>4578</v>
      </c>
      <c r="N1466" s="340" t="s">
        <v>4761</v>
      </c>
      <c r="O1466" s="340" t="s">
        <v>4758</v>
      </c>
      <c r="P1466" s="16">
        <v>46128</v>
      </c>
      <c r="Q1466" s="339" t="s">
        <v>20</v>
      </c>
      <c r="R1466" s="2" t="str">
        <f>VLOOKUP(SALIDAS111518[[#This Row],[CÓDIGO]],PRODUCTOS31316[],2,FALSE)</f>
        <v>L60</v>
      </c>
      <c r="S1466" s="1" t="str">
        <f>VLOOKUP(SALIDAS111518[[#This Row],[CÓDIGO]],PRODUCTOS31316[],3,FALSE)</f>
        <v>ECOGRAFO POTATIL L60 CON SONDA LINEAL RECTAL</v>
      </c>
      <c r="T1466" s="2">
        <v>1</v>
      </c>
      <c r="U1466" s="2">
        <v>630</v>
      </c>
      <c r="V1466" s="2"/>
      <c r="W1466" s="339" t="s">
        <v>3412</v>
      </c>
      <c r="X1466" s="2"/>
      <c r="Y1466" s="7"/>
      <c r="Z1466" s="2"/>
      <c r="AA1466" s="1"/>
      <c r="AC1466" s="2"/>
      <c r="AE1466" s="1"/>
      <c r="AG1466" s="2"/>
    </row>
    <row r="1467" spans="12:33" ht="49.95" customHeight="1" x14ac:dyDescent="0.3">
      <c r="L1467" s="339" t="s">
        <v>3520</v>
      </c>
      <c r="M1467" s="339" t="s">
        <v>4578</v>
      </c>
      <c r="N1467" s="340" t="s">
        <v>4767</v>
      </c>
      <c r="O1467" s="339" t="s">
        <v>4766</v>
      </c>
      <c r="P1467" s="16">
        <v>46129</v>
      </c>
      <c r="Q1467" s="339" t="s">
        <v>104</v>
      </c>
      <c r="R1467" s="2">
        <f>VLOOKUP(SALIDAS111518[[#This Row],[CÓDIGO]],PRODUCTOS31316[],2,FALSE)</f>
        <v>0</v>
      </c>
      <c r="S1467" s="1" t="str">
        <f>VLOOKUP(SALIDAS111518[[#This Row],[CÓDIGO]],PRODUCTOS31316[],3,FALSE)</f>
        <v>ISPERM CHIPS (500 TESTS PER BOX) PAQ. X 50 UND</v>
      </c>
      <c r="T1467" s="2">
        <v>2</v>
      </c>
      <c r="U1467" s="2">
        <v>633</v>
      </c>
      <c r="V1467" s="2"/>
      <c r="W1467" s="2"/>
      <c r="X1467" s="2"/>
      <c r="Y1467" s="7"/>
      <c r="Z1467" s="2"/>
      <c r="AA1467" s="1"/>
      <c r="AC1467" s="2"/>
      <c r="AE1467" s="1"/>
      <c r="AG1467" s="2"/>
    </row>
    <row r="1468" spans="12:33" ht="49.95" customHeight="1" x14ac:dyDescent="0.3">
      <c r="L1468" s="339" t="s">
        <v>3521</v>
      </c>
      <c r="M1468" s="339" t="s">
        <v>4578</v>
      </c>
      <c r="N1468" s="340" t="s">
        <v>4776</v>
      </c>
      <c r="O1468" s="340" t="s">
        <v>3153</v>
      </c>
      <c r="P1468" s="16">
        <v>46129</v>
      </c>
      <c r="Q1468" s="339" t="s">
        <v>36</v>
      </c>
      <c r="R1468" s="2">
        <f>VLOOKUP(SALIDAS111518[[#This Row],[CÓDIGO]],PRODUCTOS31316[],2,FALSE)</f>
        <v>1</v>
      </c>
      <c r="S1468" s="1" t="str">
        <f>VLOOKUP(SALIDAS111518[[#This Row],[CÓDIGO]],PRODUCTOS31316[],3,FALSE)</f>
        <v xml:space="preserve">PARCHE ESTROTECT </v>
      </c>
      <c r="T1468" s="2">
        <v>2</v>
      </c>
      <c r="U1468" s="2">
        <v>634</v>
      </c>
      <c r="V1468" s="2"/>
      <c r="W1468" s="2"/>
      <c r="X1468" s="2"/>
      <c r="Y1468" s="7"/>
      <c r="Z1468" s="2"/>
      <c r="AA1468" s="1"/>
      <c r="AC1468" s="2"/>
      <c r="AE1468" s="1"/>
      <c r="AG1468" s="2"/>
    </row>
    <row r="1469" spans="12:33" ht="49.95" customHeight="1" x14ac:dyDescent="0.3">
      <c r="L1469" s="339" t="s">
        <v>3521</v>
      </c>
      <c r="M1469" s="339" t="s">
        <v>4578</v>
      </c>
      <c r="N1469" s="340" t="s">
        <v>4777</v>
      </c>
      <c r="O1469" s="340" t="s">
        <v>3221</v>
      </c>
      <c r="P1469" s="16">
        <v>46129</v>
      </c>
      <c r="Q1469" s="339" t="s">
        <v>1779</v>
      </c>
      <c r="R1469" s="2">
        <f>VLOOKUP(SALIDAS111518[[#This Row],[CÓDIGO]],PRODUCTOS31316[],2,FALSE)</f>
        <v>5563</v>
      </c>
      <c r="S1469" s="1" t="str">
        <f>VLOOKUP(SALIDAS111518[[#This Row],[CÓDIGO]],PRODUCTOS31316[],3,FALSE)</f>
        <v>CAMISA SANITARIA ROLLO X 80</v>
      </c>
      <c r="T1469" s="2">
        <v>4</v>
      </c>
      <c r="U1469" s="2">
        <v>635</v>
      </c>
      <c r="V1469" s="2"/>
      <c r="W1469" s="2"/>
      <c r="X1469" s="2"/>
      <c r="Y1469" s="7"/>
      <c r="Z1469" s="2"/>
      <c r="AA1469" s="1"/>
      <c r="AC1469" s="2"/>
      <c r="AE1469" s="1"/>
      <c r="AG1469" s="2"/>
    </row>
    <row r="1470" spans="12:33" ht="49.95" customHeight="1" x14ac:dyDescent="0.3">
      <c r="L1470" s="2"/>
      <c r="M1470" s="2"/>
      <c r="N1470" s="2">
        <v>8225</v>
      </c>
      <c r="O1470" s="340" t="s">
        <v>3221</v>
      </c>
      <c r="P1470" s="16">
        <v>46126</v>
      </c>
      <c r="Q1470" s="339" t="s">
        <v>369</v>
      </c>
      <c r="R1470" s="2">
        <f>VLOOKUP(SALIDAS111518[[#This Row],[CÓDIGO]],PRODUCTOS31316[],2,FALSE)</f>
        <v>0</v>
      </c>
      <c r="S1470" s="1" t="str">
        <f>VLOOKUP(SALIDAS111518[[#This Row],[CÓDIGO]],PRODUCTOS31316[],3,FALSE)</f>
        <v>FUNDA UNIVERSAL PARA I.A. RANURADA</v>
      </c>
      <c r="T1470" s="2">
        <v>5</v>
      </c>
      <c r="U1470" s="2"/>
      <c r="V1470" s="2"/>
      <c r="W1470" s="2"/>
      <c r="X1470" s="2"/>
      <c r="Y1470" s="7"/>
      <c r="Z1470" s="2"/>
      <c r="AA1470" s="1"/>
      <c r="AC1470" s="2"/>
      <c r="AE1470" s="1"/>
      <c r="AG1470" s="2"/>
    </row>
    <row r="1471" spans="12:33" ht="49.95" customHeight="1" x14ac:dyDescent="0.3">
      <c r="L1471" s="339" t="s">
        <v>3520</v>
      </c>
      <c r="M1471" s="339" t="s">
        <v>4578</v>
      </c>
      <c r="N1471" s="340" t="s">
        <v>4778</v>
      </c>
      <c r="O1471" s="340" t="s">
        <v>2699</v>
      </c>
      <c r="P1471" s="16">
        <v>46129</v>
      </c>
      <c r="Q1471" s="339" t="s">
        <v>2246</v>
      </c>
      <c r="R1471" s="2" t="str">
        <f>VLOOKUP(SALIDAS111518[[#This Row],[CÓDIGO]],PRODUCTOS31316[],2,FALSE)</f>
        <v>00051076-02</v>
      </c>
      <c r="S1471" s="1" t="str">
        <f>VLOOKUP(SALIDAS111518[[#This Row],[CÓDIGO]],PRODUCTOS31316[],3,FALSE)</f>
        <v>LIDOCAÍNA  HCL 2 % X 100 ML/ 2025-12-16</v>
      </c>
      <c r="T1471" s="2">
        <v>20</v>
      </c>
      <c r="U1471" s="2">
        <v>636</v>
      </c>
      <c r="V1471" s="2"/>
      <c r="W1471" s="2"/>
      <c r="X1471" s="2"/>
      <c r="Y1471" s="7"/>
      <c r="Z1471" s="2"/>
      <c r="AA1471" s="1"/>
      <c r="AC1471" s="2"/>
      <c r="AE1471" s="1"/>
      <c r="AG1471" s="2"/>
    </row>
    <row r="1472" spans="12:33" ht="49.95" customHeight="1" x14ac:dyDescent="0.3">
      <c r="L1472" s="339" t="s">
        <v>3520</v>
      </c>
      <c r="M1472" s="339" t="s">
        <v>4578</v>
      </c>
      <c r="N1472" s="344" t="s">
        <v>4791</v>
      </c>
      <c r="O1472" s="339" t="s">
        <v>2971</v>
      </c>
      <c r="P1472" s="16">
        <v>46132</v>
      </c>
      <c r="Q1472" s="339" t="s">
        <v>79</v>
      </c>
      <c r="R1472" s="2" t="str">
        <f>VLOOKUP(SALIDAS111518[[#This Row],[CÓDIGO]],PRODUCTOS31316[],2,FALSE)</f>
        <v>ABT ADAPT HOLDING</v>
      </c>
      <c r="S1472" s="1" t="str">
        <f>VLOOKUP(SALIDAS111518[[#This Row],[CÓDIGO]],PRODUCTOS31316[],3,FALSE)</f>
        <v>ABT ADAPT HOLDING CON HA 7 ML</v>
      </c>
      <c r="T1472" s="2">
        <v>7</v>
      </c>
      <c r="U1472" s="2">
        <v>639</v>
      </c>
      <c r="V1472" s="2"/>
      <c r="W1472" s="2"/>
      <c r="X1472" s="2"/>
      <c r="Y1472" s="7"/>
      <c r="Z1472" s="2"/>
      <c r="AA1472" s="1"/>
      <c r="AC1472" s="2"/>
      <c r="AE1472" s="1"/>
      <c r="AG1472" s="2"/>
    </row>
    <row r="1473" spans="12:33" ht="49.95" customHeight="1" x14ac:dyDescent="0.3">
      <c r="L1473" s="2"/>
      <c r="M1473" s="2"/>
      <c r="N1473" s="2">
        <v>8229</v>
      </c>
      <c r="O1473" s="339" t="s">
        <v>2971</v>
      </c>
      <c r="P1473" s="16">
        <v>46135</v>
      </c>
      <c r="Q1473" s="339" t="s">
        <v>3405</v>
      </c>
      <c r="R1473" s="2" t="str">
        <f>VLOOKUP(SALIDAS111518[[#This Row],[CÓDIGO]],PRODUCTOS31316[],2,FALSE)</f>
        <v>17209/1265</v>
      </c>
      <c r="S1473" s="1" t="str">
        <f>VLOOKUP(SALIDAS111518[[#This Row],[CÓDIGO]],PRODUCTOS31316[],3,FALSE)</f>
        <v>PIPETA EQUINA DE 65 CM</v>
      </c>
      <c r="T1473" s="2">
        <v>25</v>
      </c>
      <c r="U1473" s="2"/>
      <c r="V1473" s="2"/>
      <c r="W1473" s="2"/>
      <c r="X1473" s="77"/>
      <c r="Y1473" s="7"/>
      <c r="Z1473" s="2"/>
      <c r="AA1473" s="1"/>
      <c r="AC1473" s="2"/>
      <c r="AE1473" s="1"/>
      <c r="AG1473" s="2"/>
    </row>
    <row r="1474" spans="12:33" ht="49.95" customHeight="1" x14ac:dyDescent="0.3">
      <c r="L1474" s="2" t="s">
        <v>3520</v>
      </c>
      <c r="M1474" s="2" t="s">
        <v>4578</v>
      </c>
      <c r="N1474" s="354" t="s">
        <v>4877</v>
      </c>
      <c r="O1474" s="368" t="s">
        <v>4785</v>
      </c>
      <c r="P1474" s="346">
        <v>46132</v>
      </c>
      <c r="Q1474" s="339" t="s">
        <v>1779</v>
      </c>
      <c r="R1474" s="2">
        <f>VLOOKUP(SALIDAS111518[[#This Row],[CÓDIGO]],PRODUCTOS31316[],2,FALSE)</f>
        <v>5563</v>
      </c>
      <c r="S1474" s="1" t="str">
        <f>VLOOKUP(SALIDAS111518[[#This Row],[CÓDIGO]],PRODUCTOS31316[],3,FALSE)</f>
        <v>CAMISA SANITARIA ROLLO X 80</v>
      </c>
      <c r="T1474" s="2">
        <v>10</v>
      </c>
      <c r="U1474" s="344" t="s">
        <v>4792</v>
      </c>
      <c r="V1474" s="2"/>
      <c r="W1474" s="2"/>
      <c r="X1474" s="2"/>
      <c r="Y1474" s="7"/>
      <c r="Z1474" s="2"/>
      <c r="AA1474" s="1"/>
      <c r="AC1474" s="2"/>
      <c r="AE1474" s="1"/>
      <c r="AG1474" s="2"/>
    </row>
    <row r="1475" spans="12:33" ht="49.95" customHeight="1" x14ac:dyDescent="0.3">
      <c r="L1475" s="339" t="s">
        <v>3521</v>
      </c>
      <c r="M1475" s="339" t="s">
        <v>4578</v>
      </c>
      <c r="N1475" s="344" t="s">
        <v>4794</v>
      </c>
      <c r="O1475" s="345" t="s">
        <v>4780</v>
      </c>
      <c r="P1475" s="16">
        <v>46129</v>
      </c>
      <c r="Q1475" s="339" t="s">
        <v>153</v>
      </c>
      <c r="R1475" s="2">
        <f>VLOOKUP(SALIDAS111518[[#This Row],[CÓDIGO]],PRODUCTOS31316[],2,FALSE)</f>
        <v>1132</v>
      </c>
      <c r="S1475" s="1" t="str">
        <f>VLOOKUP(SALIDAS111518[[#This Row],[CÓDIGO]],PRODUCTOS31316[],3,FALSE)</f>
        <v>PISTOLA QUICKLOCK CLASIC</v>
      </c>
      <c r="T1475" s="2">
        <v>1</v>
      </c>
      <c r="U1475" s="344" t="s">
        <v>4793</v>
      </c>
      <c r="V1475" s="2"/>
      <c r="W1475" s="2"/>
      <c r="X1475" s="2"/>
      <c r="Y1475" s="7"/>
      <c r="Z1475" s="2"/>
      <c r="AA1475" s="1"/>
      <c r="AC1475" s="2"/>
      <c r="AE1475" s="1"/>
      <c r="AG1475" s="2"/>
    </row>
    <row r="1476" spans="12:33" ht="49.95" customHeight="1" x14ac:dyDescent="0.3">
      <c r="L1476" s="345" t="s">
        <v>3521</v>
      </c>
      <c r="M1476" s="345" t="s">
        <v>4578</v>
      </c>
      <c r="N1476" s="344" t="s">
        <v>4796</v>
      </c>
      <c r="O1476" s="345" t="s">
        <v>4788</v>
      </c>
      <c r="P1476" s="16">
        <v>46130</v>
      </c>
      <c r="Q1476" s="345" t="s">
        <v>382</v>
      </c>
      <c r="R1476" s="2">
        <f>VLOOKUP(SALIDAS111518[[#This Row],[CÓDIGO]],PRODUCTOS31316[],2,FALSE)</f>
        <v>605032</v>
      </c>
      <c r="S1476" s="1" t="str">
        <f>VLOOKUP(SALIDAS111518[[#This Row],[CÓDIGO]],PRODUCTOS31316[],3,FALSE)</f>
        <v>LUBRICANTE OB, NO ESPERMICIDA</v>
      </c>
      <c r="T1476" s="2">
        <v>1</v>
      </c>
      <c r="U1476" s="344" t="s">
        <v>4795</v>
      </c>
      <c r="V1476" s="2"/>
      <c r="W1476" s="2"/>
      <c r="X1476" s="2"/>
      <c r="Y1476" s="7"/>
      <c r="Z1476" s="2"/>
      <c r="AA1476" s="1"/>
      <c r="AC1476" s="2"/>
      <c r="AE1476" s="1"/>
      <c r="AG1476" s="2"/>
    </row>
    <row r="1477" spans="12:33" ht="49.95" customHeight="1" x14ac:dyDescent="0.3">
      <c r="L1477" s="2" t="s">
        <v>3520</v>
      </c>
      <c r="M1477" s="2" t="s">
        <v>4578</v>
      </c>
      <c r="N1477" s="344" t="s">
        <v>4798</v>
      </c>
      <c r="O1477" s="344" t="s">
        <v>4782</v>
      </c>
      <c r="P1477" s="16">
        <v>46132</v>
      </c>
      <c r="Q1477" s="2" t="s">
        <v>36</v>
      </c>
      <c r="R1477" s="2">
        <f>VLOOKUP(SALIDAS111518[[#This Row],[CÓDIGO]],PRODUCTOS31316[],2,FALSE)</f>
        <v>1</v>
      </c>
      <c r="S1477" s="1" t="str">
        <f>VLOOKUP(SALIDAS111518[[#This Row],[CÓDIGO]],PRODUCTOS31316[],3,FALSE)</f>
        <v xml:space="preserve">PARCHE ESTROTECT </v>
      </c>
      <c r="T1477" s="2">
        <v>50</v>
      </c>
      <c r="U1477" s="345" t="s">
        <v>4797</v>
      </c>
      <c r="V1477" s="2"/>
      <c r="W1477" s="2"/>
      <c r="X1477" s="2"/>
      <c r="Y1477" s="7"/>
      <c r="Z1477" s="2"/>
      <c r="AA1477" s="1"/>
      <c r="AC1477" s="2"/>
      <c r="AE1477" s="1"/>
      <c r="AG1477" s="2"/>
    </row>
    <row r="1478" spans="12:33" ht="49.95" customHeight="1" x14ac:dyDescent="0.3">
      <c r="L1478" s="2" t="s">
        <v>3520</v>
      </c>
      <c r="M1478" s="2" t="s">
        <v>4578</v>
      </c>
      <c r="N1478" s="344" t="s">
        <v>4799</v>
      </c>
      <c r="O1478" s="1" t="s">
        <v>2735</v>
      </c>
      <c r="P1478" s="16">
        <v>46132</v>
      </c>
      <c r="Q1478" s="2" t="s">
        <v>360</v>
      </c>
      <c r="R1478" s="2">
        <f>VLOOKUP(SALIDAS111518[[#This Row],[CÓDIGO]],PRODUCTOS31316[],2,FALSE)</f>
        <v>505006</v>
      </c>
      <c r="S1478" s="1" t="str">
        <f>VLOOKUP(SALIDAS111518[[#This Row],[CÓDIGO]],PRODUCTOS31316[],3,FALSE)</f>
        <v>LACRADOR REDONDO AMARILLO</v>
      </c>
      <c r="T1478" s="2">
        <v>3</v>
      </c>
      <c r="U1478" s="344" t="s">
        <v>4800</v>
      </c>
      <c r="V1478" s="2"/>
      <c r="W1478" s="2"/>
      <c r="X1478" s="2"/>
      <c r="Y1478" s="7"/>
      <c r="Z1478" s="2"/>
      <c r="AA1478" s="1"/>
      <c r="AC1478" s="2"/>
      <c r="AE1478" s="1"/>
      <c r="AG1478" s="2"/>
    </row>
    <row r="1479" spans="12:33" ht="49.95" customHeight="1" x14ac:dyDescent="0.3">
      <c r="L1479" s="345" t="s">
        <v>3521</v>
      </c>
      <c r="M1479" s="345" t="s">
        <v>4578</v>
      </c>
      <c r="N1479" s="351" t="s">
        <v>4870</v>
      </c>
      <c r="O1479" s="348" t="s">
        <v>4803</v>
      </c>
      <c r="P1479" s="16">
        <v>46139</v>
      </c>
      <c r="Q1479" s="345" t="s">
        <v>3599</v>
      </c>
      <c r="R1479" s="2">
        <f>VLOOKUP(SALIDAS111518[[#This Row],[CÓDIGO]],PRODUCTOS31316[],2,FALSE)</f>
        <v>0</v>
      </c>
      <c r="S1479" s="1" t="str">
        <f>VLOOKUP(SALIDAS111518[[#This Row],[CÓDIGO]],PRODUCTOS31316[],3,FALSE)</f>
        <v>ECOGRAFO AIRSCAN PRO CON SONDA LINEAL RECTAL</v>
      </c>
      <c r="T1479" s="2">
        <v>1</v>
      </c>
      <c r="U1479" s="350" t="s">
        <v>4869</v>
      </c>
      <c r="V1479" s="2"/>
      <c r="W1479" s="345" t="s">
        <v>3194</v>
      </c>
      <c r="X1479" s="2"/>
      <c r="Y1479" s="7"/>
      <c r="Z1479" s="2"/>
      <c r="AA1479" s="1"/>
      <c r="AC1479" s="2"/>
      <c r="AE1479" s="1"/>
      <c r="AG1479" s="2"/>
    </row>
    <row r="1480" spans="12:33" ht="49.95" customHeight="1" x14ac:dyDescent="0.3">
      <c r="L1480" s="345"/>
      <c r="M1480" s="345"/>
      <c r="N1480" s="345">
        <v>8271</v>
      </c>
      <c r="O1480" s="348" t="s">
        <v>4803</v>
      </c>
      <c r="P1480" s="16">
        <v>46139</v>
      </c>
      <c r="Q1480" s="350" t="s">
        <v>3095</v>
      </c>
      <c r="R1480" s="2">
        <f>VLOOKUP(SALIDAS111518[[#This Row],[CÓDIGO]],PRODUCTOS31316[],2,FALSE)</f>
        <v>0</v>
      </c>
      <c r="S1480" s="1" t="str">
        <f>VLOOKUP(SALIDAS111518[[#This Row],[CÓDIGO]],PRODUCTOS31316[],3,FALSE)</f>
        <v>GORRA MAS CAMPO</v>
      </c>
      <c r="T1480" s="2">
        <v>1</v>
      </c>
      <c r="U1480" s="345"/>
      <c r="V1480" s="2"/>
      <c r="W1480" s="345"/>
      <c r="X1480" s="2"/>
      <c r="Y1480" s="7"/>
      <c r="Z1480" s="2"/>
      <c r="AA1480" s="1"/>
      <c r="AC1480" s="2"/>
      <c r="AE1480" s="1"/>
      <c r="AG1480" s="2"/>
    </row>
    <row r="1481" spans="12:33" ht="49.95" customHeight="1" x14ac:dyDescent="0.3">
      <c r="L1481" s="345"/>
      <c r="M1481" s="345"/>
      <c r="N1481" s="345">
        <v>8271</v>
      </c>
      <c r="O1481" s="348" t="s">
        <v>4803</v>
      </c>
      <c r="P1481" s="16">
        <v>46139</v>
      </c>
      <c r="Q1481" s="350" t="s">
        <v>3376</v>
      </c>
      <c r="R1481" s="2">
        <f>VLOOKUP(SALIDAS111518[[#This Row],[CÓDIGO]],PRODUCTOS31316[],2,FALSE)</f>
        <v>0</v>
      </c>
      <c r="S1481" s="1" t="str">
        <f>VLOOKUP(SALIDAS111518[[#This Row],[CÓDIGO]],PRODUCTOS31316[],3,FALSE)</f>
        <v>TERMO DE 380 ML MAS CAMPO</v>
      </c>
      <c r="T1481" s="2">
        <v>1</v>
      </c>
      <c r="U1481" s="345"/>
      <c r="V1481" s="2"/>
      <c r="W1481" s="345"/>
      <c r="X1481" s="2"/>
      <c r="Y1481" s="7"/>
      <c r="Z1481" s="2"/>
      <c r="AA1481" s="1"/>
      <c r="AC1481" s="2"/>
      <c r="AE1481" s="1"/>
      <c r="AG1481" s="2"/>
    </row>
    <row r="1482" spans="12:33" ht="49.95" customHeight="1" x14ac:dyDescent="0.3">
      <c r="L1482" s="345" t="s">
        <v>3520</v>
      </c>
      <c r="M1482" s="345" t="s">
        <v>4578</v>
      </c>
      <c r="N1482" s="344" t="s">
        <v>4804</v>
      </c>
      <c r="O1482" s="344" t="s">
        <v>2702</v>
      </c>
      <c r="P1482" s="16">
        <v>46133</v>
      </c>
      <c r="Q1482" s="345" t="s">
        <v>272</v>
      </c>
      <c r="R1482" s="2">
        <f>VLOOKUP(SALIDAS111518[[#This Row],[CÓDIGO]],PRODUCTOS31316[],2,FALSE)</f>
        <v>627161</v>
      </c>
      <c r="S1482" s="1" t="str">
        <f>VLOOKUP(SALIDAS111518[[#This Row],[CÓDIGO]],PRODUCTOS31316[],3,FALSE)</f>
        <v xml:space="preserve">CAJA PETRI 35X10 ESTERIL </v>
      </c>
      <c r="T1482" s="2">
        <v>20</v>
      </c>
      <c r="U1482" s="2">
        <v>647</v>
      </c>
      <c r="V1482" s="2"/>
      <c r="W1482" s="2"/>
      <c r="X1482" s="2"/>
      <c r="Y1482" s="7"/>
      <c r="Z1482" s="2"/>
      <c r="AA1482" s="1"/>
      <c r="AC1482" s="2"/>
      <c r="AE1482" s="1"/>
      <c r="AG1482" s="2"/>
    </row>
    <row r="1483" spans="12:33" ht="49.95" customHeight="1" x14ac:dyDescent="0.3">
      <c r="L1483" s="2"/>
      <c r="M1483" s="2"/>
      <c r="N1483" s="2">
        <v>8236</v>
      </c>
      <c r="O1483" s="344" t="s">
        <v>2702</v>
      </c>
      <c r="P1483" s="345" t="s">
        <v>4802</v>
      </c>
      <c r="Q1483" s="345" t="s">
        <v>360</v>
      </c>
      <c r="R1483" s="2">
        <f>VLOOKUP(SALIDAS111518[[#This Row],[CÓDIGO]],PRODUCTOS31316[],2,FALSE)</f>
        <v>505006</v>
      </c>
      <c r="S1483" s="1" t="str">
        <f>VLOOKUP(SALIDAS111518[[#This Row],[CÓDIGO]],PRODUCTOS31316[],3,FALSE)</f>
        <v>LACRADOR REDONDO AMARILLO</v>
      </c>
      <c r="T1483" s="2">
        <v>2</v>
      </c>
      <c r="U1483" s="2"/>
      <c r="V1483" s="2"/>
      <c r="W1483" s="2"/>
      <c r="X1483" s="2"/>
      <c r="Y1483" s="7"/>
      <c r="Z1483" s="2"/>
      <c r="AA1483" s="1"/>
      <c r="AC1483" s="2"/>
      <c r="AE1483" s="1"/>
      <c r="AG1483" s="2"/>
    </row>
    <row r="1484" spans="12:33" ht="49.95" customHeight="1" x14ac:dyDescent="0.3">
      <c r="L1484" s="345" t="s">
        <v>3520</v>
      </c>
      <c r="M1484" s="345" t="s">
        <v>4578</v>
      </c>
      <c r="N1484" s="397" t="s">
        <v>5687</v>
      </c>
      <c r="O1484" s="345" t="s">
        <v>1816</v>
      </c>
      <c r="P1484" s="345" t="s">
        <v>4790</v>
      </c>
      <c r="Q1484" s="345" t="s">
        <v>47</v>
      </c>
      <c r="R1484" s="2">
        <f>VLOOKUP(SALIDAS111518[[#This Row],[CÓDIGO]],PRODUCTOS31316[],2,FALSE)</f>
        <v>1135</v>
      </c>
      <c r="S1484" s="1" t="str">
        <f>VLOOKUP(SALIDAS111518[[#This Row],[CÓDIGO]],PRODUCTOS31316[],3,FALSE)</f>
        <v>TRILADYL</v>
      </c>
      <c r="T1484" s="2">
        <v>1</v>
      </c>
      <c r="U1484" s="345" t="s">
        <v>2924</v>
      </c>
      <c r="V1484" s="2"/>
      <c r="W1484" s="2"/>
      <c r="X1484" s="2"/>
      <c r="Y1484" s="7"/>
      <c r="Z1484" s="2"/>
      <c r="AA1484" s="1"/>
      <c r="AC1484" s="2"/>
      <c r="AE1484" s="1"/>
      <c r="AG1484" s="2"/>
    </row>
    <row r="1485" spans="12:33" ht="49.95" customHeight="1" x14ac:dyDescent="0.3">
      <c r="L1485" s="2"/>
      <c r="M1485" s="2"/>
      <c r="N1485" s="2"/>
      <c r="O1485" s="345" t="s">
        <v>1816</v>
      </c>
      <c r="P1485" s="345" t="s">
        <v>4790</v>
      </c>
      <c r="Q1485" s="345" t="s">
        <v>3365</v>
      </c>
      <c r="R1485" s="2">
        <f>VLOOKUP(SALIDAS111518[[#This Row],[CÓDIGO]],PRODUCTOS31316[],2,FALSE)</f>
        <v>0</v>
      </c>
      <c r="S1485" s="1" t="str">
        <f>VLOOKUP(SALIDAS111518[[#This Row],[CÓDIGO]],PRODUCTOS31316[],3,FALSE)</f>
        <v>MANGA DE PROTECCIÓN PALPACIÓN MAS CAMPO</v>
      </c>
      <c r="T1485" s="2">
        <v>2</v>
      </c>
      <c r="U1485" s="2"/>
      <c r="V1485" s="2"/>
      <c r="W1485" s="2"/>
      <c r="X1485" s="2"/>
      <c r="Y1485" s="7"/>
      <c r="Z1485" s="2"/>
      <c r="AA1485" s="1"/>
      <c r="AC1485" s="2"/>
      <c r="AE1485" s="1"/>
      <c r="AG1485" s="2"/>
    </row>
    <row r="1486" spans="12:33" ht="49.95" customHeight="1" x14ac:dyDescent="0.3">
      <c r="L1486" s="345" t="s">
        <v>3520</v>
      </c>
      <c r="M1486" s="345" t="s">
        <v>4578</v>
      </c>
      <c r="N1486" s="344" t="s">
        <v>4806</v>
      </c>
      <c r="O1486" s="344" t="s">
        <v>2712</v>
      </c>
      <c r="P1486" s="16">
        <v>46133</v>
      </c>
      <c r="Q1486" s="345" t="s">
        <v>104</v>
      </c>
      <c r="R1486" s="2">
        <f>VLOOKUP(SALIDAS111518[[#This Row],[CÓDIGO]],PRODUCTOS31316[],2,FALSE)</f>
        <v>0</v>
      </c>
      <c r="S1486" s="1" t="str">
        <f>VLOOKUP(SALIDAS111518[[#This Row],[CÓDIGO]],PRODUCTOS31316[],3,FALSE)</f>
        <v>ISPERM CHIPS (500 TESTS PER BOX) PAQ. X 50 UND</v>
      </c>
      <c r="T1486" s="2">
        <v>1</v>
      </c>
      <c r="U1486" s="2">
        <v>648</v>
      </c>
      <c r="V1486" s="2"/>
      <c r="W1486" s="2"/>
      <c r="X1486" s="2"/>
      <c r="Y1486" s="7"/>
      <c r="Z1486" s="2"/>
      <c r="AA1486" s="1"/>
      <c r="AC1486" s="2"/>
      <c r="AE1486" s="1"/>
      <c r="AG1486" s="2"/>
    </row>
    <row r="1487" spans="12:33" ht="49.95" customHeight="1" x14ac:dyDescent="0.3">
      <c r="L1487" s="345" t="s">
        <v>3520</v>
      </c>
      <c r="M1487" s="345" t="s">
        <v>4578</v>
      </c>
      <c r="N1487" s="344" t="s">
        <v>4808</v>
      </c>
      <c r="O1487" s="344" t="s">
        <v>2765</v>
      </c>
      <c r="P1487" s="16">
        <v>46133</v>
      </c>
      <c r="Q1487" s="345" t="s">
        <v>15</v>
      </c>
      <c r="R1487" s="2" t="str">
        <f>VLOOKUP(SALIDAS111518[[#This Row],[CÓDIGO]],PRODUCTOS31316[],2,FALSE)</f>
        <v>BTE-025PT/ 504002</v>
      </c>
      <c r="S1487" s="1" t="str">
        <f>VLOOKUP(SALIDAS111518[[#This Row],[CÓDIGO]],PRODUCTOS31316[],3,FALSE)</f>
        <v>FUNDAS PARA TRANSFERENCIA DE EMBRIONES</v>
      </c>
      <c r="T1487" s="2">
        <v>40</v>
      </c>
      <c r="U1487" s="2">
        <v>649</v>
      </c>
      <c r="V1487" s="2"/>
      <c r="W1487" s="2"/>
      <c r="X1487" s="2"/>
      <c r="Y1487" s="7"/>
      <c r="Z1487" s="2"/>
      <c r="AA1487" s="1"/>
      <c r="AC1487" s="2"/>
      <c r="AE1487" s="1"/>
      <c r="AG1487" s="2"/>
    </row>
    <row r="1488" spans="12:33" ht="49.95" customHeight="1" x14ac:dyDescent="0.3">
      <c r="L1488" s="345" t="s">
        <v>3520</v>
      </c>
      <c r="M1488" s="345" t="s">
        <v>4578</v>
      </c>
      <c r="N1488" s="344" t="s">
        <v>4807</v>
      </c>
      <c r="O1488" s="345" t="s">
        <v>2299</v>
      </c>
      <c r="P1488" s="16">
        <v>46133</v>
      </c>
      <c r="Q1488" s="345" t="s">
        <v>333</v>
      </c>
      <c r="R1488" s="2" t="str">
        <f>VLOOKUP(SALIDAS111518[[#This Row],[CÓDIGO]],PRODUCTOS31316[],2,FALSE)</f>
        <v>CTB15</v>
      </c>
      <c r="S1488" s="1" t="str">
        <f>VLOOKUP(SALIDAS111518[[#This Row],[CÓDIGO]],PRODUCTOS31316[],3,FALSE)</f>
        <v>TUBO CÓNICO DE 15 ML, TAPA ROSCA ESTÉRIL  RCF MAX: 10000xg, 
graduados, PCR puro. VENCE: 03/04/2028</v>
      </c>
      <c r="T1488" s="2">
        <v>6</v>
      </c>
      <c r="U1488" s="2">
        <v>650</v>
      </c>
      <c r="V1488" s="2"/>
      <c r="W1488" s="2"/>
      <c r="X1488" s="2"/>
      <c r="Y1488" s="7"/>
      <c r="Z1488" s="2"/>
      <c r="AA1488" s="1"/>
      <c r="AC1488" s="2"/>
      <c r="AE1488" s="1"/>
      <c r="AG1488" s="2"/>
    </row>
    <row r="1489" spans="12:33" ht="49.95" customHeight="1" x14ac:dyDescent="0.3">
      <c r="L1489" s="345" t="s">
        <v>3520</v>
      </c>
      <c r="M1489" s="345" t="s">
        <v>4578</v>
      </c>
      <c r="N1489" s="344" t="s">
        <v>4810</v>
      </c>
      <c r="O1489" s="344" t="s">
        <v>3830</v>
      </c>
      <c r="P1489" s="16">
        <v>46133</v>
      </c>
      <c r="Q1489" s="345" t="s">
        <v>3154</v>
      </c>
      <c r="R1489" s="2">
        <f>VLOOKUP(SALIDAS111518[[#This Row],[CÓDIGO]],PRODUCTOS31316[],2,FALSE)</f>
        <v>0</v>
      </c>
      <c r="S1489" s="1" t="str">
        <f>VLOOKUP(SALIDAS111518[[#This Row],[CÓDIGO]],PRODUCTOS31316[],3,FALSE)</f>
        <v>ISPERM COLECTOR DE MUESTRAS</v>
      </c>
      <c r="T1489" s="2">
        <v>1</v>
      </c>
      <c r="U1489" s="2">
        <v>651</v>
      </c>
      <c r="V1489" s="2"/>
      <c r="W1489" s="2"/>
      <c r="X1489" s="2"/>
      <c r="Y1489" s="7"/>
      <c r="Z1489" s="2"/>
      <c r="AA1489" s="1"/>
      <c r="AC1489" s="2"/>
      <c r="AE1489" s="1"/>
      <c r="AG1489" s="2"/>
    </row>
    <row r="1490" spans="12:33" ht="49.95" customHeight="1" x14ac:dyDescent="0.3">
      <c r="L1490" s="345" t="s">
        <v>3520</v>
      </c>
      <c r="M1490" s="345" t="s">
        <v>4578</v>
      </c>
      <c r="N1490" s="344" t="s">
        <v>4811</v>
      </c>
      <c r="O1490" s="344" t="s">
        <v>2718</v>
      </c>
      <c r="P1490" s="16">
        <v>46133</v>
      </c>
      <c r="Q1490" s="345" t="s">
        <v>47</v>
      </c>
      <c r="R1490" s="2">
        <f>VLOOKUP(SALIDAS111518[[#This Row],[CÓDIGO]],PRODUCTOS31316[],2,FALSE)</f>
        <v>1135</v>
      </c>
      <c r="S1490" s="1" t="str">
        <f>VLOOKUP(SALIDAS111518[[#This Row],[CÓDIGO]],PRODUCTOS31316[],3,FALSE)</f>
        <v>TRILADYL</v>
      </c>
      <c r="T1490" s="2">
        <v>2</v>
      </c>
      <c r="U1490" s="344" t="s">
        <v>4812</v>
      </c>
      <c r="V1490" s="2"/>
      <c r="W1490" s="2"/>
      <c r="X1490" s="2"/>
      <c r="Y1490" s="7"/>
      <c r="Z1490" s="2"/>
      <c r="AA1490" s="1"/>
      <c r="AC1490" s="2"/>
      <c r="AE1490" s="1"/>
      <c r="AG1490" s="2"/>
    </row>
    <row r="1491" spans="12:33" ht="49.95" customHeight="1" x14ac:dyDescent="0.3">
      <c r="L1491" s="2"/>
      <c r="M1491" s="2"/>
      <c r="N1491" s="2">
        <v>8240</v>
      </c>
      <c r="O1491" s="344" t="s">
        <v>2718</v>
      </c>
      <c r="P1491" s="16">
        <v>46133</v>
      </c>
      <c r="Q1491" s="345" t="s">
        <v>3702</v>
      </c>
      <c r="R1491" s="2">
        <f>VLOOKUP(SALIDAS111518[[#This Row],[CÓDIGO]],PRODUCTOS31316[],2,FALSE)</f>
        <v>5710</v>
      </c>
      <c r="S1491" s="1" t="str">
        <f>VLOOKUP(SALIDAS111518[[#This Row],[CÓDIGO]],PRODUCTOS31316[],3,FALSE)</f>
        <v>PAJUELA VERDE 0.50/ PAQ. X 2000 MARCA IMV</v>
      </c>
      <c r="T1491" s="2">
        <v>1</v>
      </c>
      <c r="U1491" s="2"/>
      <c r="V1491" s="2"/>
      <c r="W1491" s="2"/>
      <c r="X1491" s="2"/>
      <c r="Y1491" s="7"/>
      <c r="Z1491" s="2"/>
      <c r="AA1491" s="1"/>
      <c r="AC1491" s="2"/>
      <c r="AE1491" s="1"/>
      <c r="AG1491" s="2"/>
    </row>
    <row r="1492" spans="12:33" ht="49.95" customHeight="1" x14ac:dyDescent="0.3">
      <c r="L1492" s="345" t="s">
        <v>3520</v>
      </c>
      <c r="M1492" s="345" t="s">
        <v>4578</v>
      </c>
      <c r="N1492" s="344" t="s">
        <v>4813</v>
      </c>
      <c r="O1492" s="345" t="s">
        <v>3067</v>
      </c>
      <c r="P1492" s="16">
        <v>46133</v>
      </c>
      <c r="Q1492" s="345" t="s">
        <v>366</v>
      </c>
      <c r="R1492" s="2">
        <f>VLOOKUP(SALIDAS111518[[#This Row],[CÓDIGO]],PRODUCTOS31316[],2,FALSE)</f>
        <v>505003</v>
      </c>
      <c r="S1492" s="1" t="str">
        <f>VLOOKUP(SALIDAS111518[[#This Row],[CÓDIGO]],PRODUCTOS31316[],3,FALSE)</f>
        <v>LACRADOR REDONDO BLANCO</v>
      </c>
      <c r="T1492" s="2">
        <v>3</v>
      </c>
      <c r="U1492" s="344" t="s">
        <v>4814</v>
      </c>
      <c r="V1492" s="2"/>
      <c r="W1492" s="2"/>
      <c r="X1492" s="2"/>
      <c r="Y1492" s="7"/>
      <c r="Z1492" s="2"/>
      <c r="AA1492" s="1"/>
      <c r="AC1492" s="2"/>
      <c r="AE1492" s="1"/>
      <c r="AG1492" s="2"/>
    </row>
    <row r="1493" spans="12:33" ht="49.95" customHeight="1" x14ac:dyDescent="0.3">
      <c r="L1493" s="345" t="s">
        <v>3520</v>
      </c>
      <c r="M1493" s="345" t="s">
        <v>4578</v>
      </c>
      <c r="N1493" s="344" t="s">
        <v>4815</v>
      </c>
      <c r="O1493" s="344" t="s">
        <v>4118</v>
      </c>
      <c r="P1493" s="16">
        <v>46133</v>
      </c>
      <c r="Q1493" s="345" t="s">
        <v>104</v>
      </c>
      <c r="R1493" s="2">
        <f>VLOOKUP(SALIDAS111518[[#This Row],[CÓDIGO]],PRODUCTOS31316[],2,FALSE)</f>
        <v>0</v>
      </c>
      <c r="S1493" s="1" t="str">
        <f>VLOOKUP(SALIDAS111518[[#This Row],[CÓDIGO]],PRODUCTOS31316[],3,FALSE)</f>
        <v>ISPERM CHIPS (500 TESTS PER BOX) PAQ. X 50 UND</v>
      </c>
      <c r="T1493" s="2">
        <v>2</v>
      </c>
      <c r="U1493" s="2">
        <v>654</v>
      </c>
      <c r="V1493" s="2"/>
      <c r="W1493" s="2"/>
      <c r="X1493" s="2"/>
      <c r="Y1493" s="7"/>
      <c r="Z1493" s="2"/>
      <c r="AA1493" s="1"/>
      <c r="AC1493" s="2"/>
      <c r="AE1493" s="1"/>
      <c r="AG1493" s="2"/>
    </row>
    <row r="1494" spans="12:33" ht="49.95" customHeight="1" x14ac:dyDescent="0.3">
      <c r="L1494" s="345" t="s">
        <v>3521</v>
      </c>
      <c r="M1494" s="345" t="s">
        <v>4578</v>
      </c>
      <c r="N1494" s="344" t="s">
        <v>4817</v>
      </c>
      <c r="O1494" s="344" t="s">
        <v>4805</v>
      </c>
      <c r="P1494" s="16">
        <v>46133</v>
      </c>
      <c r="Q1494" s="345" t="s">
        <v>2382</v>
      </c>
      <c r="R1494" s="2">
        <f>VLOOKUP(SALIDAS111518[[#This Row],[CÓDIGO]],PRODUCTOS31316[],2,FALSE)</f>
        <v>1</v>
      </c>
      <c r="S1494" s="1" t="str">
        <f>VLOOKUP(SALIDAS111518[[#This Row],[CÓDIGO]],PRODUCTOS31316[],3,FALSE)</f>
        <v>TERMO DE TRANSPORTE 1 LITRO</v>
      </c>
      <c r="T1494" s="2">
        <v>1</v>
      </c>
      <c r="U1494" s="345" t="s">
        <v>4816</v>
      </c>
      <c r="V1494" s="2"/>
      <c r="W1494" s="2"/>
      <c r="X1494" s="2"/>
      <c r="Y1494" s="7"/>
      <c r="Z1494" s="2"/>
      <c r="AA1494" s="1"/>
      <c r="AC1494" s="2"/>
      <c r="AE1494" s="1"/>
      <c r="AG1494" s="2"/>
    </row>
    <row r="1495" spans="12:33" ht="49.95" customHeight="1" x14ac:dyDescent="0.3">
      <c r="L1495" s="345" t="s">
        <v>3520</v>
      </c>
      <c r="M1495" s="345" t="s">
        <v>4578</v>
      </c>
      <c r="N1495" s="344" t="s">
        <v>4818</v>
      </c>
      <c r="O1495" s="344" t="s">
        <v>4809</v>
      </c>
      <c r="P1495" s="16">
        <v>46133</v>
      </c>
      <c r="Q1495" s="345" t="s">
        <v>36</v>
      </c>
      <c r="R1495" s="2">
        <f>VLOOKUP(SALIDAS111518[[#This Row],[CÓDIGO]],PRODUCTOS31316[],2,FALSE)</f>
        <v>1</v>
      </c>
      <c r="S1495" s="1" t="str">
        <f>VLOOKUP(SALIDAS111518[[#This Row],[CÓDIGO]],PRODUCTOS31316[],3,FALSE)</f>
        <v xml:space="preserve">PARCHE ESTROTECT </v>
      </c>
      <c r="T1495" s="2">
        <v>1</v>
      </c>
      <c r="U1495" s="2">
        <v>656</v>
      </c>
      <c r="V1495" s="2"/>
      <c r="W1495" s="2"/>
      <c r="X1495" s="2"/>
      <c r="Y1495" s="7"/>
      <c r="Z1495" s="2"/>
      <c r="AA1495" s="1"/>
      <c r="AC1495" s="2"/>
      <c r="AE1495" s="1"/>
      <c r="AG1495" s="2"/>
    </row>
    <row r="1496" spans="12:33" ht="49.95" customHeight="1" x14ac:dyDescent="0.3">
      <c r="L1496" s="345"/>
      <c r="M1496" s="345"/>
      <c r="N1496" s="351" t="s">
        <v>4904</v>
      </c>
      <c r="O1496" s="350" t="s">
        <v>4450</v>
      </c>
      <c r="P1496" s="16">
        <v>46134</v>
      </c>
      <c r="Q1496" s="350" t="s">
        <v>4546</v>
      </c>
      <c r="R1496" s="2">
        <f>VLOOKUP(SALIDAS111518[[#This Row],[CÓDIGO]],PRODUCTOS31316[],2,FALSE)</f>
        <v>14418</v>
      </c>
      <c r="S1496" s="1" t="str">
        <f>VLOOKUP(SALIDAS111518[[#This Row],[CÓDIGO]],PRODUCTOS31316[],3,FALSE)</f>
        <v>RACK DE ALUMINIO WTA 12 X 1.5 ML PARA TUBOS CONICOS</v>
      </c>
      <c r="T1496" s="2">
        <v>1</v>
      </c>
      <c r="U1496" s="2">
        <v>703</v>
      </c>
      <c r="V1496" s="2"/>
      <c r="W1496" s="2"/>
      <c r="X1496" s="2"/>
      <c r="Y1496" s="7"/>
      <c r="Z1496" s="2"/>
      <c r="AA1496" s="1"/>
      <c r="AC1496" s="2"/>
      <c r="AE1496" s="1"/>
      <c r="AG1496" s="2"/>
    </row>
    <row r="1497" spans="12:33" ht="49.95" customHeight="1" x14ac:dyDescent="0.3">
      <c r="L1497" s="345" t="s">
        <v>3520</v>
      </c>
      <c r="M1497" s="345" t="s">
        <v>4578</v>
      </c>
      <c r="N1497" s="344" t="s">
        <v>4822</v>
      </c>
      <c r="O1497" s="344" t="s">
        <v>4819</v>
      </c>
      <c r="P1497" s="16">
        <v>46134</v>
      </c>
      <c r="Q1497" s="345" t="s">
        <v>15</v>
      </c>
      <c r="R1497" s="2" t="str">
        <f>VLOOKUP(SALIDAS111518[[#This Row],[CÓDIGO]],PRODUCTOS31316[],2,FALSE)</f>
        <v>BTE-025PT/ 504002</v>
      </c>
      <c r="S1497" s="1" t="str">
        <f>VLOOKUP(SALIDAS111518[[#This Row],[CÓDIGO]],PRODUCTOS31316[],3,FALSE)</f>
        <v>FUNDAS PARA TRANSFERENCIA DE EMBRIONES</v>
      </c>
      <c r="T1497" s="2">
        <v>10</v>
      </c>
      <c r="U1497" s="2">
        <v>657</v>
      </c>
      <c r="V1497" s="2"/>
      <c r="W1497" s="2"/>
      <c r="X1497" s="2"/>
      <c r="Y1497" s="7"/>
      <c r="Z1497" s="2"/>
      <c r="AA1497" s="1"/>
      <c r="AC1497" s="2"/>
      <c r="AE1497" s="1"/>
      <c r="AG1497" s="2"/>
    </row>
    <row r="1498" spans="12:33" ht="49.95" customHeight="1" x14ac:dyDescent="0.3">
      <c r="L1498" s="345" t="s">
        <v>3521</v>
      </c>
      <c r="M1498" s="345" t="s">
        <v>4578</v>
      </c>
      <c r="N1498" s="344" t="s">
        <v>4823</v>
      </c>
      <c r="O1498" s="344" t="s">
        <v>2783</v>
      </c>
      <c r="P1498" s="16">
        <v>46134</v>
      </c>
      <c r="Q1498" s="382" t="s">
        <v>15</v>
      </c>
      <c r="R1498" s="2" t="str">
        <f>VLOOKUP(SALIDAS111518[[#This Row],[CÓDIGO]],PRODUCTOS31316[],2,FALSE)</f>
        <v>BTE-025PT/ 504002</v>
      </c>
      <c r="S1498" s="1" t="str">
        <f>VLOOKUP(SALIDAS111518[[#This Row],[CÓDIGO]],PRODUCTOS31316[],3,FALSE)</f>
        <v>FUNDAS PARA TRANSFERENCIA DE EMBRIONES</v>
      </c>
      <c r="T1498" s="2">
        <v>100</v>
      </c>
      <c r="U1498" s="2">
        <v>658</v>
      </c>
      <c r="V1498" s="2"/>
      <c r="W1498" s="2"/>
      <c r="X1498" s="2"/>
      <c r="Y1498" s="7"/>
      <c r="Z1498" s="2"/>
      <c r="AA1498" s="1"/>
      <c r="AC1498" s="2"/>
      <c r="AE1498" s="1"/>
      <c r="AG1498" s="2"/>
    </row>
    <row r="1499" spans="12:33" ht="49.95" customHeight="1" x14ac:dyDescent="0.3">
      <c r="L1499" s="345" t="s">
        <v>3520</v>
      </c>
      <c r="M1499" s="345" t="s">
        <v>4578</v>
      </c>
      <c r="N1499" s="344" t="s">
        <v>4825</v>
      </c>
      <c r="O1499" s="349" t="s">
        <v>3361</v>
      </c>
      <c r="P1499" s="16">
        <v>46134</v>
      </c>
      <c r="Q1499" s="345" t="s">
        <v>4772</v>
      </c>
      <c r="R1499" s="2">
        <f>VLOOKUP(SALIDAS111518[[#This Row],[CÓDIGO]],PRODUCTOS31316[],2,FALSE)</f>
        <v>9002007</v>
      </c>
      <c r="S1499" s="1" t="str">
        <f>VLOOKUP(SALIDAS111518[[#This Row],[CÓDIGO]],PRODUCTOS31316[],3,FALSE)</f>
        <v>FUNDA TERMICA PARA CALENTAR PISTOLAS  BA-10400 MARCA:TED</v>
      </c>
      <c r="T1499" s="1" t="s">
        <v>4872</v>
      </c>
      <c r="U1499" s="2">
        <v>659</v>
      </c>
      <c r="V1499" s="2"/>
      <c r="W1499" s="345" t="s">
        <v>3412</v>
      </c>
      <c r="X1499" s="2"/>
      <c r="Y1499" s="7"/>
      <c r="Z1499" s="2"/>
      <c r="AA1499" s="1"/>
      <c r="AC1499" s="2"/>
      <c r="AE1499" s="1"/>
      <c r="AG1499" s="2"/>
    </row>
    <row r="1500" spans="12:33" ht="49.95" customHeight="1" x14ac:dyDescent="0.3">
      <c r="L1500" s="345" t="s">
        <v>3520</v>
      </c>
      <c r="M1500" s="345" t="s">
        <v>4578</v>
      </c>
      <c r="N1500" s="344" t="s">
        <v>4827</v>
      </c>
      <c r="O1500" s="345" t="s">
        <v>4450</v>
      </c>
      <c r="P1500" s="16">
        <v>46134</v>
      </c>
      <c r="Q1500" s="345" t="s">
        <v>272</v>
      </c>
      <c r="R1500" s="2">
        <f>VLOOKUP(SALIDAS111518[[#This Row],[CÓDIGO]],PRODUCTOS31316[],2,FALSE)</f>
        <v>627161</v>
      </c>
      <c r="S1500" s="1" t="str">
        <f>VLOOKUP(SALIDAS111518[[#This Row],[CÓDIGO]],PRODUCTOS31316[],3,FALSE)</f>
        <v xml:space="preserve">CAJA PETRI 35X10 ESTERIL </v>
      </c>
      <c r="T1500" s="2">
        <v>19</v>
      </c>
      <c r="U1500" s="2">
        <v>660</v>
      </c>
      <c r="V1500" s="2"/>
      <c r="W1500" s="2"/>
      <c r="X1500" s="2"/>
      <c r="Y1500" s="7"/>
      <c r="Z1500" s="2"/>
      <c r="AA1500" s="1"/>
      <c r="AC1500" s="2"/>
      <c r="AE1500" s="1"/>
      <c r="AG1500" s="2"/>
    </row>
    <row r="1501" spans="12:33" ht="49.95" customHeight="1" x14ac:dyDescent="0.3">
      <c r="L1501" s="2"/>
      <c r="M1501" s="2"/>
      <c r="N1501" s="2">
        <v>8248</v>
      </c>
      <c r="O1501" s="345" t="s">
        <v>4450</v>
      </c>
      <c r="P1501" s="347">
        <v>46134</v>
      </c>
      <c r="Q1501" s="345" t="s">
        <v>2251</v>
      </c>
      <c r="R1501" s="2">
        <f>VLOOKUP(SALIDAS111518[[#This Row],[CÓDIGO]],PRODUCTOS31316[],2,FALSE)</f>
        <v>7240</v>
      </c>
      <c r="S1501" s="1" t="str">
        <f>VLOOKUP(SALIDAS111518[[#This Row],[CÓDIGO]],PRODUCTOS31316[],3,FALSE)</f>
        <v>PISTOLA DE TE 0,25 MARCA IMV</v>
      </c>
      <c r="T1501" s="2">
        <v>1</v>
      </c>
      <c r="U1501" s="2"/>
      <c r="V1501" s="2"/>
      <c r="W1501" s="2"/>
      <c r="X1501" s="2"/>
      <c r="Y1501" s="7"/>
      <c r="Z1501" s="2"/>
      <c r="AA1501" s="1"/>
      <c r="AC1501" s="2"/>
      <c r="AE1501" s="1"/>
      <c r="AG1501" s="2"/>
    </row>
    <row r="1502" spans="12:33" ht="49.95" customHeight="1" x14ac:dyDescent="0.3">
      <c r="L1502" s="2"/>
      <c r="M1502" s="2"/>
      <c r="N1502" s="2">
        <v>8248</v>
      </c>
      <c r="O1502" s="345" t="s">
        <v>4450</v>
      </c>
      <c r="P1502" s="347">
        <v>46134</v>
      </c>
      <c r="Q1502" s="345" t="s">
        <v>27</v>
      </c>
      <c r="R1502" s="2" t="str">
        <f>VLOOKUP(SALIDAS111518[[#This Row],[CÓDIGO]],PRODUCTOS31316[],2,FALSE)</f>
        <v>INO-025/ 508001</v>
      </c>
      <c r="S1502" s="1" t="str">
        <f>VLOOKUP(SALIDAS111518[[#This Row],[CÓDIGO]],PRODUCTOS31316[],3,FALSE)</f>
        <v>PISTOLA DE TRANSFERENCIA DE EMBRIONES</v>
      </c>
      <c r="T1502" s="2">
        <v>1</v>
      </c>
      <c r="U1502" s="2"/>
      <c r="V1502" s="2"/>
      <c r="W1502" s="2"/>
      <c r="X1502" s="2"/>
      <c r="Y1502" s="7"/>
      <c r="Z1502" s="2"/>
      <c r="AA1502" s="1"/>
      <c r="AC1502" s="2"/>
      <c r="AE1502" s="1"/>
      <c r="AG1502" s="2"/>
    </row>
    <row r="1503" spans="12:33" ht="49.95" customHeight="1" x14ac:dyDescent="0.3">
      <c r="L1503" s="345" t="s">
        <v>3520</v>
      </c>
      <c r="M1503" s="345" t="s">
        <v>4578</v>
      </c>
      <c r="N1503" s="344" t="s">
        <v>4828</v>
      </c>
      <c r="O1503" s="344" t="s">
        <v>2212</v>
      </c>
      <c r="P1503" s="347">
        <v>46134</v>
      </c>
      <c r="Q1503" s="345" t="s">
        <v>33</v>
      </c>
      <c r="R1503" s="2" t="str">
        <f>VLOOKUP(SALIDAS111518[[#This Row],[CÓDIGO]],PRODUCTOS31316[],2,FALSE)</f>
        <v>LA-120 /506003</v>
      </c>
      <c r="S1503" s="1" t="str">
        <f>VLOOKUP(SALIDAS111518[[#This Row],[CÓDIGO]],PRODUCTOS31316[],3,FALSE)</f>
        <v>LíNEA PARA OPU 1,2 METROS</v>
      </c>
      <c r="T1503" s="2">
        <v>10</v>
      </c>
      <c r="U1503" s="2">
        <v>661</v>
      </c>
      <c r="V1503" s="2"/>
      <c r="W1503" s="2"/>
      <c r="X1503" s="2"/>
      <c r="Y1503" s="7"/>
      <c r="Z1503" s="2"/>
      <c r="AA1503" s="1"/>
      <c r="AC1503" s="2"/>
      <c r="AE1503" s="1"/>
      <c r="AG1503" s="2"/>
    </row>
    <row r="1504" spans="12:33" ht="49.95" customHeight="1" x14ac:dyDescent="0.3">
      <c r="L1504" s="345" t="s">
        <v>3520</v>
      </c>
      <c r="M1504" s="345" t="s">
        <v>4578</v>
      </c>
      <c r="N1504" s="344" t="s">
        <v>4829</v>
      </c>
      <c r="O1504" s="344" t="s">
        <v>4821</v>
      </c>
      <c r="P1504" s="347">
        <v>46134</v>
      </c>
      <c r="Q1504" s="345" t="s">
        <v>3405</v>
      </c>
      <c r="R1504" s="2" t="str">
        <f>VLOOKUP(SALIDAS111518[[#This Row],[CÓDIGO]],PRODUCTOS31316[],2,FALSE)</f>
        <v>17209/1265</v>
      </c>
      <c r="S1504" s="1" t="str">
        <f>VLOOKUP(SALIDAS111518[[#This Row],[CÓDIGO]],PRODUCTOS31316[],3,FALSE)</f>
        <v>PIPETA EQUINA DE 65 CM</v>
      </c>
      <c r="T1504" s="2">
        <v>10</v>
      </c>
      <c r="U1504" s="2">
        <v>662</v>
      </c>
      <c r="V1504" s="2"/>
      <c r="W1504" s="345" t="s">
        <v>3412</v>
      </c>
      <c r="X1504" s="2"/>
      <c r="Y1504" s="7"/>
      <c r="Z1504" s="2"/>
      <c r="AA1504" s="1"/>
      <c r="AC1504" s="2"/>
      <c r="AE1504" s="1"/>
      <c r="AG1504" s="2"/>
    </row>
    <row r="1505" spans="12:33" ht="49.95" customHeight="1" x14ac:dyDescent="0.3">
      <c r="L1505" s="2"/>
      <c r="M1505" s="2"/>
      <c r="N1505" s="2">
        <v>8250</v>
      </c>
      <c r="O1505" s="344" t="s">
        <v>4821</v>
      </c>
      <c r="P1505" s="347">
        <v>46134</v>
      </c>
      <c r="Q1505" s="345" t="s">
        <v>382</v>
      </c>
      <c r="R1505" s="2">
        <f>VLOOKUP(SALIDAS111518[[#This Row],[CÓDIGO]],PRODUCTOS31316[],2,FALSE)</f>
        <v>605032</v>
      </c>
      <c r="S1505" s="1" t="str">
        <f>VLOOKUP(SALIDAS111518[[#This Row],[CÓDIGO]],PRODUCTOS31316[],3,FALSE)</f>
        <v>LUBRICANTE OB, NO ESPERMICIDA</v>
      </c>
      <c r="T1505" s="2">
        <v>1</v>
      </c>
      <c r="U1505" s="2"/>
      <c r="V1505" s="2"/>
      <c r="W1505" s="2"/>
      <c r="X1505" s="2"/>
      <c r="Y1505" s="7"/>
      <c r="Z1505" s="2"/>
      <c r="AA1505" s="1"/>
      <c r="AC1505" s="2"/>
      <c r="AE1505" s="1"/>
      <c r="AG1505" s="2"/>
    </row>
    <row r="1506" spans="12:33" ht="49.95" customHeight="1" x14ac:dyDescent="0.3">
      <c r="L1506" s="345" t="s">
        <v>3520</v>
      </c>
      <c r="M1506" s="345" t="s">
        <v>4578</v>
      </c>
      <c r="N1506" s="344" t="s">
        <v>4830</v>
      </c>
      <c r="O1506" s="345" t="s">
        <v>3231</v>
      </c>
      <c r="P1506" s="347">
        <v>46134</v>
      </c>
      <c r="Q1506" s="345" t="s">
        <v>36</v>
      </c>
      <c r="R1506" s="2">
        <f>VLOOKUP(SALIDAS111518[[#This Row],[CÓDIGO]],PRODUCTOS31316[],2,FALSE)</f>
        <v>1</v>
      </c>
      <c r="S1506" s="1" t="str">
        <f>VLOOKUP(SALIDAS111518[[#This Row],[CÓDIGO]],PRODUCTOS31316[],3,FALSE)</f>
        <v xml:space="preserve">PARCHE ESTROTECT </v>
      </c>
      <c r="T1506" s="2">
        <v>1</v>
      </c>
      <c r="U1506" s="2">
        <v>663</v>
      </c>
      <c r="V1506" s="2"/>
      <c r="W1506" s="2"/>
      <c r="X1506" s="2"/>
      <c r="Y1506" s="7"/>
      <c r="Z1506" s="2"/>
      <c r="AA1506" s="1"/>
      <c r="AC1506" s="2"/>
      <c r="AE1506" s="1"/>
      <c r="AG1506" s="2"/>
    </row>
    <row r="1507" spans="12:33" ht="49.95" customHeight="1" x14ac:dyDescent="0.3">
      <c r="L1507" s="345" t="s">
        <v>3520</v>
      </c>
      <c r="M1507" s="345" t="s">
        <v>4578</v>
      </c>
      <c r="N1507" s="344" t="s">
        <v>4831</v>
      </c>
      <c r="O1507" s="344" t="s">
        <v>3589</v>
      </c>
      <c r="P1507" s="347">
        <v>46134</v>
      </c>
      <c r="Q1507" s="345" t="s">
        <v>36</v>
      </c>
      <c r="R1507" s="2">
        <f>VLOOKUP(SALIDAS111518[[#This Row],[CÓDIGO]],PRODUCTOS31316[],2,FALSE)</f>
        <v>1</v>
      </c>
      <c r="S1507" s="1" t="str">
        <f>VLOOKUP(SALIDAS111518[[#This Row],[CÓDIGO]],PRODUCTOS31316[],3,FALSE)</f>
        <v xml:space="preserve">PARCHE ESTROTECT </v>
      </c>
      <c r="T1507" s="2">
        <v>1</v>
      </c>
      <c r="U1507" s="2">
        <v>664</v>
      </c>
      <c r="V1507" s="2"/>
      <c r="W1507" s="2"/>
      <c r="X1507" s="2"/>
      <c r="Y1507" s="7"/>
      <c r="Z1507" s="2"/>
      <c r="AA1507" s="1"/>
      <c r="AC1507" s="2"/>
      <c r="AE1507" s="1"/>
      <c r="AG1507" s="2"/>
    </row>
    <row r="1508" spans="12:33" ht="49.95" customHeight="1" x14ac:dyDescent="0.3">
      <c r="L1508" s="2"/>
      <c r="M1508" s="2"/>
      <c r="N1508" s="2">
        <v>8252</v>
      </c>
      <c r="O1508" s="344" t="s">
        <v>3589</v>
      </c>
      <c r="P1508" s="347">
        <v>46134</v>
      </c>
      <c r="Q1508" s="345" t="s">
        <v>2401</v>
      </c>
      <c r="R1508" s="2">
        <f>VLOOKUP(SALIDAS111518[[#This Row],[CÓDIGO]],PRODUCTOS31316[],2,FALSE)</f>
        <v>5540</v>
      </c>
      <c r="S1508" s="1" t="str">
        <f>VLOOKUP(SALIDAS111518[[#This Row],[CÓDIGO]],PRODUCTOS31316[],3,FALSE)</f>
        <v xml:space="preserve">FUNDAS DE TRANSFERENCIA AZUL PUNTA METÁLICA 21"                 </v>
      </c>
      <c r="T1508" s="2">
        <v>2</v>
      </c>
      <c r="U1508" s="2"/>
      <c r="V1508" s="2"/>
      <c r="W1508" s="2"/>
      <c r="X1508" s="2"/>
      <c r="Y1508" s="7"/>
      <c r="Z1508" s="2"/>
      <c r="AA1508" s="1"/>
      <c r="AC1508" s="2"/>
      <c r="AE1508" s="1"/>
      <c r="AG1508" s="2"/>
    </row>
    <row r="1509" spans="12:33" ht="49.95" customHeight="1" x14ac:dyDescent="0.3">
      <c r="L1509" s="345" t="s">
        <v>3520</v>
      </c>
      <c r="M1509" s="345" t="s">
        <v>4578</v>
      </c>
      <c r="N1509" s="344" t="s">
        <v>4832</v>
      </c>
      <c r="O1509" s="345" t="s">
        <v>3163</v>
      </c>
      <c r="P1509" s="347">
        <v>46134</v>
      </c>
      <c r="Q1509" s="345" t="s">
        <v>15</v>
      </c>
      <c r="R1509" s="2" t="str">
        <f>VLOOKUP(SALIDAS111518[[#This Row],[CÓDIGO]],PRODUCTOS31316[],2,FALSE)</f>
        <v>BTE-025PT/ 504002</v>
      </c>
      <c r="S1509" s="1" t="str">
        <f>VLOOKUP(SALIDAS111518[[#This Row],[CÓDIGO]],PRODUCTOS31316[],3,FALSE)</f>
        <v>FUNDAS PARA TRANSFERENCIA DE EMBRIONES</v>
      </c>
      <c r="T1509" s="2">
        <v>6</v>
      </c>
      <c r="U1509" s="345" t="s">
        <v>4833</v>
      </c>
      <c r="V1509" s="2"/>
      <c r="W1509" s="2"/>
      <c r="X1509" s="2"/>
      <c r="Y1509" s="7"/>
      <c r="Z1509" s="2"/>
      <c r="AA1509" s="1"/>
      <c r="AC1509" s="2"/>
      <c r="AE1509" s="1"/>
      <c r="AG1509" s="2"/>
    </row>
    <row r="1510" spans="12:33" ht="49.95" customHeight="1" x14ac:dyDescent="0.3">
      <c r="L1510" s="2"/>
      <c r="M1510" s="2"/>
      <c r="N1510" s="2">
        <v>8253</v>
      </c>
      <c r="O1510" s="345" t="s">
        <v>3163</v>
      </c>
      <c r="P1510" s="347">
        <v>46134</v>
      </c>
      <c r="Q1510" s="345" t="s">
        <v>2246</v>
      </c>
      <c r="R1510" s="2" t="str">
        <f>VLOOKUP(SALIDAS111518[[#This Row],[CÓDIGO]],PRODUCTOS31316[],2,FALSE)</f>
        <v>00051076-02</v>
      </c>
      <c r="S1510" s="1" t="str">
        <f>VLOOKUP(SALIDAS111518[[#This Row],[CÓDIGO]],PRODUCTOS31316[],3,FALSE)</f>
        <v>LIDOCAÍNA  HCL 2 % X 100 ML/ 2025-12-16</v>
      </c>
      <c r="T1510" s="2">
        <v>2</v>
      </c>
      <c r="U1510" s="2"/>
      <c r="V1510" s="2"/>
      <c r="W1510" s="2"/>
      <c r="X1510" s="2"/>
      <c r="Y1510" s="7"/>
      <c r="Z1510" s="2"/>
      <c r="AA1510" s="1"/>
      <c r="AC1510" s="2"/>
      <c r="AE1510" s="1"/>
      <c r="AG1510" s="2"/>
    </row>
    <row r="1511" spans="12:33" ht="49.95" customHeight="1" x14ac:dyDescent="0.3">
      <c r="L1511" s="345" t="s">
        <v>3520</v>
      </c>
      <c r="M1511" s="345" t="s">
        <v>4578</v>
      </c>
      <c r="N1511" s="344" t="s">
        <v>4836</v>
      </c>
      <c r="O1511" s="345" t="s">
        <v>4835</v>
      </c>
      <c r="P1511" s="347">
        <v>46134</v>
      </c>
      <c r="Q1511" s="345" t="s">
        <v>15</v>
      </c>
      <c r="R1511" s="2" t="str">
        <f>VLOOKUP(SALIDAS111518[[#This Row],[CÓDIGO]],PRODUCTOS31316[],2,FALSE)</f>
        <v>BTE-025PT/ 504002</v>
      </c>
      <c r="S1511" s="1" t="str">
        <f>VLOOKUP(SALIDAS111518[[#This Row],[CÓDIGO]],PRODUCTOS31316[],3,FALSE)</f>
        <v>FUNDAS PARA TRANSFERENCIA DE EMBRIONES</v>
      </c>
      <c r="T1511" s="2">
        <v>2</v>
      </c>
      <c r="U1511" s="2">
        <v>666</v>
      </c>
      <c r="V1511" s="2"/>
      <c r="W1511" s="2"/>
      <c r="X1511" s="2"/>
      <c r="Y1511" s="7"/>
      <c r="Z1511" s="2"/>
      <c r="AA1511" s="1"/>
      <c r="AC1511" s="2"/>
      <c r="AE1511" s="1"/>
      <c r="AG1511" s="2"/>
    </row>
    <row r="1512" spans="12:33" ht="49.95" customHeight="1" x14ac:dyDescent="0.3">
      <c r="L1512" s="2"/>
      <c r="M1512" s="2"/>
      <c r="N1512" s="2">
        <v>8254</v>
      </c>
      <c r="O1512" s="345" t="s">
        <v>4835</v>
      </c>
      <c r="P1512" s="347">
        <v>46134</v>
      </c>
      <c r="Q1512" s="345" t="s">
        <v>1779</v>
      </c>
      <c r="R1512" s="2">
        <f>VLOOKUP(SALIDAS111518[[#This Row],[CÓDIGO]],PRODUCTOS31316[],2,FALSE)</f>
        <v>5563</v>
      </c>
      <c r="S1512" s="1" t="str">
        <f>VLOOKUP(SALIDAS111518[[#This Row],[CÓDIGO]],PRODUCTOS31316[],3,FALSE)</f>
        <v>CAMISA SANITARIA ROLLO X 80</v>
      </c>
      <c r="T1512" s="2">
        <v>1</v>
      </c>
      <c r="U1512" s="2"/>
      <c r="V1512" s="2"/>
      <c r="W1512" s="2"/>
      <c r="X1512" s="2"/>
      <c r="Y1512" s="7"/>
      <c r="Z1512" s="2"/>
      <c r="AA1512" s="1"/>
      <c r="AC1512" s="2"/>
      <c r="AE1512" s="1"/>
      <c r="AG1512" s="2"/>
    </row>
    <row r="1513" spans="12:33" ht="49.95" customHeight="1" x14ac:dyDescent="0.3">
      <c r="L1513" s="345" t="s">
        <v>3520</v>
      </c>
      <c r="M1513" s="345" t="s">
        <v>4578</v>
      </c>
      <c r="N1513" s="1" t="s">
        <v>4839</v>
      </c>
      <c r="O1513" s="345" t="s">
        <v>2344</v>
      </c>
      <c r="P1513" s="16">
        <v>46135</v>
      </c>
      <c r="Q1513" s="345" t="s">
        <v>15</v>
      </c>
      <c r="R1513" s="2" t="str">
        <f>VLOOKUP(SALIDAS111518[[#This Row],[CÓDIGO]],PRODUCTOS31316[],2,FALSE)</f>
        <v>BTE-025PT/ 504002</v>
      </c>
      <c r="S1513" s="1" t="str">
        <f>VLOOKUP(SALIDAS111518[[#This Row],[CÓDIGO]],PRODUCTOS31316[],3,FALSE)</f>
        <v>FUNDAS PARA TRANSFERENCIA DE EMBRIONES</v>
      </c>
      <c r="T1513" s="2">
        <v>40</v>
      </c>
      <c r="U1513" s="2">
        <v>667</v>
      </c>
      <c r="V1513" s="2"/>
      <c r="W1513" s="2"/>
      <c r="X1513" s="2"/>
      <c r="Y1513" s="7"/>
      <c r="Z1513" s="2"/>
      <c r="AA1513" s="1"/>
      <c r="AC1513" s="2"/>
      <c r="AE1513" s="1"/>
      <c r="AG1513" s="2"/>
    </row>
    <row r="1514" spans="12:33" ht="49.95" customHeight="1" x14ac:dyDescent="0.3">
      <c r="L1514" s="2"/>
      <c r="M1514" s="2"/>
      <c r="N1514" s="2">
        <v>8255</v>
      </c>
      <c r="O1514" s="345" t="s">
        <v>2344</v>
      </c>
      <c r="P1514" s="16">
        <v>46135</v>
      </c>
      <c r="Q1514" s="345" t="s">
        <v>2251</v>
      </c>
      <c r="R1514" s="2">
        <f>VLOOKUP(SALIDAS111518[[#This Row],[CÓDIGO]],PRODUCTOS31316[],2,FALSE)</f>
        <v>7240</v>
      </c>
      <c r="S1514" s="1" t="str">
        <f>VLOOKUP(SALIDAS111518[[#This Row],[CÓDIGO]],PRODUCTOS31316[],3,FALSE)</f>
        <v>PISTOLA DE TE 0,25 MARCA IMV</v>
      </c>
      <c r="T1514" s="2">
        <v>1</v>
      </c>
      <c r="U1514" s="2"/>
      <c r="V1514" s="2"/>
      <c r="W1514" s="2"/>
      <c r="X1514" s="2"/>
      <c r="Y1514" s="7"/>
      <c r="Z1514" s="2"/>
      <c r="AA1514" s="1"/>
      <c r="AC1514" s="2"/>
      <c r="AE1514" s="1"/>
      <c r="AG1514" s="2"/>
    </row>
    <row r="1515" spans="12:33" ht="49.95" customHeight="1" x14ac:dyDescent="0.3">
      <c r="L1515" s="345" t="s">
        <v>3520</v>
      </c>
      <c r="M1515" s="345" t="s">
        <v>4578</v>
      </c>
      <c r="N1515" s="1" t="s">
        <v>4840</v>
      </c>
      <c r="O1515" s="345" t="s">
        <v>4079</v>
      </c>
      <c r="P1515" s="16">
        <v>46135</v>
      </c>
      <c r="Q1515" s="345" t="s">
        <v>2232</v>
      </c>
      <c r="R1515" s="2">
        <f>VLOOKUP(SALIDAS111518[[#This Row],[CÓDIGO]],PRODUCTOS31316[],2,FALSE)</f>
        <v>0</v>
      </c>
      <c r="S1515" s="1" t="str">
        <f>VLOOKUP(SALIDAS111518[[#This Row],[CÓDIGO]],PRODUCTOS31316[],3,FALSE)</f>
        <v>CONO RECOLECTOR</v>
      </c>
      <c r="T1515" s="2">
        <v>2</v>
      </c>
      <c r="U1515" s="2">
        <v>668</v>
      </c>
      <c r="V1515" s="2"/>
      <c r="W1515" s="345" t="s">
        <v>3412</v>
      </c>
      <c r="X1515" s="80"/>
      <c r="Y1515" s="7"/>
      <c r="Z1515" s="2"/>
      <c r="AA1515" s="1"/>
      <c r="AC1515" s="2"/>
      <c r="AE1515" s="1"/>
      <c r="AG1515" s="2"/>
    </row>
    <row r="1516" spans="12:33" ht="49.95" customHeight="1" x14ac:dyDescent="0.3">
      <c r="L1516" s="2"/>
      <c r="M1516" s="2"/>
      <c r="N1516" s="2">
        <v>8256</v>
      </c>
      <c r="O1516" s="348" t="s">
        <v>4079</v>
      </c>
      <c r="P1516" s="16">
        <v>46135</v>
      </c>
      <c r="Q1516" s="345" t="s">
        <v>382</v>
      </c>
      <c r="R1516" s="2">
        <f>VLOOKUP(SALIDAS111518[[#This Row],[CÓDIGO]],PRODUCTOS31316[],2,FALSE)</f>
        <v>605032</v>
      </c>
      <c r="S1516" s="1" t="str">
        <f>VLOOKUP(SALIDAS111518[[#This Row],[CÓDIGO]],PRODUCTOS31316[],3,FALSE)</f>
        <v>LUBRICANTE OB, NO ESPERMICIDA</v>
      </c>
      <c r="T1516" s="2">
        <v>4</v>
      </c>
      <c r="U1516" s="2"/>
      <c r="V1516" s="2"/>
      <c r="W1516" s="2"/>
      <c r="X1516" s="80"/>
      <c r="Y1516" s="7"/>
      <c r="Z1516" s="2"/>
      <c r="AA1516" s="1"/>
      <c r="AC1516" s="2"/>
      <c r="AE1516" s="1"/>
      <c r="AG1516" s="2"/>
    </row>
    <row r="1517" spans="12:33" ht="49.95" customHeight="1" x14ac:dyDescent="0.3">
      <c r="L1517" s="2" t="s">
        <v>3520</v>
      </c>
      <c r="M1517" s="2" t="s">
        <v>4578</v>
      </c>
      <c r="N1517" s="1" t="s">
        <v>4842</v>
      </c>
      <c r="O1517" s="2" t="s">
        <v>2925</v>
      </c>
      <c r="P1517" s="16">
        <v>46135</v>
      </c>
      <c r="Q1517" s="2" t="s">
        <v>36</v>
      </c>
      <c r="R1517" s="2">
        <f>VLOOKUP(SALIDAS111518[[#This Row],[CÓDIGO]],PRODUCTOS31316[],2,FALSE)</f>
        <v>1</v>
      </c>
      <c r="S1517" s="1" t="str">
        <f>VLOOKUP(SALIDAS111518[[#This Row],[CÓDIGO]],PRODUCTOS31316[],3,FALSE)</f>
        <v xml:space="preserve">PARCHE ESTROTECT </v>
      </c>
      <c r="T1517" s="2">
        <v>12</v>
      </c>
      <c r="U1517" s="1" t="s">
        <v>4841</v>
      </c>
      <c r="V1517" s="2"/>
      <c r="W1517" s="2"/>
      <c r="X1517" s="80"/>
      <c r="Y1517" s="7"/>
      <c r="Z1517" s="2"/>
      <c r="AA1517" s="1"/>
      <c r="AC1517" s="2"/>
      <c r="AE1517" s="1"/>
      <c r="AG1517" s="2"/>
    </row>
    <row r="1518" spans="12:33" ht="49.95" customHeight="1" x14ac:dyDescent="0.3">
      <c r="L1518" s="2" t="s">
        <v>3520</v>
      </c>
      <c r="M1518" s="2" t="s">
        <v>4578</v>
      </c>
      <c r="N1518" s="1" t="s">
        <v>4843</v>
      </c>
      <c r="O1518" s="2" t="s">
        <v>2643</v>
      </c>
      <c r="P1518" s="16">
        <v>46135</v>
      </c>
      <c r="Q1518" s="2" t="s">
        <v>969</v>
      </c>
      <c r="R1518" s="2">
        <f>VLOOKUP(SALIDAS111518[[#This Row],[CÓDIGO]],PRODUCTOS31316[],2,FALSE)</f>
        <v>13316</v>
      </c>
      <c r="S1518" s="1" t="str">
        <f>VLOOKUP(SALIDAS111518[[#This Row],[CÓDIGO]],PRODUCTOS31316[],3,FALSE)</f>
        <v>AGUJA PARA ASPIRACIÓN 20G</v>
      </c>
      <c r="T1518" s="2">
        <v>40</v>
      </c>
      <c r="U1518" s="2">
        <v>670</v>
      </c>
      <c r="V1518" s="2"/>
      <c r="W1518" s="2"/>
      <c r="X1518" s="2"/>
      <c r="Y1518" s="7"/>
      <c r="Z1518" s="2"/>
      <c r="AA1518" s="1"/>
      <c r="AC1518" s="2"/>
      <c r="AE1518" s="1"/>
      <c r="AG1518" s="2"/>
    </row>
    <row r="1519" spans="12:33" ht="49.95" customHeight="1" x14ac:dyDescent="0.3">
      <c r="L1519" s="2"/>
      <c r="M1519" s="2"/>
      <c r="N1519" s="2">
        <v>8258</v>
      </c>
      <c r="O1519" s="2" t="s">
        <v>2643</v>
      </c>
      <c r="P1519" s="16">
        <v>46135</v>
      </c>
      <c r="Q1519" s="2" t="s">
        <v>33</v>
      </c>
      <c r="R1519" s="2" t="str">
        <f>VLOOKUP(SALIDAS111518[[#This Row],[CÓDIGO]],PRODUCTOS31316[],2,FALSE)</f>
        <v>LA-120 /506003</v>
      </c>
      <c r="S1519" s="1" t="str">
        <f>VLOOKUP(SALIDAS111518[[#This Row],[CÓDIGO]],PRODUCTOS31316[],3,FALSE)</f>
        <v>LíNEA PARA OPU 1,2 METROS</v>
      </c>
      <c r="T1519" s="2">
        <v>10</v>
      </c>
      <c r="U1519" s="2"/>
      <c r="V1519" s="2"/>
      <c r="W1519" s="2"/>
      <c r="X1519" s="2"/>
      <c r="Y1519" s="7"/>
      <c r="Z1519" s="2"/>
      <c r="AA1519" s="1"/>
      <c r="AC1519" s="2"/>
      <c r="AE1519" s="1"/>
      <c r="AG1519" s="2"/>
    </row>
    <row r="1520" spans="12:33" ht="49.95" customHeight="1" x14ac:dyDescent="0.3">
      <c r="L1520" s="2" t="s">
        <v>3520</v>
      </c>
      <c r="M1520" s="2" t="s">
        <v>4578</v>
      </c>
      <c r="N1520" s="1" t="s">
        <v>4844</v>
      </c>
      <c r="O1520" s="1" t="s">
        <v>2731</v>
      </c>
      <c r="P1520" s="16">
        <v>46135</v>
      </c>
      <c r="Q1520" s="2" t="s">
        <v>438</v>
      </c>
      <c r="R1520" s="2">
        <f>VLOOKUP(SALIDAS111518[[#This Row],[CÓDIGO]],PRODUCTOS31316[],2,FALSE)</f>
        <v>18421</v>
      </c>
      <c r="S1520" s="1" t="str">
        <f>VLOOKUP(SALIDAS111518[[#This Row],[CÓDIGO]],PRODUCTOS31316[],3,FALSE)</f>
        <v xml:space="preserve">PISTOLA DE TRANSFERENCIA DE EMBRIONES 0,25 / BLOQUEO AUTOMÁTICO </v>
      </c>
      <c r="T1520" s="2">
        <v>1</v>
      </c>
      <c r="U1520" s="2">
        <v>671</v>
      </c>
      <c r="V1520" s="2"/>
      <c r="W1520" s="2"/>
      <c r="X1520" s="2"/>
      <c r="Y1520" s="7"/>
      <c r="Z1520" s="2"/>
      <c r="AA1520" s="1"/>
      <c r="AC1520" s="2"/>
      <c r="AE1520" s="1"/>
      <c r="AG1520" s="2"/>
    </row>
    <row r="1521" spans="12:33" ht="49.95" customHeight="1" x14ac:dyDescent="0.3">
      <c r="L1521" s="2" t="s">
        <v>3520</v>
      </c>
      <c r="M1521" s="2" t="s">
        <v>4578</v>
      </c>
      <c r="N1521" s="1" t="s">
        <v>4845</v>
      </c>
      <c r="O1521" s="2" t="s">
        <v>2204</v>
      </c>
      <c r="P1521" s="2" t="s">
        <v>4837</v>
      </c>
      <c r="Q1521" s="2" t="s">
        <v>4386</v>
      </c>
      <c r="R1521" s="2">
        <f>VLOOKUP(SALIDAS111518[[#This Row],[CÓDIGO]],PRODUCTOS31316[],2,FALSE)</f>
        <v>754001</v>
      </c>
      <c r="S1521" s="1" t="str">
        <f>VLOOKUP(SALIDAS111518[[#This Row],[CÓDIGO]],PRODUCTOS31316[],3,FALSE)</f>
        <v>CAJA PETRI DESECHABLE ESTERIL 60X15MM MARCA: NEST</v>
      </c>
      <c r="T1521" s="2">
        <v>2</v>
      </c>
      <c r="U1521" s="2">
        <v>672</v>
      </c>
      <c r="V1521" s="2"/>
      <c r="W1521" s="2"/>
      <c r="X1521" s="2"/>
      <c r="Y1521" s="7"/>
      <c r="Z1521" s="2"/>
      <c r="AA1521" s="1"/>
      <c r="AC1521" s="2"/>
      <c r="AE1521" s="1"/>
      <c r="AG1521" s="2"/>
    </row>
    <row r="1522" spans="12:33" ht="49.95" customHeight="1" x14ac:dyDescent="0.3">
      <c r="L1522" s="2" t="s">
        <v>3521</v>
      </c>
      <c r="M1522" s="2" t="s">
        <v>4578</v>
      </c>
      <c r="N1522" s="1" t="s">
        <v>4846</v>
      </c>
      <c r="O1522" s="2" t="s">
        <v>4838</v>
      </c>
      <c r="P1522" s="16">
        <v>46135</v>
      </c>
      <c r="Q1522" s="2" t="s">
        <v>1089</v>
      </c>
      <c r="R1522" s="2">
        <f>VLOOKUP(SALIDAS111518[[#This Row],[CÓDIGO]],PRODUCTOS31316[],2,FALSE)</f>
        <v>605005</v>
      </c>
      <c r="S1522" s="1" t="str">
        <f>VLOOKUP(SALIDAS111518[[#This Row],[CÓDIGO]],PRODUCTOS31316[],3,FALSE)</f>
        <v>HISOPO DE CULTIVO UTERINO EQUINO. ESTÉRIL</v>
      </c>
      <c r="T1522" s="2">
        <v>2</v>
      </c>
      <c r="U1522" s="2">
        <v>673</v>
      </c>
      <c r="V1522" s="2"/>
      <c r="W1522" s="2"/>
      <c r="X1522" s="2"/>
      <c r="Y1522" s="7"/>
      <c r="Z1522" s="2"/>
      <c r="AA1522" s="1"/>
      <c r="AC1522" s="2"/>
      <c r="AE1522" s="1"/>
      <c r="AG1522" s="2"/>
    </row>
    <row r="1523" spans="12:33" ht="49.95" customHeight="1" x14ac:dyDescent="0.3">
      <c r="L1523" s="2" t="s">
        <v>3520</v>
      </c>
      <c r="M1523" s="2" t="s">
        <v>4578</v>
      </c>
      <c r="N1523" s="1" t="s">
        <v>4848</v>
      </c>
      <c r="O1523" s="2" t="s">
        <v>3170</v>
      </c>
      <c r="P1523" s="16">
        <v>46135</v>
      </c>
      <c r="Q1523" s="2" t="s">
        <v>913</v>
      </c>
      <c r="R1523" s="2" t="str">
        <f>VLOOKUP(SALIDAS111518[[#This Row],[CÓDIGO]],PRODUCTOS31316[],2,FALSE)</f>
        <v>HC-R069</v>
      </c>
      <c r="S1523" s="1" t="str">
        <f>VLOOKUP(SALIDAS111518[[#This Row],[CÓDIGO]],PRODUCTOS31316[],3,FALSE)</f>
        <v>MICROSCOPIO CON PLATINA Y PANTALLA 7"</v>
      </c>
      <c r="T1523" s="2">
        <v>1</v>
      </c>
      <c r="U1523" s="1" t="s">
        <v>4847</v>
      </c>
      <c r="V1523" s="2"/>
      <c r="W1523" s="2"/>
      <c r="X1523" s="2"/>
      <c r="Y1523" s="7"/>
      <c r="Z1523" s="2"/>
      <c r="AA1523" s="1"/>
      <c r="AC1523" s="2"/>
      <c r="AE1523" s="1"/>
      <c r="AG1523" s="2"/>
    </row>
    <row r="1524" spans="12:33" ht="49.95" customHeight="1" x14ac:dyDescent="0.3">
      <c r="L1524" s="2" t="s">
        <v>3520</v>
      </c>
      <c r="M1524" s="2" t="s">
        <v>4578</v>
      </c>
      <c r="N1524" s="1" t="s">
        <v>4853</v>
      </c>
      <c r="O1524" s="1" t="s">
        <v>2703</v>
      </c>
      <c r="P1524" s="16">
        <v>46136</v>
      </c>
      <c r="Q1524" s="2" t="s">
        <v>2818</v>
      </c>
      <c r="R1524" s="2">
        <f>VLOOKUP(SALIDAS111518[[#This Row],[CÓDIGO]],PRODUCTOS31316[],2,FALSE)</f>
        <v>0</v>
      </c>
      <c r="S1524" s="1" t="str">
        <f>VLOOKUP(SALIDAS111518[[#This Row],[CÓDIGO]],PRODUCTOS31316[],3,FALSE)</f>
        <v>CARCASA ISPERM</v>
      </c>
      <c r="T1524" s="2">
        <v>1</v>
      </c>
      <c r="U1524" s="2">
        <v>675</v>
      </c>
      <c r="V1524" s="2"/>
      <c r="W1524" s="2"/>
      <c r="X1524" s="2"/>
      <c r="Y1524" s="7"/>
      <c r="Z1524" s="2"/>
      <c r="AA1524" s="1"/>
      <c r="AC1524" s="2"/>
      <c r="AE1524" s="1"/>
      <c r="AG1524" s="2"/>
    </row>
    <row r="1525" spans="12:33" ht="49.95" customHeight="1" x14ac:dyDescent="0.3">
      <c r="L1525" s="2"/>
      <c r="M1525" s="2"/>
      <c r="N1525" s="2">
        <v>8264</v>
      </c>
      <c r="O1525" s="1" t="s">
        <v>2703</v>
      </c>
      <c r="P1525" s="16">
        <v>46136</v>
      </c>
      <c r="Q1525" s="2" t="s">
        <v>3275</v>
      </c>
      <c r="R1525" s="2">
        <f>VLOOKUP(SALIDAS111518[[#This Row],[CÓDIGO]],PRODUCTOS31316[],2,FALSE)</f>
        <v>0</v>
      </c>
      <c r="S1525" s="1" t="str">
        <f>VLOOKUP(SALIDAS111518[[#This Row],[CÓDIGO]],PRODUCTOS31316[],3,FALSE)</f>
        <v>IPAD MINI 7.9" PLATA 128 GB</v>
      </c>
      <c r="T1525" s="2">
        <v>1</v>
      </c>
      <c r="U1525" s="2"/>
      <c r="V1525" s="2"/>
      <c r="W1525" s="2"/>
      <c r="X1525" s="2"/>
      <c r="Y1525" s="7"/>
      <c r="Z1525" s="2"/>
      <c r="AA1525" s="1"/>
      <c r="AC1525" s="2"/>
      <c r="AE1525" s="1"/>
      <c r="AG1525" s="2"/>
    </row>
    <row r="1526" spans="12:33" ht="49.95" customHeight="1" x14ac:dyDescent="0.3">
      <c r="L1526" s="2"/>
      <c r="M1526" s="2"/>
      <c r="N1526" s="2">
        <v>8264</v>
      </c>
      <c r="O1526" s="1" t="s">
        <v>2703</v>
      </c>
      <c r="P1526" s="16">
        <v>46136</v>
      </c>
      <c r="Q1526" s="2" t="s">
        <v>104</v>
      </c>
      <c r="R1526" s="2">
        <f>VLOOKUP(SALIDAS111518[[#This Row],[CÓDIGO]],PRODUCTOS31316[],2,FALSE)</f>
        <v>0</v>
      </c>
      <c r="S1526" s="1" t="str">
        <f>VLOOKUP(SALIDAS111518[[#This Row],[CÓDIGO]],PRODUCTOS31316[],3,FALSE)</f>
        <v>ISPERM CHIPS (500 TESTS PER BOX) PAQ. X 50 UND</v>
      </c>
      <c r="T1526" s="2">
        <v>1</v>
      </c>
      <c r="U1526" s="2"/>
      <c r="V1526" s="2"/>
      <c r="W1526" s="2"/>
      <c r="X1526" s="2"/>
      <c r="Y1526" s="7"/>
      <c r="Z1526" s="2"/>
      <c r="AA1526" s="1"/>
      <c r="AC1526" s="2"/>
      <c r="AE1526" s="1"/>
      <c r="AG1526" s="2"/>
    </row>
    <row r="1527" spans="12:33" ht="49.95" customHeight="1" x14ac:dyDescent="0.3">
      <c r="L1527" s="2"/>
      <c r="M1527" s="2"/>
      <c r="N1527" s="2">
        <v>8264</v>
      </c>
      <c r="O1527" s="1" t="s">
        <v>2703</v>
      </c>
      <c r="P1527" s="16">
        <v>46136</v>
      </c>
      <c r="Q1527" s="2" t="s">
        <v>341</v>
      </c>
      <c r="R1527" s="2" t="str">
        <f>VLOOKUP(SALIDAS111518[[#This Row],[CÓDIGO]],PRODUCTOS31316[],2,FALSE)</f>
        <v>CTB50</v>
      </c>
      <c r="S1527" s="1" t="str">
        <f>VLOOKUP(SALIDAS111518[[#This Row],[CÓDIGO]],PRODUCTOS31316[],3,FALSE)</f>
        <v>TUBO CÓNICO DE 50 mL, TAPA ROSCA, PRE ESTERILIZADO. RCF MAX: 10000xg, graduados, PCR puro.</v>
      </c>
      <c r="T1527" s="2">
        <v>1</v>
      </c>
      <c r="U1527" s="2"/>
      <c r="V1527" s="2"/>
      <c r="W1527" s="2"/>
      <c r="X1527" s="2"/>
      <c r="Y1527" s="7"/>
      <c r="Z1527" s="2"/>
      <c r="AA1527" s="1"/>
      <c r="AC1527" s="2"/>
      <c r="AE1527" s="1"/>
      <c r="AG1527" s="2"/>
    </row>
    <row r="1528" spans="12:33" ht="49.95" customHeight="1" x14ac:dyDescent="0.3">
      <c r="L1528" s="2" t="s">
        <v>3520</v>
      </c>
      <c r="M1528" s="2" t="s">
        <v>4578</v>
      </c>
      <c r="N1528" s="1" t="s">
        <v>4854</v>
      </c>
      <c r="O1528" s="2" t="s">
        <v>3374</v>
      </c>
      <c r="P1528" s="16">
        <v>46136</v>
      </c>
      <c r="Q1528" s="2" t="s">
        <v>2364</v>
      </c>
      <c r="R1528" s="2">
        <f>VLOOKUP(SALIDAS111518[[#This Row],[CÓDIGO]],PRODUCTOS31316[],2,FALSE)</f>
        <v>0</v>
      </c>
      <c r="S1528" s="1" t="str">
        <f>VLOOKUP(SALIDAS111518[[#This Row],[CÓDIGO]],PRODUCTOS31316[],3,FALSE)</f>
        <v>CORTAPAJILLAS WTA</v>
      </c>
      <c r="T1528" s="2">
        <v>1</v>
      </c>
      <c r="U1528" s="2">
        <v>676</v>
      </c>
      <c r="V1528" s="2"/>
      <c r="W1528" s="2"/>
      <c r="X1528" s="2"/>
      <c r="Y1528" s="7"/>
      <c r="Z1528" s="2"/>
      <c r="AA1528" s="1"/>
      <c r="AC1528" s="2"/>
      <c r="AE1528" s="1"/>
      <c r="AG1528" s="2"/>
    </row>
    <row r="1529" spans="12:33" ht="49.95" customHeight="1" x14ac:dyDescent="0.3">
      <c r="L1529" s="2"/>
      <c r="M1529" s="2"/>
      <c r="N1529" s="2">
        <v>8265</v>
      </c>
      <c r="O1529" s="2" t="s">
        <v>3374</v>
      </c>
      <c r="P1529" s="16">
        <v>46136</v>
      </c>
      <c r="Q1529" s="2" t="s">
        <v>236</v>
      </c>
      <c r="R1529" s="2">
        <f>VLOOKUP(SALIDAS111518[[#This Row],[CÓDIGO]],PRODUCTOS31316[],2,FALSE)</f>
        <v>0</v>
      </c>
      <c r="S1529" s="1" t="str">
        <f>VLOOKUP(SALIDAS111518[[#This Row],[CÓDIGO]],PRODUCTOS31316[],3,FALSE)</f>
        <v>TERMO METÁLICO DESCONGELADOR</v>
      </c>
      <c r="T1529" s="2">
        <v>1</v>
      </c>
      <c r="U1529" s="2"/>
      <c r="V1529" s="2"/>
      <c r="W1529" s="2"/>
      <c r="X1529" s="2"/>
      <c r="Y1529" s="7"/>
      <c r="Z1529" s="2"/>
      <c r="AA1529" s="1"/>
      <c r="AC1529" s="2"/>
      <c r="AE1529" s="1"/>
      <c r="AG1529" s="2"/>
    </row>
    <row r="1530" spans="12:33" ht="49.95" customHeight="1" x14ac:dyDescent="0.3">
      <c r="L1530" s="2"/>
      <c r="M1530" s="2"/>
      <c r="N1530" s="2">
        <v>8265</v>
      </c>
      <c r="O1530" s="2" t="s">
        <v>3374</v>
      </c>
      <c r="P1530" s="16">
        <v>46136</v>
      </c>
      <c r="Q1530" s="2" t="s">
        <v>581</v>
      </c>
      <c r="R1530" s="2">
        <f>VLOOKUP(SALIDAS111518[[#This Row],[CÓDIGO]],PRODUCTOS31316[],2,FALSE)</f>
        <v>11571</v>
      </c>
      <c r="S1530" s="1" t="str">
        <f>VLOOKUP(SALIDAS111518[[#This Row],[CÓDIGO]],PRODUCTOS31316[],3,FALSE)</f>
        <v>PINZA COGEPAJILLA</v>
      </c>
      <c r="T1530" s="2">
        <v>1</v>
      </c>
      <c r="U1530" s="2"/>
      <c r="V1530" s="2"/>
      <c r="W1530" s="2"/>
      <c r="X1530" s="2"/>
      <c r="Y1530" s="7"/>
      <c r="Z1530" s="2"/>
      <c r="AA1530" s="1"/>
      <c r="AC1530" s="2"/>
      <c r="AE1530" s="1"/>
      <c r="AG1530" s="2"/>
    </row>
    <row r="1531" spans="12:33" ht="49.95" customHeight="1" x14ac:dyDescent="0.3">
      <c r="L1531" s="2"/>
      <c r="M1531" s="2"/>
      <c r="N1531" s="2">
        <v>8265</v>
      </c>
      <c r="O1531" s="2" t="s">
        <v>3374</v>
      </c>
      <c r="P1531" s="16">
        <v>46136</v>
      </c>
      <c r="Q1531" s="2" t="s">
        <v>445</v>
      </c>
      <c r="R1531" s="2">
        <f>VLOOKUP(SALIDAS111518[[#This Row],[CÓDIGO]],PRODUCTOS31316[],2,FALSE)</f>
        <v>0</v>
      </c>
      <c r="S1531" s="1" t="str">
        <f>VLOOKUP(SALIDAS111518[[#This Row],[CÓDIGO]],PRODUCTOS31316[],3,FALSE)</f>
        <v>MANGA DE PALPACIÓN NARANJA</v>
      </c>
      <c r="T1531" s="2">
        <v>1</v>
      </c>
      <c r="U1531" s="2"/>
      <c r="V1531" s="2"/>
      <c r="W1531" s="2"/>
      <c r="X1531" s="2"/>
      <c r="Y1531" s="7"/>
      <c r="Z1531" s="2"/>
      <c r="AA1531" s="1"/>
      <c r="AC1531" s="2"/>
      <c r="AE1531" s="1"/>
      <c r="AG1531" s="2"/>
    </row>
    <row r="1532" spans="12:33" ht="49.95" customHeight="1" x14ac:dyDescent="0.3">
      <c r="L1532" s="2"/>
      <c r="M1532" s="2"/>
      <c r="N1532" s="2">
        <v>8265</v>
      </c>
      <c r="O1532" s="2" t="s">
        <v>3374</v>
      </c>
      <c r="P1532" s="16">
        <v>46136</v>
      </c>
      <c r="Q1532" s="2" t="s">
        <v>1779</v>
      </c>
      <c r="R1532" s="2">
        <f>VLOOKUP(SALIDAS111518[[#This Row],[CÓDIGO]],PRODUCTOS31316[],2,FALSE)</f>
        <v>5563</v>
      </c>
      <c r="S1532" s="1" t="str">
        <f>VLOOKUP(SALIDAS111518[[#This Row],[CÓDIGO]],PRODUCTOS31316[],3,FALSE)</f>
        <v>CAMISA SANITARIA ROLLO X 80</v>
      </c>
      <c r="T1532" s="2">
        <v>1</v>
      </c>
      <c r="U1532" s="2"/>
      <c r="V1532" s="2"/>
      <c r="W1532" s="2"/>
      <c r="X1532" s="2"/>
      <c r="Y1532" s="7"/>
      <c r="Z1532" s="2"/>
      <c r="AA1532" s="1"/>
      <c r="AC1532" s="2"/>
      <c r="AE1532" s="1"/>
      <c r="AG1532" s="2"/>
    </row>
    <row r="1533" spans="12:33" ht="49.95" customHeight="1" x14ac:dyDescent="0.3">
      <c r="L1533" s="2"/>
      <c r="M1533" s="2"/>
      <c r="N1533" s="2">
        <v>8265</v>
      </c>
      <c r="O1533" s="2" t="s">
        <v>3374</v>
      </c>
      <c r="P1533" s="16">
        <v>46136</v>
      </c>
      <c r="Q1533" s="2" t="s">
        <v>2382</v>
      </c>
      <c r="R1533" s="2">
        <f>VLOOKUP(SALIDAS111518[[#This Row],[CÓDIGO]],PRODUCTOS31316[],2,FALSE)</f>
        <v>1</v>
      </c>
      <c r="S1533" s="1" t="str">
        <f>VLOOKUP(SALIDAS111518[[#This Row],[CÓDIGO]],PRODUCTOS31316[],3,FALSE)</f>
        <v>TERMO DE TRANSPORTE 1 LITRO</v>
      </c>
      <c r="T1533" s="2">
        <v>1</v>
      </c>
      <c r="U1533" s="2"/>
      <c r="V1533" s="2"/>
      <c r="W1533" s="2"/>
      <c r="X1533" s="2"/>
      <c r="Y1533" s="7"/>
      <c r="Z1533" s="2"/>
      <c r="AA1533" s="1"/>
      <c r="AC1533" s="2"/>
      <c r="AE1533" s="1"/>
      <c r="AG1533" s="2"/>
    </row>
    <row r="1534" spans="12:33" ht="49.95" customHeight="1" x14ac:dyDescent="0.3">
      <c r="L1534" s="2" t="s">
        <v>3520</v>
      </c>
      <c r="M1534" s="2" t="s">
        <v>4578</v>
      </c>
      <c r="N1534" s="1" t="s">
        <v>4855</v>
      </c>
      <c r="O1534" s="2" t="s">
        <v>4851</v>
      </c>
      <c r="P1534" s="16">
        <v>46136</v>
      </c>
      <c r="Q1534" s="2" t="s">
        <v>36</v>
      </c>
      <c r="R1534" s="2">
        <f>VLOOKUP(SALIDAS111518[[#This Row],[CÓDIGO]],PRODUCTOS31316[],2,FALSE)</f>
        <v>1</v>
      </c>
      <c r="S1534" s="1" t="str">
        <f>VLOOKUP(SALIDAS111518[[#This Row],[CÓDIGO]],PRODUCTOS31316[],3,FALSE)</f>
        <v xml:space="preserve">PARCHE ESTROTECT </v>
      </c>
      <c r="T1534" s="2">
        <v>2</v>
      </c>
      <c r="U1534" s="2">
        <v>677</v>
      </c>
      <c r="V1534" s="2"/>
      <c r="W1534" s="2"/>
      <c r="X1534" s="2"/>
      <c r="Y1534" s="7"/>
      <c r="Z1534" s="2"/>
      <c r="AA1534" s="1"/>
      <c r="AC1534" s="2"/>
      <c r="AE1534" s="1"/>
      <c r="AG1534" s="2"/>
    </row>
    <row r="1535" spans="12:33" ht="49.95" customHeight="1" x14ac:dyDescent="0.3">
      <c r="L1535" s="2" t="s">
        <v>3520</v>
      </c>
      <c r="M1535" s="2" t="s">
        <v>4578</v>
      </c>
      <c r="N1535" s="1" t="s">
        <v>4856</v>
      </c>
      <c r="O1535" s="2" t="s">
        <v>3232</v>
      </c>
      <c r="P1535" s="16">
        <v>46136</v>
      </c>
      <c r="Q1535" s="2" t="s">
        <v>4653</v>
      </c>
      <c r="R1535" s="2">
        <f>VLOOKUP(SALIDAS111518[[#This Row],[CÓDIGO]],PRODUCTOS31316[],2,FALSE)</f>
        <v>38210000</v>
      </c>
      <c r="S1535" s="1" t="str">
        <f>VLOOKUP(SALIDAS111518[[#This Row],[CÓDIGO]],PRODUCTOS31316[],3,FALSE)</f>
        <v>DILUYENTE DE SEMEN PORCINO ELIXIR 1 LITRO</v>
      </c>
      <c r="T1535" s="2">
        <v>5</v>
      </c>
      <c r="U1535" s="2">
        <v>678</v>
      </c>
      <c r="V1535" s="2"/>
      <c r="W1535" s="2" t="s">
        <v>2823</v>
      </c>
      <c r="X1535" s="2"/>
      <c r="Y1535" s="7"/>
      <c r="Z1535" s="2"/>
      <c r="AA1535" s="1"/>
      <c r="AC1535" s="2"/>
      <c r="AE1535" s="1"/>
      <c r="AG1535" s="2"/>
    </row>
    <row r="1536" spans="12:33" ht="49.95" customHeight="1" x14ac:dyDescent="0.3">
      <c r="L1536" s="2" t="s">
        <v>3520</v>
      </c>
      <c r="M1536" s="2" t="s">
        <v>4578</v>
      </c>
      <c r="N1536" s="1" t="s">
        <v>4858</v>
      </c>
      <c r="O1536" s="1" t="s">
        <v>2705</v>
      </c>
      <c r="P1536" s="16">
        <v>46136</v>
      </c>
      <c r="Q1536" s="2" t="s">
        <v>210</v>
      </c>
      <c r="R1536" s="2">
        <f>VLOOKUP(SALIDAS111518[[#This Row],[CÓDIGO]],PRODUCTOS31316[],2,FALSE)</f>
        <v>101257</v>
      </c>
      <c r="S1536" s="1" t="str">
        <f>VLOOKUP(SALIDAS111518[[#This Row],[CÓDIGO]],PRODUCTOS31316[],3,FALSE)</f>
        <v>MANGA DESECHABLE SUPER SENSITIVA</v>
      </c>
      <c r="T1536" s="2">
        <v>12</v>
      </c>
      <c r="U1536" s="1" t="s">
        <v>4857</v>
      </c>
      <c r="V1536" s="2"/>
      <c r="W1536" s="2"/>
      <c r="X1536" s="2"/>
      <c r="Y1536" s="7"/>
      <c r="Z1536" s="2"/>
      <c r="AA1536" s="1"/>
      <c r="AC1536" s="2"/>
      <c r="AE1536" s="1"/>
      <c r="AG1536" s="2"/>
    </row>
    <row r="1537" spans="12:33" ht="49.95" customHeight="1" x14ac:dyDescent="0.3">
      <c r="L1537" s="2"/>
      <c r="M1537" s="2"/>
      <c r="N1537" s="2"/>
      <c r="O1537" s="1" t="s">
        <v>3361</v>
      </c>
      <c r="P1537" s="16">
        <v>46136</v>
      </c>
      <c r="Q1537" s="2" t="s">
        <v>4772</v>
      </c>
      <c r="R1537" s="2">
        <f>VLOOKUP(SALIDAS111518[[#This Row],[CÓDIGO]],PRODUCTOS31316[],2,FALSE)</f>
        <v>9002007</v>
      </c>
      <c r="S1537" s="1" t="str">
        <f>VLOOKUP(SALIDAS111518[[#This Row],[CÓDIGO]],PRODUCTOS31316[],3,FALSE)</f>
        <v>FUNDA TERMICA PARA CALENTAR PISTOLAS  BA-10400 MARCA:TED</v>
      </c>
      <c r="T1537" s="2">
        <v>1</v>
      </c>
      <c r="U1537" s="2"/>
      <c r="V1537" s="2"/>
      <c r="W1537" s="2"/>
      <c r="X1537" s="2"/>
      <c r="Y1537" s="7"/>
      <c r="Z1537" s="2"/>
      <c r="AA1537" s="1"/>
      <c r="AC1537" s="2"/>
      <c r="AE1537" s="1"/>
      <c r="AG1537" s="2"/>
    </row>
    <row r="1538" spans="12:33" ht="49.95" customHeight="1" x14ac:dyDescent="0.3">
      <c r="L1538" s="2" t="s">
        <v>3520</v>
      </c>
      <c r="M1538" s="2" t="s">
        <v>4578</v>
      </c>
      <c r="N1538" s="1" t="s">
        <v>4860</v>
      </c>
      <c r="O1538" s="1" t="s">
        <v>3254</v>
      </c>
      <c r="P1538" s="16">
        <v>46136</v>
      </c>
      <c r="Q1538" s="2" t="s">
        <v>3241</v>
      </c>
      <c r="R1538" s="2" t="str">
        <f>VLOOKUP(SALIDAS111518[[#This Row],[CÓDIGO]],PRODUCTOS31316[],2,FALSE)</f>
        <v>1111-3810</v>
      </c>
      <c r="S1538" s="1" t="str">
        <f>VLOOKUP(SALIDAS111518[[#This Row],[CÓDIGO]],PRODUCTOS31316[],3,FALSE)</f>
        <v>RACK DE PUNTAS 10 UL ESTERIL/ VEN 2030-01-31</v>
      </c>
      <c r="T1538" s="2">
        <v>1</v>
      </c>
      <c r="U1538" s="2">
        <v>681</v>
      </c>
      <c r="V1538" s="2"/>
      <c r="W1538" s="2"/>
      <c r="X1538" s="2"/>
      <c r="Y1538" s="7"/>
      <c r="Z1538" s="2"/>
      <c r="AA1538" s="1"/>
      <c r="AC1538" s="2"/>
      <c r="AE1538" s="1"/>
      <c r="AG1538" s="2"/>
    </row>
    <row r="1539" spans="12:33" ht="49.95" customHeight="1" x14ac:dyDescent="0.3">
      <c r="L1539" s="2"/>
      <c r="M1539" s="2"/>
      <c r="N1539" s="2">
        <v>8270</v>
      </c>
      <c r="O1539" s="1" t="s">
        <v>3254</v>
      </c>
      <c r="P1539" s="16">
        <v>46136</v>
      </c>
      <c r="Q1539" s="2" t="s">
        <v>3242</v>
      </c>
      <c r="R1539" s="2" t="str">
        <f>VLOOKUP(SALIDAS111518[[#This Row],[CÓDIGO]],PRODUCTOS31316[],2,FALSE)</f>
        <v>1111-1800</v>
      </c>
      <c r="S1539" s="1" t="str">
        <f>VLOOKUP(SALIDAS111518[[#This Row],[CÓDIGO]],PRODUCTOS31316[],3,FALSE)</f>
        <v>RACK DE PUNTAS 200 UL NO ESTERIL/   LT M1355851</v>
      </c>
      <c r="T1539" s="2">
        <v>1</v>
      </c>
      <c r="U1539" s="2"/>
      <c r="V1539" s="2"/>
      <c r="W1539" s="2"/>
      <c r="X1539" s="2"/>
      <c r="Y1539" s="7"/>
      <c r="Z1539" s="2"/>
      <c r="AA1539" s="1"/>
      <c r="AC1539" s="2"/>
      <c r="AE1539" s="1"/>
      <c r="AG1539" s="2"/>
    </row>
    <row r="1540" spans="12:33" ht="49.95" customHeight="1" x14ac:dyDescent="0.3">
      <c r="L1540" s="2"/>
      <c r="M1540" s="2"/>
      <c r="N1540" s="2">
        <v>8270</v>
      </c>
      <c r="O1540" s="1" t="s">
        <v>3254</v>
      </c>
      <c r="P1540" s="16">
        <v>46136</v>
      </c>
      <c r="Q1540" s="2" t="s">
        <v>3309</v>
      </c>
      <c r="R1540" s="2">
        <f>VLOOKUP(SALIDAS111518[[#This Row],[CÓDIGO]],PRODUCTOS31316[],2,FALSE)</f>
        <v>60</v>
      </c>
      <c r="S1540" s="1" t="str">
        <f>VLOOKUP(SALIDAS111518[[#This Row],[CÓDIGO]],PRODUCTOS31316[],3,FALSE)</f>
        <v>SONDA EN "Y" CON VÁLVULA PARA BOVINOS</v>
      </c>
      <c r="T1540" s="2">
        <v>5</v>
      </c>
      <c r="U1540" s="2"/>
      <c r="V1540" s="2"/>
      <c r="W1540" s="2"/>
      <c r="X1540" s="2"/>
      <c r="Y1540" s="7"/>
      <c r="Z1540" s="2"/>
      <c r="AA1540" s="1"/>
      <c r="AC1540" s="2"/>
      <c r="AE1540" s="1"/>
      <c r="AG1540" s="2"/>
    </row>
    <row r="1541" spans="12:33" ht="49.95" customHeight="1" x14ac:dyDescent="0.3">
      <c r="L1541" s="2"/>
      <c r="M1541" s="2"/>
      <c r="N1541" s="2">
        <v>8270</v>
      </c>
      <c r="O1541" s="1" t="s">
        <v>3254</v>
      </c>
      <c r="P1541" s="16">
        <v>46136</v>
      </c>
      <c r="Q1541" s="2" t="s">
        <v>4386</v>
      </c>
      <c r="R1541" s="2">
        <f>VLOOKUP(SALIDAS111518[[#This Row],[CÓDIGO]],PRODUCTOS31316[],2,FALSE)</f>
        <v>754001</v>
      </c>
      <c r="S1541" s="1" t="str">
        <f>VLOOKUP(SALIDAS111518[[#This Row],[CÓDIGO]],PRODUCTOS31316[],3,FALSE)</f>
        <v>CAJA PETRI DESECHABLE ESTERIL 60X15MM MARCA: NEST</v>
      </c>
      <c r="T1541" s="2">
        <v>2</v>
      </c>
      <c r="U1541" s="2"/>
      <c r="V1541" s="2"/>
      <c r="W1541" s="2"/>
      <c r="X1541" s="2"/>
      <c r="Y1541" s="7"/>
      <c r="Z1541" s="2"/>
      <c r="AA1541" s="1"/>
      <c r="AC1541" s="2"/>
      <c r="AE1541" s="1"/>
      <c r="AG1541" s="2"/>
    </row>
    <row r="1542" spans="12:33" ht="49.95" customHeight="1" x14ac:dyDescent="0.3">
      <c r="L1542" s="2"/>
      <c r="M1542" s="2"/>
      <c r="N1542" s="2">
        <v>8270</v>
      </c>
      <c r="O1542" s="1" t="s">
        <v>3254</v>
      </c>
      <c r="P1542" s="16">
        <v>46136</v>
      </c>
      <c r="Q1542" s="2" t="s">
        <v>2323</v>
      </c>
      <c r="R1542" s="2" t="str">
        <f>VLOOKUP(SALIDAS111518[[#This Row],[CÓDIGO]],PRODUCTOS31316[],2,FALSE)</f>
        <v>HP0012</v>
      </c>
      <c r="S1542" s="1" t="str">
        <f>VLOOKUP(SALIDAS111518[[#This Row],[CÓDIGO]],PRODUCTOS31316[],3,FALSE)</f>
        <v>CAJA DE PETRI DESECHABLE ESTERIL 130X130 MM CUADRADA</v>
      </c>
      <c r="T1542" s="2">
        <v>1</v>
      </c>
      <c r="U1542" s="2"/>
      <c r="V1542" s="2"/>
      <c r="W1542" s="2"/>
      <c r="X1542" s="2"/>
      <c r="Y1542" s="7"/>
      <c r="Z1542" s="2"/>
      <c r="AA1542" s="1"/>
      <c r="AC1542" s="2"/>
      <c r="AE1542" s="1"/>
      <c r="AG1542" s="2"/>
    </row>
    <row r="1543" spans="12:33" ht="49.95" customHeight="1" x14ac:dyDescent="0.3">
      <c r="L1543" s="2"/>
      <c r="M1543" s="2"/>
      <c r="N1543" s="2">
        <v>8270</v>
      </c>
      <c r="O1543" s="1" t="s">
        <v>3254</v>
      </c>
      <c r="P1543" s="16">
        <v>46136</v>
      </c>
      <c r="Q1543" s="2" t="s">
        <v>3325</v>
      </c>
      <c r="R1543" s="2">
        <f>VLOOKUP(SALIDAS111518[[#This Row],[CÓDIGO]],PRODUCTOS31316[],2,FALSE)</f>
        <v>9006001</v>
      </c>
      <c r="S1543" s="1" t="str">
        <f>VLOOKUP(SALIDAS111518[[#This Row],[CÓDIGO]],PRODUCTOS31316[],3,FALSE)</f>
        <v>LACRADOR LARGO ROJOS</v>
      </c>
      <c r="T1543" s="2">
        <v>1</v>
      </c>
      <c r="U1543" s="2"/>
      <c r="V1543" s="2"/>
      <c r="W1543" s="2"/>
      <c r="X1543" s="2"/>
      <c r="Y1543" s="7"/>
      <c r="Z1543" s="2"/>
      <c r="AA1543" s="1"/>
      <c r="AC1543" s="2"/>
      <c r="AE1543" s="1"/>
      <c r="AG1543" s="2"/>
    </row>
    <row r="1544" spans="12:33" ht="49.95" customHeight="1" x14ac:dyDescent="0.3">
      <c r="L1544" s="2" t="s">
        <v>3521</v>
      </c>
      <c r="M1544" s="2" t="s">
        <v>4578</v>
      </c>
      <c r="N1544" s="359" t="s">
        <v>4927</v>
      </c>
      <c r="O1544" s="359" t="s">
        <v>4852</v>
      </c>
      <c r="P1544" s="16">
        <v>46146</v>
      </c>
      <c r="Q1544" s="2" t="s">
        <v>3662</v>
      </c>
      <c r="R1544" s="2">
        <f>VLOOKUP(SALIDAS111518[[#This Row],[CÓDIGO]],PRODUCTOS31316[],2,FALSE)</f>
        <v>5580</v>
      </c>
      <c r="S1544" s="1" t="str">
        <f>VLOOKUP(SALIDAS111518[[#This Row],[CÓDIGO]],PRODUCTOS31316[],3,FALSE)</f>
        <v>PAJUELA ANARANJADA 0.25/ PAQ. X 2000 MARCA IMV</v>
      </c>
      <c r="T1544" s="2">
        <v>1</v>
      </c>
      <c r="U1544" s="2">
        <v>716</v>
      </c>
      <c r="V1544" s="2"/>
      <c r="W1544" s="2"/>
      <c r="X1544" s="2"/>
      <c r="Y1544" s="7"/>
      <c r="Z1544" s="2"/>
      <c r="AA1544" s="1"/>
      <c r="AC1544" s="2"/>
      <c r="AE1544" s="1"/>
      <c r="AG1544" s="2"/>
    </row>
    <row r="1545" spans="12:33" ht="49.95" customHeight="1" x14ac:dyDescent="0.3">
      <c r="L1545" s="2"/>
      <c r="M1545" s="2"/>
      <c r="N1545" s="2">
        <v>8263</v>
      </c>
      <c r="O1545" s="1" t="s">
        <v>4852</v>
      </c>
      <c r="P1545" s="16">
        <v>46146</v>
      </c>
      <c r="Q1545" s="2" t="s">
        <v>47</v>
      </c>
      <c r="R1545" s="2">
        <f>VLOOKUP(SALIDAS111518[[#This Row],[CÓDIGO]],PRODUCTOS31316[],2,FALSE)</f>
        <v>1135</v>
      </c>
      <c r="S1545" s="1" t="str">
        <f>VLOOKUP(SALIDAS111518[[#This Row],[CÓDIGO]],PRODUCTOS31316[],3,FALSE)</f>
        <v>TRILADYL</v>
      </c>
      <c r="T1545" s="2">
        <v>1</v>
      </c>
      <c r="U1545" s="2"/>
      <c r="V1545" s="2"/>
      <c r="W1545" s="2"/>
      <c r="X1545" s="2"/>
      <c r="Y1545" s="7"/>
      <c r="Z1545" s="2"/>
      <c r="AA1545" s="1"/>
      <c r="AC1545" s="2"/>
      <c r="AE1545" s="1"/>
      <c r="AG1545" s="2"/>
    </row>
    <row r="1546" spans="12:33" ht="49.95" customHeight="1" x14ac:dyDescent="0.3">
      <c r="L1546" s="2"/>
      <c r="M1546" s="2"/>
      <c r="N1546" s="2">
        <v>8263</v>
      </c>
      <c r="O1546" s="1" t="s">
        <v>4852</v>
      </c>
      <c r="P1546" s="16">
        <v>46146</v>
      </c>
      <c r="Q1546" s="2" t="s">
        <v>1006</v>
      </c>
      <c r="R1546" s="2" t="str">
        <f>VLOOKUP(SALIDAS111518[[#This Row],[CÓDIGO]],PRODUCTOS31316[],2,FALSE)</f>
        <v>44-0200</v>
      </c>
      <c r="S1546" s="1" t="str">
        <f>VLOOKUP(SALIDAS111518[[#This Row],[CÓDIGO]],PRODUCTOS31316[],3,FALSE)</f>
        <v>POLVO SELLADOR DE PAJILLAS COLOR BLANCO, 750GR</v>
      </c>
      <c r="T1546" s="2">
        <v>1</v>
      </c>
      <c r="U1546" s="2"/>
      <c r="V1546" s="2"/>
      <c r="W1546" s="2"/>
      <c r="X1546" s="2"/>
      <c r="Y1546" s="7"/>
      <c r="Z1546" s="2"/>
      <c r="AA1546" s="1"/>
      <c r="AC1546" s="2"/>
      <c r="AE1546" s="1"/>
      <c r="AG1546" s="2"/>
    </row>
    <row r="1547" spans="12:33" ht="49.95" customHeight="1" x14ac:dyDescent="0.3">
      <c r="L1547" s="2"/>
      <c r="M1547" s="2"/>
      <c r="N1547" s="2">
        <v>8263</v>
      </c>
      <c r="O1547" s="1" t="s">
        <v>4852</v>
      </c>
      <c r="P1547" s="16">
        <v>46146</v>
      </c>
      <c r="Q1547" s="2" t="s">
        <v>683</v>
      </c>
      <c r="R1547" s="2">
        <f>VLOOKUP(SALIDAS111518[[#This Row],[CÓDIGO]],PRODUCTOS31316[],2,FALSE)</f>
        <v>109304</v>
      </c>
      <c r="S1547" s="1" t="str">
        <f>VLOOKUP(SALIDAS111518[[#This Row],[CÓDIGO]],PRODUCTOS31316[],3,FALSE)</f>
        <v>EOSINA- NIGROSINA</v>
      </c>
      <c r="T1547" s="2">
        <v>1</v>
      </c>
      <c r="U1547" s="2"/>
      <c r="V1547" s="2"/>
      <c r="W1547" s="2"/>
      <c r="X1547" s="2"/>
      <c r="Y1547" s="7"/>
      <c r="Z1547" s="2"/>
      <c r="AA1547" s="1"/>
      <c r="AC1547" s="2"/>
      <c r="AE1547" s="1"/>
      <c r="AG1547" s="2"/>
    </row>
    <row r="1548" spans="12:33" ht="49.95" customHeight="1" x14ac:dyDescent="0.3">
      <c r="L1548" s="2" t="s">
        <v>3520</v>
      </c>
      <c r="M1548" s="2" t="s">
        <v>4578</v>
      </c>
      <c r="N1548" s="351" t="s">
        <v>4881</v>
      </c>
      <c r="O1548" s="2" t="s">
        <v>4861</v>
      </c>
      <c r="P1548" s="16">
        <v>46142</v>
      </c>
      <c r="Q1548" s="2" t="s">
        <v>648</v>
      </c>
      <c r="R1548" s="2" t="str">
        <f>VLOOKUP(SALIDAS111518[[#This Row],[CÓDIGO]],PRODUCTOS31316[],2,FALSE)</f>
        <v>S5</v>
      </c>
      <c r="S1548" s="1" t="str">
        <f>VLOOKUP(SALIDAS111518[[#This Row],[CÓDIGO]],PRODUCTOS31316[],3,FALSE)</f>
        <v>SONDA S5 UNIDAD PRINCIPAL CON SONDA LINEAL RECTAL</v>
      </c>
      <c r="T1548" s="2">
        <v>1</v>
      </c>
      <c r="U1548" s="2">
        <v>689</v>
      </c>
      <c r="V1548" s="2"/>
      <c r="W1548" s="2" t="s">
        <v>2823</v>
      </c>
      <c r="X1548" s="2"/>
      <c r="Y1548" s="7"/>
      <c r="Z1548" s="2"/>
      <c r="AA1548" s="1"/>
      <c r="AC1548" s="2"/>
      <c r="AE1548" s="1"/>
      <c r="AG1548" s="2"/>
    </row>
    <row r="1549" spans="12:33" ht="49.95" customHeight="1" x14ac:dyDescent="0.3">
      <c r="L1549" s="2"/>
      <c r="M1549" s="2"/>
      <c r="N1549" s="2">
        <v>8277</v>
      </c>
      <c r="O1549" s="2" t="s">
        <v>4861</v>
      </c>
      <c r="P1549" s="16">
        <v>46142</v>
      </c>
      <c r="Q1549" s="2" t="s">
        <v>3791</v>
      </c>
      <c r="R1549" s="2">
        <f>VLOOKUP(SALIDAS111518[[#This Row],[CÓDIGO]],PRODUCTOS31316[],2,FALSE)</f>
        <v>6936520864546</v>
      </c>
      <c r="S1549" s="1" t="str">
        <f>VLOOKUP(SALIDAS111518[[#This Row],[CÓDIGO]],PRODUCTOS31316[],3,FALSE)</f>
        <v>TABLET 11" HONOR PAD X8A 128 GB</v>
      </c>
      <c r="T1549" s="2">
        <v>1</v>
      </c>
      <c r="U1549" s="2"/>
      <c r="V1549" s="2"/>
      <c r="W1549" s="2"/>
      <c r="X1549" s="2"/>
      <c r="Y1549" s="7"/>
      <c r="Z1549" s="2"/>
      <c r="AA1549" s="1"/>
      <c r="AC1549" s="2"/>
      <c r="AE1549" s="1"/>
      <c r="AG1549" s="2"/>
    </row>
    <row r="1550" spans="12:33" ht="49.95" customHeight="1" x14ac:dyDescent="0.3">
      <c r="L1550" s="2"/>
      <c r="M1550" s="2"/>
      <c r="N1550" s="2">
        <v>8277</v>
      </c>
      <c r="O1550" s="2" t="s">
        <v>4861</v>
      </c>
      <c r="P1550" s="16">
        <v>46142</v>
      </c>
      <c r="Q1550" s="2" t="s">
        <v>3286</v>
      </c>
      <c r="R1550" s="2">
        <f>VLOOKUP(SALIDAS111518[[#This Row],[CÓDIGO]],PRODUCTOS31316[],2,FALSE)</f>
        <v>0</v>
      </c>
      <c r="S1550" s="1" t="str">
        <f>VLOOKUP(SALIDAS111518[[#This Row],[CÓDIGO]],PRODUCTOS31316[],3,FALSE)</f>
        <v>CARCASA TABLET BMV</v>
      </c>
      <c r="T1550" s="2">
        <v>1</v>
      </c>
      <c r="U1550" s="2"/>
      <c r="V1550" s="2"/>
      <c r="W1550" s="2"/>
      <c r="X1550" s="2"/>
      <c r="Y1550" s="7"/>
      <c r="Z1550" s="2"/>
      <c r="AA1550" s="1"/>
      <c r="AC1550" s="2"/>
      <c r="AE1550" s="1"/>
      <c r="AG1550" s="2"/>
    </row>
    <row r="1551" spans="12:33" ht="49.95" customHeight="1" x14ac:dyDescent="0.3">
      <c r="L1551" s="2"/>
      <c r="M1551" s="2"/>
      <c r="N1551" s="2">
        <v>8277</v>
      </c>
      <c r="O1551" s="2" t="s">
        <v>4861</v>
      </c>
      <c r="P1551" s="16">
        <v>46142</v>
      </c>
      <c r="Q1551" s="350" t="s">
        <v>3095</v>
      </c>
      <c r="R1551" s="2">
        <f>VLOOKUP(SALIDAS111518[[#This Row],[CÓDIGO]],PRODUCTOS31316[],2,FALSE)</f>
        <v>0</v>
      </c>
      <c r="S1551" s="1" t="str">
        <f>VLOOKUP(SALIDAS111518[[#This Row],[CÓDIGO]],PRODUCTOS31316[],3,FALSE)</f>
        <v>GORRA MAS CAMPO</v>
      </c>
      <c r="T1551" s="2">
        <v>1</v>
      </c>
      <c r="U1551" s="2"/>
      <c r="V1551" s="2"/>
      <c r="W1551" s="2"/>
      <c r="X1551" s="2"/>
      <c r="Y1551" s="7"/>
      <c r="Z1551" s="2"/>
      <c r="AA1551" s="1"/>
      <c r="AC1551" s="2"/>
      <c r="AE1551" s="1"/>
      <c r="AG1551" s="2"/>
    </row>
    <row r="1552" spans="12:33" ht="49.95" customHeight="1" x14ac:dyDescent="0.3">
      <c r="L1552" s="2" t="s">
        <v>3520</v>
      </c>
      <c r="M1552" s="2" t="s">
        <v>4578</v>
      </c>
      <c r="N1552" s="1" t="s">
        <v>4873</v>
      </c>
      <c r="O1552" s="1" t="s">
        <v>2453</v>
      </c>
      <c r="P1552" s="16">
        <v>46139</v>
      </c>
      <c r="Q1552" s="2" t="s">
        <v>748</v>
      </c>
      <c r="R1552" s="2" t="str">
        <f>VLOOKUP(SALIDAS111518[[#This Row],[CÓDIGO]],PRODUCTOS31316[],2,FALSE)</f>
        <v>TY</v>
      </c>
      <c r="S1552" s="1" t="str">
        <f>VLOOKUP(SALIDAS111518[[#This Row],[CÓDIGO]],PRODUCTOS31316[],3,FALSE)</f>
        <v>TABS AMARILLOS</v>
      </c>
      <c r="T1552" s="2">
        <v>1</v>
      </c>
      <c r="U1552" s="2">
        <v>683</v>
      </c>
      <c r="V1552" s="2"/>
      <c r="W1552" s="2"/>
      <c r="X1552" s="2"/>
      <c r="Y1552" s="7"/>
      <c r="Z1552" s="2"/>
      <c r="AA1552" s="1"/>
      <c r="AC1552" s="2"/>
      <c r="AE1552" s="1"/>
      <c r="AG1552" s="2"/>
    </row>
    <row r="1553" spans="12:33" ht="49.95" customHeight="1" x14ac:dyDescent="0.3">
      <c r="L1553" s="2" t="s">
        <v>3521</v>
      </c>
      <c r="M1553" s="2" t="s">
        <v>4578</v>
      </c>
      <c r="N1553" s="1" t="s">
        <v>4874</v>
      </c>
      <c r="O1553" s="1" t="s">
        <v>4862</v>
      </c>
      <c r="P1553" s="16">
        <v>46139</v>
      </c>
      <c r="Q1553" s="2" t="s">
        <v>3405</v>
      </c>
      <c r="R1553" s="2" t="str">
        <f>VLOOKUP(SALIDAS111518[[#This Row],[CÓDIGO]],PRODUCTOS31316[],2,FALSE)</f>
        <v>17209/1265</v>
      </c>
      <c r="S1553" s="1" t="str">
        <f>VLOOKUP(SALIDAS111518[[#This Row],[CÓDIGO]],PRODUCTOS31316[],3,FALSE)</f>
        <v>PIPETA EQUINA DE 65 CM</v>
      </c>
      <c r="T1553" s="2">
        <v>10</v>
      </c>
      <c r="U1553" s="2">
        <v>684</v>
      </c>
      <c r="V1553" s="2"/>
      <c r="W1553" s="2"/>
      <c r="X1553" s="2"/>
      <c r="Y1553" s="7"/>
      <c r="Z1553" s="2"/>
      <c r="AA1553" s="1"/>
      <c r="AC1553" s="2"/>
      <c r="AE1553" s="1"/>
      <c r="AG1553" s="2"/>
    </row>
    <row r="1554" spans="12:33" ht="49.95" customHeight="1" x14ac:dyDescent="0.3">
      <c r="L1554" s="2" t="s">
        <v>3520</v>
      </c>
      <c r="M1554" s="2" t="s">
        <v>4578</v>
      </c>
      <c r="N1554" s="2">
        <v>8413</v>
      </c>
      <c r="O1554" s="375" t="s">
        <v>5475</v>
      </c>
      <c r="P1554" s="16">
        <v>46139</v>
      </c>
      <c r="Q1554" s="2" t="s">
        <v>4865</v>
      </c>
      <c r="R1554" s="2">
        <f>VLOOKUP(SALIDAS111518[[#This Row],[CÓDIGO]],PRODUCTOS31316[],2,FALSE)</f>
        <v>84433231</v>
      </c>
      <c r="S1554" s="1" t="str">
        <f>VLOOKUP(SALIDAS111518[[#This Row],[CÓDIGO]],PRODUCTOS31316[],3,FALSE)</f>
        <v>IMPRESORA DE PAJILLAS AUTOMÁTICA NEOPRINTER</v>
      </c>
      <c r="T1554" s="2">
        <v>1</v>
      </c>
      <c r="U1554" s="2">
        <v>826</v>
      </c>
      <c r="V1554" s="2"/>
      <c r="W1554" s="2"/>
      <c r="X1554" s="2"/>
      <c r="Y1554" s="7"/>
      <c r="Z1554" s="2"/>
      <c r="AA1554" s="1"/>
      <c r="AC1554" s="2"/>
      <c r="AE1554" s="1"/>
      <c r="AG1554" s="2"/>
    </row>
    <row r="1555" spans="12:33" ht="49.95" customHeight="1" x14ac:dyDescent="0.3">
      <c r="L1555" s="2" t="s">
        <v>3520</v>
      </c>
      <c r="M1555" s="2" t="s">
        <v>4578</v>
      </c>
      <c r="N1555" s="1" t="s">
        <v>4875</v>
      </c>
      <c r="O1555" s="2" t="s">
        <v>2204</v>
      </c>
      <c r="P1555" s="16">
        <v>46139</v>
      </c>
      <c r="Q1555" s="2" t="s">
        <v>4386</v>
      </c>
      <c r="R1555" s="2">
        <f>VLOOKUP(SALIDAS111518[[#This Row],[CÓDIGO]],PRODUCTOS31316[],2,FALSE)</f>
        <v>754001</v>
      </c>
      <c r="S1555" s="1" t="str">
        <f>VLOOKUP(SALIDAS111518[[#This Row],[CÓDIGO]],PRODUCTOS31316[],3,FALSE)</f>
        <v>CAJA PETRI DESECHABLE ESTERIL 60X15MM MARCA: NEST</v>
      </c>
      <c r="T1555" s="2">
        <v>12</v>
      </c>
      <c r="U1555" s="2">
        <v>685</v>
      </c>
      <c r="V1555" s="2"/>
      <c r="W1555" s="2"/>
      <c r="X1555" s="2"/>
      <c r="Y1555" s="7"/>
      <c r="Z1555" s="2"/>
      <c r="AA1555" s="1"/>
      <c r="AC1555" s="2"/>
      <c r="AE1555" s="1"/>
      <c r="AG1555" s="2"/>
    </row>
    <row r="1556" spans="12:33" ht="49.95" customHeight="1" x14ac:dyDescent="0.3">
      <c r="L1556" s="2" t="s">
        <v>3521</v>
      </c>
      <c r="M1556" s="2" t="s">
        <v>4578</v>
      </c>
      <c r="N1556" s="1" t="s">
        <v>4878</v>
      </c>
      <c r="O1556" s="2" t="s">
        <v>4876</v>
      </c>
      <c r="P1556" s="16">
        <v>46139</v>
      </c>
      <c r="Q1556" s="2" t="s">
        <v>15</v>
      </c>
      <c r="R1556" s="2" t="str">
        <f>VLOOKUP(SALIDAS111518[[#This Row],[CÓDIGO]],PRODUCTOS31316[],2,FALSE)</f>
        <v>BTE-025PT/ 504002</v>
      </c>
      <c r="S1556" s="1" t="str">
        <f>VLOOKUP(SALIDAS111518[[#This Row],[CÓDIGO]],PRODUCTOS31316[],3,FALSE)</f>
        <v>FUNDAS PARA TRANSFERENCIA DE EMBRIONES</v>
      </c>
      <c r="T1556" s="2">
        <v>15</v>
      </c>
      <c r="U1556" s="2">
        <v>688</v>
      </c>
      <c r="V1556" s="2"/>
      <c r="W1556" s="2"/>
      <c r="X1556" s="2"/>
      <c r="Y1556" s="7"/>
      <c r="Z1556" s="2"/>
      <c r="AA1556" s="1"/>
      <c r="AC1556" s="2"/>
      <c r="AE1556" s="1"/>
      <c r="AG1556" s="2"/>
    </row>
    <row r="1557" spans="12:33" ht="49.95" customHeight="1" x14ac:dyDescent="0.3">
      <c r="L1557" s="2"/>
      <c r="M1557" s="2"/>
      <c r="N1557" s="2">
        <v>8276</v>
      </c>
      <c r="O1557" s="2" t="s">
        <v>4876</v>
      </c>
      <c r="P1557" s="16">
        <v>46139</v>
      </c>
      <c r="Q1557" s="2" t="s">
        <v>2251</v>
      </c>
      <c r="R1557" s="2">
        <f>VLOOKUP(SALIDAS111518[[#This Row],[CÓDIGO]],PRODUCTOS31316[],2,FALSE)</f>
        <v>7240</v>
      </c>
      <c r="S1557" s="1" t="str">
        <f>VLOOKUP(SALIDAS111518[[#This Row],[CÓDIGO]],PRODUCTOS31316[],3,FALSE)</f>
        <v>PISTOLA DE TE 0,25 MARCA IMV</v>
      </c>
      <c r="T1557" s="2">
        <v>1</v>
      </c>
      <c r="U1557" s="2"/>
      <c r="V1557" s="2"/>
      <c r="W1557" s="2"/>
      <c r="X1557" s="2"/>
      <c r="Y1557" s="7"/>
      <c r="Z1557" s="2"/>
      <c r="AA1557" s="1"/>
      <c r="AC1557" s="2"/>
      <c r="AE1557" s="1"/>
      <c r="AG1557" s="2"/>
    </row>
    <row r="1558" spans="12:33" ht="49.95" customHeight="1" x14ac:dyDescent="0.3">
      <c r="L1558" s="2" t="s">
        <v>3521</v>
      </c>
      <c r="M1558" s="2" t="s">
        <v>4578</v>
      </c>
      <c r="N1558" s="351" t="s">
        <v>4882</v>
      </c>
      <c r="O1558" s="351" t="s">
        <v>3424</v>
      </c>
      <c r="P1558" s="16">
        <v>46140</v>
      </c>
      <c r="Q1558" s="2" t="s">
        <v>63</v>
      </c>
      <c r="R1558" s="2">
        <f>VLOOKUP(SALIDAS111518[[#This Row],[CÓDIGO]],PRODUCTOS31316[],2,FALSE)</f>
        <v>25458</v>
      </c>
      <c r="S1558" s="1" t="str">
        <f>VLOOKUP(SALIDAS111518[[#This Row],[CÓDIGO]],PRODUCTOS31316[],3,FALSE)</f>
        <v>FILTROS PARA OPU 100 UL</v>
      </c>
      <c r="T1558" s="2">
        <v>1</v>
      </c>
      <c r="U1558" s="2">
        <v>690</v>
      </c>
      <c r="V1558" s="2"/>
      <c r="W1558" s="2"/>
      <c r="X1558" s="2"/>
      <c r="Y1558" s="7"/>
      <c r="Z1558" s="2"/>
      <c r="AA1558" s="1"/>
      <c r="AC1558" s="2"/>
      <c r="AE1558" s="1"/>
      <c r="AG1558" s="2"/>
    </row>
    <row r="1559" spans="12:33" ht="49.95" customHeight="1" x14ac:dyDescent="0.3">
      <c r="L1559" s="2"/>
      <c r="M1559" s="2"/>
      <c r="N1559" s="2">
        <v>8278</v>
      </c>
      <c r="O1559" s="1" t="s">
        <v>3424</v>
      </c>
      <c r="P1559" s="16">
        <v>46140</v>
      </c>
      <c r="Q1559" s="2" t="s">
        <v>70</v>
      </c>
      <c r="R1559" s="2">
        <f>VLOOKUP(SALIDAS111518[[#This Row],[CÓDIGO]],PRODUCTOS31316[],2,FALSE)</f>
        <v>25458</v>
      </c>
      <c r="S1559" s="1" t="str">
        <f>VLOOKUP(SALIDAS111518[[#This Row],[CÓDIGO]],PRODUCTOS31316[],3,FALSE)</f>
        <v>FILTROS PARA OPU 100 UL</v>
      </c>
      <c r="T1559" s="2">
        <v>1</v>
      </c>
      <c r="U1559" s="2"/>
      <c r="V1559" s="2"/>
      <c r="W1559" s="2"/>
      <c r="X1559" s="2"/>
      <c r="Y1559" s="7"/>
      <c r="Z1559" s="2"/>
      <c r="AA1559" s="1"/>
      <c r="AC1559" s="2"/>
      <c r="AE1559" s="1"/>
      <c r="AG1559" s="2"/>
    </row>
    <row r="1560" spans="12:33" ht="49.95" customHeight="1" x14ac:dyDescent="0.3">
      <c r="L1560" s="2"/>
      <c r="M1560" s="2"/>
      <c r="N1560" s="2">
        <v>8278</v>
      </c>
      <c r="O1560" s="1" t="s">
        <v>3424</v>
      </c>
      <c r="P1560" s="16">
        <v>46140</v>
      </c>
      <c r="Q1560" s="2" t="s">
        <v>33</v>
      </c>
      <c r="R1560" s="2" t="str">
        <f>VLOOKUP(SALIDAS111518[[#This Row],[CÓDIGO]],PRODUCTOS31316[],2,FALSE)</f>
        <v>LA-120 /506003</v>
      </c>
      <c r="S1560" s="1" t="str">
        <f>VLOOKUP(SALIDAS111518[[#This Row],[CÓDIGO]],PRODUCTOS31316[],3,FALSE)</f>
        <v>LíNEA PARA OPU 1,2 METROS</v>
      </c>
      <c r="T1560" s="2">
        <v>5</v>
      </c>
      <c r="U1560" s="2"/>
      <c r="V1560" s="2"/>
      <c r="W1560" s="2"/>
      <c r="X1560" s="2"/>
      <c r="Y1560" s="7"/>
      <c r="Z1560" s="2"/>
      <c r="AA1560" s="1"/>
      <c r="AC1560" s="2"/>
      <c r="AE1560" s="1"/>
      <c r="AG1560" s="2"/>
    </row>
    <row r="1561" spans="12:33" ht="49.95" customHeight="1" x14ac:dyDescent="0.3">
      <c r="L1561" s="2"/>
      <c r="M1561" s="2"/>
      <c r="N1561" s="2">
        <v>8278</v>
      </c>
      <c r="O1561" s="1" t="s">
        <v>3424</v>
      </c>
      <c r="P1561" s="16">
        <v>46140</v>
      </c>
      <c r="Q1561" s="2" t="s">
        <v>167</v>
      </c>
      <c r="R1561" s="2" t="str">
        <f>VLOOKUP(SALIDAS111518[[#This Row],[CÓDIGO]],PRODUCTOS31316[],2,FALSE)</f>
        <v>50050-1</v>
      </c>
      <c r="S1561" s="1" t="str">
        <f>VLOOKUP(SALIDAS111518[[#This Row],[CÓDIGO]],PRODUCTOS31316[],3,FALSE)</f>
        <v>TUBO CONICO PLUG, AUTOCLAVABLE ESTERIL  TAPA ROSCA DE 50 ML</v>
      </c>
      <c r="T1561" s="2">
        <v>2</v>
      </c>
      <c r="U1561" s="2"/>
      <c r="V1561" s="2"/>
      <c r="W1561" s="2"/>
      <c r="X1561" s="2"/>
      <c r="Y1561" s="7"/>
      <c r="Z1561" s="2"/>
      <c r="AA1561" s="1"/>
      <c r="AC1561" s="2"/>
      <c r="AE1561" s="1"/>
      <c r="AG1561" s="2"/>
    </row>
    <row r="1562" spans="12:33" ht="49.95" customHeight="1" x14ac:dyDescent="0.3">
      <c r="L1562" s="2"/>
      <c r="M1562" s="2"/>
      <c r="N1562" s="2">
        <v>8278</v>
      </c>
      <c r="O1562" s="1" t="s">
        <v>3424</v>
      </c>
      <c r="P1562" s="16">
        <v>46140</v>
      </c>
      <c r="Q1562" s="2" t="s">
        <v>679</v>
      </c>
      <c r="R1562" s="2" t="str">
        <f>VLOOKUP(SALIDAS111518[[#This Row],[CÓDIGO]],PRODUCTOS31316[],2,FALSE)</f>
        <v>P31205</v>
      </c>
      <c r="S1562" s="1" t="str">
        <f>VLOOKUP(SALIDAS111518[[#This Row],[CÓDIGO]],PRODUCTOS31316[],3,FALSE)</f>
        <v>PIPETA PASTEUR 3 ML</v>
      </c>
      <c r="T1562" s="2">
        <v>1</v>
      </c>
      <c r="U1562" s="2"/>
      <c r="V1562" s="2"/>
      <c r="W1562" s="2"/>
      <c r="X1562" s="2"/>
      <c r="Y1562" s="7"/>
      <c r="Z1562" s="2"/>
      <c r="AA1562" s="1"/>
      <c r="AC1562" s="2"/>
      <c r="AE1562" s="1"/>
      <c r="AG1562" s="2"/>
    </row>
    <row r="1563" spans="12:33" ht="49.95" customHeight="1" x14ac:dyDescent="0.3">
      <c r="L1563" s="350" t="s">
        <v>3521</v>
      </c>
      <c r="M1563" s="350" t="s">
        <v>4578</v>
      </c>
      <c r="N1563" s="351" t="s">
        <v>4883</v>
      </c>
      <c r="O1563" s="350" t="s">
        <v>4879</v>
      </c>
      <c r="P1563" s="16">
        <v>46140</v>
      </c>
      <c r="Q1563" s="350" t="s">
        <v>648</v>
      </c>
      <c r="R1563" s="2" t="str">
        <f>VLOOKUP(SALIDAS111518[[#This Row],[CÓDIGO]],PRODUCTOS31316[],2,FALSE)</f>
        <v>S5</v>
      </c>
      <c r="S1563" s="1" t="str">
        <f>VLOOKUP(SALIDAS111518[[#This Row],[CÓDIGO]],PRODUCTOS31316[],3,FALSE)</f>
        <v>SONDA S5 UNIDAD PRINCIPAL CON SONDA LINEAL RECTAL</v>
      </c>
      <c r="T1563" s="2">
        <v>1</v>
      </c>
      <c r="U1563" s="2">
        <v>691</v>
      </c>
      <c r="V1563" s="2"/>
      <c r="W1563" s="2"/>
      <c r="X1563" s="2"/>
      <c r="Y1563" s="7"/>
      <c r="Z1563" s="2"/>
      <c r="AA1563" s="1"/>
      <c r="AC1563" s="2"/>
      <c r="AE1563" s="1"/>
      <c r="AG1563" s="2"/>
    </row>
    <row r="1564" spans="12:33" ht="49.95" customHeight="1" x14ac:dyDescent="0.3">
      <c r="L1564" s="2"/>
      <c r="M1564" s="2"/>
      <c r="N1564" s="2">
        <v>8279</v>
      </c>
      <c r="O1564" s="350" t="s">
        <v>4879</v>
      </c>
      <c r="P1564" s="16">
        <v>46140</v>
      </c>
      <c r="Q1564" s="350" t="s">
        <v>3791</v>
      </c>
      <c r="R1564" s="2">
        <f>VLOOKUP(SALIDAS111518[[#This Row],[CÓDIGO]],PRODUCTOS31316[],2,FALSE)</f>
        <v>6936520864546</v>
      </c>
      <c r="S1564" s="1" t="str">
        <f>VLOOKUP(SALIDAS111518[[#This Row],[CÓDIGO]],PRODUCTOS31316[],3,FALSE)</f>
        <v>TABLET 11" HONOR PAD X8A 128 GB</v>
      </c>
      <c r="T1564" s="2">
        <v>1</v>
      </c>
      <c r="U1564" s="2"/>
      <c r="V1564" s="2"/>
      <c r="W1564" s="2"/>
      <c r="X1564" s="2"/>
      <c r="Y1564" s="7"/>
      <c r="Z1564" s="2"/>
      <c r="AA1564" s="1"/>
      <c r="AC1564" s="2"/>
      <c r="AE1564" s="1"/>
      <c r="AG1564" s="2"/>
    </row>
    <row r="1565" spans="12:33" ht="49.95" customHeight="1" x14ac:dyDescent="0.3">
      <c r="L1565" s="2"/>
      <c r="M1565" s="2"/>
      <c r="N1565" s="2">
        <v>8279</v>
      </c>
      <c r="O1565" s="350" t="s">
        <v>4879</v>
      </c>
      <c r="P1565" s="16">
        <v>46140</v>
      </c>
      <c r="Q1565" s="350" t="s">
        <v>3286</v>
      </c>
      <c r="R1565" s="2">
        <f>VLOOKUP(SALIDAS111518[[#This Row],[CÓDIGO]],PRODUCTOS31316[],2,FALSE)</f>
        <v>0</v>
      </c>
      <c r="S1565" s="1" t="str">
        <f>VLOOKUP(SALIDAS111518[[#This Row],[CÓDIGO]],PRODUCTOS31316[],3,FALSE)</f>
        <v>CARCASA TABLET BMV</v>
      </c>
      <c r="T1565" s="2">
        <v>1</v>
      </c>
      <c r="U1565" s="2"/>
      <c r="V1565" s="2"/>
      <c r="W1565" s="2"/>
      <c r="X1565" s="2"/>
      <c r="Y1565" s="7"/>
      <c r="Z1565" s="2"/>
      <c r="AA1565" s="1"/>
      <c r="AC1565" s="2"/>
      <c r="AE1565" s="1"/>
      <c r="AG1565" s="2"/>
    </row>
    <row r="1566" spans="12:33" ht="49.95" customHeight="1" x14ac:dyDescent="0.3">
      <c r="L1566" s="2"/>
      <c r="M1566" s="2"/>
      <c r="N1566" s="2">
        <v>8279</v>
      </c>
      <c r="O1566" s="350" t="s">
        <v>4879</v>
      </c>
      <c r="P1566" s="16">
        <v>46140</v>
      </c>
      <c r="Q1566" s="350" t="s">
        <v>3095</v>
      </c>
      <c r="R1566" s="2">
        <f>VLOOKUP(SALIDAS111518[[#This Row],[CÓDIGO]],PRODUCTOS31316[],2,FALSE)</f>
        <v>0</v>
      </c>
      <c r="S1566" s="1" t="str">
        <f>VLOOKUP(SALIDAS111518[[#This Row],[CÓDIGO]],PRODUCTOS31316[],3,FALSE)</f>
        <v>GORRA MAS CAMPO</v>
      </c>
      <c r="T1566" s="2">
        <v>1</v>
      </c>
      <c r="U1566" s="2"/>
      <c r="V1566" s="2"/>
      <c r="W1566" s="2"/>
      <c r="X1566" s="2"/>
      <c r="Y1566" s="7"/>
      <c r="Z1566" s="2"/>
      <c r="AA1566" s="1"/>
      <c r="AC1566" s="2"/>
      <c r="AE1566" s="1"/>
      <c r="AG1566" s="2"/>
    </row>
    <row r="1567" spans="12:33" ht="49.95" customHeight="1" x14ac:dyDescent="0.3">
      <c r="L1567" s="350" t="s">
        <v>3521</v>
      </c>
      <c r="M1567" s="350" t="s">
        <v>4578</v>
      </c>
      <c r="N1567" s="351" t="s">
        <v>4884</v>
      </c>
      <c r="O1567" s="350" t="s">
        <v>4880</v>
      </c>
      <c r="P1567" s="16">
        <v>46140</v>
      </c>
      <c r="Q1567" s="350" t="s">
        <v>648</v>
      </c>
      <c r="R1567" s="2" t="str">
        <f>VLOOKUP(SALIDAS111518[[#This Row],[CÓDIGO]],PRODUCTOS31316[],2,FALSE)</f>
        <v>S5</v>
      </c>
      <c r="S1567" s="1" t="str">
        <f>VLOOKUP(SALIDAS111518[[#This Row],[CÓDIGO]],PRODUCTOS31316[],3,FALSE)</f>
        <v>SONDA S5 UNIDAD PRINCIPAL CON SONDA LINEAL RECTAL</v>
      </c>
      <c r="T1567" s="2">
        <v>1</v>
      </c>
      <c r="U1567" s="2">
        <v>692</v>
      </c>
      <c r="V1567" s="2"/>
      <c r="W1567" s="350" t="s">
        <v>3412</v>
      </c>
      <c r="X1567" s="2"/>
      <c r="Y1567" s="7"/>
      <c r="Z1567" s="2"/>
      <c r="AA1567" s="1"/>
      <c r="AC1567" s="2"/>
      <c r="AE1567" s="1"/>
      <c r="AG1567" s="2"/>
    </row>
    <row r="1568" spans="12:33" ht="49.95" customHeight="1" x14ac:dyDescent="0.3">
      <c r="L1568" s="2"/>
      <c r="M1568" s="2"/>
      <c r="N1568" s="2">
        <v>8280</v>
      </c>
      <c r="O1568" s="350" t="s">
        <v>4880</v>
      </c>
      <c r="P1568" s="16">
        <v>46140</v>
      </c>
      <c r="Q1568" s="350" t="s">
        <v>3791</v>
      </c>
      <c r="R1568" s="2">
        <f>VLOOKUP(SALIDAS111518[[#This Row],[CÓDIGO]],PRODUCTOS31316[],2,FALSE)</f>
        <v>6936520864546</v>
      </c>
      <c r="S1568" s="1" t="str">
        <f>VLOOKUP(SALIDAS111518[[#This Row],[CÓDIGO]],PRODUCTOS31316[],3,FALSE)</f>
        <v>TABLET 11" HONOR PAD X8A 128 GB</v>
      </c>
      <c r="T1568" s="2">
        <v>1</v>
      </c>
      <c r="U1568" s="2"/>
      <c r="V1568" s="2"/>
      <c r="W1568" s="2"/>
      <c r="X1568" s="2"/>
      <c r="Y1568" s="7"/>
      <c r="Z1568" s="2"/>
      <c r="AA1568" s="1"/>
      <c r="AC1568" s="2"/>
      <c r="AE1568" s="1"/>
      <c r="AG1568" s="2"/>
    </row>
    <row r="1569" spans="12:33" ht="49.95" customHeight="1" x14ac:dyDescent="0.3">
      <c r="L1569" s="2"/>
      <c r="M1569" s="2"/>
      <c r="N1569" s="2">
        <v>8280</v>
      </c>
      <c r="O1569" s="350" t="s">
        <v>4880</v>
      </c>
      <c r="P1569" s="16">
        <v>46140</v>
      </c>
      <c r="Q1569" s="350" t="s">
        <v>3286</v>
      </c>
      <c r="R1569" s="2">
        <f>VLOOKUP(SALIDAS111518[[#This Row],[CÓDIGO]],PRODUCTOS31316[],2,FALSE)</f>
        <v>0</v>
      </c>
      <c r="S1569" s="1" t="str">
        <f>VLOOKUP(SALIDAS111518[[#This Row],[CÓDIGO]],PRODUCTOS31316[],3,FALSE)</f>
        <v>CARCASA TABLET BMV</v>
      </c>
      <c r="T1569" s="2">
        <v>1</v>
      </c>
      <c r="U1569" s="2"/>
      <c r="V1569" s="2"/>
      <c r="W1569" s="2"/>
      <c r="X1569" s="2"/>
      <c r="Y1569" s="7"/>
      <c r="Z1569" s="2"/>
      <c r="AA1569" s="1"/>
      <c r="AC1569" s="2"/>
      <c r="AE1569" s="1"/>
      <c r="AG1569" s="2"/>
    </row>
    <row r="1570" spans="12:33" ht="49.95" customHeight="1" x14ac:dyDescent="0.3">
      <c r="L1570" s="350" t="s">
        <v>3520</v>
      </c>
      <c r="M1570" s="350" t="s">
        <v>4578</v>
      </c>
      <c r="N1570" s="351" t="s">
        <v>4885</v>
      </c>
      <c r="O1570" s="351" t="s">
        <v>2725</v>
      </c>
      <c r="P1570" s="16">
        <v>46140</v>
      </c>
      <c r="Q1570" s="350" t="s">
        <v>33</v>
      </c>
      <c r="R1570" s="2" t="str">
        <f>VLOOKUP(SALIDAS111518[[#This Row],[CÓDIGO]],PRODUCTOS31316[],2,FALSE)</f>
        <v>LA-120 /506003</v>
      </c>
      <c r="S1570" s="1" t="str">
        <f>VLOOKUP(SALIDAS111518[[#This Row],[CÓDIGO]],PRODUCTOS31316[],3,FALSE)</f>
        <v>LíNEA PARA OPU 1,2 METROS</v>
      </c>
      <c r="T1570" s="2">
        <v>20</v>
      </c>
      <c r="U1570" s="2">
        <v>693</v>
      </c>
      <c r="V1570" s="2"/>
      <c r="W1570" s="2"/>
      <c r="X1570" s="2"/>
      <c r="Y1570" s="7"/>
      <c r="Z1570" s="2"/>
      <c r="AA1570" s="1"/>
      <c r="AC1570" s="2"/>
      <c r="AE1570" s="1"/>
      <c r="AG1570" s="2"/>
    </row>
    <row r="1571" spans="12:33" ht="49.95" customHeight="1" x14ac:dyDescent="0.3">
      <c r="L1571" s="2"/>
      <c r="M1571" s="2"/>
      <c r="N1571" s="2">
        <v>8281</v>
      </c>
      <c r="O1571" s="351" t="s">
        <v>2725</v>
      </c>
      <c r="P1571" s="16">
        <v>46140</v>
      </c>
      <c r="Q1571" s="350" t="s">
        <v>1127</v>
      </c>
      <c r="R1571" s="2">
        <f>VLOOKUP(SALIDAS111518[[#This Row],[CÓDIGO]],PRODUCTOS31316[],2,FALSE)</f>
        <v>10372</v>
      </c>
      <c r="S1571" s="1" t="str">
        <f>VLOOKUP(SALIDAS111518[[#This Row],[CÓDIGO]],PRODUCTOS31316[],3,FALSE)</f>
        <v>FILTRO DE BOMBA DE VACÍO</v>
      </c>
      <c r="T1571" s="2">
        <v>1</v>
      </c>
      <c r="U1571" s="2"/>
      <c r="V1571" s="2"/>
      <c r="W1571" s="2"/>
      <c r="X1571" s="2"/>
      <c r="Y1571" s="7"/>
      <c r="Z1571" s="2"/>
      <c r="AA1571" s="1"/>
      <c r="AC1571" s="2"/>
      <c r="AE1571" s="1"/>
      <c r="AG1571" s="2"/>
    </row>
    <row r="1572" spans="12:33" ht="49.95" customHeight="1" x14ac:dyDescent="0.3">
      <c r="L1572" s="350" t="s">
        <v>3520</v>
      </c>
      <c r="M1572" s="350" t="s">
        <v>4578</v>
      </c>
      <c r="N1572" s="351" t="s">
        <v>4887</v>
      </c>
      <c r="O1572" s="350" t="s">
        <v>2856</v>
      </c>
      <c r="P1572" s="16">
        <v>46140</v>
      </c>
      <c r="Q1572" s="350" t="s">
        <v>4634</v>
      </c>
      <c r="R1572" s="2">
        <f>VLOOKUP(SALIDAS111518[[#This Row],[CÓDIGO]],PRODUCTOS31316[],2,FALSE)</f>
        <v>0</v>
      </c>
      <c r="S1572" s="1" t="str">
        <f>VLOOKUP(SALIDAS111518[[#This Row],[CÓDIGO]],PRODUCTOS31316[],3,FALSE)</f>
        <v xml:space="preserve">PRUEBA DE PREÑEZ TEMPRANA EN RUMIANTES </v>
      </c>
      <c r="T1572" s="2">
        <v>25</v>
      </c>
      <c r="U1572" s="2">
        <v>694</v>
      </c>
      <c r="V1572" s="2"/>
      <c r="W1572" s="2"/>
      <c r="X1572" s="2"/>
      <c r="Y1572" s="7"/>
      <c r="Z1572" s="2"/>
      <c r="AA1572" s="1"/>
      <c r="AC1572" s="2"/>
      <c r="AE1572" s="1"/>
      <c r="AG1572" s="2"/>
    </row>
    <row r="1573" spans="12:33" ht="49.95" customHeight="1" x14ac:dyDescent="0.3">
      <c r="L1573" s="350" t="s">
        <v>3520</v>
      </c>
      <c r="M1573" s="350" t="s">
        <v>4578</v>
      </c>
      <c r="N1573" s="351" t="s">
        <v>4888</v>
      </c>
      <c r="O1573" s="350" t="s">
        <v>4886</v>
      </c>
      <c r="P1573" s="16">
        <v>46140</v>
      </c>
      <c r="Q1573" s="350" t="s">
        <v>149</v>
      </c>
      <c r="R1573" s="2">
        <f>VLOOKUP(SALIDAS111518[[#This Row],[CÓDIGO]],PRODUCTOS31316[],2,FALSE)</f>
        <v>18621</v>
      </c>
      <c r="S1573" s="1" t="str">
        <f>VLOOKUP(SALIDAS111518[[#This Row],[CÓDIGO]],PRODUCTOS31316[],3,FALSE)</f>
        <v>TERMO DESCONGELADOR DE SEMEN DE EMBRIONES ROJO</v>
      </c>
      <c r="T1573" s="2">
        <v>1</v>
      </c>
      <c r="U1573" s="2">
        <v>695</v>
      </c>
      <c r="V1573" s="2"/>
      <c r="W1573" s="2"/>
      <c r="X1573" s="2"/>
      <c r="Y1573" s="7"/>
      <c r="Z1573" s="2"/>
      <c r="AA1573" s="1"/>
      <c r="AC1573" s="2"/>
      <c r="AE1573" s="1"/>
      <c r="AG1573" s="2"/>
    </row>
    <row r="1574" spans="12:33" ht="49.95" customHeight="1" x14ac:dyDescent="0.3">
      <c r="L1574" s="350" t="s">
        <v>3520</v>
      </c>
      <c r="M1574" s="350" t="s">
        <v>4578</v>
      </c>
      <c r="N1574" s="351" t="s">
        <v>4890</v>
      </c>
      <c r="O1574" s="350" t="s">
        <v>2294</v>
      </c>
      <c r="P1574" s="16">
        <v>46140</v>
      </c>
      <c r="Q1574" s="350" t="s">
        <v>15</v>
      </c>
      <c r="R1574" s="2" t="str">
        <f>VLOOKUP(SALIDAS111518[[#This Row],[CÓDIGO]],PRODUCTOS31316[],2,FALSE)</f>
        <v>BTE-025PT/ 504002</v>
      </c>
      <c r="S1574" s="1" t="str">
        <f>VLOOKUP(SALIDAS111518[[#This Row],[CÓDIGO]],PRODUCTOS31316[],3,FALSE)</f>
        <v>FUNDAS PARA TRANSFERENCIA DE EMBRIONES</v>
      </c>
      <c r="T1574" s="2">
        <v>20</v>
      </c>
      <c r="U1574" s="350" t="s">
        <v>4889</v>
      </c>
      <c r="V1574" s="2"/>
      <c r="W1574" s="2"/>
      <c r="X1574" s="2"/>
      <c r="Y1574" s="7"/>
      <c r="Z1574" s="2"/>
      <c r="AA1574" s="1"/>
      <c r="AC1574" s="2"/>
      <c r="AE1574" s="1"/>
      <c r="AG1574" s="2"/>
    </row>
    <row r="1575" spans="12:33" ht="49.95" customHeight="1" x14ac:dyDescent="0.3">
      <c r="L1575" s="2"/>
      <c r="M1575" s="2"/>
      <c r="N1575" s="2">
        <v>8284</v>
      </c>
      <c r="O1575" s="350" t="s">
        <v>2294</v>
      </c>
      <c r="P1575" s="16">
        <v>46140</v>
      </c>
      <c r="Q1575" s="350" t="s">
        <v>2246</v>
      </c>
      <c r="R1575" s="2" t="str">
        <f>VLOOKUP(SALIDAS111518[[#This Row],[CÓDIGO]],PRODUCTOS31316[],2,FALSE)</f>
        <v>00051076-02</v>
      </c>
      <c r="S1575" s="1" t="str">
        <f>VLOOKUP(SALIDAS111518[[#This Row],[CÓDIGO]],PRODUCTOS31316[],3,FALSE)</f>
        <v>LIDOCAÍNA  HCL 2 % X 100 ML/ 2025-12-16</v>
      </c>
      <c r="T1575" s="2">
        <v>5</v>
      </c>
      <c r="U1575" s="2"/>
      <c r="V1575" s="2"/>
      <c r="W1575" s="2"/>
      <c r="X1575" s="2"/>
      <c r="Y1575" s="7"/>
      <c r="Z1575" s="2"/>
      <c r="AA1575" s="1"/>
      <c r="AC1575" s="2"/>
      <c r="AE1575" s="1"/>
      <c r="AG1575" s="2"/>
    </row>
    <row r="1576" spans="12:33" ht="49.95" customHeight="1" x14ac:dyDescent="0.3">
      <c r="L1576" s="2"/>
      <c r="M1576" s="2"/>
      <c r="N1576" s="2">
        <v>8284</v>
      </c>
      <c r="O1576" s="350" t="s">
        <v>2294</v>
      </c>
      <c r="P1576" s="16">
        <v>46140</v>
      </c>
      <c r="Q1576" s="350" t="s">
        <v>3237</v>
      </c>
      <c r="R1576" s="2" t="str">
        <f>VLOOKUP(SALIDAS111518[[#This Row],[CÓDIGO]],PRODUCTOS31316[],2,FALSE)</f>
        <v>1111-3800</v>
      </c>
      <c r="S1576" s="1" t="str">
        <f>VLOOKUP(SALIDAS111518[[#This Row],[CÓDIGO]],PRODUCTOS31316[],3,FALSE)</f>
        <v>RACK DE PUNTAS 10 UL NO ESTERIL/ LT N1394910O/ N139103M</v>
      </c>
      <c r="T1576" s="2">
        <v>1</v>
      </c>
      <c r="U1576" s="2"/>
      <c r="V1576" s="2"/>
      <c r="W1576" s="2"/>
      <c r="X1576" s="2"/>
      <c r="Y1576" s="7"/>
      <c r="Z1576" s="2"/>
      <c r="AA1576" s="1"/>
      <c r="AC1576" s="2"/>
      <c r="AE1576" s="1"/>
      <c r="AG1576" s="2"/>
    </row>
    <row r="1577" spans="12:33" ht="49.95" customHeight="1" x14ac:dyDescent="0.3">
      <c r="L1577" s="2"/>
      <c r="M1577" s="2"/>
      <c r="N1577" s="2">
        <v>8284</v>
      </c>
      <c r="O1577" s="350" t="s">
        <v>2294</v>
      </c>
      <c r="P1577" s="16">
        <v>46140</v>
      </c>
      <c r="Q1577" s="350" t="s">
        <v>3242</v>
      </c>
      <c r="R1577" s="2" t="str">
        <f>VLOOKUP(SALIDAS111518[[#This Row],[CÓDIGO]],PRODUCTOS31316[],2,FALSE)</f>
        <v>1111-1800</v>
      </c>
      <c r="S1577" s="1" t="str">
        <f>VLOOKUP(SALIDAS111518[[#This Row],[CÓDIGO]],PRODUCTOS31316[],3,FALSE)</f>
        <v>RACK DE PUNTAS 200 UL NO ESTERIL/   LT M1355851</v>
      </c>
      <c r="T1577" s="2">
        <v>1</v>
      </c>
      <c r="U1577" s="2"/>
      <c r="V1577" s="2"/>
      <c r="W1577" s="2"/>
      <c r="X1577" s="2"/>
      <c r="Y1577" s="7"/>
      <c r="Z1577" s="2"/>
      <c r="AA1577" s="1"/>
      <c r="AC1577" s="2"/>
      <c r="AE1577" s="1"/>
      <c r="AG1577" s="2"/>
    </row>
    <row r="1578" spans="12:33" ht="49.95" customHeight="1" x14ac:dyDescent="0.3">
      <c r="L1578" s="2" t="s">
        <v>3520</v>
      </c>
      <c r="M1578" s="2" t="s">
        <v>4578</v>
      </c>
      <c r="N1578" s="351" t="s">
        <v>4892</v>
      </c>
      <c r="O1578" s="2" t="s">
        <v>2782</v>
      </c>
      <c r="P1578" s="16">
        <v>46140</v>
      </c>
      <c r="Q1578" s="2" t="s">
        <v>47</v>
      </c>
      <c r="R1578" s="2">
        <f>VLOOKUP(SALIDAS111518[[#This Row],[CÓDIGO]],PRODUCTOS31316[],2,FALSE)</f>
        <v>1135</v>
      </c>
      <c r="S1578" s="1" t="str">
        <f>VLOOKUP(SALIDAS111518[[#This Row],[CÓDIGO]],PRODUCTOS31316[],3,FALSE)</f>
        <v>TRILADYL</v>
      </c>
      <c r="T1578" s="2">
        <v>2</v>
      </c>
      <c r="U1578" s="351" t="s">
        <v>4891</v>
      </c>
      <c r="V1578" s="2"/>
      <c r="W1578" s="2"/>
      <c r="X1578" s="2"/>
      <c r="Y1578" s="7"/>
      <c r="Z1578" s="2"/>
      <c r="AA1578" s="1"/>
      <c r="AC1578" s="2"/>
      <c r="AE1578" s="1"/>
      <c r="AG1578" s="2"/>
    </row>
    <row r="1579" spans="12:33" ht="49.95" customHeight="1" x14ac:dyDescent="0.3">
      <c r="L1579" s="2"/>
      <c r="M1579" s="2"/>
      <c r="N1579" s="2">
        <v>8285</v>
      </c>
      <c r="O1579" s="350" t="s">
        <v>2782</v>
      </c>
      <c r="P1579" s="16">
        <v>46140</v>
      </c>
      <c r="Q1579" s="2" t="s">
        <v>3700</v>
      </c>
      <c r="R1579" s="2">
        <f>VLOOKUP(SALIDAS111518[[#This Row],[CÓDIGO]],PRODUCTOS31316[],2,FALSE)</f>
        <v>5709</v>
      </c>
      <c r="S1579" s="1" t="str">
        <f>VLOOKUP(SALIDAS111518[[#This Row],[CÓDIGO]],PRODUCTOS31316[],3,FALSE)</f>
        <v>PAJUELA ROJA 0.50/ PAQ. X 2000 MARCA IMV</v>
      </c>
      <c r="T1579" s="2">
        <v>1</v>
      </c>
      <c r="U1579" s="2"/>
      <c r="V1579" s="2"/>
      <c r="W1579" s="2"/>
      <c r="X1579" s="2"/>
      <c r="Y1579" s="7"/>
      <c r="Z1579" s="2"/>
      <c r="AA1579" s="1"/>
      <c r="AC1579" s="2"/>
      <c r="AE1579" s="1"/>
      <c r="AG1579" s="2"/>
    </row>
    <row r="1580" spans="12:33" ht="49.95" customHeight="1" x14ac:dyDescent="0.3">
      <c r="L1580" s="2"/>
      <c r="M1580" s="2"/>
      <c r="N1580" s="2">
        <v>8285</v>
      </c>
      <c r="O1580" s="2" t="s">
        <v>2782</v>
      </c>
      <c r="P1580" s="16">
        <v>46140</v>
      </c>
      <c r="Q1580" s="2" t="s">
        <v>3699</v>
      </c>
      <c r="R1580" s="2">
        <f>VLOOKUP(SALIDAS111518[[#This Row],[CÓDIGO]],PRODUCTOS31316[],2,FALSE)</f>
        <v>5569</v>
      </c>
      <c r="S1580" s="1" t="str">
        <f>VLOOKUP(SALIDAS111518[[#This Row],[CÓDIGO]],PRODUCTOS31316[],3,FALSE)</f>
        <v>PAJUELA TRANSPARENTES 0.50/ PAQ. X 2000 MARCA IMV</v>
      </c>
      <c r="T1580" s="2">
        <v>1</v>
      </c>
      <c r="U1580" s="2"/>
      <c r="V1580" s="2"/>
      <c r="W1580" s="2"/>
      <c r="X1580" s="2"/>
      <c r="Y1580" s="7"/>
      <c r="Z1580" s="2"/>
      <c r="AA1580" s="1"/>
      <c r="AC1580" s="2"/>
      <c r="AE1580" s="1"/>
      <c r="AG1580" s="2"/>
    </row>
    <row r="1581" spans="12:33" ht="49.95" customHeight="1" x14ac:dyDescent="0.3">
      <c r="L1581" s="2"/>
      <c r="M1581" s="2"/>
      <c r="N1581" s="2">
        <v>8285</v>
      </c>
      <c r="O1581" s="2" t="s">
        <v>2782</v>
      </c>
      <c r="P1581" s="16">
        <v>46140</v>
      </c>
      <c r="Q1581" s="2" t="s">
        <v>3702</v>
      </c>
      <c r="R1581" s="2">
        <f>VLOOKUP(SALIDAS111518[[#This Row],[CÓDIGO]],PRODUCTOS31316[],2,FALSE)</f>
        <v>5710</v>
      </c>
      <c r="S1581" s="1" t="str">
        <f>VLOOKUP(SALIDAS111518[[#This Row],[CÓDIGO]],PRODUCTOS31316[],3,FALSE)</f>
        <v>PAJUELA VERDE 0.50/ PAQ. X 2000 MARCA IMV</v>
      </c>
      <c r="T1581" s="2">
        <v>1</v>
      </c>
      <c r="U1581" s="2"/>
      <c r="V1581" s="2"/>
      <c r="W1581" s="2"/>
      <c r="X1581" s="2"/>
      <c r="Y1581" s="7"/>
      <c r="Z1581" s="2"/>
      <c r="AA1581" s="1"/>
      <c r="AC1581" s="2"/>
      <c r="AE1581" s="1"/>
      <c r="AG1581" s="2"/>
    </row>
    <row r="1582" spans="12:33" ht="49.95" customHeight="1" x14ac:dyDescent="0.3">
      <c r="L1582" s="2"/>
      <c r="M1582" s="2"/>
      <c r="N1582" s="2">
        <v>8285</v>
      </c>
      <c r="O1582" s="2" t="s">
        <v>2782</v>
      </c>
      <c r="P1582" s="16">
        <v>46140</v>
      </c>
      <c r="Q1582" s="2" t="s">
        <v>2232</v>
      </c>
      <c r="R1582" s="2">
        <f>VLOOKUP(SALIDAS111518[[#This Row],[CÓDIGO]],PRODUCTOS31316[],2,FALSE)</f>
        <v>0</v>
      </c>
      <c r="S1582" s="1" t="str">
        <f>VLOOKUP(SALIDAS111518[[#This Row],[CÓDIGO]],PRODUCTOS31316[],3,FALSE)</f>
        <v>CONO RECOLECTOR</v>
      </c>
      <c r="T1582" s="2">
        <v>1</v>
      </c>
      <c r="U1582" s="2"/>
      <c r="V1582" s="2"/>
      <c r="W1582" s="2"/>
      <c r="X1582" s="2"/>
      <c r="Y1582" s="7"/>
      <c r="Z1582" s="2"/>
      <c r="AA1582" s="1"/>
      <c r="AC1582" s="2"/>
      <c r="AE1582" s="1"/>
      <c r="AG1582" s="2"/>
    </row>
    <row r="1583" spans="12:33" ht="49.95" customHeight="1" x14ac:dyDescent="0.3">
      <c r="L1583" s="2"/>
      <c r="M1583" s="2"/>
      <c r="N1583" s="2">
        <v>8285</v>
      </c>
      <c r="O1583" s="2" t="s">
        <v>2782</v>
      </c>
      <c r="P1583" s="16">
        <v>46140</v>
      </c>
      <c r="Q1583" s="2" t="s">
        <v>167</v>
      </c>
      <c r="R1583" s="2" t="str">
        <f>VLOOKUP(SALIDAS111518[[#This Row],[CÓDIGO]],PRODUCTOS31316[],2,FALSE)</f>
        <v>50050-1</v>
      </c>
      <c r="S1583" s="1" t="str">
        <f>VLOOKUP(SALIDAS111518[[#This Row],[CÓDIGO]],PRODUCTOS31316[],3,FALSE)</f>
        <v>TUBO CONICO PLUG, AUTOCLAVABLE ESTERIL  TAPA ROSCA DE 50 ML</v>
      </c>
      <c r="T1583" s="2">
        <v>4</v>
      </c>
      <c r="U1583" s="2"/>
      <c r="V1583" s="2"/>
      <c r="W1583" s="2"/>
      <c r="X1583" s="2"/>
      <c r="Y1583" s="7"/>
      <c r="Z1583" s="2"/>
      <c r="AA1583" s="1"/>
      <c r="AC1583" s="2"/>
      <c r="AE1583" s="1"/>
      <c r="AG1583" s="2"/>
    </row>
    <row r="1584" spans="12:33" ht="49.95" customHeight="1" x14ac:dyDescent="0.3">
      <c r="L1584" s="2"/>
      <c r="M1584" s="2"/>
      <c r="N1584" s="2">
        <v>8285</v>
      </c>
      <c r="O1584" s="2" t="s">
        <v>2782</v>
      </c>
      <c r="P1584" s="16">
        <v>46140</v>
      </c>
      <c r="Q1584" s="2" t="s">
        <v>63</v>
      </c>
      <c r="R1584" s="2">
        <f>VLOOKUP(SALIDAS111518[[#This Row],[CÓDIGO]],PRODUCTOS31316[],2,FALSE)</f>
        <v>25458</v>
      </c>
      <c r="S1584" s="1" t="str">
        <f>VLOOKUP(SALIDAS111518[[#This Row],[CÓDIGO]],PRODUCTOS31316[],3,FALSE)</f>
        <v>FILTROS PARA OPU 100 UL</v>
      </c>
      <c r="T1584" s="2">
        <v>3</v>
      </c>
      <c r="U1584" s="2"/>
      <c r="V1584" s="2"/>
      <c r="W1584" s="2"/>
      <c r="X1584" s="2"/>
      <c r="Y1584" s="7"/>
      <c r="Z1584" s="2"/>
      <c r="AA1584" s="1"/>
      <c r="AC1584" s="2"/>
      <c r="AE1584" s="1"/>
      <c r="AG1584" s="2"/>
    </row>
    <row r="1585" spans="12:33" ht="49.95" customHeight="1" x14ac:dyDescent="0.3">
      <c r="L1585" s="2"/>
      <c r="M1585" s="2"/>
      <c r="N1585" s="2">
        <v>8285</v>
      </c>
      <c r="O1585" s="2" t="s">
        <v>2782</v>
      </c>
      <c r="P1585" s="16">
        <v>46140</v>
      </c>
      <c r="Q1585" s="2" t="s">
        <v>455</v>
      </c>
      <c r="R1585" s="2">
        <f>VLOOKUP(SALIDAS111518[[#This Row],[CÓDIGO]],PRODUCTOS31316[],2,FALSE)</f>
        <v>0</v>
      </c>
      <c r="S1585" s="1" t="str">
        <f>VLOOKUP(SALIDAS111518[[#This Row],[CÓDIGO]],PRODUCTOS31316[],3,FALSE)</f>
        <v>ESCALERILLAS PARA GOBLETS DE 13 MM</v>
      </c>
      <c r="T1585" s="2">
        <v>3</v>
      </c>
      <c r="U1585" s="2"/>
      <c r="V1585" s="2"/>
      <c r="W1585" s="2"/>
      <c r="X1585" s="2"/>
      <c r="Y1585" s="7"/>
      <c r="Z1585" s="2"/>
      <c r="AA1585" s="1"/>
      <c r="AC1585" s="2"/>
      <c r="AE1585" s="1"/>
      <c r="AG1585" s="2"/>
    </row>
    <row r="1586" spans="12:33" ht="49.95" customHeight="1" x14ac:dyDescent="0.3">
      <c r="L1586" s="2"/>
      <c r="M1586" s="2"/>
      <c r="N1586" s="2">
        <v>8285</v>
      </c>
      <c r="O1586" s="2" t="s">
        <v>2782</v>
      </c>
      <c r="P1586" s="16">
        <v>46140</v>
      </c>
      <c r="Q1586" s="2" t="s">
        <v>458</v>
      </c>
      <c r="R1586" s="2">
        <f>VLOOKUP(SALIDAS111518[[#This Row],[CÓDIGO]],PRODUCTOS31316[],2,FALSE)</f>
        <v>0</v>
      </c>
      <c r="S1586" s="1" t="str">
        <f>VLOOKUP(SALIDAS111518[[#This Row],[CÓDIGO]],PRODUCTOS31316[],3,FALSE)</f>
        <v>GOBLET DE 13 MM BLANCOS</v>
      </c>
      <c r="T1586" s="2">
        <v>6</v>
      </c>
      <c r="U1586" s="2"/>
      <c r="V1586" s="2"/>
      <c r="W1586" s="2"/>
      <c r="X1586" s="2"/>
      <c r="Y1586" s="7"/>
      <c r="Z1586" s="2"/>
      <c r="AA1586" s="1"/>
      <c r="AC1586" s="2"/>
      <c r="AE1586" s="1"/>
      <c r="AG1586" s="2"/>
    </row>
    <row r="1587" spans="12:33" ht="49.95" customHeight="1" x14ac:dyDescent="0.3">
      <c r="L1587" s="2"/>
      <c r="M1587" s="2"/>
      <c r="N1587" s="2">
        <v>8285</v>
      </c>
      <c r="O1587" s="2" t="s">
        <v>2782</v>
      </c>
      <c r="P1587" s="16">
        <v>46140</v>
      </c>
      <c r="Q1587" s="2" t="s">
        <v>1235</v>
      </c>
      <c r="R1587" s="2">
        <f>VLOOKUP(SALIDAS111518[[#This Row],[CÓDIGO]],PRODUCTOS31316[],2,FALSE)</f>
        <v>0</v>
      </c>
      <c r="S1587" s="1" t="str">
        <f>VLOOKUP(SALIDAS111518[[#This Row],[CÓDIGO]],PRODUCTOS31316[],3,FALSE)</f>
        <v>TABS ROSADOS</v>
      </c>
      <c r="T1587" s="2">
        <v>3</v>
      </c>
      <c r="U1587" s="2"/>
      <c r="V1587" s="2"/>
      <c r="W1587" s="2"/>
      <c r="X1587" s="2"/>
      <c r="Y1587" s="7"/>
      <c r="Z1587" s="2"/>
      <c r="AA1587" s="1"/>
      <c r="AC1587" s="2"/>
      <c r="AE1587" s="1"/>
      <c r="AG1587" s="2"/>
    </row>
    <row r="1588" spans="12:33" ht="49.95" customHeight="1" x14ac:dyDescent="0.3">
      <c r="L1588" s="2"/>
      <c r="M1588" s="2"/>
      <c r="N1588" s="2">
        <v>8285</v>
      </c>
      <c r="O1588" s="2" t="s">
        <v>2782</v>
      </c>
      <c r="P1588" s="16">
        <v>46140</v>
      </c>
      <c r="Q1588" s="2" t="s">
        <v>1231</v>
      </c>
      <c r="R1588" s="2">
        <f>VLOOKUP(SALIDAS111518[[#This Row],[CÓDIGO]],PRODUCTOS31316[],2,FALSE)</f>
        <v>0</v>
      </c>
      <c r="S1588" s="1" t="str">
        <f>VLOOKUP(SALIDAS111518[[#This Row],[CÓDIGO]],PRODUCTOS31316[],3,FALSE)</f>
        <v>TABS AZULES</v>
      </c>
      <c r="T1588" s="2">
        <v>4</v>
      </c>
      <c r="U1588" s="2"/>
      <c r="V1588" s="2"/>
      <c r="W1588" s="2"/>
      <c r="X1588" s="2"/>
      <c r="Y1588" s="7"/>
      <c r="Z1588" s="2"/>
      <c r="AA1588" s="1"/>
      <c r="AC1588" s="2"/>
      <c r="AE1588" s="1"/>
      <c r="AG1588" s="2"/>
    </row>
    <row r="1589" spans="12:33" ht="49.95" customHeight="1" x14ac:dyDescent="0.3">
      <c r="L1589" s="2"/>
      <c r="M1589" s="2"/>
      <c r="N1589" s="2">
        <v>8285</v>
      </c>
      <c r="O1589" s="2" t="s">
        <v>2782</v>
      </c>
      <c r="P1589" s="16">
        <v>46140</v>
      </c>
      <c r="Q1589" s="2" t="s">
        <v>752</v>
      </c>
      <c r="R1589" s="2">
        <f>VLOOKUP(SALIDAS111518[[#This Row],[CÓDIGO]],PRODUCTOS31316[],2,FALSE)</f>
        <v>0</v>
      </c>
      <c r="S1589" s="1" t="str">
        <f>VLOOKUP(SALIDAS111518[[#This Row],[CÓDIGO]],PRODUCTOS31316[],3,FALSE)</f>
        <v>TABS BLANCOS</v>
      </c>
      <c r="T1589" s="2">
        <v>2</v>
      </c>
      <c r="U1589" s="2"/>
      <c r="V1589" s="2"/>
      <c r="W1589" s="2"/>
      <c r="X1589" s="2"/>
      <c r="Y1589" s="7"/>
      <c r="Z1589" s="2"/>
      <c r="AA1589" s="1"/>
      <c r="AC1589" s="2"/>
      <c r="AE1589" s="1"/>
      <c r="AG1589" s="2"/>
    </row>
    <row r="1590" spans="12:33" ht="49.95" customHeight="1" x14ac:dyDescent="0.3">
      <c r="L1590" s="2"/>
      <c r="M1590" s="2"/>
      <c r="N1590" s="2">
        <v>8285</v>
      </c>
      <c r="O1590" s="2" t="s">
        <v>2782</v>
      </c>
      <c r="P1590" s="16">
        <v>46140</v>
      </c>
      <c r="Q1590" s="2" t="s">
        <v>748</v>
      </c>
      <c r="R1590" s="2" t="str">
        <f>VLOOKUP(SALIDAS111518[[#This Row],[CÓDIGO]],PRODUCTOS31316[],2,FALSE)</f>
        <v>TY</v>
      </c>
      <c r="S1590" s="1" t="str">
        <f>VLOOKUP(SALIDAS111518[[#This Row],[CÓDIGO]],PRODUCTOS31316[],3,FALSE)</f>
        <v>TABS AMARILLOS</v>
      </c>
      <c r="T1590" s="2">
        <v>2</v>
      </c>
      <c r="U1590" s="2"/>
      <c r="V1590" s="2"/>
      <c r="W1590" s="2"/>
      <c r="X1590" s="2"/>
      <c r="Y1590" s="7"/>
      <c r="Z1590" s="2"/>
      <c r="AA1590" s="1"/>
      <c r="AC1590" s="2"/>
      <c r="AE1590" s="1"/>
      <c r="AG1590" s="2"/>
    </row>
    <row r="1591" spans="12:33" ht="49.95" customHeight="1" x14ac:dyDescent="0.3">
      <c r="L1591" s="2"/>
      <c r="M1591" s="2"/>
      <c r="N1591" s="2">
        <v>8285</v>
      </c>
      <c r="O1591" s="2" t="s">
        <v>2782</v>
      </c>
      <c r="P1591" s="16">
        <v>46140</v>
      </c>
      <c r="Q1591" s="350" t="s">
        <v>2941</v>
      </c>
      <c r="R1591" s="2">
        <f>VLOOKUP(SALIDAS111518[[#This Row],[CÓDIGO]],PRODUCTOS31316[],2,FALSE)</f>
        <v>1101</v>
      </c>
      <c r="S1591" s="1" t="str">
        <f>VLOOKUP(SALIDAS111518[[#This Row],[CÓDIGO]],PRODUCTOS31316[],3,FALSE)</f>
        <v>ESCROTIMETRO</v>
      </c>
      <c r="T1591" s="2">
        <v>2</v>
      </c>
      <c r="U1591" s="2"/>
      <c r="V1591" s="2"/>
      <c r="W1591" s="2"/>
      <c r="X1591" s="2"/>
      <c r="Y1591" s="7"/>
      <c r="Z1591" s="2"/>
      <c r="AA1591" s="1"/>
      <c r="AC1591" s="2"/>
      <c r="AE1591" s="1"/>
      <c r="AG1591" s="2"/>
    </row>
    <row r="1592" spans="12:33" ht="49.95" customHeight="1" x14ac:dyDescent="0.3">
      <c r="L1592" s="2"/>
      <c r="M1592" s="2"/>
      <c r="N1592" s="2">
        <v>8285</v>
      </c>
      <c r="O1592" s="2" t="s">
        <v>2782</v>
      </c>
      <c r="P1592" s="16">
        <v>46140</v>
      </c>
      <c r="Q1592" s="350" t="s">
        <v>3376</v>
      </c>
      <c r="R1592" s="2">
        <f>VLOOKUP(SALIDAS111518[[#This Row],[CÓDIGO]],PRODUCTOS31316[],2,FALSE)</f>
        <v>0</v>
      </c>
      <c r="S1592" s="1" t="str">
        <f>VLOOKUP(SALIDAS111518[[#This Row],[CÓDIGO]],PRODUCTOS31316[],3,FALSE)</f>
        <v>TERMO DE 380 ML MAS CAMPO</v>
      </c>
      <c r="T1592" s="2">
        <v>1</v>
      </c>
      <c r="U1592" s="2"/>
      <c r="V1592" s="2"/>
      <c r="W1592" s="2"/>
      <c r="X1592" s="82"/>
      <c r="Y1592" s="7"/>
      <c r="Z1592" s="2"/>
      <c r="AA1592" s="1"/>
      <c r="AC1592" s="2"/>
      <c r="AE1592" s="1"/>
      <c r="AG1592" s="2"/>
    </row>
    <row r="1593" spans="12:33" ht="49.95" customHeight="1" x14ac:dyDescent="0.3">
      <c r="L1593" s="350" t="s">
        <v>3520</v>
      </c>
      <c r="M1593" s="350" t="s">
        <v>4578</v>
      </c>
      <c r="N1593" s="351" t="s">
        <v>4894</v>
      </c>
      <c r="O1593" s="351" t="s">
        <v>3385</v>
      </c>
      <c r="P1593" s="16">
        <v>46140</v>
      </c>
      <c r="Q1593" s="350" t="s">
        <v>104</v>
      </c>
      <c r="R1593" s="2">
        <f>VLOOKUP(SALIDAS111518[[#This Row],[CÓDIGO]],PRODUCTOS31316[],2,FALSE)</f>
        <v>0</v>
      </c>
      <c r="S1593" s="1" t="str">
        <f>VLOOKUP(SALIDAS111518[[#This Row],[CÓDIGO]],PRODUCTOS31316[],3,FALSE)</f>
        <v>ISPERM CHIPS (500 TESTS PER BOX) PAQ. X 50 UND</v>
      </c>
      <c r="T1593" s="2">
        <v>1</v>
      </c>
      <c r="U1593" s="2">
        <v>699</v>
      </c>
      <c r="V1593" s="2"/>
      <c r="W1593" s="350" t="s">
        <v>3412</v>
      </c>
      <c r="X1593" s="82"/>
      <c r="Y1593" s="7"/>
      <c r="Z1593" s="2"/>
      <c r="AA1593" s="1"/>
      <c r="AC1593" s="2"/>
      <c r="AE1593" s="1"/>
      <c r="AG1593" s="2"/>
    </row>
    <row r="1594" spans="12:33" ht="49.95" customHeight="1" x14ac:dyDescent="0.3">
      <c r="L1594" s="2"/>
      <c r="M1594" s="2"/>
      <c r="N1594" s="2">
        <v>8286</v>
      </c>
      <c r="O1594" s="351" t="s">
        <v>3385</v>
      </c>
      <c r="P1594" s="16">
        <v>46140</v>
      </c>
      <c r="Q1594" s="350" t="s">
        <v>2232</v>
      </c>
      <c r="R1594" s="2">
        <f>VLOOKUP(SALIDAS111518[[#This Row],[CÓDIGO]],PRODUCTOS31316[],2,FALSE)</f>
        <v>0</v>
      </c>
      <c r="S1594" s="1" t="str">
        <f>VLOOKUP(SALIDAS111518[[#This Row],[CÓDIGO]],PRODUCTOS31316[],3,FALSE)</f>
        <v>CONO RECOLECTOR</v>
      </c>
      <c r="T1594" s="2">
        <v>1</v>
      </c>
      <c r="U1594" s="2"/>
      <c r="V1594" s="2"/>
      <c r="W1594" s="2"/>
      <c r="X1594" s="82"/>
      <c r="Y1594" s="7"/>
      <c r="Z1594" s="2"/>
      <c r="AA1594" s="1"/>
      <c r="AC1594" s="2"/>
      <c r="AE1594" s="1"/>
      <c r="AG1594" s="2"/>
    </row>
    <row r="1595" spans="12:33" ht="49.95" customHeight="1" x14ac:dyDescent="0.3">
      <c r="L1595" s="350" t="s">
        <v>3521</v>
      </c>
      <c r="M1595" s="350" t="s">
        <v>4578</v>
      </c>
      <c r="N1595" s="2">
        <v>14964</v>
      </c>
      <c r="O1595" s="350" t="s">
        <v>4895</v>
      </c>
      <c r="P1595" s="2"/>
      <c r="Q1595" s="350" t="s">
        <v>3477</v>
      </c>
      <c r="R1595" s="2" t="str">
        <f>VLOOKUP(SALIDAS111518[[#This Row],[CÓDIGO]],PRODUCTOS31316[],2,FALSE)</f>
        <v>MX5A</v>
      </c>
      <c r="S1595" s="1" t="str">
        <f>VLOOKUP(SALIDAS111518[[#This Row],[CÓDIGO]],PRODUCTOS31316[],3,FALSE)</f>
        <v>ECOGRAFO MX5C CON SONDA LINEAL RECTAL/ BLANCO Y NEGRO</v>
      </c>
      <c r="T1595" s="2"/>
      <c r="U1595" s="359" t="s">
        <v>4970</v>
      </c>
      <c r="V1595" s="2"/>
      <c r="W1595" s="350" t="s">
        <v>2823</v>
      </c>
      <c r="X1595" s="82"/>
      <c r="Y1595" s="7"/>
      <c r="Z1595" s="2"/>
      <c r="AA1595" s="1"/>
      <c r="AC1595" s="2"/>
      <c r="AE1595" s="1"/>
      <c r="AG1595" s="2"/>
    </row>
    <row r="1596" spans="12:33" ht="49.95" customHeight="1" x14ac:dyDescent="0.3">
      <c r="L1596" s="2"/>
      <c r="M1596" s="2"/>
      <c r="N1596" s="2"/>
      <c r="O1596" s="350" t="s">
        <v>4895</v>
      </c>
      <c r="P1596" s="2"/>
      <c r="Q1596" s="350" t="s">
        <v>3791</v>
      </c>
      <c r="R1596" s="2">
        <f>VLOOKUP(SALIDAS111518[[#This Row],[CÓDIGO]],PRODUCTOS31316[],2,FALSE)</f>
        <v>6936520864546</v>
      </c>
      <c r="S1596" s="1" t="str">
        <f>VLOOKUP(SALIDAS111518[[#This Row],[CÓDIGO]],PRODUCTOS31316[],3,FALSE)</f>
        <v>TABLET 11" HONOR PAD X8A 128 GB</v>
      </c>
      <c r="T1596" s="2"/>
      <c r="U1596" s="2"/>
      <c r="V1596" s="2"/>
      <c r="W1596" s="2"/>
      <c r="X1596" s="82"/>
      <c r="Y1596" s="7"/>
      <c r="Z1596" s="2"/>
      <c r="AA1596" s="1"/>
      <c r="AC1596" s="2"/>
      <c r="AE1596" s="1"/>
      <c r="AG1596" s="2"/>
    </row>
    <row r="1597" spans="12:33" ht="49.95" customHeight="1" x14ac:dyDescent="0.3">
      <c r="L1597" s="2"/>
      <c r="M1597" s="2"/>
      <c r="N1597" s="2"/>
      <c r="O1597" s="350" t="s">
        <v>4895</v>
      </c>
      <c r="P1597" s="2"/>
      <c r="Q1597" s="350" t="s">
        <v>3286</v>
      </c>
      <c r="R1597" s="2">
        <f>VLOOKUP(SALIDAS111518[[#This Row],[CÓDIGO]],PRODUCTOS31316[],2,FALSE)</f>
        <v>0</v>
      </c>
      <c r="S1597" s="1" t="str">
        <f>VLOOKUP(SALIDAS111518[[#This Row],[CÓDIGO]],PRODUCTOS31316[],3,FALSE)</f>
        <v>CARCASA TABLET BMV</v>
      </c>
      <c r="T1597" s="2"/>
      <c r="U1597" s="2"/>
      <c r="V1597" s="2"/>
      <c r="W1597" s="2"/>
      <c r="X1597" s="82"/>
      <c r="Y1597" s="7"/>
      <c r="Z1597" s="2"/>
      <c r="AA1597" s="1"/>
      <c r="AC1597" s="2"/>
      <c r="AE1597" s="1"/>
      <c r="AG1597" s="2"/>
    </row>
    <row r="1598" spans="12:33" ht="49.95" customHeight="1" x14ac:dyDescent="0.3">
      <c r="L1598" s="350" t="s">
        <v>3521</v>
      </c>
      <c r="M1598" s="350" t="s">
        <v>4578</v>
      </c>
      <c r="N1598" s="351" t="s">
        <v>4901</v>
      </c>
      <c r="O1598" s="350" t="s">
        <v>4897</v>
      </c>
      <c r="P1598" s="16">
        <v>46141</v>
      </c>
      <c r="Q1598" s="350" t="s">
        <v>58</v>
      </c>
      <c r="R1598" s="2" t="str">
        <f>VLOOKUP(SALIDAS111518[[#This Row],[CÓDIGO]],PRODUCTOS31316[],2,FALSE)</f>
        <v>TNB-0001-16</v>
      </c>
      <c r="S1598" s="1" t="str">
        <f>VLOOKUP(SALIDAS111518[[#This Row],[CÓDIGO]],PRODUCTOS31316[],3,FALSE)</f>
        <v>CAMISA SANITARIA PARA OPU ASPIRACIÓN FOLICULAR</v>
      </c>
      <c r="T1598" s="2">
        <v>2</v>
      </c>
      <c r="U1598" s="2">
        <v>700</v>
      </c>
      <c r="V1598" s="2"/>
      <c r="W1598" s="2"/>
      <c r="X1598" s="82"/>
      <c r="Y1598" s="7"/>
      <c r="Z1598" s="2"/>
      <c r="AA1598" s="1"/>
      <c r="AC1598" s="2"/>
      <c r="AE1598" s="1"/>
      <c r="AG1598" s="2"/>
    </row>
    <row r="1599" spans="12:33" ht="49.95" customHeight="1" x14ac:dyDescent="0.3">
      <c r="L1599" s="2"/>
      <c r="M1599" s="2"/>
      <c r="N1599" s="2">
        <v>8287</v>
      </c>
      <c r="O1599" s="350" t="s">
        <v>4897</v>
      </c>
      <c r="P1599" s="16">
        <v>46141</v>
      </c>
      <c r="Q1599" s="350" t="s">
        <v>63</v>
      </c>
      <c r="R1599" s="2">
        <f>VLOOKUP(SALIDAS111518[[#This Row],[CÓDIGO]],PRODUCTOS31316[],2,FALSE)</f>
        <v>25458</v>
      </c>
      <c r="S1599" s="1" t="str">
        <f>VLOOKUP(SALIDAS111518[[#This Row],[CÓDIGO]],PRODUCTOS31316[],3,FALSE)</f>
        <v>FILTROS PARA OPU 100 UL</v>
      </c>
      <c r="T1599" s="2">
        <v>2</v>
      </c>
      <c r="U1599" s="2"/>
      <c r="V1599" s="2"/>
      <c r="W1599" s="2"/>
      <c r="X1599" s="82"/>
      <c r="Y1599" s="7"/>
      <c r="Z1599" s="2"/>
      <c r="AA1599" s="1"/>
      <c r="AC1599" s="2"/>
      <c r="AE1599" s="1"/>
      <c r="AG1599" s="2"/>
    </row>
    <row r="1600" spans="12:33" ht="49.95" customHeight="1" x14ac:dyDescent="0.3">
      <c r="L1600" s="2"/>
      <c r="M1600" s="2"/>
      <c r="N1600" s="2">
        <v>8287</v>
      </c>
      <c r="O1600" s="350" t="s">
        <v>4897</v>
      </c>
      <c r="P1600" s="16">
        <v>46141</v>
      </c>
      <c r="Q1600" s="350" t="s">
        <v>273</v>
      </c>
      <c r="R1600" s="2">
        <f>VLOOKUP(SALIDAS111518[[#This Row],[CÓDIGO]],PRODUCTOS31316[],2,FALSE)</f>
        <v>1003514</v>
      </c>
      <c r="S1600" s="1" t="str">
        <f>VLOOKUP(SALIDAS111518[[#This Row],[CÓDIGO]],PRODUCTOS31316[],3,FALSE)</f>
        <v>JALEA CONDUCTIVA (GEL ULTRASONICO) GALON X 3785 ML AZUL</v>
      </c>
      <c r="T1600" s="2">
        <v>1</v>
      </c>
      <c r="U1600" s="2"/>
      <c r="V1600" s="2"/>
      <c r="W1600" s="2"/>
      <c r="X1600" s="82"/>
      <c r="Y1600" s="7"/>
      <c r="Z1600" s="2"/>
      <c r="AA1600" s="1"/>
      <c r="AC1600" s="2"/>
      <c r="AE1600" s="1"/>
      <c r="AG1600" s="2"/>
    </row>
    <row r="1601" spans="12:33" ht="49.95" customHeight="1" x14ac:dyDescent="0.3">
      <c r="L1601" s="2"/>
      <c r="M1601" s="2"/>
      <c r="N1601" s="2">
        <v>8287</v>
      </c>
      <c r="O1601" s="350" t="s">
        <v>4897</v>
      </c>
      <c r="P1601" s="16">
        <v>46141</v>
      </c>
      <c r="Q1601" s="350" t="s">
        <v>210</v>
      </c>
      <c r="R1601" s="2">
        <f>VLOOKUP(SALIDAS111518[[#This Row],[CÓDIGO]],PRODUCTOS31316[],2,FALSE)</f>
        <v>101257</v>
      </c>
      <c r="S1601" s="1" t="str">
        <f>VLOOKUP(SALIDAS111518[[#This Row],[CÓDIGO]],PRODUCTOS31316[],3,FALSE)</f>
        <v>MANGA DESECHABLE SUPER SENSITIVA</v>
      </c>
      <c r="T1601" s="2">
        <v>1</v>
      </c>
      <c r="U1601" s="2"/>
      <c r="V1601" s="2"/>
      <c r="W1601" s="2"/>
      <c r="X1601" s="82"/>
      <c r="Y1601" s="7"/>
      <c r="Z1601" s="2"/>
      <c r="AA1601" s="1"/>
      <c r="AC1601" s="2"/>
      <c r="AE1601" s="1"/>
      <c r="AG1601" s="2"/>
    </row>
    <row r="1602" spans="12:33" ht="49.95" customHeight="1" x14ac:dyDescent="0.3">
      <c r="L1602" s="2"/>
      <c r="M1602" s="2"/>
      <c r="N1602" s="2">
        <v>8287</v>
      </c>
      <c r="O1602" s="350" t="s">
        <v>4897</v>
      </c>
      <c r="P1602" s="16">
        <v>46141</v>
      </c>
      <c r="Q1602" s="350" t="s">
        <v>602</v>
      </c>
      <c r="R1602" s="2">
        <f>VLOOKUP(SALIDAS111518[[#This Row],[CÓDIGO]],PRODUCTOS31316[],2,FALSE)</f>
        <v>4845</v>
      </c>
      <c r="S1602" s="1" t="str">
        <f>VLOOKUP(SALIDAS111518[[#This Row],[CÓDIGO]],PRODUCTOS31316[],3,FALSE)</f>
        <v>PUNTAS AMARILLAS, UNIVERSALES. PLASTICAS, NO ESTERIL. LIBRES DE RNASE, DNASE Y PYROGENOS. RANGO DE 1-200UL. BOLSA X1000UDS.</v>
      </c>
      <c r="T1602" s="2">
        <v>1</v>
      </c>
      <c r="U1602" s="2"/>
      <c r="V1602" s="2"/>
      <c r="W1602" s="2"/>
      <c r="X1602" s="82"/>
      <c r="Y1602" s="7"/>
      <c r="Z1602" s="2"/>
      <c r="AA1602" s="1"/>
      <c r="AC1602" s="2"/>
      <c r="AE1602" s="1"/>
      <c r="AG1602" s="2"/>
    </row>
    <row r="1603" spans="12:33" ht="49.95" customHeight="1" x14ac:dyDescent="0.3">
      <c r="L1603" s="2"/>
      <c r="M1603" s="2"/>
      <c r="N1603" s="2">
        <v>8287</v>
      </c>
      <c r="O1603" s="350" t="s">
        <v>4897</v>
      </c>
      <c r="P1603" s="16">
        <v>46141</v>
      </c>
      <c r="Q1603" s="350" t="s">
        <v>168</v>
      </c>
      <c r="R1603" s="2">
        <f>VLOOKUP(SALIDAS111518[[#This Row],[CÓDIGO]],PRODUCTOS31316[],2,FALSE)</f>
        <v>4840</v>
      </c>
      <c r="S1603" s="1" t="str">
        <f>VLOOKUP(SALIDAS111518[[#This Row],[CÓDIGO]],PRODUCTOS31316[],3,FALSE)</f>
        <v>PUNTAS BLANCAS UNIVERSALES, PLÁSTICAS, LIBRES DE DNASAS, RNASA Y PIROGENOS, RANGO DE 0.1 A 10UL. (CORTAS).</v>
      </c>
      <c r="T1603" s="2">
        <v>1</v>
      </c>
      <c r="U1603" s="2"/>
      <c r="V1603" s="2"/>
      <c r="W1603" s="2"/>
      <c r="X1603" s="76"/>
      <c r="Y1603" s="7"/>
      <c r="Z1603" s="2"/>
      <c r="AA1603" s="1"/>
      <c r="AC1603" s="2"/>
      <c r="AE1603" s="1"/>
      <c r="AG1603" s="2"/>
    </row>
    <row r="1604" spans="12:33" ht="49.95" customHeight="1" x14ac:dyDescent="0.3">
      <c r="L1604" s="350" t="s">
        <v>3520</v>
      </c>
      <c r="M1604" s="350" t="s">
        <v>4578</v>
      </c>
      <c r="N1604" s="351" t="s">
        <v>4902</v>
      </c>
      <c r="O1604" s="351" t="s">
        <v>3209</v>
      </c>
      <c r="P1604" s="16">
        <v>46141</v>
      </c>
      <c r="Q1604" s="350" t="s">
        <v>2401</v>
      </c>
      <c r="R1604" s="2">
        <f>VLOOKUP(SALIDAS111518[[#This Row],[CÓDIGO]],PRODUCTOS31316[],2,FALSE)</f>
        <v>5540</v>
      </c>
      <c r="S1604" s="1" t="str">
        <f>VLOOKUP(SALIDAS111518[[#This Row],[CÓDIGO]],PRODUCTOS31316[],3,FALSE)</f>
        <v xml:space="preserve">FUNDAS DE TRANSFERENCIA AZUL PUNTA METÁLICA 21"                 </v>
      </c>
      <c r="T1604" s="2">
        <v>1</v>
      </c>
      <c r="U1604" s="2">
        <v>701</v>
      </c>
      <c r="V1604" s="2"/>
      <c r="W1604" s="2"/>
      <c r="X1604" s="2"/>
      <c r="Y1604" s="7"/>
      <c r="Z1604" s="2"/>
      <c r="AA1604" s="1"/>
      <c r="AC1604" s="2"/>
      <c r="AE1604" s="1"/>
      <c r="AG1604" s="2"/>
    </row>
    <row r="1605" spans="12:33" ht="49.95" customHeight="1" x14ac:dyDescent="0.3">
      <c r="L1605" s="2"/>
      <c r="M1605" s="2"/>
      <c r="N1605" s="2">
        <v>8288</v>
      </c>
      <c r="O1605" s="351" t="s">
        <v>3209</v>
      </c>
      <c r="P1605" s="16">
        <v>46141</v>
      </c>
      <c r="Q1605" s="350" t="s">
        <v>153</v>
      </c>
      <c r="R1605" s="2">
        <f>VLOOKUP(SALIDAS111518[[#This Row],[CÓDIGO]],PRODUCTOS31316[],2,FALSE)</f>
        <v>1132</v>
      </c>
      <c r="S1605" s="1" t="str">
        <f>VLOOKUP(SALIDAS111518[[#This Row],[CÓDIGO]],PRODUCTOS31316[],3,FALSE)</f>
        <v>PISTOLA QUICKLOCK CLASIC</v>
      </c>
      <c r="T1605" s="2">
        <v>1</v>
      </c>
      <c r="U1605" s="2"/>
      <c r="V1605" s="2"/>
      <c r="W1605" s="2"/>
      <c r="X1605" s="2"/>
      <c r="Y1605" s="7"/>
      <c r="Z1605" s="2"/>
      <c r="AA1605" s="1"/>
      <c r="AC1605" s="2"/>
      <c r="AE1605" s="1"/>
      <c r="AG1605" s="2"/>
    </row>
    <row r="1606" spans="12:33" ht="49.95" customHeight="1" x14ac:dyDescent="0.3">
      <c r="L1606" s="350" t="s">
        <v>3521</v>
      </c>
      <c r="M1606" s="350" t="s">
        <v>4578</v>
      </c>
      <c r="N1606" s="367" t="s">
        <v>5016</v>
      </c>
      <c r="O1606" s="366" t="s">
        <v>4461</v>
      </c>
      <c r="P1606" s="16">
        <v>46150</v>
      </c>
      <c r="Q1606" s="350" t="s">
        <v>3346</v>
      </c>
      <c r="R1606" s="2" t="str">
        <f>VLOOKUP(SALIDAS111518[[#This Row],[CÓDIGO]],PRODUCTOS31316[],2,FALSE)</f>
        <v>S7PRO</v>
      </c>
      <c r="S1606" s="1" t="str">
        <f>VLOOKUP(SALIDAS111518[[#This Row],[CÓDIGO]],PRODUCTOS31316[],3,FALSE)</f>
        <v>ECÓGRAFO S7 PRO VET CON SONDA LINEAL RECTAL</v>
      </c>
      <c r="T1606" s="2">
        <v>1</v>
      </c>
      <c r="U1606" s="2">
        <v>764</v>
      </c>
      <c r="V1606" s="2"/>
      <c r="W1606" s="2"/>
      <c r="X1606" s="2"/>
      <c r="Y1606" s="7"/>
      <c r="Z1606" s="2"/>
      <c r="AA1606" s="1"/>
      <c r="AC1606" s="2"/>
      <c r="AE1606" s="1"/>
      <c r="AG1606" s="2"/>
    </row>
    <row r="1607" spans="12:33" ht="49.95" customHeight="1" x14ac:dyDescent="0.3">
      <c r="L1607" s="2"/>
      <c r="M1607" s="2"/>
      <c r="N1607" s="2">
        <v>8346</v>
      </c>
      <c r="O1607" s="350" t="s">
        <v>4461</v>
      </c>
      <c r="P1607" s="16">
        <v>46150</v>
      </c>
      <c r="Q1607" s="350" t="s">
        <v>3791</v>
      </c>
      <c r="R1607" s="2">
        <f>VLOOKUP(SALIDAS111518[[#This Row],[CÓDIGO]],PRODUCTOS31316[],2,FALSE)</f>
        <v>6936520864546</v>
      </c>
      <c r="S1607" s="1" t="str">
        <f>VLOOKUP(SALIDAS111518[[#This Row],[CÓDIGO]],PRODUCTOS31316[],3,FALSE)</f>
        <v>TABLET 11" HONOR PAD X8A 128 GB</v>
      </c>
      <c r="T1607" s="2">
        <v>1</v>
      </c>
      <c r="U1607" s="2"/>
      <c r="V1607" s="2"/>
      <c r="W1607" s="2"/>
      <c r="X1607" s="2"/>
      <c r="Y1607" s="7"/>
      <c r="Z1607" s="2"/>
      <c r="AA1607" s="1"/>
      <c r="AC1607" s="2"/>
      <c r="AE1607" s="1"/>
      <c r="AG1607" s="2"/>
    </row>
    <row r="1608" spans="12:33" ht="49.95" customHeight="1" x14ac:dyDescent="0.3">
      <c r="L1608" s="2"/>
      <c r="M1608" s="2"/>
      <c r="N1608" s="2">
        <v>8346</v>
      </c>
      <c r="O1608" s="350" t="s">
        <v>4461</v>
      </c>
      <c r="P1608" s="16">
        <v>46150</v>
      </c>
      <c r="Q1608" s="350" t="s">
        <v>3286</v>
      </c>
      <c r="R1608" s="2">
        <f>VLOOKUP(SALIDAS111518[[#This Row],[CÓDIGO]],PRODUCTOS31316[],2,FALSE)</f>
        <v>0</v>
      </c>
      <c r="S1608" s="1" t="str">
        <f>VLOOKUP(SALIDAS111518[[#This Row],[CÓDIGO]],PRODUCTOS31316[],3,FALSE)</f>
        <v>CARCASA TABLET BMV</v>
      </c>
      <c r="T1608" s="2">
        <v>1</v>
      </c>
      <c r="U1608" s="2"/>
      <c r="V1608" s="2"/>
      <c r="W1608" s="2"/>
      <c r="X1608" s="2"/>
      <c r="Y1608" s="7"/>
      <c r="Z1608" s="2"/>
      <c r="AA1608" s="1"/>
      <c r="AC1608" s="2"/>
      <c r="AE1608" s="1"/>
      <c r="AG1608" s="2"/>
    </row>
    <row r="1609" spans="12:33" ht="49.95" customHeight="1" x14ac:dyDescent="0.3">
      <c r="L1609" s="2"/>
      <c r="M1609" s="2"/>
      <c r="N1609" s="2">
        <v>8346</v>
      </c>
      <c r="O1609" s="350" t="s">
        <v>4461</v>
      </c>
      <c r="P1609" s="16">
        <v>46150</v>
      </c>
      <c r="Q1609" s="366" t="s">
        <v>397</v>
      </c>
      <c r="R1609" s="2">
        <f>VLOOKUP(SALIDAS111518[[#This Row],[CÓDIGO]],PRODUCTOS31316[],2,FALSE)</f>
        <v>509013</v>
      </c>
      <c r="S1609" s="1" t="str">
        <f>VLOOKUP(SALIDAS111518[[#This Row],[CÓDIGO]],PRODUCTOS31316[],3,FALSE)</f>
        <v>CAMISA SANITARIA PARA PROBE RECTAL</v>
      </c>
      <c r="T1609" s="2">
        <v>1</v>
      </c>
      <c r="U1609" s="2"/>
      <c r="V1609" s="2"/>
      <c r="W1609" s="2"/>
      <c r="X1609" s="2"/>
      <c r="Y1609" s="7"/>
      <c r="Z1609" s="2"/>
      <c r="AA1609" s="1"/>
      <c r="AC1609" s="2"/>
      <c r="AE1609" s="1"/>
      <c r="AG1609" s="2"/>
    </row>
    <row r="1610" spans="12:33" ht="49.95" customHeight="1" x14ac:dyDescent="0.3">
      <c r="L1610" s="2"/>
      <c r="M1610" s="2"/>
      <c r="N1610" s="2">
        <v>8346</v>
      </c>
      <c r="O1610" s="350" t="s">
        <v>4461</v>
      </c>
      <c r="P1610" s="16">
        <v>46150</v>
      </c>
      <c r="Q1610" s="366" t="s">
        <v>3095</v>
      </c>
      <c r="R1610" s="2">
        <f>VLOOKUP(SALIDAS111518[[#This Row],[CÓDIGO]],PRODUCTOS31316[],2,FALSE)</f>
        <v>0</v>
      </c>
      <c r="S1610" s="1" t="str">
        <f>VLOOKUP(SALIDAS111518[[#This Row],[CÓDIGO]],PRODUCTOS31316[],3,FALSE)</f>
        <v>GORRA MAS CAMPO</v>
      </c>
      <c r="T1610" s="2">
        <v>2</v>
      </c>
      <c r="U1610" s="2"/>
      <c r="V1610" s="2"/>
      <c r="W1610" s="2"/>
      <c r="X1610" s="2"/>
      <c r="Y1610" s="7"/>
      <c r="Z1610" s="2"/>
      <c r="AA1610" s="1"/>
      <c r="AC1610" s="2"/>
      <c r="AE1610" s="1"/>
      <c r="AG1610" s="2"/>
    </row>
    <row r="1611" spans="12:33" ht="49.95" customHeight="1" x14ac:dyDescent="0.3">
      <c r="L1611" s="2"/>
      <c r="M1611" s="2"/>
      <c r="N1611" s="2">
        <v>8346</v>
      </c>
      <c r="O1611" s="350" t="s">
        <v>4461</v>
      </c>
      <c r="P1611" s="16">
        <v>46150</v>
      </c>
      <c r="Q1611" s="366" t="s">
        <v>273</v>
      </c>
      <c r="R1611" s="2">
        <f>VLOOKUP(SALIDAS111518[[#This Row],[CÓDIGO]],PRODUCTOS31316[],2,FALSE)</f>
        <v>1003514</v>
      </c>
      <c r="S1611" s="1" t="str">
        <f>VLOOKUP(SALIDAS111518[[#This Row],[CÓDIGO]],PRODUCTOS31316[],3,FALSE)</f>
        <v>JALEA CONDUCTIVA (GEL ULTRASONICO) GALON X 3785 ML AZUL</v>
      </c>
      <c r="T1611" s="2">
        <v>1</v>
      </c>
      <c r="U1611" s="2"/>
      <c r="V1611" s="2"/>
      <c r="W1611" s="2"/>
      <c r="X1611" s="2"/>
      <c r="Y1611" s="7"/>
      <c r="Z1611" s="2"/>
      <c r="AA1611" s="1"/>
      <c r="AC1611" s="2"/>
      <c r="AE1611" s="1"/>
      <c r="AG1611" s="2"/>
    </row>
    <row r="1612" spans="12:33" ht="49.95" customHeight="1" x14ac:dyDescent="0.3">
      <c r="L1612" s="350" t="s">
        <v>3521</v>
      </c>
      <c r="M1612" s="350" t="s">
        <v>4578</v>
      </c>
      <c r="N1612" s="15">
        <v>15031</v>
      </c>
      <c r="O1612" s="353" t="s">
        <v>4899</v>
      </c>
      <c r="P1612" s="15"/>
      <c r="Q1612" s="350" t="s">
        <v>3599</v>
      </c>
      <c r="R1612" s="2">
        <f>VLOOKUP(SALIDAS111518[[#This Row],[CÓDIGO]],PRODUCTOS31316[],2,FALSE)</f>
        <v>0</v>
      </c>
      <c r="S1612" s="1" t="str">
        <f>VLOOKUP(SALIDAS111518[[#This Row],[CÓDIGO]],PRODUCTOS31316[],3,FALSE)</f>
        <v>ECOGRAFO AIRSCAN PRO CON SONDA LINEAL RECTAL</v>
      </c>
      <c r="T1612" s="2">
        <v>1</v>
      </c>
      <c r="U1612" s="2"/>
      <c r="V1612" s="2"/>
      <c r="W1612" s="350" t="s">
        <v>3412</v>
      </c>
      <c r="X1612" s="2"/>
      <c r="Y1612" s="7"/>
      <c r="Z1612" s="2"/>
      <c r="AA1612" s="1"/>
      <c r="AC1612" s="2"/>
      <c r="AE1612" s="1"/>
      <c r="AG1612" s="2"/>
    </row>
    <row r="1613" spans="12:33" ht="49.95" customHeight="1" x14ac:dyDescent="0.3">
      <c r="L1613" s="350" t="s">
        <v>3521</v>
      </c>
      <c r="M1613" s="350" t="s">
        <v>4578</v>
      </c>
      <c r="N1613" s="351" t="s">
        <v>4903</v>
      </c>
      <c r="O1613" s="351" t="s">
        <v>4900</v>
      </c>
      <c r="P1613" s="16">
        <v>46141</v>
      </c>
      <c r="Q1613" s="350" t="s">
        <v>236</v>
      </c>
      <c r="R1613" s="2">
        <f>VLOOKUP(SALIDAS111518[[#This Row],[CÓDIGO]],PRODUCTOS31316[],2,FALSE)</f>
        <v>0</v>
      </c>
      <c r="S1613" s="1" t="str">
        <f>VLOOKUP(SALIDAS111518[[#This Row],[CÓDIGO]],PRODUCTOS31316[],3,FALSE)</f>
        <v>TERMO METÁLICO DESCONGELADOR</v>
      </c>
      <c r="T1613" s="2">
        <v>1</v>
      </c>
      <c r="U1613" s="2">
        <v>702</v>
      </c>
      <c r="V1613" s="2"/>
      <c r="W1613" s="2"/>
      <c r="X1613" s="2"/>
      <c r="Y1613" s="7"/>
      <c r="Z1613" s="2"/>
      <c r="AA1613" s="1"/>
      <c r="AC1613" s="2"/>
      <c r="AE1613" s="1"/>
      <c r="AG1613" s="2"/>
    </row>
    <row r="1614" spans="12:33" ht="49.95" customHeight="1" x14ac:dyDescent="0.3">
      <c r="L1614" s="2"/>
      <c r="M1614" s="2"/>
      <c r="N1614" s="2">
        <v>8289</v>
      </c>
      <c r="O1614" s="351" t="s">
        <v>4900</v>
      </c>
      <c r="P1614" s="16">
        <v>46141</v>
      </c>
      <c r="Q1614" s="350" t="s">
        <v>581</v>
      </c>
      <c r="R1614" s="2">
        <f>VLOOKUP(SALIDAS111518[[#This Row],[CÓDIGO]],PRODUCTOS31316[],2,FALSE)</f>
        <v>11571</v>
      </c>
      <c r="S1614" s="1" t="str">
        <f>VLOOKUP(SALIDAS111518[[#This Row],[CÓDIGO]],PRODUCTOS31316[],3,FALSE)</f>
        <v>PINZA COGEPAJILLA</v>
      </c>
      <c r="T1614" s="2">
        <v>1</v>
      </c>
      <c r="U1614" s="2"/>
      <c r="V1614" s="2"/>
      <c r="W1614" s="2"/>
      <c r="X1614" s="2"/>
      <c r="Y1614" s="7"/>
      <c r="Z1614" s="2"/>
      <c r="AA1614" s="1"/>
      <c r="AC1614" s="2"/>
      <c r="AE1614" s="1"/>
      <c r="AG1614" s="2"/>
    </row>
    <row r="1615" spans="12:33" ht="49.95" customHeight="1" x14ac:dyDescent="0.3">
      <c r="L1615" s="2"/>
      <c r="M1615" s="2"/>
      <c r="N1615" s="2">
        <v>8289</v>
      </c>
      <c r="O1615" s="351" t="s">
        <v>4900</v>
      </c>
      <c r="P1615" s="16">
        <v>46141</v>
      </c>
      <c r="Q1615" s="350" t="s">
        <v>2364</v>
      </c>
      <c r="R1615" s="2">
        <f>VLOOKUP(SALIDAS111518[[#This Row],[CÓDIGO]],PRODUCTOS31316[],2,FALSE)</f>
        <v>0</v>
      </c>
      <c r="S1615" s="1" t="str">
        <f>VLOOKUP(SALIDAS111518[[#This Row],[CÓDIGO]],PRODUCTOS31316[],3,FALSE)</f>
        <v>CORTAPAJILLAS WTA</v>
      </c>
      <c r="T1615" s="2">
        <v>1</v>
      </c>
      <c r="U1615" s="2"/>
      <c r="V1615" s="2"/>
      <c r="W1615" s="2"/>
      <c r="X1615" s="2"/>
      <c r="Y1615" s="7"/>
      <c r="Z1615" s="2"/>
      <c r="AA1615" s="1"/>
      <c r="AC1615" s="2"/>
      <c r="AE1615" s="1"/>
      <c r="AG1615" s="2"/>
    </row>
    <row r="1616" spans="12:33" ht="49.95" customHeight="1" x14ac:dyDescent="0.3">
      <c r="L1616" s="350" t="s">
        <v>3521</v>
      </c>
      <c r="M1616" s="350" t="s">
        <v>4578</v>
      </c>
      <c r="N1616" s="1" t="s">
        <v>4921</v>
      </c>
      <c r="O1616" s="350" t="s">
        <v>3534</v>
      </c>
      <c r="P1616" s="2" t="s">
        <v>4916</v>
      </c>
      <c r="Q1616" s="350" t="s">
        <v>3346</v>
      </c>
      <c r="R1616" s="2" t="str">
        <f>VLOOKUP(SALIDAS111518[[#This Row],[CÓDIGO]],PRODUCTOS31316[],2,FALSE)</f>
        <v>S7PRO</v>
      </c>
      <c r="S1616" s="1" t="str">
        <f>VLOOKUP(SALIDAS111518[[#This Row],[CÓDIGO]],PRODUCTOS31316[],3,FALSE)</f>
        <v>ECÓGRAFO S7 PRO VET CON SONDA LINEAL RECTAL</v>
      </c>
      <c r="T1616" s="2">
        <v>1</v>
      </c>
      <c r="U1616" s="1" t="s">
        <v>4920</v>
      </c>
      <c r="V1616" s="2"/>
      <c r="W1616" s="2"/>
      <c r="X1616" s="2"/>
      <c r="Y1616" s="7"/>
      <c r="Z1616" s="2"/>
      <c r="AA1616" s="1"/>
      <c r="AC1616" s="2"/>
      <c r="AE1616" s="1"/>
      <c r="AG1616" s="2"/>
    </row>
    <row r="1617" spans="12:33" ht="49.95" customHeight="1" x14ac:dyDescent="0.3">
      <c r="L1617" s="350" t="s">
        <v>3521</v>
      </c>
      <c r="M1617" s="350" t="s">
        <v>4578</v>
      </c>
      <c r="N1617" s="351" t="s">
        <v>4911</v>
      </c>
      <c r="O1617" s="350" t="s">
        <v>4910</v>
      </c>
      <c r="P1617" s="16">
        <v>46141</v>
      </c>
      <c r="Q1617" s="350" t="s">
        <v>273</v>
      </c>
      <c r="R1617" s="2">
        <f>VLOOKUP(SALIDAS111518[[#This Row],[CÓDIGO]],PRODUCTOS31316[],2,FALSE)</f>
        <v>1003514</v>
      </c>
      <c r="S1617" s="1" t="str">
        <f>VLOOKUP(SALIDAS111518[[#This Row],[CÓDIGO]],PRODUCTOS31316[],3,FALSE)</f>
        <v>JALEA CONDUCTIVA (GEL ULTRASONICO) GALON X 3785 ML AZUL</v>
      </c>
      <c r="T1617" s="2">
        <v>1</v>
      </c>
      <c r="U1617" s="2">
        <v>705</v>
      </c>
      <c r="V1617" s="2"/>
      <c r="W1617" s="2"/>
      <c r="X1617" s="2"/>
      <c r="Y1617" s="7"/>
      <c r="Z1617" s="2"/>
      <c r="AA1617" s="1"/>
      <c r="AC1617" s="2"/>
      <c r="AE1617" s="1"/>
      <c r="AG1617" s="2"/>
    </row>
    <row r="1618" spans="12:33" ht="49.95" customHeight="1" x14ac:dyDescent="0.3">
      <c r="L1618" s="350" t="s">
        <v>3520</v>
      </c>
      <c r="M1618" s="350" t="s">
        <v>4578</v>
      </c>
      <c r="N1618" s="1" t="s">
        <v>4915</v>
      </c>
      <c r="O1618" s="356" t="s">
        <v>3492</v>
      </c>
      <c r="P1618" s="16">
        <v>46142</v>
      </c>
      <c r="Q1618" s="350" t="s">
        <v>15</v>
      </c>
      <c r="R1618" s="2" t="str">
        <f>VLOOKUP(SALIDAS111518[[#This Row],[CÓDIGO]],PRODUCTOS31316[],2,FALSE)</f>
        <v>BTE-025PT/ 504002</v>
      </c>
      <c r="S1618" s="1" t="str">
        <f>VLOOKUP(SALIDAS111518[[#This Row],[CÓDIGO]],PRODUCTOS31316[],3,FALSE)</f>
        <v>FUNDAS PARA TRANSFERENCIA DE EMBRIONES</v>
      </c>
      <c r="T1618" s="2">
        <v>50</v>
      </c>
      <c r="U1618" s="2">
        <v>708</v>
      </c>
      <c r="V1618" s="2"/>
      <c r="W1618" s="2"/>
      <c r="X1618" s="2"/>
      <c r="Y1618" s="7"/>
      <c r="Z1618" s="2"/>
      <c r="AA1618" s="1"/>
      <c r="AC1618" s="2"/>
      <c r="AE1618" s="1"/>
      <c r="AG1618" s="2"/>
    </row>
    <row r="1619" spans="12:33" ht="49.95" customHeight="1" x14ac:dyDescent="0.3">
      <c r="L1619" s="350" t="s">
        <v>3520</v>
      </c>
      <c r="M1619" s="350" t="s">
        <v>4578</v>
      </c>
      <c r="N1619" s="359" t="s">
        <v>4929</v>
      </c>
      <c r="O1619" s="350" t="s">
        <v>2732</v>
      </c>
      <c r="P1619" s="16">
        <v>46146</v>
      </c>
      <c r="Q1619" s="350" t="s">
        <v>2253</v>
      </c>
      <c r="R1619" s="2">
        <f>VLOOKUP(SALIDAS111518[[#This Row],[CÓDIGO]],PRODUCTOS31316[],2,FALSE)</f>
        <v>26218</v>
      </c>
      <c r="S1619" s="1" t="str">
        <f>VLOOKUP(SALIDAS111518[[#This Row],[CÓDIGO]],PRODUCTOS31316[],3,FALSE)</f>
        <v>OPTIXCELL 250 ML</v>
      </c>
      <c r="T1619" s="2">
        <v>1</v>
      </c>
      <c r="U1619" s="2">
        <v>713</v>
      </c>
      <c r="V1619" s="2"/>
      <c r="W1619" s="2"/>
      <c r="X1619" s="2"/>
      <c r="Y1619" s="7"/>
      <c r="Z1619" s="2"/>
      <c r="AA1619" s="1"/>
      <c r="AC1619" s="2"/>
      <c r="AE1619" s="1"/>
      <c r="AG1619" s="2"/>
    </row>
    <row r="1620" spans="12:33" ht="49.95" customHeight="1" x14ac:dyDescent="0.3">
      <c r="L1620" s="2"/>
      <c r="M1620" s="2"/>
      <c r="N1620" s="2">
        <v>8298</v>
      </c>
      <c r="O1620" s="355" t="s">
        <v>2732</v>
      </c>
      <c r="P1620" s="16">
        <v>46146</v>
      </c>
      <c r="Q1620" s="350" t="s">
        <v>79</v>
      </c>
      <c r="R1620" s="2" t="str">
        <f>VLOOKUP(SALIDAS111518[[#This Row],[CÓDIGO]],PRODUCTOS31316[],2,FALSE)</f>
        <v>ABT ADAPT HOLDING</v>
      </c>
      <c r="S1620" s="1" t="str">
        <f>VLOOKUP(SALIDAS111518[[#This Row],[CÓDIGO]],PRODUCTOS31316[],3,FALSE)</f>
        <v>ABT ADAPT HOLDING CON HA 7 ML</v>
      </c>
      <c r="T1620" s="2">
        <v>7</v>
      </c>
      <c r="U1620" s="2"/>
      <c r="V1620" s="2"/>
      <c r="W1620" s="2"/>
      <c r="X1620" s="2"/>
      <c r="Y1620" s="7"/>
      <c r="Z1620" s="2"/>
      <c r="AA1620" s="1"/>
      <c r="AC1620" s="2"/>
      <c r="AE1620" s="1"/>
      <c r="AG1620" s="2"/>
    </row>
    <row r="1621" spans="12:33" ht="49.95" customHeight="1" x14ac:dyDescent="0.3">
      <c r="L1621" s="2"/>
      <c r="M1621" s="2"/>
      <c r="N1621" s="2">
        <v>8298</v>
      </c>
      <c r="O1621" s="350" t="s">
        <v>2732</v>
      </c>
      <c r="P1621" s="16">
        <v>46146</v>
      </c>
      <c r="Q1621" s="350" t="s">
        <v>3308</v>
      </c>
      <c r="R1621" s="2">
        <f>VLOOKUP(SALIDAS111518[[#This Row],[CÓDIGO]],PRODUCTOS31316[],2,FALSE)</f>
        <v>50</v>
      </c>
      <c r="S1621" s="1" t="str">
        <f>VLOOKUP(SALIDAS111518[[#This Row],[CÓDIGO]],PRODUCTOS31316[],3,FALSE)</f>
        <v>MAXI FILTRO</v>
      </c>
      <c r="T1621" s="2">
        <v>2</v>
      </c>
      <c r="U1621" s="2"/>
      <c r="V1621" s="2"/>
      <c r="W1621" s="2"/>
      <c r="X1621" s="2"/>
      <c r="Y1621" s="7"/>
      <c r="Z1621" s="2"/>
      <c r="AA1621" s="1"/>
      <c r="AC1621" s="2"/>
      <c r="AE1621" s="1"/>
      <c r="AG1621" s="2"/>
    </row>
    <row r="1622" spans="12:33" ht="49.95" customHeight="1" x14ac:dyDescent="0.3">
      <c r="L1622" s="2"/>
      <c r="M1622" s="2"/>
      <c r="N1622" s="2">
        <v>8298</v>
      </c>
      <c r="O1622" s="350" t="s">
        <v>2732</v>
      </c>
      <c r="P1622" s="16">
        <v>46146</v>
      </c>
      <c r="Q1622" s="350" t="s">
        <v>3322</v>
      </c>
      <c r="R1622" s="2">
        <f>VLOOKUP(SALIDAS111518[[#This Row],[CÓDIGO]],PRODUCTOS31316[],2,FALSE)</f>
        <v>9014001</v>
      </c>
      <c r="S1622" s="1" t="str">
        <f>VLOOKUP(SALIDAS111518[[#This Row],[CÓDIGO]],PRODUCTOS31316[],3,FALSE)</f>
        <v>MICROFILTRO 0,75 uM</v>
      </c>
      <c r="T1622" s="2">
        <v>10</v>
      </c>
      <c r="U1622" s="2"/>
      <c r="V1622" s="2"/>
      <c r="W1622" s="2"/>
      <c r="X1622" s="2"/>
      <c r="Y1622" s="7"/>
      <c r="Z1622" s="2"/>
      <c r="AA1622" s="1"/>
      <c r="AC1622" s="2"/>
      <c r="AE1622" s="1"/>
      <c r="AG1622" s="2"/>
    </row>
    <row r="1623" spans="12:33" ht="49.95" customHeight="1" x14ac:dyDescent="0.3">
      <c r="L1623" s="2" t="s">
        <v>3520</v>
      </c>
      <c r="M1623" s="2" t="s">
        <v>4578</v>
      </c>
      <c r="N1623" s="359" t="s">
        <v>4928</v>
      </c>
      <c r="O1623" s="350" t="s">
        <v>2732</v>
      </c>
      <c r="P1623" s="16">
        <v>46146</v>
      </c>
      <c r="Q1623" s="350" t="s">
        <v>683</v>
      </c>
      <c r="R1623" s="2">
        <f>VLOOKUP(SALIDAS111518[[#This Row],[CÓDIGO]],PRODUCTOS31316[],2,FALSE)</f>
        <v>109304</v>
      </c>
      <c r="S1623" s="1" t="str">
        <f>VLOOKUP(SALIDAS111518[[#This Row],[CÓDIGO]],PRODUCTOS31316[],3,FALSE)</f>
        <v>EOSINA- NIGROSINA</v>
      </c>
      <c r="T1623" s="2">
        <v>1</v>
      </c>
      <c r="U1623" s="2">
        <v>717</v>
      </c>
      <c r="V1623" s="2"/>
      <c r="W1623" s="2"/>
      <c r="X1623" s="2"/>
      <c r="Y1623" s="7"/>
      <c r="Z1623" s="2"/>
      <c r="AA1623" s="1"/>
      <c r="AC1623" s="2"/>
      <c r="AE1623" s="1"/>
      <c r="AG1623" s="2"/>
    </row>
    <row r="1624" spans="12:33" ht="49.95" customHeight="1" x14ac:dyDescent="0.3">
      <c r="L1624" s="2" t="s">
        <v>3520</v>
      </c>
      <c r="M1624" s="2" t="s">
        <v>4578</v>
      </c>
      <c r="N1624" s="1" t="s">
        <v>4917</v>
      </c>
      <c r="O1624" s="2" t="s">
        <v>2384</v>
      </c>
      <c r="P1624" s="16">
        <v>46142</v>
      </c>
      <c r="Q1624" s="2" t="s">
        <v>4386</v>
      </c>
      <c r="R1624" s="2">
        <f>VLOOKUP(SALIDAS111518[[#This Row],[CÓDIGO]],PRODUCTOS31316[],2,FALSE)</f>
        <v>754001</v>
      </c>
      <c r="S1624" s="1" t="str">
        <f>VLOOKUP(SALIDAS111518[[#This Row],[CÓDIGO]],PRODUCTOS31316[],3,FALSE)</f>
        <v>CAJA PETRI DESECHABLE ESTERIL 60X15MM MARCA: NEST</v>
      </c>
      <c r="T1624" s="2">
        <v>10</v>
      </c>
      <c r="U1624" s="2">
        <v>709</v>
      </c>
      <c r="V1624" s="2"/>
      <c r="W1624" s="2"/>
      <c r="X1624" s="2"/>
      <c r="Y1624" s="7"/>
      <c r="Z1624" s="2"/>
      <c r="AA1624" s="1"/>
      <c r="AC1624" s="2"/>
      <c r="AE1624" s="1"/>
      <c r="AG1624" s="2"/>
    </row>
    <row r="1625" spans="12:33" ht="49.95" customHeight="1" x14ac:dyDescent="0.3">
      <c r="L1625" s="2"/>
      <c r="M1625" s="2"/>
      <c r="N1625" s="2">
        <v>8294</v>
      </c>
      <c r="O1625" s="2" t="s">
        <v>2384</v>
      </c>
      <c r="P1625" s="16">
        <v>46142</v>
      </c>
      <c r="Q1625" s="2" t="s">
        <v>167</v>
      </c>
      <c r="R1625" s="2" t="str">
        <f>VLOOKUP(SALIDAS111518[[#This Row],[CÓDIGO]],PRODUCTOS31316[],2,FALSE)</f>
        <v>50050-1</v>
      </c>
      <c r="S1625" s="1" t="str">
        <f>VLOOKUP(SALIDAS111518[[#This Row],[CÓDIGO]],PRODUCTOS31316[],3,FALSE)</f>
        <v>TUBO CONICO PLUG, AUTOCLAVABLE ESTERIL  TAPA ROSCA DE 50 ML</v>
      </c>
      <c r="T1625" s="2">
        <v>2</v>
      </c>
      <c r="U1625" s="2"/>
      <c r="V1625" s="2"/>
      <c r="W1625" s="2"/>
      <c r="X1625" s="2"/>
      <c r="Y1625" s="7"/>
      <c r="Z1625" s="2"/>
      <c r="AA1625" s="1"/>
      <c r="AC1625" s="2"/>
      <c r="AE1625" s="1"/>
      <c r="AG1625" s="2"/>
    </row>
    <row r="1626" spans="12:33" ht="49.95" customHeight="1" x14ac:dyDescent="0.3">
      <c r="L1626" s="2"/>
      <c r="M1626" s="2"/>
      <c r="N1626" s="2">
        <v>8294</v>
      </c>
      <c r="O1626" s="2" t="s">
        <v>2384</v>
      </c>
      <c r="P1626" s="16">
        <v>46142</v>
      </c>
      <c r="Q1626" s="2" t="s">
        <v>168</v>
      </c>
      <c r="R1626" s="2">
        <f>VLOOKUP(SALIDAS111518[[#This Row],[CÓDIGO]],PRODUCTOS31316[],2,FALSE)</f>
        <v>4840</v>
      </c>
      <c r="S1626" s="1" t="str">
        <f>VLOOKUP(SALIDAS111518[[#This Row],[CÓDIGO]],PRODUCTOS31316[],3,FALSE)</f>
        <v>PUNTAS BLANCAS UNIVERSALES, PLÁSTICAS, LIBRES DE DNASAS, RNASA Y PIROGENOS, RANGO DE 0.1 A 10UL. (CORTAS).</v>
      </c>
      <c r="T1626" s="2">
        <v>1</v>
      </c>
      <c r="U1626" s="2"/>
      <c r="V1626" s="2"/>
      <c r="W1626" s="2"/>
      <c r="X1626" s="2"/>
      <c r="Y1626" s="7"/>
      <c r="Z1626" s="2"/>
      <c r="AA1626" s="1"/>
      <c r="AC1626" s="2"/>
      <c r="AE1626" s="1"/>
      <c r="AG1626" s="2"/>
    </row>
    <row r="1627" spans="12:33" ht="49.95" customHeight="1" x14ac:dyDescent="0.3">
      <c r="L1627" s="2" t="s">
        <v>3521</v>
      </c>
      <c r="M1627" s="2" t="s">
        <v>4578</v>
      </c>
      <c r="N1627" s="1" t="s">
        <v>4918</v>
      </c>
      <c r="O1627" s="2" t="s">
        <v>4913</v>
      </c>
      <c r="P1627" s="16">
        <v>46142</v>
      </c>
      <c r="Q1627" s="2" t="s">
        <v>3202</v>
      </c>
      <c r="R1627" s="2">
        <f>VLOOKUP(SALIDAS111518[[#This Row],[CÓDIGO]],PRODUCTOS31316[],2,FALSE)</f>
        <v>0</v>
      </c>
      <c r="S1627" s="1" t="str">
        <f>VLOOKUP(SALIDAS111518[[#This Row],[CÓDIGO]],PRODUCTOS31316[],3,FALSE)</f>
        <v>CABLE REPUESTO ECOGRAFO S5</v>
      </c>
      <c r="T1627" s="2">
        <v>1</v>
      </c>
      <c r="U1627" s="2">
        <v>710</v>
      </c>
      <c r="V1627" s="2"/>
      <c r="W1627" s="2"/>
      <c r="X1627" s="2"/>
      <c r="Y1627" s="7"/>
      <c r="Z1627" s="2"/>
      <c r="AA1627" s="1"/>
      <c r="AC1627" s="2"/>
      <c r="AE1627" s="1"/>
      <c r="AG1627" s="2"/>
    </row>
    <row r="1628" spans="12:33" ht="49.95" customHeight="1" x14ac:dyDescent="0.3">
      <c r="L1628" s="2" t="s">
        <v>3520</v>
      </c>
      <c r="M1628" s="2" t="s">
        <v>4578</v>
      </c>
      <c r="N1628" s="1" t="s">
        <v>4919</v>
      </c>
      <c r="O1628" s="1" t="s">
        <v>3195</v>
      </c>
      <c r="P1628" s="16">
        <v>46142</v>
      </c>
      <c r="Q1628" s="2" t="s">
        <v>15</v>
      </c>
      <c r="R1628" s="2" t="str">
        <f>VLOOKUP(SALIDAS111518[[#This Row],[CÓDIGO]],PRODUCTOS31316[],2,FALSE)</f>
        <v>BTE-025PT/ 504002</v>
      </c>
      <c r="S1628" s="1" t="str">
        <f>VLOOKUP(SALIDAS111518[[#This Row],[CÓDIGO]],PRODUCTOS31316[],3,FALSE)</f>
        <v>FUNDAS PARA TRANSFERENCIA DE EMBRIONES</v>
      </c>
      <c r="T1628" s="2">
        <v>40</v>
      </c>
      <c r="U1628" s="2">
        <v>711</v>
      </c>
      <c r="V1628" s="2"/>
      <c r="W1628" s="2"/>
      <c r="X1628" s="2"/>
      <c r="Y1628" s="7"/>
      <c r="Z1628" s="2"/>
      <c r="AA1628" s="1"/>
      <c r="AC1628" s="2"/>
      <c r="AE1628" s="1"/>
      <c r="AG1628" s="2"/>
    </row>
    <row r="1629" spans="12:33" ht="49.95" customHeight="1" x14ac:dyDescent="0.3">
      <c r="L1629" s="2"/>
      <c r="M1629" s="2"/>
      <c r="N1629" s="2">
        <v>8296</v>
      </c>
      <c r="O1629" s="1" t="s">
        <v>3195</v>
      </c>
      <c r="P1629" s="16">
        <v>46142</v>
      </c>
      <c r="Q1629" s="2" t="s">
        <v>1779</v>
      </c>
      <c r="R1629" s="2">
        <f>VLOOKUP(SALIDAS111518[[#This Row],[CÓDIGO]],PRODUCTOS31316[],2,FALSE)</f>
        <v>5563</v>
      </c>
      <c r="S1629" s="1" t="str">
        <f>VLOOKUP(SALIDAS111518[[#This Row],[CÓDIGO]],PRODUCTOS31316[],3,FALSE)</f>
        <v>CAMISA SANITARIA ROLLO X 80</v>
      </c>
      <c r="T1629" s="2">
        <v>3</v>
      </c>
      <c r="U1629" s="2"/>
      <c r="V1629" s="2"/>
      <c r="W1629" s="2"/>
      <c r="X1629" s="2"/>
      <c r="Y1629" s="7"/>
      <c r="Z1629" s="2"/>
      <c r="AA1629" s="1"/>
      <c r="AC1629" s="2"/>
      <c r="AE1629" s="1"/>
      <c r="AG1629" s="2"/>
    </row>
    <row r="1630" spans="12:33" ht="49.95" customHeight="1" x14ac:dyDescent="0.3">
      <c r="L1630" s="2" t="s">
        <v>3520</v>
      </c>
      <c r="M1630" s="2" t="s">
        <v>4578</v>
      </c>
      <c r="N1630" s="359" t="s">
        <v>4955</v>
      </c>
      <c r="O1630" s="2" t="s">
        <v>3844</v>
      </c>
      <c r="P1630" s="16">
        <v>46146</v>
      </c>
      <c r="Q1630" s="2" t="s">
        <v>2232</v>
      </c>
      <c r="R1630" s="2">
        <f>VLOOKUP(SALIDAS111518[[#This Row],[CÓDIGO]],PRODUCTOS31316[],2,FALSE)</f>
        <v>0</v>
      </c>
      <c r="S1630" s="1" t="str">
        <f>VLOOKUP(SALIDAS111518[[#This Row],[CÓDIGO]],PRODUCTOS31316[],3,FALSE)</f>
        <v>CONO RECOLECTOR</v>
      </c>
      <c r="T1630" s="2">
        <v>2</v>
      </c>
      <c r="U1630" s="2">
        <v>730</v>
      </c>
      <c r="V1630" s="2"/>
      <c r="W1630" s="2"/>
      <c r="X1630" s="2"/>
      <c r="Y1630" s="7"/>
      <c r="Z1630" s="2"/>
      <c r="AA1630" s="1"/>
      <c r="AC1630" s="2"/>
      <c r="AE1630" s="1"/>
      <c r="AG1630" s="2"/>
    </row>
    <row r="1631" spans="12:33" ht="49.95" customHeight="1" x14ac:dyDescent="0.3">
      <c r="L1631" s="2"/>
      <c r="M1631" s="2"/>
      <c r="N1631" s="2">
        <v>8316</v>
      </c>
      <c r="O1631" s="2" t="s">
        <v>3844</v>
      </c>
      <c r="P1631" s="16">
        <v>46146</v>
      </c>
      <c r="Q1631" s="360" t="s">
        <v>748</v>
      </c>
      <c r="R1631" s="2" t="str">
        <f>VLOOKUP(SALIDAS111518[[#This Row],[CÓDIGO]],PRODUCTOS31316[],2,FALSE)</f>
        <v>TY</v>
      </c>
      <c r="S1631" s="1" t="str">
        <f>VLOOKUP(SALIDAS111518[[#This Row],[CÓDIGO]],PRODUCTOS31316[],3,FALSE)</f>
        <v>TABS AMARILLOS</v>
      </c>
      <c r="T1631" s="2">
        <v>3</v>
      </c>
      <c r="U1631" s="2"/>
      <c r="V1631" s="2"/>
      <c r="W1631" s="2"/>
      <c r="X1631" s="2"/>
      <c r="Y1631" s="7"/>
      <c r="Z1631" s="2"/>
      <c r="AA1631" s="1"/>
      <c r="AC1631" s="2"/>
      <c r="AE1631" s="1"/>
      <c r="AG1631" s="2"/>
    </row>
    <row r="1632" spans="12:33" ht="49.95" customHeight="1" x14ac:dyDescent="0.3">
      <c r="L1632" s="2" t="s">
        <v>3520</v>
      </c>
      <c r="M1632" s="2" t="s">
        <v>4922</v>
      </c>
      <c r="N1632" s="359" t="s">
        <v>4931</v>
      </c>
      <c r="O1632" s="1" t="s">
        <v>2356</v>
      </c>
      <c r="P1632" s="16">
        <v>46146</v>
      </c>
      <c r="Q1632" s="2" t="s">
        <v>15</v>
      </c>
      <c r="R1632" s="2" t="str">
        <f>VLOOKUP(SALIDAS111518[[#This Row],[CÓDIGO]],PRODUCTOS31316[],2,FALSE)</f>
        <v>BTE-025PT/ 504002</v>
      </c>
      <c r="S1632" s="1" t="str">
        <f>VLOOKUP(SALIDAS111518[[#This Row],[CÓDIGO]],PRODUCTOS31316[],3,FALSE)</f>
        <v>FUNDAS PARA TRANSFERENCIA DE EMBRIONES</v>
      </c>
      <c r="T1632" s="2">
        <v>70</v>
      </c>
      <c r="U1632" s="360" t="s">
        <v>4930</v>
      </c>
      <c r="V1632" s="2"/>
      <c r="W1632" s="2"/>
      <c r="X1632" s="2"/>
      <c r="Y1632" s="7"/>
      <c r="Z1632" s="2"/>
      <c r="AA1632" s="1"/>
      <c r="AC1632" s="2"/>
      <c r="AE1632" s="1"/>
      <c r="AG1632" s="2"/>
    </row>
    <row r="1633" spans="12:33" ht="49.95" customHeight="1" x14ac:dyDescent="0.3">
      <c r="L1633" s="2"/>
      <c r="M1633" s="2"/>
      <c r="N1633" s="2">
        <v>8303</v>
      </c>
      <c r="O1633" s="1" t="s">
        <v>2356</v>
      </c>
      <c r="P1633" s="16">
        <v>46146</v>
      </c>
      <c r="Q1633" s="2" t="s">
        <v>1779</v>
      </c>
      <c r="R1633" s="2">
        <f>VLOOKUP(SALIDAS111518[[#This Row],[CÓDIGO]],PRODUCTOS31316[],2,FALSE)</f>
        <v>5563</v>
      </c>
      <c r="S1633" s="1" t="str">
        <f>VLOOKUP(SALIDAS111518[[#This Row],[CÓDIGO]],PRODUCTOS31316[],3,FALSE)</f>
        <v>CAMISA SANITARIA ROLLO X 80</v>
      </c>
      <c r="T1633" s="2">
        <v>5</v>
      </c>
      <c r="U1633" s="2"/>
      <c r="V1633" s="2"/>
      <c r="W1633" s="2"/>
      <c r="X1633" s="2"/>
      <c r="Y1633" s="7"/>
      <c r="Z1633" s="2"/>
      <c r="AA1633" s="1"/>
      <c r="AC1633" s="2"/>
      <c r="AE1633" s="1"/>
      <c r="AG1633" s="2"/>
    </row>
    <row r="1634" spans="12:33" ht="49.95" customHeight="1" x14ac:dyDescent="0.3">
      <c r="L1634" s="2"/>
      <c r="M1634" s="2"/>
      <c r="N1634" s="2">
        <v>8303</v>
      </c>
      <c r="O1634" s="1" t="s">
        <v>2356</v>
      </c>
      <c r="P1634" s="16">
        <v>46146</v>
      </c>
      <c r="Q1634" s="2" t="s">
        <v>2246</v>
      </c>
      <c r="R1634" s="2" t="str">
        <f>VLOOKUP(SALIDAS111518[[#This Row],[CÓDIGO]],PRODUCTOS31316[],2,FALSE)</f>
        <v>00051076-02</v>
      </c>
      <c r="S1634" s="1" t="str">
        <f>VLOOKUP(SALIDAS111518[[#This Row],[CÓDIGO]],PRODUCTOS31316[],3,FALSE)</f>
        <v>LIDOCAÍNA  HCL 2 % X 100 ML/ 2025-12-16</v>
      </c>
      <c r="T1634" s="2">
        <v>20</v>
      </c>
      <c r="U1634" s="2"/>
      <c r="V1634" s="2"/>
      <c r="W1634" s="2"/>
      <c r="X1634" s="2"/>
      <c r="Y1634" s="7"/>
      <c r="Z1634" s="2"/>
      <c r="AA1634" s="1"/>
      <c r="AC1634" s="2"/>
      <c r="AE1634" s="1"/>
      <c r="AG1634" s="2"/>
    </row>
    <row r="1635" spans="12:33" ht="49.95" customHeight="1" x14ac:dyDescent="0.3">
      <c r="L1635" s="2"/>
      <c r="M1635" s="2"/>
      <c r="N1635" s="2">
        <v>8303</v>
      </c>
      <c r="O1635" s="1" t="s">
        <v>2356</v>
      </c>
      <c r="P1635" s="16">
        <v>46146</v>
      </c>
      <c r="Q1635" s="2" t="s">
        <v>4772</v>
      </c>
      <c r="R1635" s="2">
        <f>VLOOKUP(SALIDAS111518[[#This Row],[CÓDIGO]],PRODUCTOS31316[],2,FALSE)</f>
        <v>9002007</v>
      </c>
      <c r="S1635" s="1" t="str">
        <f>VLOOKUP(SALIDAS111518[[#This Row],[CÓDIGO]],PRODUCTOS31316[],3,FALSE)</f>
        <v>FUNDA TERMICA PARA CALENTAR PISTOLAS  BA-10400 MARCA:TED</v>
      </c>
      <c r="T1635" s="2">
        <v>1</v>
      </c>
      <c r="U1635" s="2"/>
      <c r="V1635" s="2"/>
      <c r="W1635" s="2"/>
      <c r="X1635" s="2"/>
      <c r="Y1635" s="7"/>
      <c r="Z1635" s="2"/>
      <c r="AA1635" s="1"/>
      <c r="AC1635" s="2"/>
      <c r="AE1635" s="1"/>
      <c r="AG1635" s="2"/>
    </row>
    <row r="1636" spans="12:33" ht="49.95" customHeight="1" x14ac:dyDescent="0.3">
      <c r="L1636" s="2" t="s">
        <v>3521</v>
      </c>
      <c r="M1636" s="2" t="s">
        <v>4922</v>
      </c>
      <c r="N1636" s="359" t="s">
        <v>4932</v>
      </c>
      <c r="O1636" s="1" t="s">
        <v>4419</v>
      </c>
      <c r="P1636" s="16">
        <v>46146</v>
      </c>
      <c r="Q1636" s="2" t="s">
        <v>602</v>
      </c>
      <c r="R1636" s="2">
        <f>VLOOKUP(SALIDAS111518[[#This Row],[CÓDIGO]],PRODUCTOS31316[],2,FALSE)</f>
        <v>4845</v>
      </c>
      <c r="S1636" s="1" t="str">
        <f>VLOOKUP(SALIDAS111518[[#This Row],[CÓDIGO]],PRODUCTOS31316[],3,FALSE)</f>
        <v>PUNTAS AMARILLAS, UNIVERSALES. PLASTICAS, NO ESTERIL. LIBRES DE RNASE, DNASE Y PYROGENOS. RANGO DE 1-200UL. BOLSA X1000UDS.</v>
      </c>
      <c r="T1636" s="2">
        <v>1</v>
      </c>
      <c r="U1636" s="2">
        <v>720</v>
      </c>
      <c r="V1636" s="2"/>
      <c r="W1636" s="2" t="s">
        <v>2823</v>
      </c>
      <c r="X1636" s="2"/>
      <c r="Y1636" s="7"/>
      <c r="Z1636" s="2"/>
      <c r="AA1636" s="1"/>
      <c r="AC1636" s="2"/>
      <c r="AE1636" s="1"/>
      <c r="AG1636" s="2"/>
    </row>
    <row r="1637" spans="12:33" ht="49.95" customHeight="1" x14ac:dyDescent="0.3">
      <c r="L1637" s="2" t="s">
        <v>3521</v>
      </c>
      <c r="M1637" s="2" t="s">
        <v>4922</v>
      </c>
      <c r="N1637" s="374" t="s">
        <v>5499</v>
      </c>
      <c r="O1637" s="2" t="s">
        <v>4923</v>
      </c>
      <c r="P1637" s="16">
        <v>46162</v>
      </c>
      <c r="Q1637" s="2" t="s">
        <v>3346</v>
      </c>
      <c r="R1637" s="2" t="str">
        <f>VLOOKUP(SALIDAS111518[[#This Row],[CÓDIGO]],PRODUCTOS31316[],2,FALSE)</f>
        <v>S7PRO</v>
      </c>
      <c r="S1637" s="1" t="str">
        <f>VLOOKUP(SALIDAS111518[[#This Row],[CÓDIGO]],PRODUCTOS31316[],3,FALSE)</f>
        <v>ECÓGRAFO S7 PRO VET CON SONDA LINEAL RECTAL</v>
      </c>
      <c r="T1637" s="2">
        <v>1</v>
      </c>
      <c r="U1637" s="379" t="s">
        <v>5498</v>
      </c>
      <c r="V1637" s="2"/>
      <c r="W1637" s="2" t="s">
        <v>3412</v>
      </c>
      <c r="X1637" s="2"/>
      <c r="Y1637" s="7"/>
      <c r="Z1637" s="2"/>
      <c r="AA1637" s="1"/>
      <c r="AC1637" s="2"/>
      <c r="AE1637" s="1"/>
      <c r="AG1637" s="2"/>
    </row>
    <row r="1638" spans="12:33" ht="49.95" customHeight="1" x14ac:dyDescent="0.3">
      <c r="L1638" s="2"/>
      <c r="M1638" s="2"/>
      <c r="N1638" s="2">
        <v>8488</v>
      </c>
      <c r="O1638" s="2" t="s">
        <v>4923</v>
      </c>
      <c r="P1638" s="16">
        <v>46162</v>
      </c>
      <c r="Q1638" s="2" t="s">
        <v>3791</v>
      </c>
      <c r="R1638" s="2">
        <f>VLOOKUP(SALIDAS111518[[#This Row],[CÓDIGO]],PRODUCTOS31316[],2,FALSE)</f>
        <v>6936520864546</v>
      </c>
      <c r="S1638" s="1" t="str">
        <f>VLOOKUP(SALIDAS111518[[#This Row],[CÓDIGO]],PRODUCTOS31316[],3,FALSE)</f>
        <v>TABLET 11" HONOR PAD X8A 128 GB</v>
      </c>
      <c r="T1638" s="2">
        <v>1</v>
      </c>
      <c r="U1638" s="2"/>
      <c r="V1638" s="2"/>
      <c r="W1638" s="2"/>
      <c r="X1638" s="2"/>
      <c r="Y1638" s="7"/>
      <c r="Z1638" s="2"/>
      <c r="AA1638" s="1"/>
      <c r="AC1638" s="2"/>
      <c r="AE1638" s="1"/>
      <c r="AG1638" s="2"/>
    </row>
    <row r="1639" spans="12:33" ht="49.95" customHeight="1" x14ac:dyDescent="0.3">
      <c r="L1639" s="2"/>
      <c r="M1639" s="2"/>
      <c r="N1639" s="2">
        <v>8488</v>
      </c>
      <c r="O1639" s="2" t="s">
        <v>4923</v>
      </c>
      <c r="P1639" s="16">
        <v>46162</v>
      </c>
      <c r="Q1639" s="2" t="s">
        <v>3286</v>
      </c>
      <c r="R1639" s="2">
        <f>VLOOKUP(SALIDAS111518[[#This Row],[CÓDIGO]],PRODUCTOS31316[],2,FALSE)</f>
        <v>0</v>
      </c>
      <c r="S1639" s="1" t="str">
        <f>VLOOKUP(SALIDAS111518[[#This Row],[CÓDIGO]],PRODUCTOS31316[],3,FALSE)</f>
        <v>CARCASA TABLET BMV</v>
      </c>
      <c r="T1639" s="2">
        <v>1</v>
      </c>
      <c r="U1639" s="2"/>
      <c r="V1639" s="2"/>
      <c r="W1639" s="2"/>
      <c r="X1639" s="2"/>
      <c r="Y1639" s="7"/>
      <c r="Z1639" s="2"/>
      <c r="AA1639" s="1"/>
      <c r="AC1639" s="2"/>
      <c r="AE1639" s="1"/>
      <c r="AG1639" s="2"/>
    </row>
    <row r="1640" spans="12:33" ht="49.95" customHeight="1" x14ac:dyDescent="0.3">
      <c r="L1640" s="2"/>
      <c r="M1640" s="2"/>
      <c r="N1640" s="2">
        <v>8488</v>
      </c>
      <c r="O1640" s="2" t="s">
        <v>4923</v>
      </c>
      <c r="P1640" s="16">
        <v>46162</v>
      </c>
      <c r="Q1640" s="360" t="s">
        <v>3095</v>
      </c>
      <c r="R1640" s="2">
        <f>VLOOKUP(SALIDAS111518[[#This Row],[CÓDIGO]],PRODUCTOS31316[],2,FALSE)</f>
        <v>0</v>
      </c>
      <c r="S1640" s="1" t="str">
        <f>VLOOKUP(SALIDAS111518[[#This Row],[CÓDIGO]],PRODUCTOS31316[],3,FALSE)</f>
        <v>GORRA MAS CAMPO</v>
      </c>
      <c r="T1640" s="2">
        <v>1</v>
      </c>
      <c r="U1640" s="2"/>
      <c r="V1640" s="2"/>
      <c r="W1640" s="2"/>
      <c r="X1640" s="2"/>
      <c r="Y1640" s="7"/>
      <c r="Z1640" s="2"/>
      <c r="AA1640" s="1"/>
      <c r="AC1640" s="2"/>
      <c r="AE1640" s="1"/>
      <c r="AG1640" s="2"/>
    </row>
    <row r="1641" spans="12:33" ht="49.95" customHeight="1" x14ac:dyDescent="0.3">
      <c r="L1641" s="360" t="s">
        <v>3520</v>
      </c>
      <c r="M1641" s="360" t="s">
        <v>4922</v>
      </c>
      <c r="N1641" s="365" t="s">
        <v>4993</v>
      </c>
      <c r="O1641" s="359" t="s">
        <v>464</v>
      </c>
      <c r="P1641" s="16">
        <v>46146</v>
      </c>
      <c r="Q1641" s="360" t="s">
        <v>3703</v>
      </c>
      <c r="R1641" s="2" t="str">
        <f>VLOOKUP(SALIDAS111518[[#This Row],[CÓDIGO]],PRODUCTOS31316[],2,FALSE)</f>
        <v>13407-010</v>
      </c>
      <c r="S1641" s="1" t="str">
        <f>VLOOKUP(SALIDAS111518[[#This Row],[CÓDIGO]],PRODUCTOS31316[],3,FALSE)</f>
        <v>PAJUELA TRANSPARENTES 0.25/ PAQ. X 2000 MARCA MINITUBE</v>
      </c>
      <c r="T1641" s="2">
        <v>2</v>
      </c>
      <c r="U1641" s="2">
        <v>754</v>
      </c>
      <c r="V1641" s="2"/>
      <c r="W1641" s="360" t="s">
        <v>3412</v>
      </c>
      <c r="X1641" s="2"/>
      <c r="Y1641" s="7"/>
      <c r="Z1641" s="2"/>
      <c r="AA1641" s="1"/>
      <c r="AC1641" s="2"/>
      <c r="AE1641" s="1"/>
      <c r="AG1641" s="2"/>
    </row>
    <row r="1642" spans="12:33" ht="49.95" customHeight="1" x14ac:dyDescent="0.3">
      <c r="L1642" s="360" t="s">
        <v>3520</v>
      </c>
      <c r="M1642" s="360" t="s">
        <v>4922</v>
      </c>
      <c r="N1642" s="359" t="s">
        <v>4936</v>
      </c>
      <c r="O1642" s="364" t="s">
        <v>2243</v>
      </c>
      <c r="P1642" s="16">
        <v>46146</v>
      </c>
      <c r="Q1642" s="360" t="s">
        <v>36</v>
      </c>
      <c r="R1642" s="2">
        <f>VLOOKUP(SALIDAS111518[[#This Row],[CÓDIGO]],PRODUCTOS31316[],2,FALSE)</f>
        <v>1</v>
      </c>
      <c r="S1642" s="1" t="str">
        <f>VLOOKUP(SALIDAS111518[[#This Row],[CÓDIGO]],PRODUCTOS31316[],3,FALSE)</f>
        <v xml:space="preserve">PARCHE ESTROTECT </v>
      </c>
      <c r="T1642" s="2">
        <v>1</v>
      </c>
      <c r="U1642" s="2">
        <v>723</v>
      </c>
      <c r="V1642" s="2"/>
      <c r="W1642" s="2"/>
      <c r="X1642" s="2"/>
      <c r="Y1642" s="7"/>
      <c r="Z1642" s="2"/>
      <c r="AA1642" s="1"/>
      <c r="AC1642" s="2"/>
      <c r="AE1642" s="1"/>
      <c r="AG1642" s="2"/>
    </row>
    <row r="1643" spans="12:33" ht="49.95" customHeight="1" x14ac:dyDescent="0.3">
      <c r="L1643" s="360" t="s">
        <v>3520</v>
      </c>
      <c r="M1643" s="360" t="s">
        <v>4922</v>
      </c>
      <c r="N1643" s="359" t="s">
        <v>4937</v>
      </c>
      <c r="O1643" s="359" t="s">
        <v>2291</v>
      </c>
      <c r="P1643" s="360" t="s">
        <v>4935</v>
      </c>
      <c r="Q1643" s="360" t="s">
        <v>2235</v>
      </c>
      <c r="R1643" s="2">
        <f>VLOOKUP(SALIDAS111518[[#This Row],[CÓDIGO]],PRODUCTOS31316[],2,FALSE)</f>
        <v>1868703</v>
      </c>
      <c r="S1643" s="1" t="str">
        <f>VLOOKUP(SALIDAS111518[[#This Row],[CÓDIGO]],PRODUCTOS31316[],3,FALSE)</f>
        <v>PARAFILM 38M X 10 CM</v>
      </c>
      <c r="T1643" s="2">
        <v>1</v>
      </c>
      <c r="U1643" s="2">
        <v>724</v>
      </c>
      <c r="V1643" s="2"/>
      <c r="W1643" s="2"/>
      <c r="X1643" s="2"/>
      <c r="Y1643" s="7"/>
      <c r="Z1643" s="2"/>
      <c r="AA1643" s="1"/>
      <c r="AC1643" s="2"/>
      <c r="AE1643" s="1"/>
      <c r="AG1643" s="2"/>
    </row>
    <row r="1644" spans="12:33" ht="49.95" customHeight="1" x14ac:dyDescent="0.3">
      <c r="L1644" s="2"/>
      <c r="M1644" s="2"/>
      <c r="N1644" s="2">
        <v>8308</v>
      </c>
      <c r="O1644" s="359" t="s">
        <v>2291</v>
      </c>
      <c r="P1644" s="360" t="s">
        <v>4935</v>
      </c>
      <c r="Q1644" s="360" t="s">
        <v>63</v>
      </c>
      <c r="R1644" s="2">
        <f>VLOOKUP(SALIDAS111518[[#This Row],[CÓDIGO]],PRODUCTOS31316[],2,FALSE)</f>
        <v>25458</v>
      </c>
      <c r="S1644" s="1" t="str">
        <f>VLOOKUP(SALIDAS111518[[#This Row],[CÓDIGO]],PRODUCTOS31316[],3,FALSE)</f>
        <v>FILTROS PARA OPU 100 UL</v>
      </c>
      <c r="T1644" s="2">
        <v>1</v>
      </c>
      <c r="U1644" s="2"/>
      <c r="V1644" s="2"/>
      <c r="W1644" s="2"/>
      <c r="X1644" s="2"/>
      <c r="Y1644" s="7"/>
      <c r="Z1644" s="2"/>
      <c r="AA1644" s="1"/>
      <c r="AC1644" s="2"/>
      <c r="AE1644" s="1"/>
      <c r="AG1644" s="2"/>
    </row>
    <row r="1645" spans="12:33" ht="49.95" customHeight="1" x14ac:dyDescent="0.3">
      <c r="L1645" s="2"/>
      <c r="M1645" s="2"/>
      <c r="N1645" s="2">
        <v>8308</v>
      </c>
      <c r="O1645" s="359" t="s">
        <v>2291</v>
      </c>
      <c r="P1645" s="360" t="s">
        <v>4935</v>
      </c>
      <c r="Q1645" s="360" t="s">
        <v>168</v>
      </c>
      <c r="R1645" s="2">
        <f>VLOOKUP(SALIDAS111518[[#This Row],[CÓDIGO]],PRODUCTOS31316[],2,FALSE)</f>
        <v>4840</v>
      </c>
      <c r="S1645" s="1" t="str">
        <f>VLOOKUP(SALIDAS111518[[#This Row],[CÓDIGO]],PRODUCTOS31316[],3,FALSE)</f>
        <v>PUNTAS BLANCAS UNIVERSALES, PLÁSTICAS, LIBRES DE DNASAS, RNASA Y PIROGENOS, RANGO DE 0.1 A 10UL. (CORTAS).</v>
      </c>
      <c r="T1645" s="2">
        <v>1</v>
      </c>
      <c r="U1645" s="2"/>
      <c r="V1645" s="2"/>
      <c r="W1645" s="2"/>
      <c r="X1645" s="2"/>
      <c r="Y1645" s="7"/>
      <c r="Z1645" s="2"/>
      <c r="AA1645" s="1"/>
      <c r="AC1645" s="2"/>
      <c r="AE1645" s="1"/>
      <c r="AG1645" s="2"/>
    </row>
    <row r="1646" spans="12:33" ht="49.95" customHeight="1" x14ac:dyDescent="0.3">
      <c r="L1646" s="360" t="s">
        <v>3520</v>
      </c>
      <c r="M1646" s="360" t="s">
        <v>4922</v>
      </c>
      <c r="N1646" s="359" t="s">
        <v>4938</v>
      </c>
      <c r="O1646" s="360" t="s">
        <v>2700</v>
      </c>
      <c r="P1646" s="360" t="s">
        <v>4935</v>
      </c>
      <c r="Q1646" s="360" t="s">
        <v>2232</v>
      </c>
      <c r="R1646" s="2">
        <f>VLOOKUP(SALIDAS111518[[#This Row],[CÓDIGO]],PRODUCTOS31316[],2,FALSE)</f>
        <v>0</v>
      </c>
      <c r="S1646" s="1" t="str">
        <f>VLOOKUP(SALIDAS111518[[#This Row],[CÓDIGO]],PRODUCTOS31316[],3,FALSE)</f>
        <v>CONO RECOLECTOR</v>
      </c>
      <c r="T1646" s="2">
        <v>4</v>
      </c>
      <c r="U1646" s="2">
        <v>725</v>
      </c>
      <c r="V1646" s="2"/>
      <c r="W1646" s="360" t="s">
        <v>3412</v>
      </c>
      <c r="X1646" s="2"/>
      <c r="Y1646" s="7"/>
      <c r="Z1646" s="2"/>
      <c r="AA1646" s="1"/>
      <c r="AC1646" s="2"/>
      <c r="AE1646" s="1"/>
      <c r="AG1646" s="2"/>
    </row>
    <row r="1647" spans="12:33" ht="49.95" customHeight="1" x14ac:dyDescent="0.3">
      <c r="L1647" s="360" t="s">
        <v>3520</v>
      </c>
      <c r="M1647" s="360" t="s">
        <v>4922</v>
      </c>
      <c r="N1647" s="359" t="s">
        <v>4939</v>
      </c>
      <c r="O1647" s="359" t="s">
        <v>4118</v>
      </c>
      <c r="P1647" s="360" t="s">
        <v>4935</v>
      </c>
      <c r="Q1647" s="360" t="s">
        <v>4774</v>
      </c>
      <c r="R1647" s="2">
        <f>VLOOKUP(SALIDAS111518[[#This Row],[CÓDIGO]],PRODUCTOS31316[],2,FALSE)</f>
        <v>10415</v>
      </c>
      <c r="S1647" s="1" t="str">
        <f>VLOOKUP(SALIDAS111518[[#This Row],[CÓDIGO]],PRODUCTOS31316[],3,FALSE)</f>
        <v>FUNDA PARA TRANSFERENCIA DE 0.5 EQUNINOS  MARCA: WTA</v>
      </c>
      <c r="T1647" s="2">
        <v>20</v>
      </c>
      <c r="U1647" s="2">
        <v>726</v>
      </c>
      <c r="V1647" s="2"/>
      <c r="W1647" s="2"/>
      <c r="X1647" s="2"/>
      <c r="Y1647" s="7"/>
      <c r="Z1647" s="2"/>
      <c r="AA1647" s="1"/>
      <c r="AC1647" s="2"/>
      <c r="AE1647" s="1"/>
      <c r="AG1647" s="2"/>
    </row>
    <row r="1648" spans="12:33" ht="49.95" customHeight="1" x14ac:dyDescent="0.3">
      <c r="L1648" s="360" t="s">
        <v>3520</v>
      </c>
      <c r="M1648" s="360" t="s">
        <v>4922</v>
      </c>
      <c r="N1648" s="359" t="s">
        <v>4952</v>
      </c>
      <c r="O1648" s="360" t="s">
        <v>3070</v>
      </c>
      <c r="P1648" s="16">
        <v>46147</v>
      </c>
      <c r="Q1648" s="360" t="s">
        <v>2232</v>
      </c>
      <c r="R1648" s="2">
        <f>VLOOKUP(SALIDAS111518[[#This Row],[CÓDIGO]],PRODUCTOS31316[],2,FALSE)</f>
        <v>0</v>
      </c>
      <c r="S1648" s="1" t="str">
        <f>VLOOKUP(SALIDAS111518[[#This Row],[CÓDIGO]],PRODUCTOS31316[],3,FALSE)</f>
        <v>CONO RECOLECTOR</v>
      </c>
      <c r="T1648" s="2">
        <v>1</v>
      </c>
      <c r="U1648" s="2">
        <v>727</v>
      </c>
      <c r="V1648" s="2"/>
      <c r="W1648" s="2"/>
      <c r="X1648" s="2"/>
      <c r="Y1648" s="7"/>
      <c r="Z1648" s="2"/>
      <c r="AA1648" s="1"/>
      <c r="AC1648" s="2"/>
      <c r="AE1648" s="1"/>
      <c r="AG1648" s="2"/>
    </row>
    <row r="1649" spans="12:33" ht="49.95" customHeight="1" x14ac:dyDescent="0.3">
      <c r="L1649" s="2"/>
      <c r="M1649" s="2"/>
      <c r="N1649" s="2">
        <v>8313</v>
      </c>
      <c r="O1649" s="360" t="s">
        <v>3070</v>
      </c>
      <c r="P1649" s="16">
        <v>46147</v>
      </c>
      <c r="Q1649" s="360" t="s">
        <v>341</v>
      </c>
      <c r="R1649" s="2" t="str">
        <f>VLOOKUP(SALIDAS111518[[#This Row],[CÓDIGO]],PRODUCTOS31316[],2,FALSE)</f>
        <v>CTB50</v>
      </c>
      <c r="S1649" s="1" t="str">
        <f>VLOOKUP(SALIDAS111518[[#This Row],[CÓDIGO]],PRODUCTOS31316[],3,FALSE)</f>
        <v>TUBO CÓNICO DE 50 mL, TAPA ROSCA, PRE ESTERILIZADO. RCF MAX: 10000xg, graduados, PCR puro.</v>
      </c>
      <c r="T1649" s="2">
        <v>1</v>
      </c>
      <c r="U1649" s="2"/>
      <c r="V1649" s="2"/>
      <c r="W1649" s="2"/>
      <c r="X1649" s="2"/>
      <c r="Y1649" s="7"/>
      <c r="Z1649" s="2"/>
      <c r="AA1649" s="1"/>
      <c r="AC1649" s="2"/>
      <c r="AE1649" s="1"/>
      <c r="AG1649" s="2"/>
    </row>
    <row r="1650" spans="12:33" ht="49.95" customHeight="1" x14ac:dyDescent="0.3">
      <c r="L1650" s="360" t="s">
        <v>3520</v>
      </c>
      <c r="M1650" s="360" t="s">
        <v>4922</v>
      </c>
      <c r="N1650" s="359" t="s">
        <v>4953</v>
      </c>
      <c r="O1650" s="360" t="s">
        <v>2791</v>
      </c>
      <c r="P1650" s="16">
        <v>46147</v>
      </c>
      <c r="Q1650" s="360" t="s">
        <v>36</v>
      </c>
      <c r="R1650" s="2">
        <f>VLOOKUP(SALIDAS111518[[#This Row],[CÓDIGO]],PRODUCTOS31316[],2,FALSE)</f>
        <v>1</v>
      </c>
      <c r="S1650" s="1" t="str">
        <f>VLOOKUP(SALIDAS111518[[#This Row],[CÓDIGO]],PRODUCTOS31316[],3,FALSE)</f>
        <v xml:space="preserve">PARCHE ESTROTECT </v>
      </c>
      <c r="T1650" s="2">
        <v>1</v>
      </c>
      <c r="U1650" s="2">
        <v>728</v>
      </c>
      <c r="V1650" s="2"/>
      <c r="W1650" s="2"/>
      <c r="X1650" s="2"/>
      <c r="Y1650" s="7"/>
      <c r="Z1650" s="2"/>
      <c r="AA1650" s="1"/>
      <c r="AC1650" s="2"/>
      <c r="AE1650" s="1"/>
      <c r="AG1650" s="2"/>
    </row>
    <row r="1651" spans="12:33" ht="49.95" customHeight="1" x14ac:dyDescent="0.3">
      <c r="L1651" s="360" t="s">
        <v>3520</v>
      </c>
      <c r="M1651" s="360" t="s">
        <v>4922</v>
      </c>
      <c r="N1651" s="359" t="s">
        <v>4954</v>
      </c>
      <c r="O1651" s="360" t="s">
        <v>3114</v>
      </c>
      <c r="P1651" s="16">
        <v>46147</v>
      </c>
      <c r="Q1651" s="360" t="s">
        <v>36</v>
      </c>
      <c r="R1651" s="2">
        <f>VLOOKUP(SALIDAS111518[[#This Row],[CÓDIGO]],PRODUCTOS31316[],2,FALSE)</f>
        <v>1</v>
      </c>
      <c r="S1651" s="1" t="str">
        <f>VLOOKUP(SALIDAS111518[[#This Row],[CÓDIGO]],PRODUCTOS31316[],3,FALSE)</f>
        <v xml:space="preserve">PARCHE ESTROTECT </v>
      </c>
      <c r="T1651" s="2">
        <v>1</v>
      </c>
      <c r="U1651" s="2">
        <v>729</v>
      </c>
      <c r="V1651" s="2"/>
      <c r="W1651" s="2"/>
      <c r="X1651" s="2"/>
      <c r="Y1651" s="7"/>
      <c r="Z1651" s="2"/>
      <c r="AA1651" s="1"/>
      <c r="AC1651" s="2"/>
      <c r="AE1651" s="1"/>
      <c r="AG1651" s="2"/>
    </row>
    <row r="1652" spans="12:33" ht="49.95" customHeight="1" x14ac:dyDescent="0.3">
      <c r="L1652" s="360" t="s">
        <v>3520</v>
      </c>
      <c r="M1652" s="360" t="s">
        <v>4922</v>
      </c>
      <c r="N1652" s="359" t="s">
        <v>4956</v>
      </c>
      <c r="O1652" s="372" t="s">
        <v>2703</v>
      </c>
      <c r="P1652" s="16">
        <v>46147</v>
      </c>
      <c r="Q1652" s="360" t="s">
        <v>341</v>
      </c>
      <c r="R1652" s="2" t="str">
        <f>VLOOKUP(SALIDAS111518[[#This Row],[CÓDIGO]],PRODUCTOS31316[],2,FALSE)</f>
        <v>CTB50</v>
      </c>
      <c r="S1652" s="1" t="str">
        <f>VLOOKUP(SALIDAS111518[[#This Row],[CÓDIGO]],PRODUCTOS31316[],3,FALSE)</f>
        <v>TUBO CÓNICO DE 50 mL, TAPA ROSCA, PRE ESTERILIZADO. RCF MAX: 10000xg, graduados, PCR puro.</v>
      </c>
      <c r="T1652" s="2">
        <v>1</v>
      </c>
      <c r="U1652" s="2">
        <v>731</v>
      </c>
      <c r="V1652" s="2"/>
      <c r="W1652" s="2"/>
      <c r="X1652" s="2"/>
      <c r="Y1652" s="7"/>
      <c r="Z1652" s="2"/>
      <c r="AA1652" s="1"/>
      <c r="AC1652" s="2"/>
      <c r="AE1652" s="1"/>
      <c r="AG1652" s="2"/>
    </row>
    <row r="1653" spans="12:33" ht="49.95" customHeight="1" x14ac:dyDescent="0.3">
      <c r="L1653" s="360" t="s">
        <v>3520</v>
      </c>
      <c r="M1653" s="360" t="s">
        <v>4922</v>
      </c>
      <c r="N1653" s="359" t="s">
        <v>4957</v>
      </c>
      <c r="O1653" s="360" t="s">
        <v>2198</v>
      </c>
      <c r="P1653" s="16">
        <v>46147</v>
      </c>
      <c r="Q1653" s="360" t="s">
        <v>27</v>
      </c>
      <c r="R1653" s="2" t="str">
        <f>VLOOKUP(SALIDAS111518[[#This Row],[CÓDIGO]],PRODUCTOS31316[],2,FALSE)</f>
        <v>INO-025/ 508001</v>
      </c>
      <c r="S1653" s="1" t="str">
        <f>VLOOKUP(SALIDAS111518[[#This Row],[CÓDIGO]],PRODUCTOS31316[],3,FALSE)</f>
        <v>PISTOLA DE TRANSFERENCIA DE EMBRIONES</v>
      </c>
      <c r="T1653" s="2">
        <v>2</v>
      </c>
      <c r="U1653" s="2">
        <v>732</v>
      </c>
      <c r="V1653" s="2"/>
      <c r="W1653" s="2"/>
      <c r="X1653" s="2"/>
      <c r="Y1653" s="7"/>
      <c r="Z1653" s="2"/>
      <c r="AA1653" s="1"/>
      <c r="AC1653" s="2"/>
      <c r="AE1653" s="1"/>
      <c r="AG1653" s="2"/>
    </row>
    <row r="1654" spans="12:33" ht="49.95" customHeight="1" x14ac:dyDescent="0.3">
      <c r="L1654" s="360" t="s">
        <v>3521</v>
      </c>
      <c r="M1654" s="360" t="s">
        <v>4922</v>
      </c>
      <c r="N1654" s="359" t="s">
        <v>4959</v>
      </c>
      <c r="O1654" s="360" t="s">
        <v>4940</v>
      </c>
      <c r="P1654" s="16">
        <v>46147</v>
      </c>
      <c r="Q1654" s="360" t="s">
        <v>3142</v>
      </c>
      <c r="R1654" s="2">
        <f>VLOOKUP(SALIDAS111518[[#This Row],[CÓDIGO]],PRODUCTOS31316[],2,FALSE)</f>
        <v>16301</v>
      </c>
      <c r="S1654" s="1" t="str">
        <f>VLOOKUP(SALIDAS111518[[#This Row],[CÓDIGO]],PRODUCTOS31316[],3,FALSE)</f>
        <v>PISTOLA DE TRANSFERENCIA DE EMBRIONES 0,25 DE MANGO DE ALUMINIO</v>
      </c>
      <c r="T1654" s="2">
        <v>1</v>
      </c>
      <c r="U1654" s="2">
        <v>733</v>
      </c>
      <c r="V1654" s="2"/>
      <c r="W1654" s="360" t="s">
        <v>3412</v>
      </c>
      <c r="X1654" s="2"/>
      <c r="Y1654" s="7"/>
      <c r="Z1654" s="2"/>
      <c r="AA1654" s="1"/>
      <c r="AC1654" s="2"/>
      <c r="AE1654" s="1"/>
      <c r="AG1654" s="2"/>
    </row>
    <row r="1655" spans="12:33" ht="49.95" customHeight="1" x14ac:dyDescent="0.3">
      <c r="L1655" s="360" t="s">
        <v>3521</v>
      </c>
      <c r="M1655" s="360" t="s">
        <v>4922</v>
      </c>
      <c r="N1655" s="374" t="s">
        <v>5495</v>
      </c>
      <c r="O1655" s="359" t="s">
        <v>4941</v>
      </c>
      <c r="P1655" s="16">
        <v>46150</v>
      </c>
      <c r="Q1655" s="360" t="s">
        <v>2755</v>
      </c>
      <c r="R1655" s="2" t="str">
        <f>VLOOKUP(SALIDAS111518[[#This Row],[CÓDIGO]],PRODUCTOS31316[],2,FALSE)</f>
        <v>MSLDO05</v>
      </c>
      <c r="S1655" s="1" t="str">
        <f>VLOOKUP(SALIDAS111518[[#This Row],[CÓDIGO]],PRODUCTOS31316[],3,FALSE)</f>
        <v>TERMO DE RECOLECCIÓN DE SEMEN/ USO VETERINARIO</v>
      </c>
      <c r="T1655" s="2">
        <v>1</v>
      </c>
      <c r="U1655" s="2">
        <v>804</v>
      </c>
      <c r="V1655" s="2"/>
      <c r="W1655" s="360" t="s">
        <v>2228</v>
      </c>
      <c r="X1655" s="2"/>
      <c r="Y1655" s="7"/>
      <c r="Z1655" s="2"/>
      <c r="AA1655" s="1"/>
      <c r="AC1655" s="2"/>
      <c r="AE1655" s="1"/>
      <c r="AG1655" s="2"/>
    </row>
    <row r="1656" spans="12:33" ht="49.95" customHeight="1" x14ac:dyDescent="0.3">
      <c r="L1656" s="360" t="s">
        <v>3520</v>
      </c>
      <c r="M1656" s="360" t="s">
        <v>4922</v>
      </c>
      <c r="N1656" s="359" t="s">
        <v>4964</v>
      </c>
      <c r="O1656" s="360" t="s">
        <v>977</v>
      </c>
      <c r="P1656" s="363">
        <v>46147</v>
      </c>
      <c r="Q1656" s="360" t="s">
        <v>33</v>
      </c>
      <c r="R1656" s="2" t="str">
        <f>VLOOKUP(SALIDAS111518[[#This Row],[CÓDIGO]],PRODUCTOS31316[],2,FALSE)</f>
        <v>LA-120 /506003</v>
      </c>
      <c r="S1656" s="1" t="str">
        <f>VLOOKUP(SALIDAS111518[[#This Row],[CÓDIGO]],PRODUCTOS31316[],3,FALSE)</f>
        <v>LíNEA PARA OPU 1,2 METROS</v>
      </c>
      <c r="T1656" s="2">
        <v>30</v>
      </c>
      <c r="U1656" s="2">
        <v>736</v>
      </c>
      <c r="V1656" s="2"/>
      <c r="W1656" s="2"/>
      <c r="X1656" s="85"/>
      <c r="Y1656" s="7"/>
      <c r="Z1656" s="2"/>
      <c r="AA1656" s="1"/>
      <c r="AC1656" s="2"/>
      <c r="AE1656" s="1"/>
      <c r="AG1656" s="2"/>
    </row>
    <row r="1657" spans="12:33" ht="49.95" customHeight="1" x14ac:dyDescent="0.3">
      <c r="L1657" s="360" t="s">
        <v>3520</v>
      </c>
      <c r="M1657" s="360" t="s">
        <v>4922</v>
      </c>
      <c r="N1657" s="359" t="s">
        <v>4961</v>
      </c>
      <c r="O1657" s="360" t="s">
        <v>3050</v>
      </c>
      <c r="P1657" s="16">
        <v>46147</v>
      </c>
      <c r="Q1657" s="360" t="s">
        <v>36</v>
      </c>
      <c r="R1657" s="2">
        <f>VLOOKUP(SALIDAS111518[[#This Row],[CÓDIGO]],PRODUCTOS31316[],2,FALSE)</f>
        <v>1</v>
      </c>
      <c r="S1657" s="1" t="str">
        <f>VLOOKUP(SALIDAS111518[[#This Row],[CÓDIGO]],PRODUCTOS31316[],3,FALSE)</f>
        <v xml:space="preserve">PARCHE ESTROTECT </v>
      </c>
      <c r="T1657" s="2">
        <v>12</v>
      </c>
      <c r="U1657" s="359" t="s">
        <v>4960</v>
      </c>
      <c r="V1657" s="2"/>
      <c r="W1657" s="2"/>
      <c r="X1657" s="2"/>
      <c r="Y1657" s="7"/>
      <c r="Z1657" s="2"/>
      <c r="AA1657" s="1"/>
      <c r="AC1657" s="2"/>
      <c r="AE1657" s="1"/>
      <c r="AG1657" s="2"/>
    </row>
    <row r="1658" spans="12:33" ht="49.95" customHeight="1" x14ac:dyDescent="0.3">
      <c r="L1658" s="360" t="s">
        <v>3520</v>
      </c>
      <c r="M1658" s="360" t="s">
        <v>4922</v>
      </c>
      <c r="N1658" s="359" t="s">
        <v>4963</v>
      </c>
      <c r="O1658" s="360" t="s">
        <v>4942</v>
      </c>
      <c r="P1658" s="16">
        <v>46147</v>
      </c>
      <c r="Q1658" s="360" t="s">
        <v>2253</v>
      </c>
      <c r="R1658" s="2">
        <f>VLOOKUP(SALIDAS111518[[#This Row],[CÓDIGO]],PRODUCTOS31316[],2,FALSE)</f>
        <v>26218</v>
      </c>
      <c r="S1658" s="1" t="str">
        <f>VLOOKUP(SALIDAS111518[[#This Row],[CÓDIGO]],PRODUCTOS31316[],3,FALSE)</f>
        <v>OPTIXCELL 250 ML</v>
      </c>
      <c r="T1658" s="2">
        <v>1</v>
      </c>
      <c r="U1658" s="2">
        <v>735</v>
      </c>
      <c r="V1658" s="2"/>
      <c r="W1658" s="2"/>
      <c r="X1658" s="2"/>
      <c r="Y1658" s="7"/>
      <c r="Z1658" s="2"/>
      <c r="AA1658" s="1"/>
      <c r="AC1658" s="2"/>
      <c r="AE1658" s="1"/>
      <c r="AG1658" s="2"/>
    </row>
    <row r="1659" spans="12:33" ht="49.95" customHeight="1" x14ac:dyDescent="0.3">
      <c r="L1659" s="360" t="s">
        <v>3520</v>
      </c>
      <c r="M1659" s="360" t="s">
        <v>4922</v>
      </c>
      <c r="N1659" s="374" t="s">
        <v>5493</v>
      </c>
      <c r="O1659" s="370" t="s">
        <v>4949</v>
      </c>
      <c r="P1659" s="16">
        <v>46153</v>
      </c>
      <c r="Q1659" s="360" t="s">
        <v>4417</v>
      </c>
      <c r="R1659" s="2">
        <f>VLOOKUP(SALIDAS111518[[#This Row],[CÓDIGO]],PRODUCTOS31316[],2,FALSE)</f>
        <v>0</v>
      </c>
      <c r="S1659" s="1" t="str">
        <f>VLOOKUP(SALIDAS111518[[#This Row],[CÓDIGO]],PRODUCTOS31316[],3,FALSE)</f>
        <v>DISPOSITIVO DE SEPARACIÓN DE ESPERMA BOVINO VETMOTL</v>
      </c>
      <c r="T1659" s="2">
        <v>10</v>
      </c>
      <c r="U1659" s="374" t="s">
        <v>5492</v>
      </c>
      <c r="V1659" s="2"/>
      <c r="W1659" s="2"/>
      <c r="X1659" s="2"/>
      <c r="Y1659" s="7"/>
      <c r="Z1659" s="2"/>
      <c r="AA1659" s="1"/>
      <c r="AC1659" s="2"/>
      <c r="AE1659" s="1"/>
      <c r="AG1659" s="2"/>
    </row>
    <row r="1660" spans="12:33" ht="49.95" customHeight="1" x14ac:dyDescent="0.3">
      <c r="L1660" s="360" t="s">
        <v>3520</v>
      </c>
      <c r="M1660" s="360" t="s">
        <v>4922</v>
      </c>
      <c r="N1660" s="359" t="s">
        <v>4966</v>
      </c>
      <c r="O1660" s="359" t="s">
        <v>4958</v>
      </c>
      <c r="P1660" s="16">
        <v>46147</v>
      </c>
      <c r="Q1660" s="360" t="s">
        <v>15</v>
      </c>
      <c r="R1660" s="2" t="str">
        <f>VLOOKUP(SALIDAS111518[[#This Row],[CÓDIGO]],PRODUCTOS31316[],2,FALSE)</f>
        <v>BTE-025PT/ 504002</v>
      </c>
      <c r="S1660" s="1" t="str">
        <f>VLOOKUP(SALIDAS111518[[#This Row],[CÓDIGO]],PRODUCTOS31316[],3,FALSE)</f>
        <v>FUNDAS PARA TRANSFERENCIA DE EMBRIONES</v>
      </c>
      <c r="T1660" s="2">
        <v>12</v>
      </c>
      <c r="U1660" s="360" t="s">
        <v>4965</v>
      </c>
      <c r="V1660" s="2"/>
      <c r="W1660" s="2"/>
      <c r="X1660" s="2"/>
      <c r="Y1660" s="7"/>
      <c r="Z1660" s="2"/>
      <c r="AA1660" s="1"/>
      <c r="AC1660" s="2"/>
      <c r="AE1660" s="1"/>
      <c r="AG1660" s="2"/>
    </row>
    <row r="1661" spans="12:33" ht="49.95" customHeight="1" x14ac:dyDescent="0.3">
      <c r="L1661" s="360" t="s">
        <v>3521</v>
      </c>
      <c r="M1661" s="360" t="s">
        <v>4922</v>
      </c>
      <c r="N1661" s="359" t="s">
        <v>4975</v>
      </c>
      <c r="O1661" s="359" t="s">
        <v>4950</v>
      </c>
      <c r="P1661" s="16">
        <v>46148</v>
      </c>
      <c r="Q1661" s="360" t="s">
        <v>3211</v>
      </c>
      <c r="R1661" s="2" t="str">
        <f>VLOOKUP(SALIDAS111518[[#This Row],[CÓDIGO]],PRODUCTOS31316[],2,FALSE)</f>
        <v>S7</v>
      </c>
      <c r="S1661" s="1" t="str">
        <f>VLOOKUP(SALIDAS111518[[#This Row],[CÓDIGO]],PRODUCTOS31316[],3,FALSE)</f>
        <v>SONDA S7 PLUS DOPPLER COLOR</v>
      </c>
      <c r="T1661" s="2">
        <v>1</v>
      </c>
      <c r="U1661" s="2">
        <v>739</v>
      </c>
      <c r="V1661" s="2"/>
      <c r="W1661" s="360" t="s">
        <v>3412</v>
      </c>
      <c r="X1661" s="2"/>
      <c r="Y1661" s="7"/>
      <c r="Z1661" s="2"/>
      <c r="AA1661" s="1"/>
      <c r="AC1661" s="2"/>
      <c r="AE1661" s="1"/>
      <c r="AG1661" s="2"/>
    </row>
    <row r="1662" spans="12:33" ht="49.95" customHeight="1" x14ac:dyDescent="0.3">
      <c r="L1662" s="2"/>
      <c r="M1662" s="2"/>
      <c r="N1662" s="2">
        <v>8325</v>
      </c>
      <c r="O1662" s="359" t="s">
        <v>4950</v>
      </c>
      <c r="P1662" s="16">
        <v>46148</v>
      </c>
      <c r="Q1662" s="360" t="s">
        <v>3791</v>
      </c>
      <c r="R1662" s="2">
        <f>VLOOKUP(SALIDAS111518[[#This Row],[CÓDIGO]],PRODUCTOS31316[],2,FALSE)</f>
        <v>6936520864546</v>
      </c>
      <c r="S1662" s="1" t="str">
        <f>VLOOKUP(SALIDAS111518[[#This Row],[CÓDIGO]],PRODUCTOS31316[],3,FALSE)</f>
        <v>TABLET 11" HONOR PAD X8A 128 GB</v>
      </c>
      <c r="T1662" s="2">
        <v>1</v>
      </c>
      <c r="U1662" s="2"/>
      <c r="V1662" s="2"/>
      <c r="W1662" s="2"/>
      <c r="X1662" s="2"/>
      <c r="Y1662" s="7"/>
      <c r="Z1662" s="2"/>
      <c r="AA1662" s="1"/>
      <c r="AC1662" s="2"/>
      <c r="AE1662" s="1"/>
      <c r="AG1662" s="2"/>
    </row>
    <row r="1663" spans="12:33" ht="49.95" customHeight="1" x14ac:dyDescent="0.3">
      <c r="L1663" s="2"/>
      <c r="M1663" s="2"/>
      <c r="N1663" s="2">
        <v>8325</v>
      </c>
      <c r="O1663" s="359" t="s">
        <v>4950</v>
      </c>
      <c r="P1663" s="360" t="s">
        <v>4972</v>
      </c>
      <c r="Q1663" s="360" t="s">
        <v>3286</v>
      </c>
      <c r="R1663" s="2">
        <f>VLOOKUP(SALIDAS111518[[#This Row],[CÓDIGO]],PRODUCTOS31316[],2,FALSE)</f>
        <v>0</v>
      </c>
      <c r="S1663" s="1" t="str">
        <f>VLOOKUP(SALIDAS111518[[#This Row],[CÓDIGO]],PRODUCTOS31316[],3,FALSE)</f>
        <v>CARCASA TABLET BMV</v>
      </c>
      <c r="T1663" s="2">
        <v>1</v>
      </c>
      <c r="U1663" s="2"/>
      <c r="V1663" s="2"/>
      <c r="W1663" s="2"/>
      <c r="X1663" s="2"/>
      <c r="Y1663" s="7"/>
      <c r="Z1663" s="2"/>
      <c r="AA1663" s="1"/>
      <c r="AC1663" s="2"/>
      <c r="AE1663" s="1"/>
      <c r="AG1663" s="2"/>
    </row>
    <row r="1664" spans="12:33" ht="49.95" customHeight="1" x14ac:dyDescent="0.3">
      <c r="L1664" s="2"/>
      <c r="M1664" s="2"/>
      <c r="N1664" s="2">
        <v>8325</v>
      </c>
      <c r="O1664" s="359" t="s">
        <v>4950</v>
      </c>
      <c r="P1664" s="16">
        <v>46149</v>
      </c>
      <c r="Q1664" s="360" t="s">
        <v>3202</v>
      </c>
      <c r="R1664" s="2">
        <f>VLOOKUP(SALIDAS111518[[#This Row],[CÓDIGO]],PRODUCTOS31316[],2,FALSE)</f>
        <v>0</v>
      </c>
      <c r="S1664" s="1" t="str">
        <f>VLOOKUP(SALIDAS111518[[#This Row],[CÓDIGO]],PRODUCTOS31316[],3,FALSE)</f>
        <v>CABLE REPUESTO ECOGRAFO S5</v>
      </c>
      <c r="T1664" s="2">
        <v>1</v>
      </c>
      <c r="U1664" s="2"/>
      <c r="V1664" s="2"/>
      <c r="W1664" s="2"/>
      <c r="X1664" s="2"/>
      <c r="Y1664" s="7"/>
      <c r="Z1664" s="2"/>
      <c r="AA1664" s="1"/>
      <c r="AC1664" s="2"/>
      <c r="AE1664" s="1"/>
      <c r="AG1664" s="2"/>
    </row>
    <row r="1665" spans="12:33" ht="49.95" customHeight="1" x14ac:dyDescent="0.3">
      <c r="L1665" s="2"/>
      <c r="M1665" s="2"/>
      <c r="N1665" s="2">
        <v>8325</v>
      </c>
      <c r="O1665" s="359" t="s">
        <v>4950</v>
      </c>
      <c r="P1665" s="360" t="s">
        <v>4973</v>
      </c>
      <c r="Q1665" s="360" t="s">
        <v>3095</v>
      </c>
      <c r="R1665" s="2">
        <f>VLOOKUP(SALIDAS111518[[#This Row],[CÓDIGO]],PRODUCTOS31316[],2,FALSE)</f>
        <v>0</v>
      </c>
      <c r="S1665" s="1" t="str">
        <f>VLOOKUP(SALIDAS111518[[#This Row],[CÓDIGO]],PRODUCTOS31316[],3,FALSE)</f>
        <v>GORRA MAS CAMPO</v>
      </c>
      <c r="T1665" s="2">
        <v>1</v>
      </c>
      <c r="U1665" s="2"/>
      <c r="V1665" s="2"/>
      <c r="W1665" s="2"/>
      <c r="X1665" s="2"/>
      <c r="Y1665" s="7"/>
      <c r="Z1665" s="2"/>
      <c r="AA1665" s="1"/>
      <c r="AC1665" s="2"/>
      <c r="AE1665" s="1"/>
      <c r="AG1665" s="2"/>
    </row>
    <row r="1666" spans="12:33" ht="49.95" customHeight="1" x14ac:dyDescent="0.3">
      <c r="L1666" s="360" t="s">
        <v>3521</v>
      </c>
      <c r="M1666" s="360" t="s">
        <v>4922</v>
      </c>
      <c r="N1666" s="359" t="s">
        <v>4976</v>
      </c>
      <c r="O1666" s="360" t="s">
        <v>4951</v>
      </c>
      <c r="P1666" s="16">
        <v>46148</v>
      </c>
      <c r="Q1666" s="360" t="s">
        <v>3346</v>
      </c>
      <c r="R1666" s="2" t="str">
        <f>VLOOKUP(SALIDAS111518[[#This Row],[CÓDIGO]],PRODUCTOS31316[],2,FALSE)</f>
        <v>S7PRO</v>
      </c>
      <c r="S1666" s="1" t="str">
        <f>VLOOKUP(SALIDAS111518[[#This Row],[CÓDIGO]],PRODUCTOS31316[],3,FALSE)</f>
        <v>ECÓGRAFO S7 PRO VET CON SONDA LINEAL RECTAL</v>
      </c>
      <c r="T1666" s="2">
        <v>1</v>
      </c>
      <c r="U1666" s="2">
        <v>740</v>
      </c>
      <c r="V1666" s="2"/>
      <c r="W1666" s="360" t="s">
        <v>2823</v>
      </c>
      <c r="X1666" s="2"/>
      <c r="Y1666" s="7"/>
      <c r="Z1666" s="2"/>
      <c r="AA1666" s="1"/>
      <c r="AC1666" s="2"/>
      <c r="AE1666" s="1"/>
      <c r="AG1666" s="2"/>
    </row>
    <row r="1667" spans="12:33" ht="49.95" customHeight="1" x14ac:dyDescent="0.3">
      <c r="L1667" s="2"/>
      <c r="M1667" s="2"/>
      <c r="N1667" s="2">
        <v>8326</v>
      </c>
      <c r="O1667" s="360" t="s">
        <v>4951</v>
      </c>
      <c r="P1667" s="16">
        <v>46148</v>
      </c>
      <c r="Q1667" s="360" t="s">
        <v>3791</v>
      </c>
      <c r="R1667" s="2">
        <f>VLOOKUP(SALIDAS111518[[#This Row],[CÓDIGO]],PRODUCTOS31316[],2,FALSE)</f>
        <v>6936520864546</v>
      </c>
      <c r="S1667" s="1" t="str">
        <f>VLOOKUP(SALIDAS111518[[#This Row],[CÓDIGO]],PRODUCTOS31316[],3,FALSE)</f>
        <v>TABLET 11" HONOR PAD X8A 128 GB</v>
      </c>
      <c r="T1667" s="2">
        <v>1</v>
      </c>
      <c r="U1667" s="2"/>
      <c r="V1667" s="2"/>
      <c r="W1667" s="2"/>
      <c r="X1667" s="2"/>
      <c r="Y1667" s="7"/>
      <c r="Z1667" s="2"/>
      <c r="AA1667" s="1"/>
      <c r="AC1667" s="2"/>
      <c r="AE1667" s="1"/>
      <c r="AG1667" s="2"/>
    </row>
    <row r="1668" spans="12:33" ht="49.95" customHeight="1" x14ac:dyDescent="0.3">
      <c r="L1668" s="2"/>
      <c r="M1668" s="2"/>
      <c r="N1668" s="2">
        <v>8326</v>
      </c>
      <c r="O1668" s="360" t="s">
        <v>4951</v>
      </c>
      <c r="P1668" s="16">
        <v>46148</v>
      </c>
      <c r="Q1668" s="360" t="s">
        <v>3286</v>
      </c>
      <c r="R1668" s="2">
        <f>VLOOKUP(SALIDAS111518[[#This Row],[CÓDIGO]],PRODUCTOS31316[],2,FALSE)</f>
        <v>0</v>
      </c>
      <c r="S1668" s="1" t="str">
        <f>VLOOKUP(SALIDAS111518[[#This Row],[CÓDIGO]],PRODUCTOS31316[],3,FALSE)</f>
        <v>CARCASA TABLET BMV</v>
      </c>
      <c r="T1668" s="2">
        <v>1</v>
      </c>
      <c r="U1668" s="2"/>
      <c r="V1668" s="2"/>
      <c r="W1668" s="2"/>
      <c r="X1668" s="2"/>
      <c r="Y1668" s="7"/>
      <c r="Z1668" s="2"/>
      <c r="AA1668" s="1"/>
      <c r="AC1668" s="2"/>
      <c r="AE1668" s="1"/>
      <c r="AG1668" s="2"/>
    </row>
    <row r="1669" spans="12:33" ht="49.95" customHeight="1" x14ac:dyDescent="0.3">
      <c r="L1669" s="2"/>
      <c r="M1669" s="2"/>
      <c r="N1669" s="2">
        <v>8326</v>
      </c>
      <c r="O1669" s="360" t="s">
        <v>4951</v>
      </c>
      <c r="P1669" s="16">
        <v>46148</v>
      </c>
      <c r="Q1669" s="360" t="s">
        <v>3095</v>
      </c>
      <c r="R1669" s="2">
        <f>VLOOKUP(SALIDAS111518[[#This Row],[CÓDIGO]],PRODUCTOS31316[],2,FALSE)</f>
        <v>0</v>
      </c>
      <c r="S1669" s="1" t="str">
        <f>VLOOKUP(SALIDAS111518[[#This Row],[CÓDIGO]],PRODUCTOS31316[],3,FALSE)</f>
        <v>GORRA MAS CAMPO</v>
      </c>
      <c r="T1669" s="2">
        <v>1</v>
      </c>
      <c r="U1669" s="2"/>
      <c r="V1669" s="2"/>
      <c r="W1669" s="2"/>
      <c r="X1669" s="2"/>
      <c r="Y1669" s="7"/>
      <c r="Z1669" s="2"/>
      <c r="AA1669" s="1"/>
      <c r="AC1669" s="2"/>
      <c r="AE1669" s="1"/>
      <c r="AG1669" s="2"/>
    </row>
    <row r="1670" spans="12:33" ht="49.95" customHeight="1" x14ac:dyDescent="0.3">
      <c r="L1670" s="2"/>
      <c r="M1670" s="2"/>
      <c r="N1670" s="360" t="s">
        <v>4969</v>
      </c>
      <c r="O1670" s="359" t="s">
        <v>4296</v>
      </c>
      <c r="P1670" s="16">
        <v>46147</v>
      </c>
      <c r="Q1670" s="360" t="s">
        <v>104</v>
      </c>
      <c r="R1670" s="2">
        <f>VLOOKUP(SALIDAS111518[[#This Row],[CÓDIGO]],PRODUCTOS31316[],2,FALSE)</f>
        <v>0</v>
      </c>
      <c r="S1670" s="1" t="str">
        <f>VLOOKUP(SALIDAS111518[[#This Row],[CÓDIGO]],PRODUCTOS31316[],3,FALSE)</f>
        <v>ISPERM CHIPS (500 TESTS PER BOX) PAQ. X 50 UND</v>
      </c>
      <c r="T1670" s="2">
        <v>1</v>
      </c>
      <c r="U1670" s="359" t="s">
        <v>4968</v>
      </c>
      <c r="V1670" s="2"/>
      <c r="W1670" s="2"/>
      <c r="X1670" s="2"/>
      <c r="Y1670" s="7"/>
      <c r="Z1670" s="2"/>
      <c r="AA1670" s="1"/>
      <c r="AC1670" s="2"/>
      <c r="AE1670" s="1"/>
      <c r="AG1670" s="2"/>
    </row>
    <row r="1671" spans="12:33" ht="49.95" customHeight="1" x14ac:dyDescent="0.3">
      <c r="L1671" s="360" t="s">
        <v>3520</v>
      </c>
      <c r="M1671" s="360" t="s">
        <v>4922</v>
      </c>
      <c r="N1671" s="359" t="s">
        <v>4977</v>
      </c>
      <c r="O1671" s="359" t="s">
        <v>4095</v>
      </c>
      <c r="P1671" s="16">
        <v>46148</v>
      </c>
      <c r="Q1671" s="360" t="s">
        <v>4386</v>
      </c>
      <c r="R1671" s="2">
        <f>VLOOKUP(SALIDAS111518[[#This Row],[CÓDIGO]],PRODUCTOS31316[],2,FALSE)</f>
        <v>754001</v>
      </c>
      <c r="S1671" s="1" t="str">
        <f>VLOOKUP(SALIDAS111518[[#This Row],[CÓDIGO]],PRODUCTOS31316[],3,FALSE)</f>
        <v>CAJA PETRI DESECHABLE ESTERIL 60X15MM MARCA: NEST</v>
      </c>
      <c r="T1671" s="2">
        <v>6</v>
      </c>
      <c r="U1671" s="2">
        <v>741</v>
      </c>
      <c r="V1671" s="2"/>
      <c r="W1671" s="2"/>
      <c r="X1671" s="51"/>
      <c r="Y1671" s="7"/>
      <c r="Z1671" s="2"/>
      <c r="AA1671" s="1"/>
      <c r="AC1671" s="2"/>
      <c r="AE1671" s="1"/>
      <c r="AG1671" s="2"/>
    </row>
    <row r="1672" spans="12:33" ht="49.95" customHeight="1" x14ac:dyDescent="0.3">
      <c r="L1672" s="2"/>
      <c r="M1672" s="2"/>
      <c r="N1672" s="2">
        <v>8327</v>
      </c>
      <c r="O1672" s="359" t="s">
        <v>4095</v>
      </c>
      <c r="P1672" s="16">
        <v>46148</v>
      </c>
      <c r="Q1672" s="360" t="s">
        <v>70</v>
      </c>
      <c r="R1672" s="2">
        <f>VLOOKUP(SALIDAS111518[[#This Row],[CÓDIGO]],PRODUCTOS31316[],2,FALSE)</f>
        <v>25458</v>
      </c>
      <c r="S1672" s="1" t="str">
        <f>VLOOKUP(SALIDAS111518[[#This Row],[CÓDIGO]],PRODUCTOS31316[],3,FALSE)</f>
        <v>FILTROS PARA OPU 100 UL</v>
      </c>
      <c r="T1672" s="2">
        <v>10</v>
      </c>
      <c r="U1672" s="2"/>
      <c r="V1672" s="2"/>
      <c r="W1672" s="2"/>
      <c r="X1672" s="86"/>
      <c r="Y1672" s="7"/>
      <c r="Z1672" s="2"/>
      <c r="AA1672" s="1"/>
      <c r="AC1672" s="2"/>
      <c r="AE1672" s="1"/>
      <c r="AG1672" s="2"/>
    </row>
    <row r="1673" spans="12:33" ht="49.95" customHeight="1" x14ac:dyDescent="0.3">
      <c r="L1673" s="360" t="s">
        <v>3520</v>
      </c>
      <c r="M1673" s="360" t="s">
        <v>4922</v>
      </c>
      <c r="N1673" s="359" t="s">
        <v>4985</v>
      </c>
      <c r="O1673" s="360" t="s">
        <v>94</v>
      </c>
      <c r="P1673" s="16">
        <v>46148</v>
      </c>
      <c r="Q1673" s="360" t="s">
        <v>15</v>
      </c>
      <c r="R1673" s="2" t="str">
        <f>VLOOKUP(SALIDAS111518[[#This Row],[CÓDIGO]],PRODUCTOS31316[],2,FALSE)</f>
        <v>BTE-025PT/ 504002</v>
      </c>
      <c r="S1673" s="1" t="str">
        <f>VLOOKUP(SALIDAS111518[[#This Row],[CÓDIGO]],PRODUCTOS31316[],3,FALSE)</f>
        <v>FUNDAS PARA TRANSFERENCIA DE EMBRIONES</v>
      </c>
      <c r="T1673" s="2">
        <v>250</v>
      </c>
      <c r="U1673" s="360" t="s">
        <v>4984</v>
      </c>
      <c r="V1673" s="2"/>
      <c r="W1673" s="2"/>
      <c r="X1673" s="2"/>
      <c r="Y1673" s="7"/>
      <c r="Z1673" s="2"/>
      <c r="AA1673" s="1"/>
      <c r="AC1673" s="2"/>
      <c r="AE1673" s="1"/>
      <c r="AG1673" s="2"/>
    </row>
    <row r="1674" spans="12:33" ht="49.95" customHeight="1" x14ac:dyDescent="0.3">
      <c r="L1674" s="2"/>
      <c r="M1674" s="2"/>
      <c r="N1674" s="2">
        <v>8331</v>
      </c>
      <c r="O1674" s="360" t="s">
        <v>94</v>
      </c>
      <c r="P1674" s="363">
        <v>46148</v>
      </c>
      <c r="Q1674" s="360" t="s">
        <v>366</v>
      </c>
      <c r="R1674" s="2">
        <f>VLOOKUP(SALIDAS111518[[#This Row],[CÓDIGO]],PRODUCTOS31316[],2,FALSE)</f>
        <v>505003</v>
      </c>
      <c r="S1674" s="1" t="str">
        <f>VLOOKUP(SALIDAS111518[[#This Row],[CÓDIGO]],PRODUCTOS31316[],3,FALSE)</f>
        <v>LACRADOR REDONDO BLANCO</v>
      </c>
      <c r="T1674" s="2">
        <v>2</v>
      </c>
      <c r="U1674" s="2"/>
      <c r="V1674" s="2"/>
      <c r="W1674" s="2"/>
      <c r="X1674" s="2"/>
      <c r="Y1674" s="7"/>
      <c r="Z1674" s="2"/>
      <c r="AA1674" s="1"/>
      <c r="AC1674" s="2"/>
      <c r="AE1674" s="1"/>
      <c r="AG1674" s="2"/>
    </row>
    <row r="1675" spans="12:33" ht="49.95" customHeight="1" x14ac:dyDescent="0.3">
      <c r="L1675" s="2"/>
      <c r="M1675" s="2"/>
      <c r="N1675" s="2">
        <v>8331</v>
      </c>
      <c r="O1675" s="360" t="s">
        <v>94</v>
      </c>
      <c r="P1675" s="363">
        <v>46148</v>
      </c>
      <c r="Q1675" s="360" t="s">
        <v>366</v>
      </c>
      <c r="R1675" s="2">
        <f>VLOOKUP(SALIDAS111518[[#This Row],[CÓDIGO]],PRODUCTOS31316[],2,FALSE)</f>
        <v>505003</v>
      </c>
      <c r="S1675" s="1" t="str">
        <f>VLOOKUP(SALIDAS111518[[#This Row],[CÓDIGO]],PRODUCTOS31316[],3,FALSE)</f>
        <v>LACRADOR REDONDO BLANCO</v>
      </c>
      <c r="T1675" s="2">
        <v>3</v>
      </c>
      <c r="U1675" s="2"/>
      <c r="V1675" s="2"/>
      <c r="W1675" s="2"/>
      <c r="X1675" s="2"/>
      <c r="Y1675" s="7"/>
      <c r="Z1675" s="2"/>
      <c r="AA1675" s="1"/>
      <c r="AC1675" s="2"/>
      <c r="AE1675" s="1"/>
      <c r="AG1675" s="2"/>
    </row>
    <row r="1676" spans="12:33" ht="49.95" customHeight="1" x14ac:dyDescent="0.3">
      <c r="L1676" s="2"/>
      <c r="M1676" s="2"/>
      <c r="N1676" s="2">
        <v>8331</v>
      </c>
      <c r="O1676" s="360" t="s">
        <v>94</v>
      </c>
      <c r="P1676" s="363">
        <v>46148</v>
      </c>
      <c r="Q1676" s="360" t="s">
        <v>4140</v>
      </c>
      <c r="R1676" s="2">
        <f>VLOOKUP(SALIDAS111518[[#This Row],[CÓDIGO]],PRODUCTOS31316[],2,FALSE)</f>
        <v>5575</v>
      </c>
      <c r="S1676" s="1" t="str">
        <f>VLOOKUP(SALIDAS111518[[#This Row],[CÓDIGO]],PRODUCTOS31316[],3,FALSE)</f>
        <v>PAJUELA AMARILLA 0.25/ PAQUETE X 2000</v>
      </c>
      <c r="T1676" s="2">
        <v>1</v>
      </c>
      <c r="U1676" s="2"/>
      <c r="V1676" s="2"/>
      <c r="W1676" s="2"/>
      <c r="X1676" s="2"/>
      <c r="Y1676" s="7"/>
      <c r="Z1676" s="2"/>
      <c r="AA1676" s="1"/>
      <c r="AC1676" s="2"/>
      <c r="AE1676" s="1"/>
      <c r="AG1676" s="2"/>
    </row>
    <row r="1677" spans="12:33" ht="49.95" customHeight="1" x14ac:dyDescent="0.3">
      <c r="L1677" s="360" t="s">
        <v>3520</v>
      </c>
      <c r="M1677" s="360" t="s">
        <v>4922</v>
      </c>
      <c r="N1677" s="359" t="s">
        <v>4987</v>
      </c>
      <c r="O1677" s="360" t="s">
        <v>94</v>
      </c>
      <c r="P1677" s="16">
        <v>46148</v>
      </c>
      <c r="Q1677" s="360" t="s">
        <v>15</v>
      </c>
      <c r="R1677" s="2" t="str">
        <f>VLOOKUP(SALIDAS111518[[#This Row],[CÓDIGO]],PRODUCTOS31316[],2,FALSE)</f>
        <v>BTE-025PT/ 504002</v>
      </c>
      <c r="S1677" s="1" t="str">
        <f>VLOOKUP(SALIDAS111518[[#This Row],[CÓDIGO]],PRODUCTOS31316[],3,FALSE)</f>
        <v>FUNDAS PARA TRANSFERENCIA DE EMBRIONES</v>
      </c>
      <c r="T1677" s="2">
        <v>100</v>
      </c>
      <c r="U1677" s="360" t="s">
        <v>4986</v>
      </c>
      <c r="V1677" s="2"/>
      <c r="W1677" s="2"/>
      <c r="X1677" s="2"/>
      <c r="Y1677" s="7"/>
      <c r="Z1677" s="2"/>
      <c r="AA1677" s="1"/>
      <c r="AC1677" s="2"/>
      <c r="AE1677" s="1"/>
      <c r="AG1677" s="2"/>
    </row>
    <row r="1678" spans="12:33" ht="49.95" customHeight="1" x14ac:dyDescent="0.3">
      <c r="L1678" s="2"/>
      <c r="M1678" s="2"/>
      <c r="N1678" s="2">
        <v>8332</v>
      </c>
      <c r="O1678" s="360" t="s">
        <v>94</v>
      </c>
      <c r="P1678" s="363">
        <v>46148</v>
      </c>
      <c r="Q1678" s="360" t="s">
        <v>366</v>
      </c>
      <c r="R1678" s="2">
        <f>VLOOKUP(SALIDAS111518[[#This Row],[CÓDIGO]],PRODUCTOS31316[],2,FALSE)</f>
        <v>505003</v>
      </c>
      <c r="S1678" s="1" t="str">
        <f>VLOOKUP(SALIDAS111518[[#This Row],[CÓDIGO]],PRODUCTOS31316[],3,FALSE)</f>
        <v>LACRADOR REDONDO BLANCO</v>
      </c>
      <c r="T1678" s="2">
        <v>3</v>
      </c>
      <c r="U1678" s="2"/>
      <c r="V1678" s="2"/>
      <c r="W1678" s="2"/>
      <c r="X1678" s="2"/>
      <c r="Y1678" s="7"/>
      <c r="Z1678" s="2"/>
      <c r="AA1678" s="1"/>
      <c r="AC1678" s="2"/>
      <c r="AE1678" s="1"/>
      <c r="AG1678" s="2"/>
    </row>
    <row r="1679" spans="12:33" ht="49.95" customHeight="1" x14ac:dyDescent="0.3">
      <c r="L1679" s="2"/>
      <c r="M1679" s="2"/>
      <c r="N1679" s="2">
        <v>8332</v>
      </c>
      <c r="O1679" s="360" t="s">
        <v>94</v>
      </c>
      <c r="P1679" s="363">
        <v>46148</v>
      </c>
      <c r="Q1679" s="360" t="s">
        <v>1779</v>
      </c>
      <c r="R1679" s="2">
        <f>VLOOKUP(SALIDAS111518[[#This Row],[CÓDIGO]],PRODUCTOS31316[],2,FALSE)</f>
        <v>5563</v>
      </c>
      <c r="S1679" s="1" t="str">
        <f>VLOOKUP(SALIDAS111518[[#This Row],[CÓDIGO]],PRODUCTOS31316[],3,FALSE)</f>
        <v>CAMISA SANITARIA ROLLO X 80</v>
      </c>
      <c r="T1679" s="2">
        <v>4</v>
      </c>
      <c r="U1679" s="2"/>
      <c r="V1679" s="2"/>
      <c r="W1679" s="2"/>
      <c r="X1679" s="2"/>
      <c r="Y1679" s="7"/>
      <c r="Z1679" s="2"/>
      <c r="AA1679" s="1"/>
      <c r="AC1679" s="2"/>
      <c r="AE1679" s="1"/>
      <c r="AG1679" s="2"/>
    </row>
    <row r="1680" spans="12:33" ht="49.95" customHeight="1" x14ac:dyDescent="0.3">
      <c r="L1680" s="360" t="s">
        <v>3520</v>
      </c>
      <c r="M1680" s="360" t="s">
        <v>4922</v>
      </c>
      <c r="N1680" s="359" t="s">
        <v>4989</v>
      </c>
      <c r="O1680" s="360" t="s">
        <v>94</v>
      </c>
      <c r="P1680" s="16">
        <v>46148</v>
      </c>
      <c r="Q1680" s="360" t="s">
        <v>15</v>
      </c>
      <c r="R1680" s="2" t="str">
        <f>VLOOKUP(SALIDAS111518[[#This Row],[CÓDIGO]],PRODUCTOS31316[],2,FALSE)</f>
        <v>BTE-025PT/ 504002</v>
      </c>
      <c r="S1680" s="1" t="str">
        <f>VLOOKUP(SALIDAS111518[[#This Row],[CÓDIGO]],PRODUCTOS31316[],3,FALSE)</f>
        <v>FUNDAS PARA TRANSFERENCIA DE EMBRIONES</v>
      </c>
      <c r="T1680" s="2">
        <v>150</v>
      </c>
      <c r="U1680" s="360" t="s">
        <v>4988</v>
      </c>
      <c r="V1680" s="2"/>
      <c r="W1680" s="2"/>
      <c r="X1680" s="2"/>
      <c r="Y1680" s="7"/>
      <c r="Z1680" s="2"/>
      <c r="AA1680" s="1"/>
      <c r="AC1680" s="2"/>
      <c r="AE1680" s="1"/>
      <c r="AG1680" s="2"/>
    </row>
    <row r="1681" spans="12:33" ht="49.95" customHeight="1" x14ac:dyDescent="0.3">
      <c r="L1681" s="2"/>
      <c r="M1681" s="2"/>
      <c r="N1681" s="2">
        <v>8333</v>
      </c>
      <c r="O1681" s="360" t="s">
        <v>94</v>
      </c>
      <c r="P1681" s="363">
        <v>46148</v>
      </c>
      <c r="Q1681" s="360" t="s">
        <v>366</v>
      </c>
      <c r="R1681" s="2">
        <f>VLOOKUP(SALIDAS111518[[#This Row],[CÓDIGO]],PRODUCTOS31316[],2,FALSE)</f>
        <v>505003</v>
      </c>
      <c r="S1681" s="1" t="str">
        <f>VLOOKUP(SALIDAS111518[[#This Row],[CÓDIGO]],PRODUCTOS31316[],3,FALSE)</f>
        <v>LACRADOR REDONDO BLANCO</v>
      </c>
      <c r="T1681" s="2">
        <v>3</v>
      </c>
      <c r="U1681" s="2"/>
      <c r="V1681" s="2"/>
      <c r="W1681" s="2"/>
      <c r="X1681" s="2"/>
      <c r="Y1681" s="7"/>
      <c r="Z1681" s="2"/>
      <c r="AA1681" s="1"/>
      <c r="AC1681" s="2"/>
      <c r="AE1681" s="1"/>
      <c r="AG1681" s="2"/>
    </row>
    <row r="1682" spans="12:33" ht="49.95" customHeight="1" x14ac:dyDescent="0.3">
      <c r="L1682" s="2"/>
      <c r="M1682" s="2"/>
      <c r="N1682" s="2">
        <v>8333</v>
      </c>
      <c r="O1682" s="360" t="s">
        <v>94</v>
      </c>
      <c r="P1682" s="363">
        <v>46148</v>
      </c>
      <c r="Q1682" s="360" t="s">
        <v>1779</v>
      </c>
      <c r="R1682" s="2">
        <f>VLOOKUP(SALIDAS111518[[#This Row],[CÓDIGO]],PRODUCTOS31316[],2,FALSE)</f>
        <v>5563</v>
      </c>
      <c r="S1682" s="1" t="str">
        <f>VLOOKUP(SALIDAS111518[[#This Row],[CÓDIGO]],PRODUCTOS31316[],3,FALSE)</f>
        <v>CAMISA SANITARIA ROLLO X 80</v>
      </c>
      <c r="T1682" s="2">
        <v>13</v>
      </c>
      <c r="U1682" s="2"/>
      <c r="V1682" s="2"/>
      <c r="W1682" s="2"/>
      <c r="X1682" s="2"/>
      <c r="Y1682" s="7"/>
      <c r="Z1682" s="2"/>
      <c r="AA1682" s="1"/>
      <c r="AC1682" s="2"/>
      <c r="AE1682" s="1"/>
      <c r="AG1682" s="2"/>
    </row>
    <row r="1683" spans="12:33" ht="49.95" customHeight="1" x14ac:dyDescent="0.3">
      <c r="L1683" s="2"/>
      <c r="M1683" s="2"/>
      <c r="N1683" s="2">
        <v>8333</v>
      </c>
      <c r="O1683" s="360" t="s">
        <v>94</v>
      </c>
      <c r="P1683" s="363">
        <v>46148</v>
      </c>
      <c r="Q1683" s="360" t="s">
        <v>1681</v>
      </c>
      <c r="R1683" s="2">
        <f>VLOOKUP(SALIDAS111518[[#This Row],[CÓDIGO]],PRODUCTOS31316[],2,FALSE)</f>
        <v>347430</v>
      </c>
      <c r="S1683" s="1" t="str">
        <f>VLOOKUP(SALIDAS111518[[#This Row],[CÓDIGO]],PRODUCTOS31316[],3,FALSE)</f>
        <v>GOBLETS BLANCOS DE 10 MM</v>
      </c>
      <c r="T1683" s="2">
        <v>1</v>
      </c>
      <c r="U1683" s="2"/>
      <c r="V1683" s="2"/>
      <c r="W1683" s="2"/>
      <c r="X1683" s="2"/>
      <c r="Y1683" s="7"/>
      <c r="Z1683" s="2"/>
      <c r="AA1683" s="1"/>
      <c r="AC1683" s="2"/>
      <c r="AE1683" s="1"/>
      <c r="AG1683" s="2"/>
    </row>
    <row r="1684" spans="12:33" ht="49.95" customHeight="1" x14ac:dyDescent="0.3">
      <c r="L1684" s="2"/>
      <c r="M1684" s="2"/>
      <c r="N1684" s="2">
        <v>8333</v>
      </c>
      <c r="O1684" s="360" t="s">
        <v>94</v>
      </c>
      <c r="P1684" s="363">
        <v>46148</v>
      </c>
      <c r="Q1684" s="360" t="s">
        <v>748</v>
      </c>
      <c r="R1684" s="2" t="str">
        <f>VLOOKUP(SALIDAS111518[[#This Row],[CÓDIGO]],PRODUCTOS31316[],2,FALSE)</f>
        <v>TY</v>
      </c>
      <c r="S1684" s="1" t="str">
        <f>VLOOKUP(SALIDAS111518[[#This Row],[CÓDIGO]],PRODUCTOS31316[],3,FALSE)</f>
        <v>TABS AMARILLOS</v>
      </c>
      <c r="T1684" s="2">
        <v>1</v>
      </c>
      <c r="U1684" s="2"/>
      <c r="V1684" s="2"/>
      <c r="W1684" s="2"/>
      <c r="X1684" s="2"/>
      <c r="Y1684" s="7"/>
      <c r="Z1684" s="2"/>
      <c r="AA1684" s="1"/>
      <c r="AC1684" s="2"/>
      <c r="AE1684" s="1"/>
      <c r="AG1684" s="2"/>
    </row>
    <row r="1685" spans="12:33" ht="49.95" customHeight="1" x14ac:dyDescent="0.3">
      <c r="L1685" s="2"/>
      <c r="M1685" s="2"/>
      <c r="N1685" s="2">
        <v>8333</v>
      </c>
      <c r="O1685" s="360" t="s">
        <v>94</v>
      </c>
      <c r="P1685" s="363">
        <v>46148</v>
      </c>
      <c r="Q1685" s="360" t="s">
        <v>3303</v>
      </c>
      <c r="R1685" s="2">
        <f>VLOOKUP(SALIDAS111518[[#This Row],[CÓDIGO]],PRODUCTOS31316[],2,FALSE)</f>
        <v>10</v>
      </c>
      <c r="S1685" s="1" t="str">
        <f>VLOOKUP(SALIDAS111518[[#This Row],[CÓDIGO]],PRODUCTOS31316[],3,FALSE)</f>
        <v>CAJA PETRI 4 POZOS / 3,026X3,026 CM</v>
      </c>
      <c r="T1685" s="2">
        <v>10</v>
      </c>
      <c r="U1685" s="2"/>
      <c r="V1685" s="2"/>
      <c r="W1685" s="2"/>
      <c r="X1685" s="2"/>
      <c r="Y1685" s="7"/>
      <c r="Z1685" s="2"/>
      <c r="AA1685" s="1"/>
      <c r="AC1685" s="2"/>
      <c r="AE1685" s="1"/>
      <c r="AG1685" s="2"/>
    </row>
    <row r="1686" spans="12:33" ht="49.95" customHeight="1" x14ac:dyDescent="0.3">
      <c r="L1686" s="360" t="s">
        <v>3521</v>
      </c>
      <c r="M1686" s="360" t="s">
        <v>4922</v>
      </c>
      <c r="N1686" s="359" t="s">
        <v>4980</v>
      </c>
      <c r="O1686" s="360" t="s">
        <v>4971</v>
      </c>
      <c r="P1686" s="363">
        <v>46148</v>
      </c>
      <c r="Q1686" s="360" t="s">
        <v>153</v>
      </c>
      <c r="R1686" s="2">
        <f>VLOOKUP(SALIDAS111518[[#This Row],[CÓDIGO]],PRODUCTOS31316[],2,FALSE)</f>
        <v>1132</v>
      </c>
      <c r="S1686" s="1" t="str">
        <f>VLOOKUP(SALIDAS111518[[#This Row],[CÓDIGO]],PRODUCTOS31316[],3,FALSE)</f>
        <v>PISTOLA QUICKLOCK CLASIC</v>
      </c>
      <c r="T1686" s="2">
        <v>1</v>
      </c>
      <c r="U1686" s="2">
        <v>742</v>
      </c>
      <c r="V1686" s="2"/>
      <c r="W1686" s="2"/>
      <c r="X1686" s="2"/>
      <c r="Y1686" s="7"/>
      <c r="Z1686" s="2"/>
      <c r="AA1686" s="1"/>
      <c r="AC1686" s="2"/>
      <c r="AE1686" s="1"/>
      <c r="AG1686" s="2"/>
    </row>
    <row r="1687" spans="12:33" ht="49.95" customHeight="1" x14ac:dyDescent="0.3">
      <c r="L1687" s="2"/>
      <c r="M1687" s="2"/>
      <c r="N1687" s="2">
        <v>8328</v>
      </c>
      <c r="O1687" s="360" t="s">
        <v>4971</v>
      </c>
      <c r="P1687" s="363">
        <v>46148</v>
      </c>
      <c r="Q1687" s="360" t="s">
        <v>1779</v>
      </c>
      <c r="R1687" s="2">
        <f>VLOOKUP(SALIDAS111518[[#This Row],[CÓDIGO]],PRODUCTOS31316[],2,FALSE)</f>
        <v>5563</v>
      </c>
      <c r="S1687" s="1" t="str">
        <f>VLOOKUP(SALIDAS111518[[#This Row],[CÓDIGO]],PRODUCTOS31316[],3,FALSE)</f>
        <v>CAMISA SANITARIA ROLLO X 80</v>
      </c>
      <c r="T1687" s="2">
        <v>1</v>
      </c>
      <c r="U1687" s="2"/>
      <c r="V1687" s="2"/>
      <c r="W1687" s="2"/>
      <c r="X1687" s="2"/>
      <c r="Y1687" s="7"/>
      <c r="Z1687" s="2"/>
      <c r="AA1687" s="1"/>
      <c r="AC1687" s="2"/>
      <c r="AE1687" s="1"/>
      <c r="AG1687" s="2"/>
    </row>
    <row r="1688" spans="12:33" ht="49.95" customHeight="1" x14ac:dyDescent="0.3">
      <c r="L1688" s="2"/>
      <c r="M1688" s="2"/>
      <c r="N1688" s="2">
        <v>8328</v>
      </c>
      <c r="O1688" s="360" t="s">
        <v>4971</v>
      </c>
      <c r="P1688" s="363">
        <v>46148</v>
      </c>
      <c r="Q1688" s="360" t="s">
        <v>369</v>
      </c>
      <c r="R1688" s="2">
        <f>VLOOKUP(SALIDAS111518[[#This Row],[CÓDIGO]],PRODUCTOS31316[],2,FALSE)</f>
        <v>0</v>
      </c>
      <c r="S1688" s="1" t="str">
        <f>VLOOKUP(SALIDAS111518[[#This Row],[CÓDIGO]],PRODUCTOS31316[],3,FALSE)</f>
        <v>FUNDA UNIVERSAL PARA I.A. RANURADA</v>
      </c>
      <c r="T1688" s="2">
        <v>2</v>
      </c>
      <c r="U1688" s="2"/>
      <c r="V1688" s="2"/>
      <c r="W1688" s="2"/>
      <c r="X1688" s="2"/>
      <c r="Y1688" s="7"/>
      <c r="Z1688" s="2"/>
      <c r="AA1688" s="1"/>
      <c r="AC1688" s="2"/>
      <c r="AE1688" s="1"/>
      <c r="AG1688" s="2"/>
    </row>
    <row r="1689" spans="12:33" ht="49.95" customHeight="1" x14ac:dyDescent="0.3">
      <c r="L1689" s="360" t="s">
        <v>3520</v>
      </c>
      <c r="M1689" s="360" t="s">
        <v>4922</v>
      </c>
      <c r="N1689" s="359" t="s">
        <v>4983</v>
      </c>
      <c r="O1689" s="360" t="s">
        <v>2202</v>
      </c>
      <c r="P1689" s="16">
        <v>46149</v>
      </c>
      <c r="Q1689" s="360" t="s">
        <v>2382</v>
      </c>
      <c r="R1689" s="2">
        <f>VLOOKUP(SALIDAS111518[[#This Row],[CÓDIGO]],PRODUCTOS31316[],2,FALSE)</f>
        <v>1</v>
      </c>
      <c r="S1689" s="1" t="str">
        <f>VLOOKUP(SALIDAS111518[[#This Row],[CÓDIGO]],PRODUCTOS31316[],3,FALSE)</f>
        <v>TERMO DE TRANSPORTE 1 LITRO</v>
      </c>
      <c r="T1689" s="2">
        <v>3</v>
      </c>
      <c r="U1689" s="2">
        <v>745</v>
      </c>
      <c r="V1689" s="2"/>
      <c r="W1689" s="360" t="s">
        <v>3412</v>
      </c>
      <c r="X1689" s="2"/>
      <c r="Y1689" s="7"/>
      <c r="Z1689" s="2"/>
      <c r="AA1689" s="1"/>
      <c r="AC1689" s="2"/>
      <c r="AE1689" s="1"/>
      <c r="AG1689" s="2"/>
    </row>
    <row r="1690" spans="12:33" ht="49.95" customHeight="1" x14ac:dyDescent="0.3">
      <c r="L1690" s="360" t="s">
        <v>3521</v>
      </c>
      <c r="M1690" s="360" t="s">
        <v>4922</v>
      </c>
      <c r="N1690" s="359" t="s">
        <v>4981</v>
      </c>
      <c r="O1690" s="359" t="s">
        <v>4974</v>
      </c>
      <c r="P1690" s="16">
        <v>46148</v>
      </c>
      <c r="Q1690" s="360" t="s">
        <v>36</v>
      </c>
      <c r="R1690" s="2">
        <f>VLOOKUP(SALIDAS111518[[#This Row],[CÓDIGO]],PRODUCTOS31316[],2,FALSE)</f>
        <v>1</v>
      </c>
      <c r="S1690" s="1" t="str">
        <f>VLOOKUP(SALIDAS111518[[#This Row],[CÓDIGO]],PRODUCTOS31316[],3,FALSE)</f>
        <v xml:space="preserve">PARCHE ESTROTECT </v>
      </c>
      <c r="T1690" s="2">
        <v>1</v>
      </c>
      <c r="U1690" s="2">
        <v>743</v>
      </c>
      <c r="V1690" s="2"/>
      <c r="W1690" s="2"/>
      <c r="X1690" s="2"/>
      <c r="Y1690" s="7"/>
      <c r="Z1690" s="2"/>
      <c r="AA1690" s="1"/>
      <c r="AC1690" s="2"/>
      <c r="AE1690" s="1"/>
      <c r="AG1690" s="2"/>
    </row>
    <row r="1691" spans="12:33" ht="49.95" customHeight="1" x14ac:dyDescent="0.3">
      <c r="L1691" s="360" t="s">
        <v>3521</v>
      </c>
      <c r="M1691" s="360" t="s">
        <v>4922</v>
      </c>
      <c r="N1691" s="359" t="s">
        <v>4982</v>
      </c>
      <c r="O1691" s="359" t="s">
        <v>4978</v>
      </c>
      <c r="P1691" s="16">
        <v>46148</v>
      </c>
      <c r="Q1691" s="360" t="s">
        <v>382</v>
      </c>
      <c r="R1691" s="2">
        <f>VLOOKUP(SALIDAS111518[[#This Row],[CÓDIGO]],PRODUCTOS31316[],2,FALSE)</f>
        <v>605032</v>
      </c>
      <c r="S1691" s="1" t="str">
        <f>VLOOKUP(SALIDAS111518[[#This Row],[CÓDIGO]],PRODUCTOS31316[],3,FALSE)</f>
        <v>LUBRICANTE OB, NO ESPERMICIDA</v>
      </c>
      <c r="T1691" s="2">
        <v>1</v>
      </c>
      <c r="U1691" s="2">
        <v>744</v>
      </c>
      <c r="V1691" s="2"/>
      <c r="W1691" s="2"/>
      <c r="X1691" s="2"/>
      <c r="Y1691" s="7"/>
      <c r="Z1691" s="2"/>
      <c r="AA1691" s="1"/>
      <c r="AC1691" s="2"/>
      <c r="AE1691" s="1"/>
      <c r="AG1691" s="2"/>
    </row>
    <row r="1692" spans="12:33" ht="49.95" customHeight="1" x14ac:dyDescent="0.3">
      <c r="L1692" s="2"/>
      <c r="M1692" s="2"/>
      <c r="N1692" s="2">
        <v>8330</v>
      </c>
      <c r="O1692" s="359" t="s">
        <v>4978</v>
      </c>
      <c r="P1692" s="16">
        <v>46148</v>
      </c>
      <c r="Q1692" s="360" t="s">
        <v>2401</v>
      </c>
      <c r="R1692" s="2">
        <f>VLOOKUP(SALIDAS111518[[#This Row],[CÓDIGO]],PRODUCTOS31316[],2,FALSE)</f>
        <v>5540</v>
      </c>
      <c r="S1692" s="1" t="str">
        <f>VLOOKUP(SALIDAS111518[[#This Row],[CÓDIGO]],PRODUCTOS31316[],3,FALSE)</f>
        <v xml:space="preserve">FUNDAS DE TRANSFERENCIA AZUL PUNTA METÁLICA 21"                 </v>
      </c>
      <c r="T1692" s="2">
        <v>1</v>
      </c>
      <c r="U1692" s="2"/>
      <c r="V1692" s="2"/>
      <c r="W1692" s="2"/>
      <c r="X1692" s="2"/>
      <c r="Y1692" s="7"/>
      <c r="Z1692" s="2"/>
      <c r="AA1692" s="1"/>
      <c r="AC1692" s="2"/>
      <c r="AE1692" s="1"/>
      <c r="AG1692" s="2"/>
    </row>
    <row r="1693" spans="12:33" ht="49.95" customHeight="1" x14ac:dyDescent="0.3">
      <c r="L1693" s="360" t="s">
        <v>3520</v>
      </c>
      <c r="M1693" s="360" t="s">
        <v>4922</v>
      </c>
      <c r="N1693" s="1" t="s">
        <v>4994</v>
      </c>
      <c r="O1693" s="360" t="s">
        <v>4599</v>
      </c>
      <c r="P1693" s="16">
        <v>46149</v>
      </c>
      <c r="Q1693" s="360" t="s">
        <v>366</v>
      </c>
      <c r="R1693" s="2">
        <f>VLOOKUP(SALIDAS111518[[#This Row],[CÓDIGO]],PRODUCTOS31316[],2,FALSE)</f>
        <v>505003</v>
      </c>
      <c r="S1693" s="1" t="str">
        <f>VLOOKUP(SALIDAS111518[[#This Row],[CÓDIGO]],PRODUCTOS31316[],3,FALSE)</f>
        <v>LACRADOR REDONDO BLANCO</v>
      </c>
      <c r="T1693" s="2">
        <v>8</v>
      </c>
      <c r="U1693" s="2">
        <v>750</v>
      </c>
      <c r="V1693" s="2"/>
      <c r="W1693" s="2"/>
      <c r="X1693" s="2"/>
      <c r="Y1693" s="7"/>
      <c r="Z1693" s="2"/>
      <c r="AA1693" s="1"/>
      <c r="AC1693" s="2"/>
      <c r="AE1693" s="1"/>
      <c r="AG1693" s="2"/>
    </row>
    <row r="1694" spans="12:33" ht="49.95" customHeight="1" x14ac:dyDescent="0.3">
      <c r="L1694" s="2"/>
      <c r="M1694" s="2"/>
      <c r="N1694" s="2">
        <v>8334</v>
      </c>
      <c r="O1694" s="360" t="s">
        <v>4599</v>
      </c>
      <c r="P1694" s="16">
        <v>46149</v>
      </c>
      <c r="Q1694" s="360" t="s">
        <v>247</v>
      </c>
      <c r="R1694" s="2">
        <f>VLOOKUP(SALIDAS111518[[#This Row],[CÓDIGO]],PRODUCTOS31316[],2,FALSE)</f>
        <v>352054</v>
      </c>
      <c r="S1694" s="1" t="str">
        <f>VLOOKUP(SALIDAS111518[[#This Row],[CÓDIGO]],PRODUCTOS31316[],3,FALSE)</f>
        <v>TUBO DE FONDO REDONDO DE 5ML 12X75MM , POLIESTIRENO</v>
      </c>
      <c r="T1694" s="2">
        <v>10</v>
      </c>
      <c r="U1694" s="2"/>
      <c r="V1694" s="2"/>
      <c r="W1694" s="2"/>
      <c r="X1694" s="2"/>
      <c r="Y1694" s="7"/>
      <c r="Z1694" s="2"/>
      <c r="AA1694" s="1"/>
      <c r="AC1694" s="2"/>
      <c r="AE1694" s="1"/>
      <c r="AG1694" s="2"/>
    </row>
    <row r="1695" spans="12:33" ht="49.95" customHeight="1" x14ac:dyDescent="0.3">
      <c r="L1695" s="2"/>
      <c r="M1695" s="2"/>
      <c r="N1695" s="2">
        <v>8334</v>
      </c>
      <c r="O1695" s="360" t="s">
        <v>4599</v>
      </c>
      <c r="P1695" s="16">
        <v>46149</v>
      </c>
      <c r="Q1695" s="360" t="s">
        <v>333</v>
      </c>
      <c r="R1695" s="2" t="str">
        <f>VLOOKUP(SALIDAS111518[[#This Row],[CÓDIGO]],PRODUCTOS31316[],2,FALSE)</f>
        <v>CTB15</v>
      </c>
      <c r="S1695" s="1" t="str">
        <f>VLOOKUP(SALIDAS111518[[#This Row],[CÓDIGO]],PRODUCTOS31316[],3,FALSE)</f>
        <v>TUBO CÓNICO DE 15 ML, TAPA ROSCA ESTÉRIL  RCF MAX: 10000xg, 
graduados, PCR puro. VENCE: 03/04/2028</v>
      </c>
      <c r="T1695" s="2">
        <v>5</v>
      </c>
      <c r="U1695" s="2"/>
      <c r="V1695" s="2"/>
      <c r="W1695" s="2"/>
      <c r="X1695" s="2"/>
      <c r="Y1695" s="7"/>
      <c r="Z1695" s="2"/>
      <c r="AA1695" s="1"/>
      <c r="AC1695" s="2"/>
      <c r="AE1695" s="1"/>
      <c r="AG1695" s="2"/>
    </row>
    <row r="1696" spans="12:33" ht="49.95" customHeight="1" x14ac:dyDescent="0.3">
      <c r="L1696" s="2"/>
      <c r="M1696" s="2"/>
      <c r="N1696" s="2">
        <v>8334</v>
      </c>
      <c r="O1696" s="360" t="s">
        <v>4599</v>
      </c>
      <c r="P1696" s="16">
        <v>46149</v>
      </c>
      <c r="Q1696" s="360" t="s">
        <v>3026</v>
      </c>
      <c r="R1696" s="2" t="str">
        <f>VLOOKUP(SALIDAS111518[[#This Row],[CÓDIGO]],PRODUCTOS31316[],2,FALSE)</f>
        <v>MCTB020</v>
      </c>
      <c r="S1696" s="1" t="str">
        <f>VLOOKUP(SALIDAS111518[[#This Row],[CÓDIGO]],PRODUCTOS31316[],3,FALSE)</f>
        <v>TUBO EPPENDORF DE 2,0 ML</v>
      </c>
      <c r="T1696" s="2">
        <v>2</v>
      </c>
      <c r="U1696" s="2"/>
      <c r="V1696" s="2"/>
      <c r="W1696" s="2"/>
      <c r="X1696" s="2"/>
      <c r="Y1696" s="7"/>
      <c r="Z1696" s="2"/>
      <c r="AA1696" s="1"/>
      <c r="AC1696" s="2"/>
      <c r="AE1696" s="1"/>
      <c r="AG1696" s="2"/>
    </row>
    <row r="1697" spans="12:33" ht="49.95" customHeight="1" x14ac:dyDescent="0.3">
      <c r="L1697" s="2"/>
      <c r="M1697" s="2"/>
      <c r="N1697" s="2">
        <v>8334</v>
      </c>
      <c r="O1697" s="360" t="s">
        <v>4599</v>
      </c>
      <c r="P1697" s="16">
        <v>46149</v>
      </c>
      <c r="Q1697" s="360" t="s">
        <v>4140</v>
      </c>
      <c r="R1697" s="2">
        <f>VLOOKUP(SALIDAS111518[[#This Row],[CÓDIGO]],PRODUCTOS31316[],2,FALSE)</f>
        <v>5575</v>
      </c>
      <c r="S1697" s="1" t="str">
        <f>VLOOKUP(SALIDAS111518[[#This Row],[CÓDIGO]],PRODUCTOS31316[],3,FALSE)</f>
        <v>PAJUELA AMARILLA 0.25/ PAQUETE X 2000</v>
      </c>
      <c r="T1697" s="2">
        <v>2</v>
      </c>
      <c r="U1697" s="2"/>
      <c r="V1697" s="2"/>
      <c r="W1697" s="2"/>
      <c r="X1697" s="2"/>
      <c r="Y1697" s="7"/>
      <c r="Z1697" s="2"/>
      <c r="AA1697" s="1"/>
      <c r="AC1697" s="2"/>
      <c r="AE1697" s="1"/>
      <c r="AG1697" s="2"/>
    </row>
    <row r="1698" spans="12:33" ht="49.95" customHeight="1" x14ac:dyDescent="0.3">
      <c r="L1698" s="2"/>
      <c r="M1698" s="2"/>
      <c r="N1698" s="2">
        <v>8334</v>
      </c>
      <c r="O1698" s="360" t="s">
        <v>4599</v>
      </c>
      <c r="P1698" s="16">
        <v>46149</v>
      </c>
      <c r="Q1698" s="360" t="s">
        <v>167</v>
      </c>
      <c r="R1698" s="2" t="str">
        <f>VLOOKUP(SALIDAS111518[[#This Row],[CÓDIGO]],PRODUCTOS31316[],2,FALSE)</f>
        <v>50050-1</v>
      </c>
      <c r="S1698" s="1" t="str">
        <f>VLOOKUP(SALIDAS111518[[#This Row],[CÓDIGO]],PRODUCTOS31316[],3,FALSE)</f>
        <v>TUBO CONICO PLUG, AUTOCLAVABLE ESTERIL  TAPA ROSCA DE 50 ML</v>
      </c>
      <c r="T1698" s="2">
        <v>8</v>
      </c>
      <c r="U1698" s="2"/>
      <c r="V1698" s="2"/>
      <c r="W1698" s="2"/>
      <c r="X1698" s="2"/>
      <c r="Y1698" s="7"/>
      <c r="Z1698" s="2"/>
      <c r="AA1698" s="1"/>
      <c r="AC1698" s="2"/>
      <c r="AE1698" s="1"/>
      <c r="AG1698" s="2"/>
    </row>
    <row r="1699" spans="12:33" ht="49.95" customHeight="1" x14ac:dyDescent="0.3">
      <c r="L1699" s="2"/>
      <c r="M1699" s="2"/>
      <c r="N1699" s="2">
        <v>8334</v>
      </c>
      <c r="O1699" s="360" t="s">
        <v>4599</v>
      </c>
      <c r="P1699" s="16">
        <v>46149</v>
      </c>
      <c r="Q1699" s="360" t="s">
        <v>3303</v>
      </c>
      <c r="R1699" s="2">
        <f>VLOOKUP(SALIDAS111518[[#This Row],[CÓDIGO]],PRODUCTOS31316[],2,FALSE)</f>
        <v>10</v>
      </c>
      <c r="S1699" s="1" t="str">
        <f>VLOOKUP(SALIDAS111518[[#This Row],[CÓDIGO]],PRODUCTOS31316[],3,FALSE)</f>
        <v>CAJA PETRI 4 POZOS / 3,026X3,026 CM</v>
      </c>
      <c r="T1699" s="2">
        <v>10</v>
      </c>
      <c r="U1699" s="2"/>
      <c r="V1699" s="2"/>
      <c r="W1699" s="2"/>
      <c r="X1699" s="2"/>
      <c r="Y1699" s="7"/>
      <c r="Z1699" s="2"/>
      <c r="AA1699" s="1"/>
      <c r="AC1699" s="2"/>
      <c r="AE1699" s="1"/>
      <c r="AG1699" s="2"/>
    </row>
    <row r="1700" spans="12:33" ht="49.95" customHeight="1" x14ac:dyDescent="0.3">
      <c r="L1700" s="2"/>
      <c r="M1700" s="2"/>
      <c r="N1700" s="2">
        <v>8334</v>
      </c>
      <c r="O1700" s="360" t="s">
        <v>4599</v>
      </c>
      <c r="P1700" s="16">
        <v>46149</v>
      </c>
      <c r="Q1700" s="360" t="s">
        <v>33</v>
      </c>
      <c r="R1700" s="2" t="str">
        <f>VLOOKUP(SALIDAS111518[[#This Row],[CÓDIGO]],PRODUCTOS31316[],2,FALSE)</f>
        <v>LA-120 /506003</v>
      </c>
      <c r="S1700" s="1" t="str">
        <f>VLOOKUP(SALIDAS111518[[#This Row],[CÓDIGO]],PRODUCTOS31316[],3,FALSE)</f>
        <v>LíNEA PARA OPU 1,2 METROS</v>
      </c>
      <c r="T1700" s="2">
        <v>15</v>
      </c>
      <c r="U1700" s="2"/>
      <c r="V1700" s="2"/>
      <c r="W1700" s="2"/>
      <c r="X1700" s="2"/>
      <c r="Y1700" s="7"/>
      <c r="Z1700" s="2"/>
      <c r="AA1700" s="1"/>
      <c r="AC1700" s="2"/>
      <c r="AE1700" s="1"/>
      <c r="AG1700" s="2"/>
    </row>
    <row r="1701" spans="12:33" ht="49.95" customHeight="1" x14ac:dyDescent="0.3">
      <c r="L1701" s="2"/>
      <c r="M1701" s="2"/>
      <c r="N1701" s="2">
        <v>8334</v>
      </c>
      <c r="O1701" s="360" t="s">
        <v>4599</v>
      </c>
      <c r="P1701" s="16">
        <v>46149</v>
      </c>
      <c r="Q1701" s="360" t="s">
        <v>63</v>
      </c>
      <c r="R1701" s="2">
        <f>VLOOKUP(SALIDAS111518[[#This Row],[CÓDIGO]],PRODUCTOS31316[],2,FALSE)</f>
        <v>25458</v>
      </c>
      <c r="S1701" s="1" t="str">
        <f>VLOOKUP(SALIDAS111518[[#This Row],[CÓDIGO]],PRODUCTOS31316[],3,FALSE)</f>
        <v>FILTROS PARA OPU 100 UL</v>
      </c>
      <c r="T1701" s="2">
        <v>1</v>
      </c>
      <c r="U1701" s="2"/>
      <c r="V1701" s="2"/>
      <c r="W1701" s="2"/>
      <c r="X1701" s="2"/>
      <c r="Y1701" s="7"/>
      <c r="Z1701" s="2"/>
      <c r="AA1701" s="1"/>
      <c r="AC1701" s="2"/>
      <c r="AE1701" s="1"/>
      <c r="AG1701" s="2"/>
    </row>
    <row r="1702" spans="12:33" ht="49.95" customHeight="1" x14ac:dyDescent="0.3">
      <c r="L1702" s="360" t="s">
        <v>3521</v>
      </c>
      <c r="M1702" s="360" t="s">
        <v>4922</v>
      </c>
      <c r="N1702" s="1" t="s">
        <v>4996</v>
      </c>
      <c r="O1702" s="360" t="s">
        <v>4979</v>
      </c>
      <c r="P1702" s="16">
        <v>46149</v>
      </c>
      <c r="Q1702" s="360" t="s">
        <v>438</v>
      </c>
      <c r="R1702" s="2">
        <f>VLOOKUP(SALIDAS111518[[#This Row],[CÓDIGO]],PRODUCTOS31316[],2,FALSE)</f>
        <v>18421</v>
      </c>
      <c r="S1702" s="1" t="str">
        <f>VLOOKUP(SALIDAS111518[[#This Row],[CÓDIGO]],PRODUCTOS31316[],3,FALSE)</f>
        <v xml:space="preserve">PISTOLA DE TRANSFERENCIA DE EMBRIONES 0,25 / BLOQUEO AUTOMÁTICO </v>
      </c>
      <c r="T1702" s="2">
        <v>2</v>
      </c>
      <c r="U1702" s="2" t="s">
        <v>4995</v>
      </c>
      <c r="V1702" s="2"/>
      <c r="W1702" s="2"/>
      <c r="X1702" s="2"/>
      <c r="Y1702" s="7"/>
      <c r="Z1702" s="2"/>
      <c r="AA1702" s="1"/>
      <c r="AC1702" s="2"/>
      <c r="AE1702" s="1"/>
      <c r="AG1702" s="2"/>
    </row>
    <row r="1703" spans="12:33" ht="49.95" customHeight="1" x14ac:dyDescent="0.3">
      <c r="L1703" s="2"/>
      <c r="M1703" s="2"/>
      <c r="N1703" s="2">
        <v>8335</v>
      </c>
      <c r="O1703" s="364" t="s">
        <v>4979</v>
      </c>
      <c r="P1703" s="16">
        <v>46149</v>
      </c>
      <c r="Q1703" s="360" t="s">
        <v>15</v>
      </c>
      <c r="R1703" s="2" t="str">
        <f>VLOOKUP(SALIDAS111518[[#This Row],[CÓDIGO]],PRODUCTOS31316[],2,FALSE)</f>
        <v>BTE-025PT/ 504002</v>
      </c>
      <c r="S1703" s="1" t="str">
        <f>VLOOKUP(SALIDAS111518[[#This Row],[CÓDIGO]],PRODUCTOS31316[],3,FALSE)</f>
        <v>FUNDAS PARA TRANSFERENCIA DE EMBRIONES</v>
      </c>
      <c r="T1703" s="2">
        <v>6</v>
      </c>
      <c r="U1703" s="2"/>
      <c r="V1703" s="2"/>
      <c r="W1703" s="2"/>
      <c r="X1703" s="2"/>
      <c r="Y1703" s="7"/>
      <c r="Z1703" s="2"/>
      <c r="AA1703" s="1"/>
      <c r="AC1703" s="2"/>
      <c r="AE1703" s="1"/>
      <c r="AG1703" s="2"/>
    </row>
    <row r="1704" spans="12:33" ht="49.95" customHeight="1" x14ac:dyDescent="0.3">
      <c r="L1704" s="2"/>
      <c r="M1704" s="2"/>
      <c r="N1704" s="2">
        <v>8335</v>
      </c>
      <c r="O1704" s="360" t="s">
        <v>4979</v>
      </c>
      <c r="P1704" s="16">
        <v>46149</v>
      </c>
      <c r="Q1704" s="360" t="s">
        <v>1779</v>
      </c>
      <c r="R1704" s="2">
        <f>VLOOKUP(SALIDAS111518[[#This Row],[CÓDIGO]],PRODUCTOS31316[],2,FALSE)</f>
        <v>5563</v>
      </c>
      <c r="S1704" s="1" t="str">
        <f>VLOOKUP(SALIDAS111518[[#This Row],[CÓDIGO]],PRODUCTOS31316[],3,FALSE)</f>
        <v>CAMISA SANITARIA ROLLO X 80</v>
      </c>
      <c r="T1704" s="2">
        <v>1</v>
      </c>
      <c r="U1704" s="2"/>
      <c r="V1704" s="2"/>
      <c r="W1704" s="2"/>
      <c r="X1704" s="2"/>
      <c r="Y1704" s="7"/>
      <c r="Z1704" s="2"/>
      <c r="AA1704" s="1"/>
      <c r="AC1704" s="2"/>
      <c r="AE1704" s="1"/>
      <c r="AG1704" s="2"/>
    </row>
    <row r="1705" spans="12:33" ht="49.95" customHeight="1" x14ac:dyDescent="0.3">
      <c r="L1705" s="360" t="s">
        <v>3520</v>
      </c>
      <c r="M1705" s="360" t="s">
        <v>4922</v>
      </c>
      <c r="N1705" s="1" t="s">
        <v>4997</v>
      </c>
      <c r="O1705" s="359" t="s">
        <v>2212</v>
      </c>
      <c r="P1705" s="16">
        <v>46149</v>
      </c>
      <c r="Q1705" s="360" t="s">
        <v>33</v>
      </c>
      <c r="R1705" s="2" t="str">
        <f>VLOOKUP(SALIDAS111518[[#This Row],[CÓDIGO]],PRODUCTOS31316[],2,FALSE)</f>
        <v>LA-120 /506003</v>
      </c>
      <c r="S1705" s="1" t="str">
        <f>VLOOKUP(SALIDAS111518[[#This Row],[CÓDIGO]],PRODUCTOS31316[],3,FALSE)</f>
        <v>LíNEA PARA OPU 1,2 METROS</v>
      </c>
      <c r="T1705" s="2">
        <v>5</v>
      </c>
      <c r="U1705" s="2">
        <v>752</v>
      </c>
      <c r="V1705" s="2"/>
      <c r="W1705" s="2"/>
      <c r="X1705" s="2"/>
      <c r="Y1705" s="7"/>
      <c r="Z1705" s="2"/>
      <c r="AA1705" s="1"/>
      <c r="AC1705" s="2"/>
      <c r="AE1705" s="1"/>
      <c r="AG1705" s="2"/>
    </row>
    <row r="1706" spans="12:33" ht="49.95" customHeight="1" x14ac:dyDescent="0.3">
      <c r="L1706" s="360" t="s">
        <v>3520</v>
      </c>
      <c r="M1706" s="360" t="s">
        <v>4922</v>
      </c>
      <c r="N1706" s="371" t="s">
        <v>5151</v>
      </c>
      <c r="O1706" s="360" t="s">
        <v>2204</v>
      </c>
      <c r="P1706" s="16">
        <v>46162</v>
      </c>
      <c r="Q1706" s="360" t="s">
        <v>3242</v>
      </c>
      <c r="R1706" s="2" t="str">
        <f>VLOOKUP(SALIDAS111518[[#This Row],[CÓDIGO]],PRODUCTOS31316[],2,FALSE)</f>
        <v>1111-1800</v>
      </c>
      <c r="S1706" s="1" t="str">
        <f>VLOOKUP(SALIDAS111518[[#This Row],[CÓDIGO]],PRODUCTOS31316[],3,FALSE)</f>
        <v>RACK DE PUNTAS 200 UL NO ESTERIL/   LT M1355851</v>
      </c>
      <c r="T1706" s="2">
        <v>13</v>
      </c>
      <c r="U1706" s="360" t="s">
        <v>4990</v>
      </c>
      <c r="V1706" s="2"/>
      <c r="W1706" s="2"/>
      <c r="X1706" s="2"/>
      <c r="Y1706" s="7"/>
      <c r="Z1706" s="2"/>
      <c r="AA1706" s="1"/>
      <c r="AC1706" s="2"/>
      <c r="AE1706" s="1"/>
      <c r="AG1706" s="2"/>
    </row>
    <row r="1707" spans="12:33" ht="49.95" customHeight="1" x14ac:dyDescent="0.3">
      <c r="L1707" s="2"/>
      <c r="M1707" s="2"/>
      <c r="N1707" s="2">
        <v>8425</v>
      </c>
      <c r="O1707" s="360" t="s">
        <v>2204</v>
      </c>
      <c r="P1707" s="16">
        <v>46162</v>
      </c>
      <c r="Q1707" s="360" t="s">
        <v>247</v>
      </c>
      <c r="R1707" s="2">
        <f>VLOOKUP(SALIDAS111518[[#This Row],[CÓDIGO]],PRODUCTOS31316[],2,FALSE)</f>
        <v>352054</v>
      </c>
      <c r="S1707" s="1" t="str">
        <f>VLOOKUP(SALIDAS111518[[#This Row],[CÓDIGO]],PRODUCTOS31316[],3,FALSE)</f>
        <v>TUBO DE FONDO REDONDO DE 5ML 12X75MM , POLIESTIRENO</v>
      </c>
      <c r="T1707" s="2">
        <v>3</v>
      </c>
      <c r="U1707" s="2"/>
      <c r="V1707" s="2"/>
      <c r="W1707" s="2"/>
      <c r="X1707" s="2"/>
      <c r="Y1707" s="7"/>
      <c r="Z1707" s="2"/>
      <c r="AA1707" s="1"/>
      <c r="AC1707" s="2"/>
      <c r="AE1707" s="1"/>
      <c r="AG1707" s="2"/>
    </row>
    <row r="1708" spans="12:33" ht="49.95" customHeight="1" x14ac:dyDescent="0.3">
      <c r="L1708" s="2"/>
      <c r="M1708" s="2"/>
      <c r="N1708" s="2">
        <v>8425</v>
      </c>
      <c r="O1708" s="360" t="s">
        <v>2204</v>
      </c>
      <c r="P1708" s="16">
        <v>46162</v>
      </c>
      <c r="Q1708" s="360" t="s">
        <v>3168</v>
      </c>
      <c r="R1708" s="2" t="str">
        <f>VLOOKUP(SALIDAS111518[[#This Row],[CÓDIGO]],PRODUCTOS31316[],2,FALSE)</f>
        <v>MCTB015</v>
      </c>
      <c r="S1708" s="1" t="str">
        <f>VLOOKUP(SALIDAS111518[[#This Row],[CÓDIGO]],PRODUCTOS31316[],3,FALSE)</f>
        <v>TUBO CONICO DE 1,5ml PRE ESTERILIZADO LIBRE DE Rnasa y Dnasa No pirogenico No DNA Humano Tapa a Presion</v>
      </c>
      <c r="T1708" s="2">
        <v>3</v>
      </c>
      <c r="U1708" s="2"/>
      <c r="V1708" s="2"/>
      <c r="W1708" s="2"/>
      <c r="X1708" s="2"/>
      <c r="Y1708" s="7"/>
      <c r="Z1708" s="2"/>
      <c r="AA1708" s="1"/>
      <c r="AC1708" s="2"/>
      <c r="AE1708" s="1"/>
      <c r="AG1708" s="2"/>
    </row>
    <row r="1709" spans="12:33" ht="49.95" customHeight="1" x14ac:dyDescent="0.3">
      <c r="L1709" s="2"/>
      <c r="M1709" s="2"/>
      <c r="N1709" s="2">
        <v>8425</v>
      </c>
      <c r="O1709" s="360" t="s">
        <v>2204</v>
      </c>
      <c r="P1709" s="16">
        <v>46162</v>
      </c>
      <c r="Q1709" s="360" t="s">
        <v>1089</v>
      </c>
      <c r="R1709" s="2">
        <f>VLOOKUP(SALIDAS111518[[#This Row],[CÓDIGO]],PRODUCTOS31316[],2,FALSE)</f>
        <v>605005</v>
      </c>
      <c r="S1709" s="1" t="str">
        <f>VLOOKUP(SALIDAS111518[[#This Row],[CÓDIGO]],PRODUCTOS31316[],3,FALSE)</f>
        <v>HISOPO DE CULTIVO UTERINO EQUINO. ESTÉRIL</v>
      </c>
      <c r="T1709" s="2">
        <v>10</v>
      </c>
      <c r="U1709" s="2"/>
      <c r="V1709" s="2"/>
      <c r="W1709" s="2"/>
      <c r="X1709" s="2"/>
      <c r="Y1709" s="7"/>
      <c r="Z1709" s="2"/>
      <c r="AA1709" s="1"/>
      <c r="AC1709" s="2"/>
      <c r="AE1709" s="1"/>
      <c r="AG1709" s="2"/>
    </row>
    <row r="1710" spans="12:33" ht="49.95" customHeight="1" x14ac:dyDescent="0.3">
      <c r="L1710" s="2"/>
      <c r="M1710" s="2"/>
      <c r="N1710" s="2">
        <v>8425</v>
      </c>
      <c r="O1710" s="360" t="s">
        <v>2204</v>
      </c>
      <c r="P1710" s="16">
        <v>46162</v>
      </c>
      <c r="Q1710" s="360" t="s">
        <v>167</v>
      </c>
      <c r="R1710" s="2" t="str">
        <f>VLOOKUP(SALIDAS111518[[#This Row],[CÓDIGO]],PRODUCTOS31316[],2,FALSE)</f>
        <v>50050-1</v>
      </c>
      <c r="S1710" s="1" t="str">
        <f>VLOOKUP(SALIDAS111518[[#This Row],[CÓDIGO]],PRODUCTOS31316[],3,FALSE)</f>
        <v>TUBO CONICO PLUG, AUTOCLAVABLE ESTERIL  TAPA ROSCA DE 50 ML</v>
      </c>
      <c r="T1710" s="2">
        <v>4</v>
      </c>
      <c r="U1710" s="2"/>
      <c r="V1710" s="2"/>
      <c r="W1710" s="2"/>
      <c r="X1710" s="2"/>
      <c r="Y1710" s="7"/>
      <c r="Z1710" s="2"/>
      <c r="AA1710" s="1"/>
      <c r="AC1710" s="2"/>
      <c r="AE1710" s="1"/>
      <c r="AG1710" s="2"/>
    </row>
    <row r="1711" spans="12:33" ht="49.95" customHeight="1" x14ac:dyDescent="0.3">
      <c r="L1711" s="2" t="s">
        <v>3521</v>
      </c>
      <c r="M1711" s="2" t="s">
        <v>4922</v>
      </c>
      <c r="N1711" s="1" t="s">
        <v>4998</v>
      </c>
      <c r="O1711" s="2" t="s">
        <v>4991</v>
      </c>
      <c r="P1711" s="16">
        <v>46149</v>
      </c>
      <c r="Q1711" s="2" t="s">
        <v>15</v>
      </c>
      <c r="R1711" s="2" t="str">
        <f>VLOOKUP(SALIDAS111518[[#This Row],[CÓDIGO]],PRODUCTOS31316[],2,FALSE)</f>
        <v>BTE-025PT/ 504002</v>
      </c>
      <c r="S1711" s="1" t="str">
        <f>VLOOKUP(SALIDAS111518[[#This Row],[CÓDIGO]],PRODUCTOS31316[],3,FALSE)</f>
        <v>FUNDAS PARA TRANSFERENCIA DE EMBRIONES</v>
      </c>
      <c r="T1711" s="2">
        <v>50</v>
      </c>
      <c r="U1711" s="2">
        <v>755</v>
      </c>
      <c r="V1711" s="2"/>
      <c r="W1711" s="2"/>
      <c r="X1711" s="2"/>
      <c r="Y1711" s="7"/>
      <c r="Z1711" s="2"/>
      <c r="AA1711" s="1"/>
      <c r="AC1711" s="2"/>
      <c r="AE1711" s="1"/>
      <c r="AG1711" s="2"/>
    </row>
    <row r="1712" spans="12:33" ht="49.95" customHeight="1" x14ac:dyDescent="0.3">
      <c r="L1712" s="2"/>
      <c r="M1712" s="2"/>
      <c r="N1712" s="2">
        <v>8337</v>
      </c>
      <c r="O1712" s="2" t="s">
        <v>4991</v>
      </c>
      <c r="P1712" s="16">
        <v>46149</v>
      </c>
      <c r="Q1712" s="2" t="s">
        <v>1779</v>
      </c>
      <c r="R1712" s="2">
        <f>VLOOKUP(SALIDAS111518[[#This Row],[CÓDIGO]],PRODUCTOS31316[],2,FALSE)</f>
        <v>5563</v>
      </c>
      <c r="S1712" s="1" t="str">
        <f>VLOOKUP(SALIDAS111518[[#This Row],[CÓDIGO]],PRODUCTOS31316[],3,FALSE)</f>
        <v>CAMISA SANITARIA ROLLO X 80</v>
      </c>
      <c r="T1712" s="2">
        <v>2</v>
      </c>
      <c r="U1712" s="2"/>
      <c r="V1712" s="2"/>
      <c r="W1712" s="2"/>
      <c r="X1712" s="2"/>
      <c r="Y1712" s="7"/>
      <c r="Z1712" s="2"/>
      <c r="AA1712" s="1"/>
      <c r="AC1712" s="2"/>
      <c r="AE1712" s="1"/>
      <c r="AG1712" s="2"/>
    </row>
    <row r="1713" spans="12:33" ht="49.95" customHeight="1" x14ac:dyDescent="0.3">
      <c r="L1713" s="2" t="s">
        <v>3520</v>
      </c>
      <c r="M1713" s="2" t="s">
        <v>4922</v>
      </c>
      <c r="N1713" s="1" t="s">
        <v>4999</v>
      </c>
      <c r="O1713" s="1" t="s">
        <v>4392</v>
      </c>
      <c r="P1713" s="16">
        <v>46149</v>
      </c>
      <c r="Q1713" s="2" t="s">
        <v>651</v>
      </c>
      <c r="R1713" s="2">
        <f>VLOOKUP(SALIDAS111518[[#This Row],[CÓDIGO]],PRODUCTOS31316[],2,FALSE)</f>
        <v>18367</v>
      </c>
      <c r="S1713" s="1" t="str">
        <f>VLOOKUP(SALIDAS111518[[#This Row],[CÓDIGO]],PRODUCTOS31316[],3,FALSE)</f>
        <v>PISTOLA DE INSEMINACIÓN UNIVERSAL (AUTOMATIC LOCK)</v>
      </c>
      <c r="T1713" s="2">
        <v>1</v>
      </c>
      <c r="U1713" s="2">
        <v>756</v>
      </c>
      <c r="V1713" s="2"/>
      <c r="W1713" s="2"/>
      <c r="X1713" s="2"/>
      <c r="Y1713" s="7"/>
      <c r="Z1713" s="2"/>
      <c r="AA1713" s="1"/>
      <c r="AC1713" s="2"/>
      <c r="AE1713" s="1"/>
      <c r="AG1713" s="2"/>
    </row>
    <row r="1714" spans="12:33" ht="49.95" customHeight="1" x14ac:dyDescent="0.3">
      <c r="L1714" s="2" t="s">
        <v>3520</v>
      </c>
      <c r="M1714" s="2" t="s">
        <v>4922</v>
      </c>
      <c r="N1714" s="1" t="s">
        <v>5000</v>
      </c>
      <c r="O1714" s="2" t="s">
        <v>2446</v>
      </c>
      <c r="P1714" s="16">
        <v>46149</v>
      </c>
      <c r="Q1714" s="2" t="s">
        <v>15</v>
      </c>
      <c r="R1714" s="2" t="str">
        <f>VLOOKUP(SALIDAS111518[[#This Row],[CÓDIGO]],PRODUCTOS31316[],2,FALSE)</f>
        <v>BTE-025PT/ 504002</v>
      </c>
      <c r="S1714" s="1" t="str">
        <f>VLOOKUP(SALIDAS111518[[#This Row],[CÓDIGO]],PRODUCTOS31316[],3,FALSE)</f>
        <v>FUNDAS PARA TRANSFERENCIA DE EMBRIONES</v>
      </c>
      <c r="T1714" s="2">
        <v>100</v>
      </c>
      <c r="U1714" s="2">
        <v>757</v>
      </c>
      <c r="V1714" s="2"/>
      <c r="W1714" s="2"/>
      <c r="X1714" s="2"/>
      <c r="Y1714" s="7"/>
      <c r="Z1714" s="2"/>
      <c r="AA1714" s="1"/>
      <c r="AC1714" s="2"/>
      <c r="AE1714" s="1"/>
      <c r="AG1714" s="2"/>
    </row>
    <row r="1715" spans="12:33" ht="49.95" customHeight="1" x14ac:dyDescent="0.3">
      <c r="L1715" s="2"/>
      <c r="M1715" s="2"/>
      <c r="N1715" s="2">
        <v>8339</v>
      </c>
      <c r="O1715" s="2" t="s">
        <v>2446</v>
      </c>
      <c r="P1715" s="16">
        <v>46149</v>
      </c>
      <c r="Q1715" s="2" t="s">
        <v>1779</v>
      </c>
      <c r="R1715" s="2">
        <f>VLOOKUP(SALIDAS111518[[#This Row],[CÓDIGO]],PRODUCTOS31316[],2,FALSE)</f>
        <v>5563</v>
      </c>
      <c r="S1715" s="1" t="str">
        <f>VLOOKUP(SALIDAS111518[[#This Row],[CÓDIGO]],PRODUCTOS31316[],3,FALSE)</f>
        <v>CAMISA SANITARIA ROLLO X 80</v>
      </c>
      <c r="T1715" s="2">
        <v>10</v>
      </c>
      <c r="U1715" s="2"/>
      <c r="V1715" s="2"/>
      <c r="W1715" s="2"/>
      <c r="X1715" s="2"/>
      <c r="Y1715" s="7"/>
      <c r="Z1715" s="2"/>
      <c r="AA1715" s="1"/>
      <c r="AC1715" s="2"/>
      <c r="AE1715" s="1"/>
      <c r="AG1715" s="2"/>
    </row>
    <row r="1716" spans="12:33" ht="49.95" customHeight="1" x14ac:dyDescent="0.3">
      <c r="L1716" s="2"/>
      <c r="M1716" s="2"/>
      <c r="N1716" s="2">
        <v>8339</v>
      </c>
      <c r="O1716" s="2" t="s">
        <v>2446</v>
      </c>
      <c r="P1716" s="16">
        <v>46149</v>
      </c>
      <c r="Q1716" s="2" t="s">
        <v>3303</v>
      </c>
      <c r="R1716" s="2">
        <f>VLOOKUP(SALIDAS111518[[#This Row],[CÓDIGO]],PRODUCTOS31316[],2,FALSE)</f>
        <v>10</v>
      </c>
      <c r="S1716" s="1" t="str">
        <f>VLOOKUP(SALIDAS111518[[#This Row],[CÓDIGO]],PRODUCTOS31316[],3,FALSE)</f>
        <v>CAJA PETRI 4 POZOS / 3,026X3,026 CM</v>
      </c>
      <c r="T1716" s="2">
        <v>10</v>
      </c>
      <c r="U1716" s="2"/>
      <c r="V1716" s="2"/>
      <c r="W1716" s="2"/>
      <c r="X1716" s="2"/>
      <c r="Y1716" s="7"/>
      <c r="Z1716" s="2"/>
      <c r="AA1716" s="1"/>
      <c r="AC1716" s="2"/>
      <c r="AE1716" s="1"/>
      <c r="AG1716" s="2"/>
    </row>
    <row r="1717" spans="12:33" ht="49.95" customHeight="1" x14ac:dyDescent="0.3">
      <c r="L1717" s="2" t="s">
        <v>3520</v>
      </c>
      <c r="M1717" s="2" t="s">
        <v>4922</v>
      </c>
      <c r="N1717" s="1" t="s">
        <v>5001</v>
      </c>
      <c r="O1717" s="2" t="s">
        <v>3071</v>
      </c>
      <c r="P1717" s="16">
        <v>46149</v>
      </c>
      <c r="Q1717" s="2" t="s">
        <v>2246</v>
      </c>
      <c r="R1717" s="2" t="str">
        <f>VLOOKUP(SALIDAS111518[[#This Row],[CÓDIGO]],PRODUCTOS31316[],2,FALSE)</f>
        <v>00051076-02</v>
      </c>
      <c r="S1717" s="1" t="str">
        <f>VLOOKUP(SALIDAS111518[[#This Row],[CÓDIGO]],PRODUCTOS31316[],3,FALSE)</f>
        <v>LIDOCAÍNA  HCL 2 % X 100 ML/ 2025-12-16</v>
      </c>
      <c r="T1717" s="2">
        <v>3</v>
      </c>
      <c r="U1717" s="2">
        <v>758</v>
      </c>
      <c r="V1717" s="2"/>
      <c r="W1717" s="2"/>
      <c r="X1717" s="2"/>
      <c r="Y1717" s="7"/>
      <c r="Z1717" s="2"/>
      <c r="AA1717" s="1"/>
      <c r="AC1717" s="2"/>
      <c r="AE1717" s="1"/>
      <c r="AG1717" s="2"/>
    </row>
    <row r="1718" spans="12:33" ht="49.95" customHeight="1" x14ac:dyDescent="0.3">
      <c r="L1718" s="364" t="s">
        <v>3520</v>
      </c>
      <c r="M1718" s="364" t="s">
        <v>4922</v>
      </c>
      <c r="N1718" s="365" t="s">
        <v>5003</v>
      </c>
      <c r="O1718" s="364" t="s">
        <v>3187</v>
      </c>
      <c r="P1718" s="16">
        <v>46149</v>
      </c>
      <c r="Q1718" s="364" t="s">
        <v>438</v>
      </c>
      <c r="R1718" s="2">
        <f>VLOOKUP(SALIDAS111518[[#This Row],[CÓDIGO]],PRODUCTOS31316[],2,FALSE)</f>
        <v>18421</v>
      </c>
      <c r="S1718" s="1" t="str">
        <f>VLOOKUP(SALIDAS111518[[#This Row],[CÓDIGO]],PRODUCTOS31316[],3,FALSE)</f>
        <v xml:space="preserve">PISTOLA DE TRANSFERENCIA DE EMBRIONES 0,25 / BLOQUEO AUTOMÁTICO </v>
      </c>
      <c r="T1718" s="2">
        <v>1</v>
      </c>
      <c r="U1718" s="2">
        <v>759</v>
      </c>
      <c r="V1718" s="2"/>
      <c r="W1718" s="2"/>
      <c r="X1718" s="2"/>
      <c r="Y1718" s="7"/>
      <c r="Z1718" s="2"/>
      <c r="AA1718" s="1"/>
      <c r="AC1718" s="2"/>
      <c r="AE1718" s="1"/>
      <c r="AG1718" s="2"/>
    </row>
    <row r="1719" spans="12:33" ht="49.95" customHeight="1" x14ac:dyDescent="0.3">
      <c r="L1719" s="2"/>
      <c r="M1719" s="2"/>
      <c r="N1719" s="2">
        <v>8341</v>
      </c>
      <c r="O1719" s="364" t="s">
        <v>3187</v>
      </c>
      <c r="P1719" s="16">
        <v>46149</v>
      </c>
      <c r="Q1719" s="364" t="s">
        <v>15</v>
      </c>
      <c r="R1719" s="2" t="str">
        <f>VLOOKUP(SALIDAS111518[[#This Row],[CÓDIGO]],PRODUCTOS31316[],2,FALSE)</f>
        <v>BTE-025PT/ 504002</v>
      </c>
      <c r="S1719" s="1" t="str">
        <f>VLOOKUP(SALIDAS111518[[#This Row],[CÓDIGO]],PRODUCTOS31316[],3,FALSE)</f>
        <v>FUNDAS PARA TRANSFERENCIA DE EMBRIONES</v>
      </c>
      <c r="T1719" s="2">
        <v>20</v>
      </c>
      <c r="U1719" s="2"/>
      <c r="V1719" s="2"/>
      <c r="W1719" s="2"/>
      <c r="X1719" s="2"/>
      <c r="Y1719" s="7"/>
      <c r="Z1719" s="2"/>
      <c r="AA1719" s="1"/>
      <c r="AC1719" s="2"/>
      <c r="AE1719" s="1"/>
      <c r="AG1719" s="2"/>
    </row>
    <row r="1720" spans="12:33" ht="49.95" customHeight="1" x14ac:dyDescent="0.3">
      <c r="L1720" s="2" t="s">
        <v>3520</v>
      </c>
      <c r="M1720" s="2" t="s">
        <v>4922</v>
      </c>
      <c r="N1720" s="1" t="s">
        <v>5012</v>
      </c>
      <c r="O1720" s="2" t="s">
        <v>2215</v>
      </c>
      <c r="P1720" s="16">
        <v>46150</v>
      </c>
      <c r="Q1720" s="2" t="s">
        <v>63</v>
      </c>
      <c r="R1720" s="2">
        <f>VLOOKUP(SALIDAS111518[[#This Row],[CÓDIGO]],PRODUCTOS31316[],2,FALSE)</f>
        <v>25458</v>
      </c>
      <c r="S1720" s="1" t="str">
        <f>VLOOKUP(SALIDAS111518[[#This Row],[CÓDIGO]],PRODUCTOS31316[],3,FALSE)</f>
        <v>FILTROS PARA OPU 100 UL</v>
      </c>
      <c r="T1720" s="2">
        <v>1</v>
      </c>
      <c r="U1720" s="2">
        <v>760</v>
      </c>
      <c r="V1720" s="2"/>
      <c r="W1720" s="2"/>
      <c r="X1720" s="2"/>
      <c r="Y1720" s="7"/>
      <c r="Z1720" s="2"/>
      <c r="AA1720" s="1"/>
      <c r="AC1720" s="2"/>
      <c r="AE1720" s="1"/>
      <c r="AG1720" s="2"/>
    </row>
    <row r="1721" spans="12:33" ht="49.95" customHeight="1" x14ac:dyDescent="0.3">
      <c r="L1721" s="2"/>
      <c r="M1721" s="2"/>
      <c r="N1721" s="2">
        <v>8342</v>
      </c>
      <c r="O1721" s="2" t="s">
        <v>2215</v>
      </c>
      <c r="P1721" s="16">
        <v>46150</v>
      </c>
      <c r="Q1721" s="2" t="s">
        <v>33</v>
      </c>
      <c r="R1721" s="2" t="str">
        <f>VLOOKUP(SALIDAS111518[[#This Row],[CÓDIGO]],PRODUCTOS31316[],2,FALSE)</f>
        <v>LA-120 /506003</v>
      </c>
      <c r="S1721" s="1" t="str">
        <f>VLOOKUP(SALIDAS111518[[#This Row],[CÓDIGO]],PRODUCTOS31316[],3,FALSE)</f>
        <v>LíNEA PARA OPU 1,2 METROS</v>
      </c>
      <c r="T1721" s="2">
        <v>1</v>
      </c>
      <c r="U1721" s="2"/>
      <c r="V1721" s="2"/>
      <c r="W1721" s="2"/>
      <c r="X1721" s="2"/>
      <c r="Y1721" s="7"/>
      <c r="Z1721" s="2"/>
      <c r="AA1721" s="1"/>
      <c r="AC1721" s="2"/>
      <c r="AE1721" s="1"/>
      <c r="AG1721" s="2"/>
    </row>
    <row r="1722" spans="12:33" ht="49.95" customHeight="1" x14ac:dyDescent="0.3">
      <c r="L1722" s="2"/>
      <c r="M1722" s="2"/>
      <c r="N1722" s="2">
        <v>8342</v>
      </c>
      <c r="O1722" s="2" t="s">
        <v>2215</v>
      </c>
      <c r="P1722" s="16">
        <v>46150</v>
      </c>
      <c r="Q1722" s="2" t="s">
        <v>4386</v>
      </c>
      <c r="R1722" s="2">
        <f>VLOOKUP(SALIDAS111518[[#This Row],[CÓDIGO]],PRODUCTOS31316[],2,FALSE)</f>
        <v>754001</v>
      </c>
      <c r="S1722" s="1" t="str">
        <f>VLOOKUP(SALIDAS111518[[#This Row],[CÓDIGO]],PRODUCTOS31316[],3,FALSE)</f>
        <v>CAJA PETRI DESECHABLE ESTERIL 60X15MM MARCA: NEST</v>
      </c>
      <c r="T1722" s="2">
        <v>10</v>
      </c>
      <c r="U1722" s="2"/>
      <c r="V1722" s="2"/>
      <c r="W1722" s="2"/>
      <c r="X1722" s="2"/>
      <c r="Y1722" s="7"/>
      <c r="Z1722" s="2"/>
      <c r="AA1722" s="1"/>
      <c r="AC1722" s="2"/>
      <c r="AE1722" s="1"/>
      <c r="AG1722" s="2"/>
    </row>
    <row r="1723" spans="12:33" ht="49.95" customHeight="1" x14ac:dyDescent="0.3">
      <c r="L1723" s="2" t="s">
        <v>3520</v>
      </c>
      <c r="M1723" s="2" t="s">
        <v>4922</v>
      </c>
      <c r="N1723" s="1" t="s">
        <v>5013</v>
      </c>
      <c r="O1723" s="366" t="s">
        <v>5010</v>
      </c>
      <c r="P1723" s="16">
        <v>46150</v>
      </c>
      <c r="Q1723" s="2" t="s">
        <v>913</v>
      </c>
      <c r="R1723" s="2" t="str">
        <f>VLOOKUP(SALIDAS111518[[#This Row],[CÓDIGO]],PRODUCTOS31316[],2,FALSE)</f>
        <v>HC-R069</v>
      </c>
      <c r="S1723" s="1" t="str">
        <f>VLOOKUP(SALIDAS111518[[#This Row],[CÓDIGO]],PRODUCTOS31316[],3,FALSE)</f>
        <v>MICROSCOPIO CON PLATINA Y PANTALLA 7"</v>
      </c>
      <c r="T1723" s="2">
        <v>1</v>
      </c>
      <c r="U1723" s="2">
        <v>761</v>
      </c>
      <c r="V1723" s="2"/>
      <c r="W1723" s="2" t="s">
        <v>3194</v>
      </c>
      <c r="X1723" s="2"/>
      <c r="Y1723" s="7"/>
      <c r="Z1723" s="2"/>
      <c r="AA1723" s="1"/>
      <c r="AC1723" s="2"/>
      <c r="AE1723" s="1"/>
      <c r="AG1723" s="2"/>
    </row>
    <row r="1724" spans="12:33" ht="49.95" customHeight="1" x14ac:dyDescent="0.3">
      <c r="L1724" s="2" t="s">
        <v>3521</v>
      </c>
      <c r="M1724" s="2" t="s">
        <v>4922</v>
      </c>
      <c r="N1724" s="1" t="s">
        <v>5014</v>
      </c>
      <c r="O1724" s="2" t="s">
        <v>5011</v>
      </c>
      <c r="P1724" s="16">
        <v>46150</v>
      </c>
      <c r="Q1724" s="2" t="s">
        <v>2364</v>
      </c>
      <c r="R1724" s="2">
        <f>VLOOKUP(SALIDAS111518[[#This Row],[CÓDIGO]],PRODUCTOS31316[],2,FALSE)</f>
        <v>0</v>
      </c>
      <c r="S1724" s="1" t="str">
        <f>VLOOKUP(SALIDAS111518[[#This Row],[CÓDIGO]],PRODUCTOS31316[],3,FALSE)</f>
        <v>CORTAPAJILLAS WTA</v>
      </c>
      <c r="T1724" s="2">
        <v>1</v>
      </c>
      <c r="U1724" s="2">
        <v>762</v>
      </c>
      <c r="V1724" s="2"/>
      <c r="W1724" s="2"/>
      <c r="X1724" s="2"/>
      <c r="Y1724" s="7"/>
      <c r="Z1724" s="2"/>
      <c r="AA1724" s="1"/>
      <c r="AC1724" s="2"/>
      <c r="AE1724" s="1"/>
      <c r="AG1724" s="2"/>
    </row>
    <row r="1725" spans="12:33" ht="49.95" customHeight="1" x14ac:dyDescent="0.3">
      <c r="L1725" s="2"/>
      <c r="M1725" s="2"/>
      <c r="N1725" s="2">
        <v>8344</v>
      </c>
      <c r="O1725" s="2" t="s">
        <v>5011</v>
      </c>
      <c r="P1725" s="16">
        <v>46150</v>
      </c>
      <c r="Q1725" s="2" t="s">
        <v>236</v>
      </c>
      <c r="R1725" s="2">
        <f>VLOOKUP(SALIDAS111518[[#This Row],[CÓDIGO]],PRODUCTOS31316[],2,FALSE)</f>
        <v>0</v>
      </c>
      <c r="S1725" s="1" t="str">
        <f>VLOOKUP(SALIDAS111518[[#This Row],[CÓDIGO]],PRODUCTOS31316[],3,FALSE)</f>
        <v>TERMO METÁLICO DESCONGELADOR</v>
      </c>
      <c r="T1725" s="2">
        <v>1</v>
      </c>
      <c r="U1725" s="2"/>
      <c r="V1725" s="2"/>
      <c r="W1725" s="2"/>
      <c r="X1725" s="2"/>
      <c r="Y1725" s="7"/>
      <c r="Z1725" s="2"/>
      <c r="AA1725" s="1"/>
      <c r="AC1725" s="2"/>
      <c r="AE1725" s="1"/>
      <c r="AG1725" s="2"/>
    </row>
    <row r="1726" spans="12:33" ht="49.95" customHeight="1" x14ac:dyDescent="0.3">
      <c r="L1726" s="2"/>
      <c r="M1726" s="2"/>
      <c r="N1726" s="2">
        <v>8344</v>
      </c>
      <c r="O1726" s="2" t="s">
        <v>5011</v>
      </c>
      <c r="P1726" s="16">
        <v>46150</v>
      </c>
      <c r="Q1726" s="2" t="s">
        <v>2382</v>
      </c>
      <c r="R1726" s="2">
        <f>VLOOKUP(SALIDAS111518[[#This Row],[CÓDIGO]],PRODUCTOS31316[],2,FALSE)</f>
        <v>1</v>
      </c>
      <c r="S1726" s="1" t="str">
        <f>VLOOKUP(SALIDAS111518[[#This Row],[CÓDIGO]],PRODUCTOS31316[],3,FALSE)</f>
        <v>TERMO DE TRANSPORTE 1 LITRO</v>
      </c>
      <c r="T1726" s="2">
        <v>1</v>
      </c>
      <c r="U1726" s="2"/>
      <c r="V1726" s="2"/>
      <c r="W1726" s="2"/>
      <c r="X1726" s="2"/>
      <c r="Y1726" s="7"/>
      <c r="Z1726" s="2"/>
      <c r="AA1726" s="1"/>
      <c r="AC1726" s="2"/>
      <c r="AE1726" s="1"/>
      <c r="AG1726" s="2"/>
    </row>
    <row r="1727" spans="12:33" ht="49.95" customHeight="1" x14ac:dyDescent="0.3">
      <c r="L1727" s="2"/>
      <c r="M1727" s="2"/>
      <c r="N1727" s="2">
        <v>8344</v>
      </c>
      <c r="O1727" s="2" t="s">
        <v>5011</v>
      </c>
      <c r="P1727" s="16">
        <v>46150</v>
      </c>
      <c r="Q1727" s="2" t="s">
        <v>210</v>
      </c>
      <c r="R1727" s="2">
        <f>VLOOKUP(SALIDAS111518[[#This Row],[CÓDIGO]],PRODUCTOS31316[],2,FALSE)</f>
        <v>101257</v>
      </c>
      <c r="S1727" s="1" t="str">
        <f>VLOOKUP(SALIDAS111518[[#This Row],[CÓDIGO]],PRODUCTOS31316[],3,FALSE)</f>
        <v>MANGA DESECHABLE SUPER SENSITIVA</v>
      </c>
      <c r="T1727" s="2">
        <v>1</v>
      </c>
      <c r="U1727" s="2"/>
      <c r="V1727" s="2"/>
      <c r="W1727" s="2"/>
      <c r="X1727" s="2"/>
      <c r="Y1727" s="7"/>
      <c r="Z1727" s="2"/>
      <c r="AA1727" s="1"/>
      <c r="AC1727" s="2"/>
      <c r="AE1727" s="1"/>
      <c r="AG1727" s="2"/>
    </row>
    <row r="1728" spans="12:33" ht="49.95" customHeight="1" x14ac:dyDescent="0.3">
      <c r="L1728" s="2"/>
      <c r="M1728" s="2"/>
      <c r="N1728" s="2">
        <v>8344</v>
      </c>
      <c r="O1728" s="2" t="s">
        <v>5011</v>
      </c>
      <c r="P1728" s="16">
        <v>46150</v>
      </c>
      <c r="Q1728" s="2" t="s">
        <v>581</v>
      </c>
      <c r="R1728" s="2">
        <f>VLOOKUP(SALIDAS111518[[#This Row],[CÓDIGO]],PRODUCTOS31316[],2,FALSE)</f>
        <v>11571</v>
      </c>
      <c r="S1728" s="1" t="str">
        <f>VLOOKUP(SALIDAS111518[[#This Row],[CÓDIGO]],PRODUCTOS31316[],3,FALSE)</f>
        <v>PINZA COGEPAJILLA</v>
      </c>
      <c r="T1728" s="2">
        <v>1</v>
      </c>
      <c r="U1728" s="2"/>
      <c r="V1728" s="2"/>
      <c r="W1728" s="2"/>
      <c r="X1728" s="2"/>
      <c r="Y1728" s="7"/>
      <c r="Z1728" s="2"/>
      <c r="AA1728" s="1"/>
      <c r="AC1728" s="2"/>
      <c r="AE1728" s="1"/>
      <c r="AG1728" s="2"/>
    </row>
    <row r="1729" spans="12:33" ht="49.95" customHeight="1" x14ac:dyDescent="0.3">
      <c r="L1729" s="2"/>
      <c r="M1729" s="2"/>
      <c r="N1729" s="2">
        <v>8344</v>
      </c>
      <c r="O1729" s="2" t="s">
        <v>5011</v>
      </c>
      <c r="P1729" s="16">
        <v>46150</v>
      </c>
      <c r="Q1729" s="2" t="s">
        <v>2377</v>
      </c>
      <c r="R1729" s="2">
        <f>VLOOKUP(SALIDAS111518[[#This Row],[CÓDIGO]],PRODUCTOS31316[],2,FALSE)</f>
        <v>347439</v>
      </c>
      <c r="S1729" s="1" t="str">
        <f>VLOOKUP(SALIDAS111518[[#This Row],[CÓDIGO]],PRODUCTOS31316[],3,FALSE)</f>
        <v>GOBLET AMARILLO 10 MM</v>
      </c>
      <c r="T1729" s="2">
        <v>1</v>
      </c>
      <c r="U1729" s="2"/>
      <c r="V1729" s="2"/>
      <c r="W1729" s="2"/>
      <c r="X1729" s="2"/>
      <c r="Y1729" s="7"/>
      <c r="Z1729" s="2"/>
      <c r="AA1729" s="1"/>
      <c r="AC1729" s="2"/>
      <c r="AE1729" s="1"/>
      <c r="AG1729" s="2"/>
    </row>
    <row r="1730" spans="12:33" ht="49.95" customHeight="1" x14ac:dyDescent="0.3">
      <c r="L1730" s="2" t="s">
        <v>3520</v>
      </c>
      <c r="M1730" s="2" t="s">
        <v>4922</v>
      </c>
      <c r="N1730" s="1" t="s">
        <v>5015</v>
      </c>
      <c r="O1730" s="2" t="s">
        <v>3276</v>
      </c>
      <c r="P1730" s="16">
        <v>46150</v>
      </c>
      <c r="Q1730" s="2" t="s">
        <v>3202</v>
      </c>
      <c r="R1730" s="2">
        <f>VLOOKUP(SALIDAS111518[[#This Row],[CÓDIGO]],PRODUCTOS31316[],2,FALSE)</f>
        <v>0</v>
      </c>
      <c r="S1730" s="1" t="str">
        <f>VLOOKUP(SALIDAS111518[[#This Row],[CÓDIGO]],PRODUCTOS31316[],3,FALSE)</f>
        <v>CABLE REPUESTO ECOGRAFO S5</v>
      </c>
      <c r="T1730" s="2">
        <v>2</v>
      </c>
      <c r="U1730" s="2">
        <v>763</v>
      </c>
      <c r="V1730" s="2"/>
      <c r="W1730" s="2" t="s">
        <v>2823</v>
      </c>
      <c r="X1730" s="2"/>
      <c r="Y1730" s="7"/>
      <c r="Z1730" s="2"/>
      <c r="AA1730" s="1"/>
      <c r="AC1730" s="2"/>
      <c r="AE1730" s="1"/>
      <c r="AG1730" s="2"/>
    </row>
    <row r="1731" spans="12:33" ht="49.95" customHeight="1" x14ac:dyDescent="0.3">
      <c r="L1731" s="366" t="s">
        <v>3521</v>
      </c>
      <c r="M1731" s="366" t="s">
        <v>4922</v>
      </c>
      <c r="N1731" s="367" t="s">
        <v>5019</v>
      </c>
      <c r="O1731" s="367" t="s">
        <v>5017</v>
      </c>
      <c r="P1731" s="16">
        <v>46150</v>
      </c>
      <c r="Q1731" s="366" t="s">
        <v>3346</v>
      </c>
      <c r="R1731" s="2" t="str">
        <f>VLOOKUP(SALIDAS111518[[#This Row],[CÓDIGO]],PRODUCTOS31316[],2,FALSE)</f>
        <v>S7PRO</v>
      </c>
      <c r="S1731" s="1" t="str">
        <f>VLOOKUP(SALIDAS111518[[#This Row],[CÓDIGO]],PRODUCTOS31316[],3,FALSE)</f>
        <v>ECÓGRAFO S7 PRO VET CON SONDA LINEAL RECTAL</v>
      </c>
      <c r="T1731" s="2">
        <v>1</v>
      </c>
      <c r="U1731" s="2">
        <v>765</v>
      </c>
      <c r="V1731" s="2"/>
      <c r="W1731" s="2"/>
      <c r="X1731" s="2"/>
      <c r="Y1731" s="7"/>
      <c r="Z1731" s="2"/>
      <c r="AA1731" s="1"/>
      <c r="AC1731" s="2"/>
      <c r="AE1731" s="1"/>
      <c r="AG1731" s="2"/>
    </row>
    <row r="1732" spans="12:33" ht="49.95" customHeight="1" x14ac:dyDescent="0.3">
      <c r="L1732" s="2"/>
      <c r="M1732" s="2"/>
      <c r="N1732" s="2">
        <v>8347</v>
      </c>
      <c r="O1732" s="367" t="s">
        <v>5017</v>
      </c>
      <c r="P1732" s="16">
        <v>46150</v>
      </c>
      <c r="Q1732" s="366" t="s">
        <v>3286</v>
      </c>
      <c r="R1732" s="2">
        <f>VLOOKUP(SALIDAS111518[[#This Row],[CÓDIGO]],PRODUCTOS31316[],2,FALSE)</f>
        <v>0</v>
      </c>
      <c r="S1732" s="1" t="str">
        <f>VLOOKUP(SALIDAS111518[[#This Row],[CÓDIGO]],PRODUCTOS31316[],3,FALSE)</f>
        <v>CARCASA TABLET BMV</v>
      </c>
      <c r="T1732" s="2">
        <v>1</v>
      </c>
      <c r="U1732" s="2"/>
      <c r="V1732" s="2"/>
      <c r="W1732" s="2"/>
      <c r="X1732" s="2"/>
      <c r="Y1732" s="7"/>
      <c r="Z1732" s="2"/>
      <c r="AA1732" s="1"/>
      <c r="AC1732" s="2"/>
      <c r="AE1732" s="1"/>
      <c r="AG1732" s="2"/>
    </row>
    <row r="1733" spans="12:33" ht="49.95" customHeight="1" x14ac:dyDescent="0.3">
      <c r="L1733" s="2"/>
      <c r="M1733" s="2"/>
      <c r="N1733" s="2">
        <v>8347</v>
      </c>
      <c r="O1733" s="367" t="s">
        <v>5017</v>
      </c>
      <c r="P1733" s="16">
        <v>46150</v>
      </c>
      <c r="Q1733" s="366" t="s">
        <v>3365</v>
      </c>
      <c r="R1733" s="2">
        <f>VLOOKUP(SALIDAS111518[[#This Row],[CÓDIGO]],PRODUCTOS31316[],2,FALSE)</f>
        <v>0</v>
      </c>
      <c r="S1733" s="1" t="str">
        <f>VLOOKUP(SALIDAS111518[[#This Row],[CÓDIGO]],PRODUCTOS31316[],3,FALSE)</f>
        <v>MANGA DE PROTECCIÓN PALPACIÓN MAS CAMPO</v>
      </c>
      <c r="T1733" s="2">
        <v>1</v>
      </c>
      <c r="U1733" s="2"/>
      <c r="V1733" s="2"/>
      <c r="W1733" s="2"/>
      <c r="X1733" s="2"/>
      <c r="Y1733" s="7"/>
      <c r="Z1733" s="2"/>
      <c r="AA1733" s="1"/>
      <c r="AC1733" s="2"/>
      <c r="AE1733" s="1"/>
      <c r="AG1733" s="2"/>
    </row>
    <row r="1734" spans="12:33" ht="49.95" customHeight="1" x14ac:dyDescent="0.3">
      <c r="L1734" s="2"/>
      <c r="M1734" s="2"/>
      <c r="N1734" s="2">
        <v>8347</v>
      </c>
      <c r="O1734" s="367" t="s">
        <v>5017</v>
      </c>
      <c r="P1734" s="16">
        <v>46150</v>
      </c>
      <c r="Q1734" s="366" t="s">
        <v>3095</v>
      </c>
      <c r="R1734" s="2">
        <f>VLOOKUP(SALIDAS111518[[#This Row],[CÓDIGO]],PRODUCTOS31316[],2,FALSE)</f>
        <v>0</v>
      </c>
      <c r="S1734" s="1" t="str">
        <f>VLOOKUP(SALIDAS111518[[#This Row],[CÓDIGO]],PRODUCTOS31316[],3,FALSE)</f>
        <v>GORRA MAS CAMPO</v>
      </c>
      <c r="T1734" s="2">
        <v>1</v>
      </c>
      <c r="U1734" s="2"/>
      <c r="V1734" s="2"/>
      <c r="W1734" s="2"/>
      <c r="X1734" s="2"/>
      <c r="Y1734" s="7"/>
      <c r="Z1734" s="2"/>
      <c r="AA1734" s="1"/>
      <c r="AC1734" s="2"/>
      <c r="AE1734" s="1"/>
      <c r="AG1734" s="2"/>
    </row>
    <row r="1735" spans="12:33" ht="49.95" customHeight="1" x14ac:dyDescent="0.3">
      <c r="L1735" s="366" t="s">
        <v>3521</v>
      </c>
      <c r="M1735" s="366" t="s">
        <v>4922</v>
      </c>
      <c r="N1735" s="371" t="s">
        <v>5152</v>
      </c>
      <c r="O1735" s="367" t="s">
        <v>3485</v>
      </c>
      <c r="P1735" s="16">
        <v>46177</v>
      </c>
      <c r="Q1735" s="366" t="s">
        <v>648</v>
      </c>
      <c r="R1735" s="2" t="str">
        <f>VLOOKUP(SALIDAS111518[[#This Row],[CÓDIGO]],PRODUCTOS31316[],2,FALSE)</f>
        <v>S5</v>
      </c>
      <c r="S1735" s="1" t="str">
        <f>VLOOKUP(SALIDAS111518[[#This Row],[CÓDIGO]],PRODUCTOS31316[],3,FALSE)</f>
        <v>SONDA S5 UNIDAD PRINCIPAL CON SONDA LINEAL RECTAL</v>
      </c>
      <c r="T1735" s="2">
        <v>1</v>
      </c>
      <c r="U1735" s="15"/>
      <c r="V1735" s="2"/>
      <c r="W1735" s="366" t="s">
        <v>2823</v>
      </c>
      <c r="X1735" s="2"/>
      <c r="Y1735" s="7"/>
      <c r="Z1735" s="2"/>
      <c r="AA1735" s="1"/>
      <c r="AC1735" s="2"/>
      <c r="AE1735" s="1"/>
      <c r="AG1735" s="2"/>
    </row>
    <row r="1736" spans="12:33" ht="49.95" customHeight="1" x14ac:dyDescent="0.3">
      <c r="L1736" s="2"/>
      <c r="M1736" s="2"/>
      <c r="N1736" s="2">
        <v>8514</v>
      </c>
      <c r="O1736" s="367" t="s">
        <v>3485</v>
      </c>
      <c r="P1736" s="16">
        <v>46177</v>
      </c>
      <c r="Q1736" s="366" t="s">
        <v>3791</v>
      </c>
      <c r="R1736" s="2">
        <f>VLOOKUP(SALIDAS111518[[#This Row],[CÓDIGO]],PRODUCTOS31316[],2,FALSE)</f>
        <v>6936520864546</v>
      </c>
      <c r="S1736" s="1" t="str">
        <f>VLOOKUP(SALIDAS111518[[#This Row],[CÓDIGO]],PRODUCTOS31316[],3,FALSE)</f>
        <v>TABLET 11" HONOR PAD X8A 128 GB</v>
      </c>
      <c r="T1736" s="2">
        <v>1</v>
      </c>
      <c r="U1736" s="2"/>
      <c r="V1736" s="2"/>
      <c r="W1736" s="2"/>
      <c r="X1736" s="2"/>
      <c r="Y1736" s="7"/>
      <c r="Z1736" s="2"/>
      <c r="AA1736" s="1"/>
      <c r="AC1736" s="2"/>
      <c r="AE1736" s="1"/>
      <c r="AG1736" s="2"/>
    </row>
    <row r="1737" spans="12:33" ht="49.95" customHeight="1" x14ac:dyDescent="0.3">
      <c r="L1737" s="2"/>
      <c r="M1737" s="2"/>
      <c r="N1737" s="2">
        <v>8514</v>
      </c>
      <c r="O1737" s="367" t="s">
        <v>3485</v>
      </c>
      <c r="P1737" s="16">
        <v>46177</v>
      </c>
      <c r="Q1737" s="366" t="s">
        <v>3286</v>
      </c>
      <c r="R1737" s="2">
        <f>VLOOKUP(SALIDAS111518[[#This Row],[CÓDIGO]],PRODUCTOS31316[],2,FALSE)</f>
        <v>0</v>
      </c>
      <c r="S1737" s="1" t="str">
        <f>VLOOKUP(SALIDAS111518[[#This Row],[CÓDIGO]],PRODUCTOS31316[],3,FALSE)</f>
        <v>CARCASA TABLET BMV</v>
      </c>
      <c r="T1737" s="2">
        <v>1</v>
      </c>
      <c r="U1737" s="2"/>
      <c r="V1737" s="2"/>
      <c r="W1737" s="2"/>
      <c r="X1737" s="2"/>
      <c r="Y1737" s="7"/>
      <c r="Z1737" s="2"/>
      <c r="AA1737" s="1"/>
      <c r="AC1737" s="2"/>
      <c r="AE1737" s="1"/>
      <c r="AG1737" s="2"/>
    </row>
    <row r="1738" spans="12:33" ht="49.95" customHeight="1" x14ac:dyDescent="0.3">
      <c r="L1738" s="2"/>
      <c r="M1738" s="2"/>
      <c r="N1738" s="2">
        <v>8514</v>
      </c>
      <c r="O1738" s="367" t="s">
        <v>3485</v>
      </c>
      <c r="P1738" s="16">
        <v>46177</v>
      </c>
      <c r="Q1738" s="366" t="s">
        <v>397</v>
      </c>
      <c r="R1738" s="2">
        <f>VLOOKUP(SALIDAS111518[[#This Row],[CÓDIGO]],PRODUCTOS31316[],2,FALSE)</f>
        <v>509013</v>
      </c>
      <c r="S1738" s="1" t="str">
        <f>VLOOKUP(SALIDAS111518[[#This Row],[CÓDIGO]],PRODUCTOS31316[],3,FALSE)</f>
        <v>CAMISA SANITARIA PARA PROBE RECTAL</v>
      </c>
      <c r="T1738" s="2">
        <v>1</v>
      </c>
      <c r="U1738" s="2"/>
      <c r="V1738" s="2"/>
      <c r="W1738" s="2"/>
      <c r="X1738" s="2"/>
      <c r="Y1738" s="7"/>
      <c r="Z1738" s="2"/>
      <c r="AA1738" s="1"/>
      <c r="AC1738" s="2"/>
      <c r="AE1738" s="1"/>
      <c r="AG1738" s="2"/>
    </row>
    <row r="1739" spans="12:33" ht="49.95" customHeight="1" x14ac:dyDescent="0.3">
      <c r="L1739" s="366" t="s">
        <v>3521</v>
      </c>
      <c r="M1739" s="366" t="s">
        <v>4922</v>
      </c>
      <c r="N1739" s="367" t="s">
        <v>5020</v>
      </c>
      <c r="O1739" s="366" t="s">
        <v>5018</v>
      </c>
      <c r="P1739" s="16">
        <v>46150</v>
      </c>
      <c r="Q1739" s="366" t="s">
        <v>2382</v>
      </c>
      <c r="R1739" s="2">
        <f>VLOOKUP(SALIDAS111518[[#This Row],[CÓDIGO]],PRODUCTOS31316[],2,FALSE)</f>
        <v>1</v>
      </c>
      <c r="S1739" s="1" t="str">
        <f>VLOOKUP(SALIDAS111518[[#This Row],[CÓDIGO]],PRODUCTOS31316[],3,FALSE)</f>
        <v>TERMO DE TRANSPORTE 1 LITRO</v>
      </c>
      <c r="T1739" s="2">
        <v>1</v>
      </c>
      <c r="U1739" s="2">
        <v>766</v>
      </c>
      <c r="V1739" s="2"/>
      <c r="W1739" s="366" t="s">
        <v>2823</v>
      </c>
      <c r="X1739" s="51"/>
      <c r="Y1739" s="7"/>
      <c r="Z1739" s="2"/>
      <c r="AA1739" s="1"/>
      <c r="AC1739" s="2"/>
      <c r="AE1739" s="1"/>
      <c r="AG1739" s="2"/>
    </row>
    <row r="1740" spans="12:33" ht="49.95" customHeight="1" x14ac:dyDescent="0.3">
      <c r="L1740" s="366" t="s">
        <v>3520</v>
      </c>
      <c r="M1740" s="366" t="s">
        <v>4922</v>
      </c>
      <c r="N1740" s="367" t="s">
        <v>5021</v>
      </c>
      <c r="O1740" s="367" t="s">
        <v>2711</v>
      </c>
      <c r="P1740" s="16">
        <v>46150</v>
      </c>
      <c r="Q1740" s="366" t="s">
        <v>341</v>
      </c>
      <c r="R1740" s="2" t="str">
        <f>VLOOKUP(SALIDAS111518[[#This Row],[CÓDIGO]],PRODUCTOS31316[],2,FALSE)</f>
        <v>CTB50</v>
      </c>
      <c r="S1740" s="1" t="str">
        <f>VLOOKUP(SALIDAS111518[[#This Row],[CÓDIGO]],PRODUCTOS31316[],3,FALSE)</f>
        <v>TUBO CÓNICO DE 50 mL, TAPA ROSCA, PRE ESTERILIZADO. RCF MAX: 10000xg, graduados, PCR puro.</v>
      </c>
      <c r="T1740" s="2">
        <v>15</v>
      </c>
      <c r="U1740" s="2">
        <v>767</v>
      </c>
      <c r="V1740" s="2"/>
      <c r="W1740" s="2"/>
      <c r="X1740" s="2"/>
      <c r="Y1740" s="7"/>
      <c r="Z1740" s="2"/>
      <c r="AA1740" s="1"/>
      <c r="AC1740" s="2"/>
      <c r="AE1740" s="1"/>
      <c r="AG1740" s="2"/>
    </row>
    <row r="1741" spans="12:33" ht="49.95" customHeight="1" x14ac:dyDescent="0.3">
      <c r="L1741" s="2" t="s">
        <v>3520</v>
      </c>
      <c r="M1741" s="2" t="s">
        <v>4922</v>
      </c>
      <c r="N1741" s="370" t="s">
        <v>5041</v>
      </c>
      <c r="O1741" s="369" t="s">
        <v>2871</v>
      </c>
      <c r="P1741" s="16">
        <v>46153</v>
      </c>
      <c r="Q1741" s="2" t="s">
        <v>2295</v>
      </c>
      <c r="R1741" s="2" t="str">
        <f>VLOOKUP(SALIDAS111518[[#This Row],[CÓDIGO]],PRODUCTOS31316[],2,FALSE)</f>
        <v>B00992</v>
      </c>
      <c r="S1741" s="1" t="str">
        <f>VLOOKUP(SALIDAS111518[[#This Row],[CÓDIGO]],PRODUCTOS31316[],3,FALSE)</f>
        <v>BOLSA WHRIL-PAK 7 OZ</v>
      </c>
      <c r="T1741" s="2">
        <v>91</v>
      </c>
      <c r="U1741" s="2">
        <v>779</v>
      </c>
      <c r="V1741" s="2"/>
      <c r="W1741" s="2"/>
      <c r="X1741" s="2"/>
      <c r="Y1741" s="7"/>
      <c r="Z1741" s="2"/>
      <c r="AA1741" s="1"/>
      <c r="AC1741" s="2"/>
      <c r="AE1741" s="1"/>
      <c r="AG1741" s="2"/>
    </row>
    <row r="1742" spans="12:33" ht="49.95" customHeight="1" x14ac:dyDescent="0.3">
      <c r="L1742" s="366" t="s">
        <v>3521</v>
      </c>
      <c r="M1742" s="366" t="s">
        <v>4922</v>
      </c>
      <c r="N1742" s="1" t="s">
        <v>5026</v>
      </c>
      <c r="O1742" s="370" t="s">
        <v>5022</v>
      </c>
      <c r="P1742" s="16">
        <v>46153</v>
      </c>
      <c r="Q1742" s="366" t="s">
        <v>149</v>
      </c>
      <c r="R1742" s="2">
        <f>VLOOKUP(SALIDAS111518[[#This Row],[CÓDIGO]],PRODUCTOS31316[],2,FALSE)</f>
        <v>18621</v>
      </c>
      <c r="S1742" s="1" t="str">
        <f>VLOOKUP(SALIDAS111518[[#This Row],[CÓDIGO]],PRODUCTOS31316[],3,FALSE)</f>
        <v>TERMO DESCONGELADOR DE SEMEN DE EMBRIONES ROJO</v>
      </c>
      <c r="T1742" s="2">
        <v>1</v>
      </c>
      <c r="U1742" s="2">
        <v>769</v>
      </c>
      <c r="V1742" s="2"/>
      <c r="W1742" s="2"/>
      <c r="X1742" s="2"/>
      <c r="Y1742" s="7"/>
      <c r="Z1742" s="2"/>
      <c r="AA1742" s="1"/>
      <c r="AC1742" s="2"/>
      <c r="AE1742" s="1"/>
      <c r="AG1742" s="2"/>
    </row>
    <row r="1743" spans="12:33" ht="49.95" customHeight="1" x14ac:dyDescent="0.3">
      <c r="L1743" s="366" t="s">
        <v>3521</v>
      </c>
      <c r="M1743" s="366" t="s">
        <v>4922</v>
      </c>
      <c r="N1743" s="1" t="s">
        <v>5025</v>
      </c>
      <c r="O1743" s="369" t="s">
        <v>5023</v>
      </c>
      <c r="P1743" s="16">
        <v>46150</v>
      </c>
      <c r="Q1743" s="366" t="s">
        <v>15</v>
      </c>
      <c r="R1743" s="2" t="str">
        <f>VLOOKUP(SALIDAS111518[[#This Row],[CÓDIGO]],PRODUCTOS31316[],2,FALSE)</f>
        <v>BTE-025PT/ 504002</v>
      </c>
      <c r="S1743" s="1" t="str">
        <f>VLOOKUP(SALIDAS111518[[#This Row],[CÓDIGO]],PRODUCTOS31316[],3,FALSE)</f>
        <v>FUNDAS PARA TRANSFERENCIA DE EMBRIONES</v>
      </c>
      <c r="T1743" s="2">
        <v>3</v>
      </c>
      <c r="U1743" s="2">
        <v>768</v>
      </c>
      <c r="V1743" s="2"/>
      <c r="W1743" s="2"/>
      <c r="X1743" s="2"/>
      <c r="Y1743" s="7"/>
      <c r="Z1743" s="2"/>
      <c r="AA1743" s="1"/>
      <c r="AC1743" s="2"/>
      <c r="AE1743" s="1"/>
      <c r="AG1743" s="2"/>
    </row>
    <row r="1744" spans="12:33" ht="49.95" customHeight="1" x14ac:dyDescent="0.3">
      <c r="L1744" s="2" t="s">
        <v>3520</v>
      </c>
      <c r="M1744" s="2" t="s">
        <v>4922</v>
      </c>
      <c r="N1744" s="370" t="s">
        <v>5035</v>
      </c>
      <c r="O1744" s="367" t="s">
        <v>2383</v>
      </c>
      <c r="P1744" s="16">
        <v>46153</v>
      </c>
      <c r="Q1744" s="366" t="s">
        <v>2364</v>
      </c>
      <c r="R1744" s="2">
        <f>VLOOKUP(SALIDAS111518[[#This Row],[CÓDIGO]],PRODUCTOS31316[],2,FALSE)</f>
        <v>0</v>
      </c>
      <c r="S1744" s="1" t="str">
        <f>VLOOKUP(SALIDAS111518[[#This Row],[CÓDIGO]],PRODUCTOS31316[],3,FALSE)</f>
        <v>CORTAPAJILLAS WTA</v>
      </c>
      <c r="T1744" s="2">
        <v>1</v>
      </c>
      <c r="U1744" s="2" t="s">
        <v>5029</v>
      </c>
      <c r="V1744" s="2"/>
      <c r="W1744" s="2"/>
      <c r="X1744" s="2"/>
      <c r="Y1744" s="7"/>
      <c r="Z1744" s="2"/>
      <c r="AA1744" s="1"/>
      <c r="AC1744" s="2"/>
      <c r="AE1744" s="1"/>
      <c r="AG1744" s="2"/>
    </row>
    <row r="1745" spans="12:33" ht="49.95" customHeight="1" x14ac:dyDescent="0.3">
      <c r="L1745" s="2"/>
      <c r="M1745" s="2"/>
      <c r="N1745" s="2">
        <v>8364</v>
      </c>
      <c r="O1745" s="367" t="s">
        <v>2383</v>
      </c>
      <c r="P1745" s="16">
        <v>46153</v>
      </c>
      <c r="Q1745" s="366" t="s">
        <v>104</v>
      </c>
      <c r="R1745" s="2">
        <f>VLOOKUP(SALIDAS111518[[#This Row],[CÓDIGO]],PRODUCTOS31316[],2,FALSE)</f>
        <v>0</v>
      </c>
      <c r="S1745" s="1" t="str">
        <f>VLOOKUP(SALIDAS111518[[#This Row],[CÓDIGO]],PRODUCTOS31316[],3,FALSE)</f>
        <v>ISPERM CHIPS (500 TESTS PER BOX) PAQ. X 50 UND</v>
      </c>
      <c r="T1745" s="2">
        <v>2</v>
      </c>
      <c r="U1745" s="2"/>
      <c r="V1745" s="2"/>
      <c r="W1745" s="2"/>
      <c r="X1745" s="2"/>
      <c r="Y1745" s="7"/>
      <c r="Z1745" s="2"/>
      <c r="AA1745" s="1"/>
      <c r="AC1745" s="2"/>
      <c r="AE1745" s="1"/>
      <c r="AG1745" s="2"/>
    </row>
    <row r="1746" spans="12:33" ht="49.95" customHeight="1" x14ac:dyDescent="0.3">
      <c r="L1746" s="2"/>
      <c r="M1746" s="2"/>
      <c r="N1746" s="2">
        <v>8364</v>
      </c>
      <c r="O1746" s="367" t="s">
        <v>2383</v>
      </c>
      <c r="P1746" s="16">
        <v>46153</v>
      </c>
      <c r="Q1746" s="366" t="s">
        <v>881</v>
      </c>
      <c r="R1746" s="2">
        <f>VLOOKUP(SALIDAS111518[[#This Row],[CÓDIGO]],PRODUCTOS31316[],2,FALSE)</f>
        <v>1095350001</v>
      </c>
      <c r="S1746" s="1" t="str">
        <f>VLOOKUP(SALIDAS111518[[#This Row],[CÓDIGO]],PRODUCTOS31316[],3,FALSE)</f>
        <v>TIRAS INDICADORAS DEL PH PH 0 - 14 INDICADOR UNIVERSAL NO DESTIÑEN 100 STRIPS</v>
      </c>
      <c r="T1746" s="2">
        <v>1</v>
      </c>
      <c r="U1746" s="2"/>
      <c r="V1746" s="2"/>
      <c r="W1746" s="2"/>
      <c r="X1746" s="2"/>
      <c r="Y1746" s="7"/>
      <c r="Z1746" s="2"/>
      <c r="AA1746" s="1"/>
      <c r="AC1746" s="2"/>
      <c r="AE1746" s="1"/>
      <c r="AG1746" s="2"/>
    </row>
    <row r="1747" spans="12:33" ht="49.95" customHeight="1" x14ac:dyDescent="0.3">
      <c r="L1747" s="2"/>
      <c r="M1747" s="2"/>
      <c r="N1747" s="2">
        <v>8364</v>
      </c>
      <c r="O1747" s="367" t="s">
        <v>2383</v>
      </c>
      <c r="P1747" s="16">
        <v>46153</v>
      </c>
      <c r="Q1747" s="366" t="s">
        <v>1799</v>
      </c>
      <c r="R1747" s="2">
        <f>VLOOKUP(SALIDAS111518[[#This Row],[CÓDIGO]],PRODUCTOS31316[],2,FALSE)</f>
        <v>4846</v>
      </c>
      <c r="S1747" s="1" t="str">
        <f>VLOOKUP(SALIDAS111518[[#This Row],[CÓDIGO]],PRODUCTOS31316[],3,FALSE)</f>
        <v>PUNTA AZULES UNIVERSALES 100- 1000 UL</v>
      </c>
      <c r="T1747" s="2">
        <v>1</v>
      </c>
      <c r="U1747" s="2"/>
      <c r="V1747" s="2"/>
      <c r="W1747" s="2"/>
      <c r="X1747" s="2"/>
      <c r="Y1747" s="7"/>
      <c r="Z1747" s="2"/>
      <c r="AA1747" s="1"/>
      <c r="AC1747" s="2"/>
      <c r="AE1747" s="1"/>
      <c r="AG1747" s="2"/>
    </row>
    <row r="1748" spans="12:33" ht="49.95" customHeight="1" x14ac:dyDescent="0.3">
      <c r="L1748" s="2"/>
      <c r="M1748" s="2"/>
      <c r="N1748" s="2">
        <v>8364</v>
      </c>
      <c r="O1748" s="367" t="s">
        <v>2383</v>
      </c>
      <c r="P1748" s="16">
        <v>46153</v>
      </c>
      <c r="Q1748" s="366" t="s">
        <v>658</v>
      </c>
      <c r="R1748" s="2">
        <f>VLOOKUP(SALIDAS111518[[#This Row],[CÓDIGO]],PRODUCTOS31316[],2,FALSE)</f>
        <v>0</v>
      </c>
      <c r="S1748" s="1" t="str">
        <f>VLOOKUP(SALIDAS111518[[#This Row],[CÓDIGO]],PRODUCTOS31316[],3,FALSE)</f>
        <v>CATETER TALADRO TRANSPARENTE 18"</v>
      </c>
      <c r="T1748" s="2">
        <v>5</v>
      </c>
      <c r="U1748" s="2"/>
      <c r="V1748" s="2"/>
      <c r="W1748" s="2"/>
      <c r="X1748" s="2"/>
      <c r="Y1748" s="7"/>
      <c r="Z1748" s="2"/>
      <c r="AA1748" s="1"/>
      <c r="AC1748" s="2"/>
      <c r="AE1748" s="1"/>
      <c r="AG1748" s="2"/>
    </row>
    <row r="1749" spans="12:33" ht="49.95" customHeight="1" x14ac:dyDescent="0.3">
      <c r="L1749" s="2"/>
      <c r="M1749" s="2"/>
      <c r="N1749" s="2">
        <v>8364</v>
      </c>
      <c r="O1749" s="367" t="s">
        <v>2383</v>
      </c>
      <c r="P1749" s="16">
        <v>46153</v>
      </c>
      <c r="Q1749" s="366" t="s">
        <v>411</v>
      </c>
      <c r="R1749" s="2">
        <f>VLOOKUP(SALIDAS111518[[#This Row],[CÓDIGO]],PRODUCTOS31316[],2,FALSE)</f>
        <v>0</v>
      </c>
      <c r="S1749" s="1" t="str">
        <f>VLOOKUP(SALIDAS111518[[#This Row],[CÓDIGO]],PRODUCTOS31316[],3,FALSE)</f>
        <v>BOLSA WHIRL-PAK 4 oz</v>
      </c>
      <c r="T1749" s="31">
        <v>43</v>
      </c>
      <c r="U1749" s="2"/>
      <c r="V1749" s="2"/>
      <c r="W1749" s="2"/>
      <c r="X1749" s="2"/>
      <c r="Y1749" s="7"/>
      <c r="Z1749" s="2"/>
      <c r="AA1749" s="1"/>
      <c r="AC1749" s="2"/>
      <c r="AE1749" s="1"/>
      <c r="AG1749" s="2"/>
    </row>
    <row r="1750" spans="12:33" ht="49.95" customHeight="1" x14ac:dyDescent="0.3">
      <c r="L1750" s="2"/>
      <c r="M1750" s="2"/>
      <c r="N1750" s="2">
        <v>8364</v>
      </c>
      <c r="O1750" s="367" t="s">
        <v>2383</v>
      </c>
      <c r="P1750" s="16">
        <v>46153</v>
      </c>
      <c r="Q1750" s="366" t="s">
        <v>602</v>
      </c>
      <c r="R1750" s="2">
        <f>VLOOKUP(SALIDAS111518[[#This Row],[CÓDIGO]],PRODUCTOS31316[],2,FALSE)</f>
        <v>4845</v>
      </c>
      <c r="S1750" s="1" t="str">
        <f>VLOOKUP(SALIDAS111518[[#This Row],[CÓDIGO]],PRODUCTOS31316[],3,FALSE)</f>
        <v>PUNTAS AMARILLAS, UNIVERSALES. PLASTICAS, NO ESTERIL. LIBRES DE RNASE, DNASE Y PYROGENOS. RANGO DE 1-200UL. BOLSA X1000UDS.</v>
      </c>
      <c r="T1750" s="2">
        <v>1</v>
      </c>
      <c r="U1750" s="2"/>
      <c r="V1750" s="2"/>
      <c r="W1750" s="2"/>
      <c r="X1750" s="2"/>
      <c r="Y1750" s="7"/>
      <c r="Z1750" s="2"/>
      <c r="AA1750" s="1"/>
      <c r="AC1750" s="2"/>
      <c r="AE1750" s="1"/>
      <c r="AG1750" s="2"/>
    </row>
    <row r="1751" spans="12:33" ht="49.95" customHeight="1" x14ac:dyDescent="0.3">
      <c r="L1751" s="366" t="s">
        <v>3521</v>
      </c>
      <c r="M1751" s="366" t="s">
        <v>4922</v>
      </c>
      <c r="N1751" s="1" t="s">
        <v>5027</v>
      </c>
      <c r="O1751" s="370" t="s">
        <v>5024</v>
      </c>
      <c r="P1751" s="16">
        <v>46153</v>
      </c>
      <c r="Q1751" s="366" t="s">
        <v>369</v>
      </c>
      <c r="R1751" s="2">
        <f>VLOOKUP(SALIDAS111518[[#This Row],[CÓDIGO]],PRODUCTOS31316[],2,FALSE)</f>
        <v>0</v>
      </c>
      <c r="S1751" s="1" t="str">
        <f>VLOOKUP(SALIDAS111518[[#This Row],[CÓDIGO]],PRODUCTOS31316[],3,FALSE)</f>
        <v>FUNDA UNIVERSAL PARA I.A. RANURADA</v>
      </c>
      <c r="T1751" s="2">
        <v>2</v>
      </c>
      <c r="U1751" s="2">
        <v>770</v>
      </c>
      <c r="V1751" s="2"/>
      <c r="W1751" s="2"/>
      <c r="X1751" s="2"/>
      <c r="Y1751" s="7"/>
      <c r="Z1751" s="2"/>
      <c r="AA1751" s="1"/>
      <c r="AC1751" s="2"/>
      <c r="AE1751" s="1"/>
      <c r="AG1751" s="2"/>
    </row>
    <row r="1752" spans="12:33" ht="49.95" customHeight="1" x14ac:dyDescent="0.3">
      <c r="L1752" s="2" t="s">
        <v>3520</v>
      </c>
      <c r="M1752" s="2" t="s">
        <v>4922</v>
      </c>
      <c r="N1752" s="2" t="s">
        <v>5028</v>
      </c>
      <c r="O1752" s="2" t="s">
        <v>3493</v>
      </c>
      <c r="P1752" s="16">
        <v>46153</v>
      </c>
      <c r="Q1752" s="2" t="s">
        <v>104</v>
      </c>
      <c r="R1752" s="2">
        <f>VLOOKUP(SALIDAS111518[[#This Row],[CÓDIGO]],PRODUCTOS31316[],2,FALSE)</f>
        <v>0</v>
      </c>
      <c r="S1752" s="1" t="str">
        <f>VLOOKUP(SALIDAS111518[[#This Row],[CÓDIGO]],PRODUCTOS31316[],3,FALSE)</f>
        <v>ISPERM CHIPS (500 TESTS PER BOX) PAQ. X 50 UND</v>
      </c>
      <c r="T1752" s="2">
        <v>1</v>
      </c>
      <c r="U1752" s="2">
        <v>771</v>
      </c>
      <c r="V1752" s="2"/>
      <c r="W1752" s="2"/>
      <c r="X1752" s="2"/>
      <c r="Y1752" s="7"/>
      <c r="Z1752" s="2"/>
      <c r="AA1752" s="1"/>
      <c r="AC1752" s="2"/>
      <c r="AE1752" s="1"/>
      <c r="AG1752" s="2"/>
    </row>
    <row r="1753" spans="12:33" ht="49.95" customHeight="1" x14ac:dyDescent="0.3">
      <c r="L1753" s="2"/>
      <c r="M1753" s="2"/>
      <c r="N1753" s="375" t="s">
        <v>1553</v>
      </c>
      <c r="O1753" s="2" t="s">
        <v>2867</v>
      </c>
      <c r="P1753" s="16">
        <v>46153</v>
      </c>
      <c r="Q1753" s="2" t="s">
        <v>3208</v>
      </c>
      <c r="R1753" s="2" t="e">
        <f>VLOOKUP(SALIDAS111518[[#This Row],[CÓDIGO]],PRODUCTOS31316[],2,FALSE)</f>
        <v>#N/A</v>
      </c>
      <c r="S1753" s="1" t="e">
        <f>VLOOKUP(SALIDAS111518[[#This Row],[CÓDIGO]],PRODUCTOS31316[],3,FALSE)</f>
        <v>#N/A</v>
      </c>
      <c r="T1753" s="2">
        <v>17</v>
      </c>
      <c r="U1753" s="2"/>
      <c r="V1753" s="2"/>
      <c r="W1753" s="2"/>
      <c r="X1753" s="2"/>
      <c r="Y1753" s="7"/>
      <c r="Z1753" s="2"/>
      <c r="AA1753" s="1"/>
      <c r="AC1753" s="2"/>
      <c r="AE1753" s="1"/>
      <c r="AG1753" s="2"/>
    </row>
    <row r="1754" spans="12:33" ht="49.95" customHeight="1" x14ac:dyDescent="0.3">
      <c r="L1754" s="2" t="s">
        <v>3520</v>
      </c>
      <c r="M1754" s="2" t="s">
        <v>4922</v>
      </c>
      <c r="N1754" s="375" t="s">
        <v>5044</v>
      </c>
      <c r="O1754" s="2" t="s">
        <v>3150</v>
      </c>
      <c r="P1754" s="16">
        <v>46153</v>
      </c>
      <c r="Q1754" s="2" t="s">
        <v>15</v>
      </c>
      <c r="R1754" s="2" t="str">
        <f>VLOOKUP(SALIDAS111518[[#This Row],[CÓDIGO]],PRODUCTOS31316[],2,FALSE)</f>
        <v>BTE-025PT/ 504002</v>
      </c>
      <c r="S1754" s="1" t="str">
        <f>VLOOKUP(SALIDAS111518[[#This Row],[CÓDIGO]],PRODUCTOS31316[],3,FALSE)</f>
        <v>FUNDAS PARA TRANSFERENCIA DE EMBRIONES</v>
      </c>
      <c r="T1754" s="2">
        <v>20</v>
      </c>
      <c r="U1754" s="2">
        <v>775</v>
      </c>
      <c r="V1754" s="2"/>
      <c r="W1754" s="2"/>
      <c r="X1754" s="2"/>
      <c r="Y1754" s="7"/>
      <c r="Z1754" s="2"/>
      <c r="AA1754" s="1"/>
      <c r="AC1754" s="2"/>
      <c r="AE1754" s="1"/>
      <c r="AG1754" s="2"/>
    </row>
    <row r="1755" spans="12:33" ht="49.95" customHeight="1" x14ac:dyDescent="0.3">
      <c r="L1755" s="2"/>
      <c r="M1755" s="2"/>
      <c r="N1755" s="2">
        <v>8359</v>
      </c>
      <c r="O1755" s="2" t="s">
        <v>3150</v>
      </c>
      <c r="P1755" s="16">
        <v>46153</v>
      </c>
      <c r="Q1755" s="2" t="s">
        <v>1779</v>
      </c>
      <c r="R1755" s="2">
        <f>VLOOKUP(SALIDAS111518[[#This Row],[CÓDIGO]],PRODUCTOS31316[],2,FALSE)</f>
        <v>5563</v>
      </c>
      <c r="S1755" s="1" t="str">
        <f>VLOOKUP(SALIDAS111518[[#This Row],[CÓDIGO]],PRODUCTOS31316[],3,FALSE)</f>
        <v>CAMISA SANITARIA ROLLO X 80</v>
      </c>
      <c r="T1755" s="2">
        <v>1</v>
      </c>
      <c r="U1755" s="2"/>
      <c r="V1755" s="2"/>
      <c r="W1755" s="2"/>
      <c r="X1755" s="2"/>
      <c r="Y1755" s="7"/>
      <c r="Z1755" s="2"/>
      <c r="AA1755" s="1"/>
      <c r="AC1755" s="2"/>
      <c r="AE1755" s="1"/>
      <c r="AG1755" s="2"/>
    </row>
    <row r="1756" spans="12:33" ht="49.95" customHeight="1" x14ac:dyDescent="0.3">
      <c r="L1756" s="2"/>
      <c r="M1756" s="2"/>
      <c r="N1756" s="2">
        <v>8359</v>
      </c>
      <c r="O1756" s="2" t="s">
        <v>3150</v>
      </c>
      <c r="P1756" s="16">
        <v>46153</v>
      </c>
      <c r="Q1756" s="2" t="s">
        <v>2246</v>
      </c>
      <c r="R1756" s="2" t="str">
        <f>VLOOKUP(SALIDAS111518[[#This Row],[CÓDIGO]],PRODUCTOS31316[],2,FALSE)</f>
        <v>00051076-02</v>
      </c>
      <c r="S1756" s="1" t="str">
        <f>VLOOKUP(SALIDAS111518[[#This Row],[CÓDIGO]],PRODUCTOS31316[],3,FALSE)</f>
        <v>LIDOCAÍNA  HCL 2 % X 100 ML/ 2025-12-16</v>
      </c>
      <c r="T1756" s="2">
        <v>2</v>
      </c>
      <c r="U1756" s="2"/>
      <c r="V1756" s="2"/>
      <c r="W1756" s="2"/>
      <c r="X1756" s="2"/>
      <c r="Y1756" s="7"/>
      <c r="Z1756" s="2"/>
      <c r="AA1756" s="1"/>
      <c r="AC1756" s="2"/>
      <c r="AE1756" s="1"/>
      <c r="AG1756" s="2"/>
    </row>
    <row r="1757" spans="12:33" ht="49.95" customHeight="1" x14ac:dyDescent="0.3">
      <c r="L1757" s="2" t="s">
        <v>3520</v>
      </c>
      <c r="M1757" s="2" t="s">
        <v>4922</v>
      </c>
      <c r="N1757" s="370" t="s">
        <v>5037</v>
      </c>
      <c r="O1757" s="1" t="s">
        <v>3067</v>
      </c>
      <c r="P1757" s="16">
        <v>46153</v>
      </c>
      <c r="Q1757" s="2" t="s">
        <v>15</v>
      </c>
      <c r="R1757" s="2" t="str">
        <f>VLOOKUP(SALIDAS111518[[#This Row],[CÓDIGO]],PRODUCTOS31316[],2,FALSE)</f>
        <v>BTE-025PT/ 504002</v>
      </c>
      <c r="S1757" s="1" t="str">
        <f>VLOOKUP(SALIDAS111518[[#This Row],[CÓDIGO]],PRODUCTOS31316[],3,FALSE)</f>
        <v>FUNDAS PARA TRANSFERENCIA DE EMBRIONES</v>
      </c>
      <c r="T1757" s="2">
        <v>65</v>
      </c>
      <c r="U1757" s="369" t="s">
        <v>5036</v>
      </c>
      <c r="V1757" s="2"/>
      <c r="W1757" s="2"/>
      <c r="X1757" s="2"/>
      <c r="Y1757" s="7"/>
      <c r="Z1757" s="2"/>
      <c r="AA1757" s="1"/>
      <c r="AC1757" s="2"/>
      <c r="AE1757" s="1"/>
      <c r="AG1757" s="2"/>
    </row>
    <row r="1758" spans="12:33" ht="49.95" customHeight="1" x14ac:dyDescent="0.3">
      <c r="L1758" s="2"/>
      <c r="M1758" s="2"/>
      <c r="N1758" s="2">
        <v>8357</v>
      </c>
      <c r="O1758" s="1" t="s">
        <v>3067</v>
      </c>
      <c r="P1758" s="16">
        <v>46153</v>
      </c>
      <c r="Q1758" s="2" t="s">
        <v>1779</v>
      </c>
      <c r="R1758" s="2">
        <f>VLOOKUP(SALIDAS111518[[#This Row],[CÓDIGO]],PRODUCTOS31316[],2,FALSE)</f>
        <v>5563</v>
      </c>
      <c r="S1758" s="1" t="str">
        <f>VLOOKUP(SALIDAS111518[[#This Row],[CÓDIGO]],PRODUCTOS31316[],3,FALSE)</f>
        <v>CAMISA SANITARIA ROLLO X 80</v>
      </c>
      <c r="T1758" s="2">
        <v>2</v>
      </c>
      <c r="U1758" s="2"/>
      <c r="V1758" s="2"/>
      <c r="W1758" s="2"/>
      <c r="X1758" s="2"/>
      <c r="Y1758" s="7"/>
      <c r="Z1758" s="2"/>
      <c r="AA1758" s="1"/>
      <c r="AC1758" s="2"/>
      <c r="AE1758" s="1"/>
      <c r="AG1758" s="2"/>
    </row>
    <row r="1759" spans="12:33" ht="49.95" customHeight="1" x14ac:dyDescent="0.3">
      <c r="L1759" s="2" t="s">
        <v>3521</v>
      </c>
      <c r="M1759" s="2" t="s">
        <v>4922</v>
      </c>
      <c r="N1759" s="1" t="s">
        <v>5033</v>
      </c>
      <c r="O1759" s="2" t="s">
        <v>5031</v>
      </c>
      <c r="P1759" s="16">
        <v>46153</v>
      </c>
      <c r="Q1759" s="2" t="s">
        <v>3202</v>
      </c>
      <c r="R1759" s="2">
        <f>VLOOKUP(SALIDAS111518[[#This Row],[CÓDIGO]],PRODUCTOS31316[],2,FALSE)</f>
        <v>0</v>
      </c>
      <c r="S1759" s="1" t="str">
        <f>VLOOKUP(SALIDAS111518[[#This Row],[CÓDIGO]],PRODUCTOS31316[],3,FALSE)</f>
        <v>CABLE REPUESTO ECOGRAFO S5</v>
      </c>
      <c r="T1759" s="2">
        <v>1</v>
      </c>
      <c r="U1759" s="2">
        <v>774</v>
      </c>
      <c r="V1759" s="2"/>
      <c r="W1759" s="2" t="s">
        <v>2823</v>
      </c>
      <c r="X1759" s="2"/>
      <c r="Y1759" s="7"/>
      <c r="Z1759" s="2"/>
      <c r="AA1759" s="1"/>
      <c r="AC1759" s="2"/>
      <c r="AE1759" s="1"/>
      <c r="AG1759" s="2"/>
    </row>
    <row r="1760" spans="12:33" ht="49.95" customHeight="1" x14ac:dyDescent="0.3">
      <c r="L1760" s="2" t="s">
        <v>3521</v>
      </c>
      <c r="M1760" s="2" t="s">
        <v>4922</v>
      </c>
      <c r="N1760" s="371" t="s">
        <v>5153</v>
      </c>
      <c r="O1760" s="2" t="s">
        <v>5032</v>
      </c>
      <c r="P1760" s="16">
        <v>46176</v>
      </c>
      <c r="Q1760" s="2" t="s">
        <v>3346</v>
      </c>
      <c r="R1760" s="2" t="str">
        <f>VLOOKUP(SALIDAS111518[[#This Row],[CÓDIGO]],PRODUCTOS31316[],2,FALSE)</f>
        <v>S7PRO</v>
      </c>
      <c r="S1760" s="1" t="str">
        <f>VLOOKUP(SALIDAS111518[[#This Row],[CÓDIGO]],PRODUCTOS31316[],3,FALSE)</f>
        <v>ECÓGRAFO S7 PRO VET CON SONDA LINEAL RECTAL</v>
      </c>
      <c r="T1760" s="2">
        <v>1</v>
      </c>
      <c r="U1760" s="15"/>
      <c r="V1760" s="2"/>
      <c r="W1760" s="2" t="s">
        <v>3412</v>
      </c>
      <c r="X1760" s="2"/>
      <c r="Y1760" s="7"/>
      <c r="Z1760" s="2"/>
      <c r="AA1760" s="1"/>
      <c r="AC1760" s="2"/>
      <c r="AE1760" s="1"/>
      <c r="AG1760" s="2"/>
    </row>
    <row r="1761" spans="12:33" ht="49.95" customHeight="1" x14ac:dyDescent="0.3">
      <c r="L1761" s="2"/>
      <c r="M1761" s="2"/>
      <c r="N1761" s="2">
        <v>8509</v>
      </c>
      <c r="O1761" s="2" t="s">
        <v>5032</v>
      </c>
      <c r="P1761" s="16">
        <v>46176</v>
      </c>
      <c r="Q1761" s="2" t="s">
        <v>3791</v>
      </c>
      <c r="R1761" s="2">
        <f>VLOOKUP(SALIDAS111518[[#This Row],[CÓDIGO]],PRODUCTOS31316[],2,FALSE)</f>
        <v>6936520864546</v>
      </c>
      <c r="S1761" s="1" t="str">
        <f>VLOOKUP(SALIDAS111518[[#This Row],[CÓDIGO]],PRODUCTOS31316[],3,FALSE)</f>
        <v>TABLET 11" HONOR PAD X8A 128 GB</v>
      </c>
      <c r="T1761" s="2">
        <v>1</v>
      </c>
      <c r="U1761" s="2"/>
      <c r="V1761" s="2"/>
      <c r="W1761" s="2"/>
      <c r="X1761" s="2"/>
      <c r="Y1761" s="7"/>
      <c r="Z1761" s="2"/>
      <c r="AA1761" s="1"/>
      <c r="AC1761" s="2"/>
      <c r="AE1761" s="1"/>
      <c r="AG1761" s="2"/>
    </row>
    <row r="1762" spans="12:33" ht="49.95" customHeight="1" x14ac:dyDescent="0.3">
      <c r="L1762" s="2"/>
      <c r="M1762" s="2"/>
      <c r="N1762" s="2">
        <v>8509</v>
      </c>
      <c r="O1762" s="2" t="s">
        <v>5032</v>
      </c>
      <c r="P1762" s="16">
        <v>46176</v>
      </c>
      <c r="Q1762" s="2" t="s">
        <v>3286</v>
      </c>
      <c r="R1762" s="2">
        <f>VLOOKUP(SALIDAS111518[[#This Row],[CÓDIGO]],PRODUCTOS31316[],2,FALSE)</f>
        <v>0</v>
      </c>
      <c r="S1762" s="1" t="str">
        <f>VLOOKUP(SALIDAS111518[[#This Row],[CÓDIGO]],PRODUCTOS31316[],3,FALSE)</f>
        <v>CARCASA TABLET BMV</v>
      </c>
      <c r="T1762" s="2">
        <v>1</v>
      </c>
      <c r="U1762" s="2"/>
      <c r="V1762" s="2"/>
      <c r="W1762" s="2"/>
      <c r="X1762" s="90"/>
      <c r="Y1762" s="7"/>
      <c r="Z1762" s="2"/>
      <c r="AA1762" s="1"/>
      <c r="AC1762" s="2"/>
      <c r="AE1762" s="1"/>
      <c r="AG1762" s="2"/>
    </row>
    <row r="1763" spans="12:33" ht="49.95" customHeight="1" x14ac:dyDescent="0.3">
      <c r="L1763" s="2"/>
      <c r="M1763" s="2"/>
      <c r="N1763" s="2">
        <v>8509</v>
      </c>
      <c r="O1763" s="2" t="s">
        <v>5032</v>
      </c>
      <c r="P1763" s="16">
        <v>46176</v>
      </c>
      <c r="Q1763" s="371" t="s">
        <v>3095</v>
      </c>
      <c r="R1763" s="2">
        <f>VLOOKUP(SALIDAS111518[[#This Row],[CÓDIGO]],PRODUCTOS31316[],2,FALSE)</f>
        <v>0</v>
      </c>
      <c r="S1763" s="1" t="str">
        <f>VLOOKUP(SALIDAS111518[[#This Row],[CÓDIGO]],PRODUCTOS31316[],3,FALSE)</f>
        <v>GORRA MAS CAMPO</v>
      </c>
      <c r="T1763" s="2">
        <v>1</v>
      </c>
      <c r="U1763" s="2"/>
      <c r="V1763" s="2"/>
      <c r="W1763" s="2"/>
      <c r="X1763" s="2"/>
      <c r="Y1763" s="7"/>
      <c r="Z1763" s="2"/>
      <c r="AA1763" s="1"/>
      <c r="AC1763" s="2"/>
      <c r="AE1763" s="1"/>
      <c r="AG1763" s="2"/>
    </row>
    <row r="1764" spans="12:33" ht="49.95" customHeight="1" x14ac:dyDescent="0.3">
      <c r="L1764" s="2" t="s">
        <v>3520</v>
      </c>
      <c r="M1764" s="2" t="s">
        <v>4922</v>
      </c>
      <c r="N1764" s="1" t="s">
        <v>5034</v>
      </c>
      <c r="O1764" s="2" t="s">
        <v>2662</v>
      </c>
      <c r="P1764" s="16">
        <v>46153</v>
      </c>
      <c r="Q1764" s="2" t="s">
        <v>4386</v>
      </c>
      <c r="R1764" s="2">
        <f>VLOOKUP(SALIDAS111518[[#This Row],[CÓDIGO]],PRODUCTOS31316[],2,FALSE)</f>
        <v>754001</v>
      </c>
      <c r="S1764" s="1" t="str">
        <f>VLOOKUP(SALIDAS111518[[#This Row],[CÓDIGO]],PRODUCTOS31316[],3,FALSE)</f>
        <v>CAJA PETRI DESECHABLE ESTERIL 60X15MM MARCA: NEST</v>
      </c>
      <c r="T1764" s="2">
        <v>60</v>
      </c>
      <c r="U1764" s="2">
        <v>777</v>
      </c>
      <c r="V1764" s="2"/>
      <c r="W1764" s="2"/>
      <c r="X1764" s="2"/>
      <c r="Y1764" s="7"/>
      <c r="Z1764" s="2"/>
      <c r="AA1764" s="1"/>
      <c r="AC1764" s="2"/>
      <c r="AE1764" s="1"/>
      <c r="AG1764" s="2"/>
    </row>
    <row r="1765" spans="12:33" ht="49.95" customHeight="1" x14ac:dyDescent="0.3">
      <c r="L1765" s="369" t="s">
        <v>3520</v>
      </c>
      <c r="M1765" s="369" t="s">
        <v>4922</v>
      </c>
      <c r="N1765" s="2" t="s">
        <v>5048</v>
      </c>
      <c r="O1765" s="370" t="s">
        <v>5038</v>
      </c>
      <c r="P1765" s="16">
        <v>46154</v>
      </c>
      <c r="Q1765" s="369" t="s">
        <v>2420</v>
      </c>
      <c r="R1765" s="2" t="str">
        <f>VLOOKUP(SALIDAS111518[[#This Row],[CÓDIGO]],PRODUCTOS31316[],2,FALSE)</f>
        <v>L 60</v>
      </c>
      <c r="S1765" s="1" t="str">
        <f>VLOOKUP(SALIDAS111518[[#This Row],[CÓDIGO]],PRODUCTOS31316[],3,FALSE)</f>
        <v>SONDA LINEAL RECTAL L60 BMV</v>
      </c>
      <c r="T1765" s="2">
        <v>1</v>
      </c>
      <c r="U1765" s="2">
        <v>782</v>
      </c>
      <c r="V1765" s="2"/>
      <c r="W1765" s="369" t="s">
        <v>2823</v>
      </c>
      <c r="X1765" s="2"/>
      <c r="Y1765" s="7"/>
      <c r="Z1765" s="2"/>
      <c r="AA1765" s="1"/>
      <c r="AC1765" s="2"/>
      <c r="AE1765" s="1"/>
      <c r="AG1765" s="2"/>
    </row>
    <row r="1766" spans="12:33" ht="49.95" customHeight="1" x14ac:dyDescent="0.3">
      <c r="L1766" s="369" t="s">
        <v>3521</v>
      </c>
      <c r="M1766" s="369" t="s">
        <v>4922</v>
      </c>
      <c r="N1766" s="2" t="s">
        <v>5047</v>
      </c>
      <c r="O1766" s="369" t="s">
        <v>5042</v>
      </c>
      <c r="P1766" s="16">
        <v>46154</v>
      </c>
      <c r="Q1766" s="369" t="s">
        <v>15</v>
      </c>
      <c r="R1766" s="2" t="str">
        <f>VLOOKUP(SALIDAS111518[[#This Row],[CÓDIGO]],PRODUCTOS31316[],2,FALSE)</f>
        <v>BTE-025PT/ 504002</v>
      </c>
      <c r="S1766" s="1" t="str">
        <f>VLOOKUP(SALIDAS111518[[#This Row],[CÓDIGO]],PRODUCTOS31316[],3,FALSE)</f>
        <v>FUNDAS PARA TRANSFERENCIA DE EMBRIONES</v>
      </c>
      <c r="T1766" s="2">
        <v>1</v>
      </c>
      <c r="U1766" s="2">
        <v>780</v>
      </c>
      <c r="V1766" s="2"/>
      <c r="W1766" s="369" t="s">
        <v>3412</v>
      </c>
      <c r="X1766" s="2"/>
      <c r="Y1766" s="7"/>
      <c r="Z1766" s="2"/>
      <c r="AA1766" s="1"/>
      <c r="AC1766" s="2"/>
      <c r="AE1766" s="1"/>
      <c r="AG1766" s="2"/>
    </row>
    <row r="1767" spans="12:33" ht="49.95" customHeight="1" x14ac:dyDescent="0.3">
      <c r="L1767" s="2"/>
      <c r="M1767" s="2"/>
      <c r="N1767" s="2">
        <v>8361</v>
      </c>
      <c r="O1767" s="369" t="s">
        <v>5042</v>
      </c>
      <c r="P1767" s="16">
        <v>46154</v>
      </c>
      <c r="Q1767" s="369" t="s">
        <v>3142</v>
      </c>
      <c r="R1767" s="2">
        <f>VLOOKUP(SALIDAS111518[[#This Row],[CÓDIGO]],PRODUCTOS31316[],2,FALSE)</f>
        <v>16301</v>
      </c>
      <c r="S1767" s="1" t="str">
        <f>VLOOKUP(SALIDAS111518[[#This Row],[CÓDIGO]],PRODUCTOS31316[],3,FALSE)</f>
        <v>PISTOLA DE TRANSFERENCIA DE EMBRIONES 0,25 DE MANGO DE ALUMINIO</v>
      </c>
      <c r="T1767" s="2">
        <v>1</v>
      </c>
      <c r="U1767" s="2"/>
      <c r="V1767" s="2"/>
      <c r="W1767" s="2"/>
      <c r="X1767" s="2"/>
      <c r="Y1767" s="7"/>
      <c r="Z1767" s="2"/>
      <c r="AA1767" s="1"/>
      <c r="AC1767" s="2"/>
      <c r="AE1767" s="1"/>
      <c r="AG1767" s="2"/>
    </row>
    <row r="1768" spans="12:33" ht="49.95" customHeight="1" x14ac:dyDescent="0.3">
      <c r="L1768" s="369" t="s">
        <v>3521</v>
      </c>
      <c r="M1768" s="369" t="s">
        <v>4922</v>
      </c>
      <c r="N1768" s="374" t="s">
        <v>5507</v>
      </c>
      <c r="O1768" s="369" t="s">
        <v>5043</v>
      </c>
      <c r="P1768" s="16">
        <v>46154</v>
      </c>
      <c r="Q1768" s="369" t="s">
        <v>2339</v>
      </c>
      <c r="R1768" s="2" t="str">
        <f>VLOOKUP(SALIDAS111518[[#This Row],[CÓDIGO]],PRODUCTOS31316[],2,FALSE)</f>
        <v>SMP-24</v>
      </c>
      <c r="S1768" s="1" t="str">
        <f>VLOOKUP(SALIDAS111518[[#This Row],[CÓDIGO]],PRODUCTOS31316[],3,FALSE)</f>
        <v>ESTEREOMICROSCOPIO 2X 4X LED</v>
      </c>
      <c r="T1768" s="2">
        <v>1</v>
      </c>
      <c r="U1768" s="2">
        <v>781</v>
      </c>
      <c r="V1768" s="2"/>
      <c r="W1768" s="369" t="s">
        <v>2823</v>
      </c>
      <c r="X1768" s="2"/>
      <c r="Y1768" s="7"/>
      <c r="Z1768" s="2"/>
      <c r="AA1768" s="1"/>
      <c r="AC1768" s="2"/>
      <c r="AE1768" s="1"/>
      <c r="AG1768" s="2"/>
    </row>
    <row r="1769" spans="12:33" ht="49.95" customHeight="1" x14ac:dyDescent="0.3">
      <c r="L1769" s="2"/>
      <c r="M1769" s="2"/>
      <c r="N1769" s="2" t="s">
        <v>5045</v>
      </c>
      <c r="O1769" s="1" t="s">
        <v>4096</v>
      </c>
      <c r="P1769" s="16">
        <v>46154</v>
      </c>
      <c r="Q1769" s="2" t="s">
        <v>397</v>
      </c>
      <c r="R1769" s="2">
        <f>VLOOKUP(SALIDAS111518[[#This Row],[CÓDIGO]],PRODUCTOS31316[],2,FALSE)</f>
        <v>509013</v>
      </c>
      <c r="S1769" s="1" t="str">
        <f>VLOOKUP(SALIDAS111518[[#This Row],[CÓDIGO]],PRODUCTOS31316[],3,FALSE)</f>
        <v>CAMISA SANITARIA PARA PROBE RECTAL</v>
      </c>
      <c r="T1769" s="2">
        <v>2</v>
      </c>
      <c r="U1769" s="2"/>
      <c r="V1769" s="2"/>
      <c r="W1769" s="2"/>
      <c r="X1769" s="2"/>
      <c r="Y1769" s="7"/>
      <c r="Z1769" s="2"/>
      <c r="AA1769" s="1"/>
      <c r="AC1769" s="2"/>
      <c r="AE1769" s="1"/>
      <c r="AG1769" s="2"/>
    </row>
    <row r="1770" spans="12:33" ht="49.95" customHeight="1" x14ac:dyDescent="0.3">
      <c r="L1770" s="369" t="s">
        <v>3520</v>
      </c>
      <c r="M1770" s="369" t="s">
        <v>4922</v>
      </c>
      <c r="N1770" s="2" t="s">
        <v>5046</v>
      </c>
      <c r="O1770" s="1" t="s">
        <v>2738</v>
      </c>
      <c r="P1770" s="16">
        <v>46154</v>
      </c>
      <c r="Q1770" s="2" t="s">
        <v>4031</v>
      </c>
      <c r="R1770" s="2" t="str">
        <f>VLOOKUP(SALIDAS111518[[#This Row],[CÓDIGO]],PRODUCTOS31316[],2,FALSE)</f>
        <v>SPERMLIDE420</v>
      </c>
      <c r="S1770" s="1" t="str">
        <f>VLOOKUP(SALIDAS111518[[#This Row],[CÓDIGO]],PRODUCTOS31316[],3,FALSE)</f>
        <v>CÁMARA DE RECUENTO CELULAR SPERMLIDE420/ 4 cámaras de recuento por porta, 20 micras de profundidad.</v>
      </c>
      <c r="T1770" s="2">
        <v>10</v>
      </c>
      <c r="U1770" s="2">
        <v>784</v>
      </c>
      <c r="V1770" s="2"/>
      <c r="W1770" s="2"/>
      <c r="X1770" s="2"/>
      <c r="Y1770" s="7"/>
      <c r="Z1770" s="2"/>
      <c r="AA1770" s="1"/>
      <c r="AC1770" s="2"/>
      <c r="AE1770" s="1"/>
      <c r="AG1770" s="2"/>
    </row>
    <row r="1771" spans="12:33" ht="49.95" customHeight="1" x14ac:dyDescent="0.3">
      <c r="L1771" s="369" t="s">
        <v>3520</v>
      </c>
      <c r="M1771" s="369" t="s">
        <v>4922</v>
      </c>
      <c r="N1771" s="2" t="s">
        <v>5050</v>
      </c>
      <c r="O1771" s="1" t="s">
        <v>5038</v>
      </c>
      <c r="P1771" s="16">
        <v>46154</v>
      </c>
      <c r="Q1771" s="2" t="s">
        <v>5049</v>
      </c>
      <c r="R1771" s="2" t="e">
        <f>VLOOKUP(SALIDAS111518[[#This Row],[CÓDIGO]],PRODUCTOS31316[],2,FALSE)</f>
        <v>#N/A</v>
      </c>
      <c r="S1771" s="1" t="e">
        <f>VLOOKUP(SALIDAS111518[[#This Row],[CÓDIGO]],PRODUCTOS31316[],3,FALSE)</f>
        <v>#N/A</v>
      </c>
      <c r="T1771" s="2"/>
      <c r="U1771" s="2"/>
      <c r="V1771" s="2"/>
      <c r="W1771" s="2"/>
      <c r="X1771" s="2"/>
      <c r="Y1771" s="7"/>
      <c r="Z1771" s="2"/>
      <c r="AA1771" s="1"/>
      <c r="AC1771" s="2"/>
      <c r="AE1771" s="1"/>
      <c r="AG1771" s="2"/>
    </row>
    <row r="1772" spans="12:33" ht="49.95" customHeight="1" x14ac:dyDescent="0.3">
      <c r="L1772" s="369" t="s">
        <v>3520</v>
      </c>
      <c r="M1772" s="369" t="s">
        <v>4922</v>
      </c>
      <c r="N1772" s="2" t="s">
        <v>5051</v>
      </c>
      <c r="O1772" s="1" t="s">
        <v>2283</v>
      </c>
      <c r="P1772" s="16">
        <v>46154</v>
      </c>
      <c r="Q1772" s="2" t="s">
        <v>2435</v>
      </c>
      <c r="R1772" s="2">
        <f>VLOOKUP(SALIDAS111518[[#This Row],[CÓDIGO]],PRODUCTOS31316[],2,FALSE)</f>
        <v>9018121000</v>
      </c>
      <c r="S1772" s="1" t="str">
        <f>VLOOKUP(SALIDAS111518[[#This Row],[CÓDIGO]],PRODUCTOS31316[],3,FALSE)</f>
        <v>ECÓGRAFO S0- VET</v>
      </c>
      <c r="T1772" s="2">
        <v>1</v>
      </c>
      <c r="U1772" s="2">
        <v>855</v>
      </c>
      <c r="V1772" s="2"/>
      <c r="W1772" s="2"/>
      <c r="X1772" s="2"/>
      <c r="Y1772" s="7"/>
      <c r="Z1772" s="2"/>
      <c r="AA1772" s="1"/>
      <c r="AC1772" s="2"/>
      <c r="AE1772" s="1"/>
      <c r="AG1772" s="2"/>
    </row>
    <row r="1773" spans="12:33" ht="49.95" customHeight="1" x14ac:dyDescent="0.3">
      <c r="L1773" s="369" t="s">
        <v>3520</v>
      </c>
      <c r="M1773" s="369" t="s">
        <v>4922</v>
      </c>
      <c r="N1773" s="2" t="s">
        <v>5053</v>
      </c>
      <c r="O1773" s="1" t="s">
        <v>3333</v>
      </c>
      <c r="P1773" s="16">
        <v>46154</v>
      </c>
      <c r="Q1773" s="2" t="s">
        <v>168</v>
      </c>
      <c r="R1773" s="2">
        <f>VLOOKUP(SALIDAS111518[[#This Row],[CÓDIGO]],PRODUCTOS31316[],2,FALSE)</f>
        <v>4840</v>
      </c>
      <c r="S1773" s="1" t="str">
        <f>VLOOKUP(SALIDAS111518[[#This Row],[CÓDIGO]],PRODUCTOS31316[],3,FALSE)</f>
        <v>PUNTAS BLANCAS UNIVERSALES, PLÁSTICAS, LIBRES DE DNASAS, RNASA Y PIROGENOS, RANGO DE 0.1 A 10UL. (CORTAS).</v>
      </c>
      <c r="T1773" s="2">
        <v>1</v>
      </c>
      <c r="U1773" s="2">
        <v>786</v>
      </c>
      <c r="V1773" s="2"/>
      <c r="W1773" s="2"/>
      <c r="X1773" s="2"/>
      <c r="Y1773" s="7"/>
      <c r="Z1773" s="2"/>
      <c r="AA1773" s="1"/>
      <c r="AC1773" s="2"/>
      <c r="AE1773" s="1"/>
      <c r="AG1773" s="2"/>
    </row>
    <row r="1774" spans="12:33" ht="49.95" customHeight="1" x14ac:dyDescent="0.3">
      <c r="L1774" s="2"/>
      <c r="M1774" s="2"/>
      <c r="N1774" s="2">
        <v>8365</v>
      </c>
      <c r="O1774" s="1" t="s">
        <v>3333</v>
      </c>
      <c r="P1774" s="16">
        <v>46154</v>
      </c>
      <c r="Q1774" s="2" t="s">
        <v>602</v>
      </c>
      <c r="R1774" s="2">
        <f>VLOOKUP(SALIDAS111518[[#This Row],[CÓDIGO]],PRODUCTOS31316[],2,FALSE)</f>
        <v>4845</v>
      </c>
      <c r="S1774" s="1" t="str">
        <f>VLOOKUP(SALIDAS111518[[#This Row],[CÓDIGO]],PRODUCTOS31316[],3,FALSE)</f>
        <v>PUNTAS AMARILLAS, UNIVERSALES. PLASTICAS, NO ESTERIL. LIBRES DE RNASE, DNASE Y PYROGENOS. RANGO DE 1-200UL. BOLSA X1000UDS.</v>
      </c>
      <c r="T1774" s="2">
        <v>3</v>
      </c>
      <c r="U1774" s="2"/>
      <c r="V1774" s="2"/>
      <c r="W1774" s="2"/>
      <c r="X1774" s="2"/>
      <c r="Y1774" s="7"/>
      <c r="Z1774" s="2"/>
      <c r="AA1774" s="1"/>
      <c r="AC1774" s="2"/>
      <c r="AE1774" s="1"/>
      <c r="AG1774" s="2"/>
    </row>
    <row r="1775" spans="12:33" ht="49.95" customHeight="1" x14ac:dyDescent="0.3">
      <c r="L1775" s="2"/>
      <c r="M1775" s="2"/>
      <c r="N1775" s="2">
        <v>8365</v>
      </c>
      <c r="O1775" s="1" t="s">
        <v>3333</v>
      </c>
      <c r="P1775" s="16">
        <v>46154</v>
      </c>
      <c r="Q1775" s="2" t="s">
        <v>3168</v>
      </c>
      <c r="R1775" s="2" t="str">
        <f>VLOOKUP(SALIDAS111518[[#This Row],[CÓDIGO]],PRODUCTOS31316[],2,FALSE)</f>
        <v>MCTB015</v>
      </c>
      <c r="S1775" s="1" t="str">
        <f>VLOOKUP(SALIDAS111518[[#This Row],[CÓDIGO]],PRODUCTOS31316[],3,FALSE)</f>
        <v>TUBO CONICO DE 1,5ml PRE ESTERILIZADO LIBRE DE Rnasa y Dnasa No pirogenico No DNA Humano Tapa a Presion</v>
      </c>
      <c r="T1775" s="2">
        <v>3</v>
      </c>
      <c r="U1775" s="2"/>
      <c r="V1775" s="2"/>
      <c r="W1775" s="2"/>
      <c r="X1775" s="2"/>
      <c r="Y1775" s="7"/>
      <c r="Z1775" s="2"/>
      <c r="AA1775" s="1"/>
      <c r="AC1775" s="2"/>
      <c r="AE1775" s="1"/>
      <c r="AG1775" s="2"/>
    </row>
    <row r="1776" spans="12:33" ht="49.95" customHeight="1" x14ac:dyDescent="0.3">
      <c r="L1776" s="2"/>
      <c r="M1776" s="2"/>
      <c r="N1776" s="2">
        <v>8365</v>
      </c>
      <c r="O1776" s="1" t="s">
        <v>3333</v>
      </c>
      <c r="P1776" s="16">
        <v>46154</v>
      </c>
      <c r="Q1776" s="2" t="s">
        <v>3024</v>
      </c>
      <c r="R1776" s="2" t="str">
        <f>VLOOKUP(SALIDAS111518[[#This Row],[CÓDIGO]],PRODUCTOS31316[],2,FALSE)</f>
        <v>MCTB005</v>
      </c>
      <c r="S1776" s="1" t="str">
        <f>VLOOKUP(SALIDAS111518[[#This Row],[CÓDIGO]],PRODUCTOS31316[],3,FALSE)</f>
        <v>TUBO EPPENDORF DE 0,5 ML</v>
      </c>
      <c r="T1776" s="2">
        <v>1</v>
      </c>
      <c r="U1776" s="2"/>
      <c r="V1776" s="2"/>
      <c r="W1776" s="2"/>
      <c r="X1776" s="2"/>
      <c r="Y1776" s="7"/>
      <c r="Z1776" s="2"/>
      <c r="AA1776" s="1"/>
      <c r="AC1776" s="2"/>
      <c r="AE1776" s="1"/>
      <c r="AG1776" s="2"/>
    </row>
    <row r="1777" spans="12:33" ht="49.95" customHeight="1" x14ac:dyDescent="0.3">
      <c r="L1777" s="2"/>
      <c r="M1777" s="2"/>
      <c r="N1777" s="2">
        <v>8365</v>
      </c>
      <c r="O1777" s="1" t="s">
        <v>3333</v>
      </c>
      <c r="P1777" s="16">
        <v>46154</v>
      </c>
      <c r="Q1777" s="2" t="s">
        <v>4140</v>
      </c>
      <c r="R1777" s="2">
        <f>VLOOKUP(SALIDAS111518[[#This Row],[CÓDIGO]],PRODUCTOS31316[],2,FALSE)</f>
        <v>5575</v>
      </c>
      <c r="S1777" s="1" t="str">
        <f>VLOOKUP(SALIDAS111518[[#This Row],[CÓDIGO]],PRODUCTOS31316[],3,FALSE)</f>
        <v>PAJUELA AMARILLA 0.25/ PAQUETE X 2000</v>
      </c>
      <c r="T1777" s="2">
        <v>1</v>
      </c>
      <c r="U1777" s="2"/>
      <c r="V1777" s="2"/>
      <c r="W1777" s="2"/>
      <c r="X1777" s="2"/>
      <c r="Y1777" s="7"/>
      <c r="Z1777" s="2"/>
      <c r="AA1777" s="1"/>
      <c r="AC1777" s="2"/>
      <c r="AE1777" s="1"/>
      <c r="AG1777" s="2"/>
    </row>
    <row r="1778" spans="12:33" ht="49.95" customHeight="1" x14ac:dyDescent="0.3">
      <c r="L1778" s="2"/>
      <c r="M1778" s="2"/>
      <c r="N1778" s="2">
        <v>8365</v>
      </c>
      <c r="O1778" s="1" t="s">
        <v>3333</v>
      </c>
      <c r="P1778" s="16">
        <v>46154</v>
      </c>
      <c r="Q1778" s="2" t="s">
        <v>272</v>
      </c>
      <c r="R1778" s="2">
        <f>VLOOKUP(SALIDAS111518[[#This Row],[CÓDIGO]],PRODUCTOS31316[],2,FALSE)</f>
        <v>627161</v>
      </c>
      <c r="S1778" s="1" t="str">
        <f>VLOOKUP(SALIDAS111518[[#This Row],[CÓDIGO]],PRODUCTOS31316[],3,FALSE)</f>
        <v xml:space="preserve">CAJA PETRI 35X10 ESTERIL </v>
      </c>
      <c r="T1778" s="2">
        <v>20</v>
      </c>
      <c r="U1778" s="2"/>
      <c r="V1778" s="2"/>
      <c r="W1778" s="2"/>
      <c r="X1778" s="2"/>
      <c r="Y1778" s="7"/>
      <c r="Z1778" s="2"/>
      <c r="AA1778" s="1"/>
      <c r="AC1778" s="2"/>
      <c r="AE1778" s="1"/>
      <c r="AG1778" s="2"/>
    </row>
    <row r="1779" spans="12:33" ht="49.95" customHeight="1" x14ac:dyDescent="0.3">
      <c r="L1779" s="2"/>
      <c r="M1779" s="2"/>
      <c r="N1779" s="2">
        <v>8365</v>
      </c>
      <c r="O1779" s="1" t="s">
        <v>3333</v>
      </c>
      <c r="P1779" s="16">
        <v>46154</v>
      </c>
      <c r="Q1779" s="2" t="s">
        <v>3165</v>
      </c>
      <c r="R1779" s="2">
        <f>VLOOKUP(SALIDAS111518[[#This Row],[CÓDIGO]],PRODUCTOS31316[],2,FALSE)</f>
        <v>30943</v>
      </c>
      <c r="S1779" s="1" t="str">
        <f>VLOOKUP(SALIDAS111518[[#This Row],[CÓDIGO]],PRODUCTOS31316[],3,FALSE)</f>
        <v xml:space="preserve">CAJA PETRI DESECHABLE ESTERIL 90X 15 </v>
      </c>
      <c r="T1779" s="2">
        <v>15</v>
      </c>
      <c r="U1779" s="2"/>
      <c r="V1779" s="2"/>
      <c r="W1779" s="2"/>
      <c r="X1779" s="2"/>
      <c r="Y1779" s="7"/>
      <c r="Z1779" s="2"/>
      <c r="AA1779" s="1"/>
      <c r="AC1779" s="2"/>
      <c r="AE1779" s="1"/>
      <c r="AG1779" s="2"/>
    </row>
    <row r="1780" spans="12:33" ht="49.95" customHeight="1" x14ac:dyDescent="0.3">
      <c r="L1780" s="2"/>
      <c r="M1780" s="2"/>
      <c r="N1780" s="1" t="s">
        <v>5052</v>
      </c>
      <c r="O1780" s="1" t="s">
        <v>4852</v>
      </c>
      <c r="P1780" s="16">
        <v>46154</v>
      </c>
      <c r="Q1780" s="2" t="s">
        <v>3662</v>
      </c>
      <c r="R1780" s="2">
        <f>VLOOKUP(SALIDAS111518[[#This Row],[CÓDIGO]],PRODUCTOS31316[],2,FALSE)</f>
        <v>5580</v>
      </c>
      <c r="S1780" s="1" t="str">
        <f>VLOOKUP(SALIDAS111518[[#This Row],[CÓDIGO]],PRODUCTOS31316[],3,FALSE)</f>
        <v>PAJUELA ANARANJADA 0.25/ PAQ. X 2000 MARCA IMV</v>
      </c>
      <c r="T1780" s="2">
        <v>1</v>
      </c>
      <c r="U1780" s="2"/>
      <c r="V1780" s="2"/>
      <c r="W1780" s="2"/>
      <c r="X1780" s="2"/>
      <c r="Y1780" s="7"/>
      <c r="Z1780" s="2"/>
      <c r="AA1780" s="1"/>
      <c r="AC1780" s="2"/>
      <c r="AE1780" s="1"/>
      <c r="AG1780" s="2"/>
    </row>
    <row r="1781" spans="12:33" ht="49.95" customHeight="1" x14ac:dyDescent="0.3">
      <c r="L1781" s="2"/>
      <c r="M1781" s="2"/>
      <c r="N1781" s="2">
        <v>8261</v>
      </c>
      <c r="O1781" s="1" t="s">
        <v>4852</v>
      </c>
      <c r="P1781" s="16">
        <v>46154</v>
      </c>
      <c r="Q1781" s="2" t="s">
        <v>47</v>
      </c>
      <c r="R1781" s="2">
        <f>VLOOKUP(SALIDAS111518[[#This Row],[CÓDIGO]],PRODUCTOS31316[],2,FALSE)</f>
        <v>1135</v>
      </c>
      <c r="S1781" s="1" t="str">
        <f>VLOOKUP(SALIDAS111518[[#This Row],[CÓDIGO]],PRODUCTOS31316[],3,FALSE)</f>
        <v>TRILADYL</v>
      </c>
      <c r="T1781" s="2">
        <v>1</v>
      </c>
      <c r="U1781" s="2"/>
      <c r="V1781" s="2"/>
      <c r="W1781" s="2"/>
      <c r="X1781" s="2"/>
      <c r="Y1781" s="7"/>
      <c r="Z1781" s="2"/>
      <c r="AA1781" s="1"/>
      <c r="AC1781" s="2"/>
      <c r="AE1781" s="1"/>
      <c r="AG1781" s="2"/>
    </row>
    <row r="1782" spans="12:33" ht="49.95" customHeight="1" x14ac:dyDescent="0.3">
      <c r="L1782" s="2"/>
      <c r="M1782" s="2"/>
      <c r="N1782" s="2">
        <v>8264</v>
      </c>
      <c r="O1782" s="1" t="s">
        <v>4852</v>
      </c>
      <c r="P1782" s="16">
        <v>46154</v>
      </c>
      <c r="Q1782" s="2" t="s">
        <v>1006</v>
      </c>
      <c r="R1782" s="2" t="str">
        <f>VLOOKUP(SALIDAS111518[[#This Row],[CÓDIGO]],PRODUCTOS31316[],2,FALSE)</f>
        <v>44-0200</v>
      </c>
      <c r="S1782" s="1" t="str">
        <f>VLOOKUP(SALIDAS111518[[#This Row],[CÓDIGO]],PRODUCTOS31316[],3,FALSE)</f>
        <v>POLVO SELLADOR DE PAJILLAS COLOR BLANCO, 750GR</v>
      </c>
      <c r="T1782" s="2">
        <v>1</v>
      </c>
      <c r="U1782" s="2"/>
      <c r="V1782" s="2"/>
      <c r="W1782" s="2"/>
      <c r="X1782" s="2"/>
      <c r="Y1782" s="7"/>
      <c r="Z1782" s="2"/>
      <c r="AA1782" s="1"/>
      <c r="AC1782" s="2"/>
      <c r="AE1782" s="1"/>
      <c r="AG1782" s="2"/>
    </row>
    <row r="1783" spans="12:33" ht="49.95" customHeight="1" x14ac:dyDescent="0.3">
      <c r="L1783" s="2"/>
      <c r="M1783" s="2"/>
      <c r="N1783" s="2">
        <v>8267</v>
      </c>
      <c r="O1783" s="1" t="s">
        <v>4852</v>
      </c>
      <c r="P1783" s="16">
        <v>46154</v>
      </c>
      <c r="Q1783" s="2" t="s">
        <v>683</v>
      </c>
      <c r="R1783" s="2">
        <f>VLOOKUP(SALIDAS111518[[#This Row],[CÓDIGO]],PRODUCTOS31316[],2,FALSE)</f>
        <v>109304</v>
      </c>
      <c r="S1783" s="1" t="str">
        <f>VLOOKUP(SALIDAS111518[[#This Row],[CÓDIGO]],PRODUCTOS31316[],3,FALSE)</f>
        <v>EOSINA- NIGROSINA</v>
      </c>
      <c r="T1783" s="2">
        <v>1</v>
      </c>
      <c r="U1783" s="2"/>
      <c r="V1783" s="2"/>
      <c r="W1783" s="2"/>
      <c r="X1783" s="2"/>
      <c r="Y1783" s="7"/>
      <c r="Z1783" s="2"/>
      <c r="AA1783" s="1"/>
      <c r="AC1783" s="2"/>
      <c r="AE1783" s="1"/>
      <c r="AG1783" s="2"/>
    </row>
    <row r="1784" spans="12:33" ht="49.95" customHeight="1" x14ac:dyDescent="0.3">
      <c r="L1784" s="374" t="s">
        <v>3520</v>
      </c>
      <c r="M1784" s="374" t="s">
        <v>4922</v>
      </c>
      <c r="N1784" s="2" t="s">
        <v>5055</v>
      </c>
      <c r="O1784" s="369" t="s">
        <v>5042</v>
      </c>
      <c r="P1784" s="16">
        <v>46154</v>
      </c>
      <c r="Q1784" s="2" t="s">
        <v>1779</v>
      </c>
      <c r="R1784" s="2">
        <f>VLOOKUP(SALIDAS111518[[#This Row],[CÓDIGO]],PRODUCTOS31316[],2,FALSE)</f>
        <v>5563</v>
      </c>
      <c r="S1784" s="1" t="str">
        <f>VLOOKUP(SALIDAS111518[[#This Row],[CÓDIGO]],PRODUCTOS31316[],3,FALSE)</f>
        <v>CAMISA SANITARIA ROLLO X 80</v>
      </c>
      <c r="T1784" s="2">
        <v>1</v>
      </c>
      <c r="U1784" s="2">
        <v>787</v>
      </c>
      <c r="V1784" s="2"/>
      <c r="W1784" s="2"/>
      <c r="X1784" s="2"/>
      <c r="Y1784" s="7"/>
      <c r="Z1784" s="2"/>
      <c r="AA1784" s="1"/>
      <c r="AC1784" s="2"/>
      <c r="AE1784" s="1"/>
      <c r="AG1784" s="2"/>
    </row>
    <row r="1785" spans="12:33" ht="49.95" customHeight="1" x14ac:dyDescent="0.3">
      <c r="L1785" s="374" t="s">
        <v>3520</v>
      </c>
      <c r="M1785" s="374" t="s">
        <v>4922</v>
      </c>
      <c r="N1785" s="2" t="s">
        <v>5054</v>
      </c>
      <c r="O1785" s="2" t="s">
        <v>4861</v>
      </c>
      <c r="P1785" s="16">
        <v>46154</v>
      </c>
      <c r="Q1785" s="2" t="s">
        <v>273</v>
      </c>
      <c r="R1785" s="2">
        <f>VLOOKUP(SALIDAS111518[[#This Row],[CÓDIGO]],PRODUCTOS31316[],2,FALSE)</f>
        <v>1003514</v>
      </c>
      <c r="S1785" s="1" t="str">
        <f>VLOOKUP(SALIDAS111518[[#This Row],[CÓDIGO]],PRODUCTOS31316[],3,FALSE)</f>
        <v>JALEA CONDUCTIVA (GEL ULTRASONICO) GALON X 3785 ML AZUL</v>
      </c>
      <c r="T1785" s="2">
        <v>2</v>
      </c>
      <c r="U1785" s="2">
        <v>789</v>
      </c>
      <c r="V1785" s="2"/>
      <c r="W1785" s="2"/>
      <c r="X1785" s="2"/>
      <c r="Y1785" s="7"/>
      <c r="Z1785" s="2"/>
      <c r="AA1785" s="1"/>
      <c r="AC1785" s="2"/>
      <c r="AE1785" s="1"/>
      <c r="AG1785" s="2"/>
    </row>
    <row r="1786" spans="12:33" ht="49.95" customHeight="1" x14ac:dyDescent="0.3">
      <c r="L1786" s="374" t="s">
        <v>3520</v>
      </c>
      <c r="M1786" s="374" t="s">
        <v>4922</v>
      </c>
      <c r="N1786" s="2" t="s">
        <v>5057</v>
      </c>
      <c r="O1786" s="2" t="s">
        <v>5056</v>
      </c>
      <c r="P1786" s="16">
        <v>46154</v>
      </c>
      <c r="Q1786" s="2" t="s">
        <v>3393</v>
      </c>
      <c r="R1786" s="2">
        <f>VLOOKUP(SALIDAS111518[[#This Row],[CÓDIGO]],PRODUCTOS31316[],2,FALSE)</f>
        <v>17026</v>
      </c>
      <c r="S1786" s="1" t="str">
        <f>VLOOKUP(SALIDAS111518[[#This Row],[CÓDIGO]],PRODUCTOS31316[],3,FALSE)</f>
        <v>PISTOLA DE INSEMINACION QUICKLOCK 2000 MINITUBE</v>
      </c>
      <c r="T1786" s="2">
        <v>1</v>
      </c>
      <c r="U1786" s="2">
        <v>790</v>
      </c>
      <c r="V1786" s="2"/>
      <c r="W1786" s="2"/>
      <c r="X1786" s="2"/>
      <c r="Y1786" s="7"/>
      <c r="Z1786" s="2"/>
      <c r="AA1786" s="1"/>
      <c r="AC1786" s="2"/>
      <c r="AE1786" s="1"/>
      <c r="AG1786" s="2"/>
    </row>
    <row r="1787" spans="12:33" ht="49.95" customHeight="1" x14ac:dyDescent="0.3">
      <c r="L1787" s="2"/>
      <c r="M1787" s="2"/>
      <c r="N1787" s="2">
        <v>8371</v>
      </c>
      <c r="O1787" s="2" t="s">
        <v>5056</v>
      </c>
      <c r="P1787" s="16">
        <v>46154</v>
      </c>
      <c r="Q1787" s="2" t="s">
        <v>2364</v>
      </c>
      <c r="R1787" s="2">
        <f>VLOOKUP(SALIDAS111518[[#This Row],[CÓDIGO]],PRODUCTOS31316[],2,FALSE)</f>
        <v>0</v>
      </c>
      <c r="S1787" s="1" t="str">
        <f>VLOOKUP(SALIDAS111518[[#This Row],[CÓDIGO]],PRODUCTOS31316[],3,FALSE)</f>
        <v>CORTAPAJILLAS WTA</v>
      </c>
      <c r="T1787" s="2">
        <v>1</v>
      </c>
      <c r="U1787" s="2"/>
      <c r="V1787" s="2"/>
      <c r="W1787" s="2"/>
      <c r="X1787" s="2"/>
      <c r="Y1787" s="7"/>
      <c r="Z1787" s="2"/>
      <c r="AA1787" s="1"/>
      <c r="AC1787" s="2"/>
      <c r="AE1787" s="1"/>
      <c r="AG1787" s="2"/>
    </row>
    <row r="1788" spans="12:33" ht="49.95" customHeight="1" x14ac:dyDescent="0.3">
      <c r="L1788" s="2"/>
      <c r="M1788" s="2"/>
      <c r="N1788" s="2">
        <v>8371</v>
      </c>
      <c r="O1788" s="2" t="s">
        <v>5056</v>
      </c>
      <c r="P1788" s="16">
        <v>46154</v>
      </c>
      <c r="Q1788" s="2" t="s">
        <v>581</v>
      </c>
      <c r="R1788" s="2">
        <f>VLOOKUP(SALIDAS111518[[#This Row],[CÓDIGO]],PRODUCTOS31316[],2,FALSE)</f>
        <v>11571</v>
      </c>
      <c r="S1788" s="1" t="str">
        <f>VLOOKUP(SALIDAS111518[[#This Row],[CÓDIGO]],PRODUCTOS31316[],3,FALSE)</f>
        <v>PINZA COGEPAJILLA</v>
      </c>
      <c r="T1788" s="2">
        <v>1</v>
      </c>
      <c r="U1788" s="2"/>
      <c r="V1788" s="2"/>
      <c r="W1788" s="2"/>
      <c r="X1788" s="2"/>
      <c r="Y1788" s="7"/>
      <c r="Z1788" s="2"/>
      <c r="AA1788" s="1"/>
      <c r="AC1788" s="2"/>
      <c r="AE1788" s="1"/>
      <c r="AG1788" s="2"/>
    </row>
    <row r="1789" spans="12:33" ht="49.95" customHeight="1" x14ac:dyDescent="0.3">
      <c r="L1789" s="2"/>
      <c r="M1789" s="2"/>
      <c r="N1789" s="2">
        <v>8371</v>
      </c>
      <c r="O1789" s="2" t="s">
        <v>5056</v>
      </c>
      <c r="P1789" s="16">
        <v>46154</v>
      </c>
      <c r="Q1789" s="2" t="s">
        <v>210</v>
      </c>
      <c r="R1789" s="2">
        <f>VLOOKUP(SALIDAS111518[[#This Row],[CÓDIGO]],PRODUCTOS31316[],2,FALSE)</f>
        <v>101257</v>
      </c>
      <c r="S1789" s="1" t="str">
        <f>VLOOKUP(SALIDAS111518[[#This Row],[CÓDIGO]],PRODUCTOS31316[],3,FALSE)</f>
        <v>MANGA DESECHABLE SUPER SENSITIVA</v>
      </c>
      <c r="T1789" s="2">
        <v>1</v>
      </c>
      <c r="U1789" s="2"/>
      <c r="V1789" s="2"/>
      <c r="W1789" s="2"/>
      <c r="X1789" s="2"/>
      <c r="Y1789" s="7"/>
      <c r="Z1789" s="2"/>
      <c r="AA1789" s="1"/>
      <c r="AC1789" s="2"/>
      <c r="AE1789" s="1"/>
      <c r="AG1789" s="2"/>
    </row>
    <row r="1790" spans="12:33" ht="49.95" customHeight="1" x14ac:dyDescent="0.3">
      <c r="L1790" s="2"/>
      <c r="M1790" s="2"/>
      <c r="N1790" s="2">
        <v>8371</v>
      </c>
      <c r="O1790" s="2" t="s">
        <v>5056</v>
      </c>
      <c r="P1790" s="16">
        <v>46154</v>
      </c>
      <c r="Q1790" s="2" t="s">
        <v>1779</v>
      </c>
      <c r="R1790" s="2">
        <f>VLOOKUP(SALIDAS111518[[#This Row],[CÓDIGO]],PRODUCTOS31316[],2,FALSE)</f>
        <v>5563</v>
      </c>
      <c r="S1790" s="1" t="str">
        <f>VLOOKUP(SALIDAS111518[[#This Row],[CÓDIGO]],PRODUCTOS31316[],3,FALSE)</f>
        <v>CAMISA SANITARIA ROLLO X 80</v>
      </c>
      <c r="T1790" s="2">
        <v>1</v>
      </c>
      <c r="U1790" s="2"/>
      <c r="V1790" s="2"/>
      <c r="W1790" s="2"/>
      <c r="X1790" s="2"/>
      <c r="Y1790" s="7"/>
      <c r="Z1790" s="2"/>
      <c r="AA1790" s="1"/>
      <c r="AC1790" s="2"/>
      <c r="AE1790" s="1"/>
      <c r="AG1790" s="2"/>
    </row>
    <row r="1791" spans="12:33" ht="49.95" customHeight="1" x14ac:dyDescent="0.3">
      <c r="L1791" s="374" t="s">
        <v>3520</v>
      </c>
      <c r="M1791" s="374" t="s">
        <v>4922</v>
      </c>
      <c r="N1791" s="2" t="s">
        <v>5058</v>
      </c>
      <c r="O1791" s="1" t="s">
        <v>2699</v>
      </c>
      <c r="P1791" s="16">
        <v>46155</v>
      </c>
      <c r="Q1791" s="2" t="s">
        <v>2985</v>
      </c>
      <c r="R1791" s="2">
        <f>VLOOKUP(SALIDAS111518[[#This Row],[CÓDIGO]],PRODUCTOS31316[],2,FALSE)</f>
        <v>6206</v>
      </c>
      <c r="S1791" s="1" t="str">
        <f>VLOOKUP(SALIDAS111518[[#This Row],[CÓDIGO]],PRODUCTOS31316[],3,FALSE)</f>
        <v>AGUJA DESECHABLE 20G X 1 1/2</v>
      </c>
      <c r="T1791" s="2">
        <v>20</v>
      </c>
      <c r="U1791" s="2">
        <v>791</v>
      </c>
      <c r="V1791" s="2"/>
      <c r="W1791" s="2"/>
      <c r="X1791" s="2"/>
      <c r="Y1791" s="7"/>
      <c r="Z1791" s="2"/>
      <c r="AA1791" s="1"/>
      <c r="AC1791" s="2"/>
      <c r="AE1791" s="1"/>
      <c r="AG1791" s="2"/>
    </row>
    <row r="1792" spans="12:33" ht="49.95" customHeight="1" x14ac:dyDescent="0.3">
      <c r="L1792" s="2"/>
      <c r="M1792" s="2"/>
      <c r="N1792" s="54" t="s">
        <v>5059</v>
      </c>
      <c r="O1792" s="1" t="s">
        <v>5022</v>
      </c>
      <c r="P1792" s="16">
        <v>46155</v>
      </c>
      <c r="Q1792" s="2" t="s">
        <v>149</v>
      </c>
      <c r="R1792" s="2">
        <f>VLOOKUP(SALIDAS111518[[#This Row],[CÓDIGO]],PRODUCTOS31316[],2,FALSE)</f>
        <v>18621</v>
      </c>
      <c r="S1792" s="1" t="str">
        <f>VLOOKUP(SALIDAS111518[[#This Row],[CÓDIGO]],PRODUCTOS31316[],3,FALSE)</f>
        <v>TERMO DESCONGELADOR DE SEMEN DE EMBRIONES ROJO</v>
      </c>
      <c r="T1792" s="2">
        <v>1</v>
      </c>
      <c r="U1792" s="2"/>
      <c r="V1792" s="2"/>
      <c r="W1792" s="2"/>
      <c r="X1792" s="2"/>
      <c r="Y1792" s="7"/>
      <c r="Z1792" s="2"/>
      <c r="AA1792" s="1"/>
      <c r="AC1792" s="2"/>
      <c r="AE1792" s="1"/>
      <c r="AG1792" s="2"/>
    </row>
    <row r="1793" spans="12:33" ht="49.95" customHeight="1" x14ac:dyDescent="0.3">
      <c r="L1793" s="374" t="s">
        <v>3520</v>
      </c>
      <c r="M1793" s="374" t="s">
        <v>4922</v>
      </c>
      <c r="N1793" s="2" t="s">
        <v>5061</v>
      </c>
      <c r="O1793" s="2" t="s">
        <v>5060</v>
      </c>
      <c r="P1793" s="16">
        <v>46155</v>
      </c>
      <c r="Q1793" s="2" t="s">
        <v>3712</v>
      </c>
      <c r="R1793" s="2" t="str">
        <f>VLOOKUP(SALIDAS111518[[#This Row],[CÓDIGO]],PRODUCTOS31316[],2,FALSE)</f>
        <v>13408-064</v>
      </c>
      <c r="S1793" s="1" t="str">
        <f>VLOOKUP(SALIDAS111518[[#This Row],[CÓDIGO]],PRODUCTOS31316[],3,FALSE)</f>
        <v>PAJUELA AZUL 0.50/ PAQ. X 2500 MARCA MINITUBE</v>
      </c>
      <c r="T1793" s="2">
        <v>1</v>
      </c>
      <c r="U1793" s="2">
        <v>793</v>
      </c>
      <c r="V1793" s="2"/>
      <c r="W1793" s="2"/>
      <c r="X1793" s="2"/>
      <c r="Y1793" s="7"/>
      <c r="Z1793" s="2"/>
      <c r="AA1793" s="1"/>
      <c r="AC1793" s="2"/>
      <c r="AE1793" s="1"/>
      <c r="AG1793" s="2"/>
    </row>
    <row r="1794" spans="12:33" ht="49.95" customHeight="1" x14ac:dyDescent="0.3">
      <c r="L1794" s="2"/>
      <c r="M1794" s="2"/>
      <c r="N1794" s="2">
        <v>8380</v>
      </c>
      <c r="O1794" s="2" t="s">
        <v>5060</v>
      </c>
      <c r="P1794" s="16">
        <v>46155</v>
      </c>
      <c r="Q1794" s="2" t="s">
        <v>3711</v>
      </c>
      <c r="R1794" s="2" t="str">
        <f>VLOOKUP(SALIDAS111518[[#This Row],[CÓDIGO]],PRODUCTOS31316[],2,FALSE)</f>
        <v>13408-054</v>
      </c>
      <c r="S1794" s="1" t="str">
        <f>VLOOKUP(SALIDAS111518[[#This Row],[CÓDIGO]],PRODUCTOS31316[],3,FALSE)</f>
        <v>PAJUELA VERDE 0.50/ PAQ. X 2500 MARCA MINITUBE</v>
      </c>
      <c r="T1794" s="2">
        <v>2</v>
      </c>
      <c r="U1794" s="2"/>
      <c r="V1794" s="2"/>
      <c r="W1794" s="2"/>
      <c r="X1794" s="2"/>
      <c r="Y1794" s="7"/>
      <c r="Z1794" s="2"/>
      <c r="AA1794" s="1"/>
      <c r="AC1794" s="2"/>
      <c r="AE1794" s="1"/>
      <c r="AG1794" s="2"/>
    </row>
    <row r="1795" spans="12:33" ht="49.95" customHeight="1" x14ac:dyDescent="0.3">
      <c r="L1795" s="374" t="s">
        <v>3521</v>
      </c>
      <c r="M1795" s="374" t="s">
        <v>4922</v>
      </c>
      <c r="N1795" s="2" t="s">
        <v>5063</v>
      </c>
      <c r="O1795" s="1" t="s">
        <v>5062</v>
      </c>
      <c r="P1795" s="16">
        <v>46155</v>
      </c>
      <c r="Q1795" s="2" t="s">
        <v>3282</v>
      </c>
      <c r="R1795" s="2" t="str">
        <f>VLOOKUP(SALIDAS111518[[#This Row],[CÓDIGO]],PRODUCTOS31316[],2,FALSE)</f>
        <v>S7/B-W</v>
      </c>
      <c r="S1795" s="1" t="str">
        <f>VLOOKUP(SALIDAS111518[[#This Row],[CÓDIGO]],PRODUCTOS31316[],3,FALSE)</f>
        <v>ECÓGRAFO S7 B/W ( BLANCO Y NEGRO) BMV - Plataforma BLANCO Y NEGRO CON BATERÍA</v>
      </c>
      <c r="T1795" s="2">
        <v>1</v>
      </c>
      <c r="U1795" s="2">
        <v>792</v>
      </c>
      <c r="V1795" s="2"/>
      <c r="W1795" s="2"/>
      <c r="X1795" s="2"/>
      <c r="Y1795" s="7"/>
      <c r="Z1795" s="2"/>
      <c r="AA1795" s="1"/>
      <c r="AC1795" s="2"/>
      <c r="AE1795" s="1"/>
      <c r="AG1795" s="2"/>
    </row>
    <row r="1796" spans="12:33" ht="49.95" customHeight="1" x14ac:dyDescent="0.3">
      <c r="L1796" s="2"/>
      <c r="M1796" s="2"/>
      <c r="N1796" s="2">
        <v>8379</v>
      </c>
      <c r="O1796" s="1" t="s">
        <v>5062</v>
      </c>
      <c r="P1796" s="16">
        <v>46155</v>
      </c>
      <c r="Q1796" s="2" t="s">
        <v>3791</v>
      </c>
      <c r="R1796" s="2">
        <f>VLOOKUP(SALIDAS111518[[#This Row],[CÓDIGO]],PRODUCTOS31316[],2,FALSE)</f>
        <v>6936520864546</v>
      </c>
      <c r="S1796" s="1" t="str">
        <f>VLOOKUP(SALIDAS111518[[#This Row],[CÓDIGO]],PRODUCTOS31316[],3,FALSE)</f>
        <v>TABLET 11" HONOR PAD X8A 128 GB</v>
      </c>
      <c r="T1796" s="2">
        <v>1</v>
      </c>
      <c r="U1796" s="2"/>
      <c r="V1796" s="2"/>
      <c r="W1796" s="2"/>
      <c r="X1796" s="2"/>
      <c r="Y1796" s="7"/>
      <c r="Z1796" s="2"/>
      <c r="AA1796" s="1"/>
      <c r="AC1796" s="2"/>
      <c r="AE1796" s="1"/>
      <c r="AG1796" s="2"/>
    </row>
    <row r="1797" spans="12:33" ht="49.95" customHeight="1" x14ac:dyDescent="0.3">
      <c r="L1797" s="2"/>
      <c r="M1797" s="2"/>
      <c r="N1797" s="2">
        <v>8379</v>
      </c>
      <c r="O1797" s="1" t="s">
        <v>5062</v>
      </c>
      <c r="P1797" s="16">
        <v>46155</v>
      </c>
      <c r="Q1797" s="2" t="s">
        <v>3286</v>
      </c>
      <c r="R1797" s="2">
        <f>VLOOKUP(SALIDAS111518[[#This Row],[CÓDIGO]],PRODUCTOS31316[],2,FALSE)</f>
        <v>0</v>
      </c>
      <c r="S1797" s="1" t="str">
        <f>VLOOKUP(SALIDAS111518[[#This Row],[CÓDIGO]],PRODUCTOS31316[],3,FALSE)</f>
        <v>CARCASA TABLET BMV</v>
      </c>
      <c r="T1797" s="2">
        <v>1</v>
      </c>
      <c r="U1797" s="2"/>
      <c r="V1797" s="2"/>
      <c r="W1797" s="2"/>
      <c r="X1797" s="2"/>
      <c r="Y1797" s="7"/>
      <c r="Z1797" s="2"/>
      <c r="AA1797" s="1"/>
      <c r="AC1797" s="2"/>
      <c r="AE1797" s="1"/>
      <c r="AG1797" s="2"/>
    </row>
    <row r="1798" spans="12:33" ht="49.95" customHeight="1" x14ac:dyDescent="0.3">
      <c r="L1798" s="374" t="s">
        <v>3520</v>
      </c>
      <c r="M1798" s="374" t="s">
        <v>4922</v>
      </c>
      <c r="N1798" s="374" t="s">
        <v>747</v>
      </c>
      <c r="O1798" s="375" t="s">
        <v>3262</v>
      </c>
      <c r="P1798" s="16">
        <v>46156</v>
      </c>
      <c r="Q1798" s="374" t="s">
        <v>3376</v>
      </c>
      <c r="R1798" s="2">
        <f>VLOOKUP(SALIDAS111518[[#This Row],[CÓDIGO]],PRODUCTOS31316[],2,FALSE)</f>
        <v>0</v>
      </c>
      <c r="S1798" s="1" t="str">
        <f>VLOOKUP(SALIDAS111518[[#This Row],[CÓDIGO]],PRODUCTOS31316[],3,FALSE)</f>
        <v>TERMO DE 380 ML MAS CAMPO</v>
      </c>
      <c r="T1798" s="2">
        <v>1</v>
      </c>
      <c r="U1798" s="2">
        <v>794</v>
      </c>
      <c r="V1798" s="2"/>
      <c r="W1798" s="2"/>
      <c r="X1798" s="2"/>
      <c r="Y1798" s="7"/>
      <c r="Z1798" s="2"/>
      <c r="AA1798" s="1"/>
      <c r="AC1798" s="2"/>
      <c r="AE1798" s="1"/>
      <c r="AG1798" s="2"/>
    </row>
    <row r="1799" spans="12:33" ht="49.95" customHeight="1" x14ac:dyDescent="0.3">
      <c r="L1799" s="374" t="s">
        <v>3520</v>
      </c>
      <c r="M1799" s="374" t="s">
        <v>4922</v>
      </c>
      <c r="N1799" s="2">
        <v>8382</v>
      </c>
      <c r="O1799" s="374" t="s">
        <v>5506</v>
      </c>
      <c r="P1799" s="16">
        <v>46156</v>
      </c>
      <c r="Q1799" s="374" t="s">
        <v>2829</v>
      </c>
      <c r="R1799" s="2">
        <f>VLOOKUP(SALIDAS111518[[#This Row],[CÓDIGO]],PRODUCTOS31316[],2,FALSE)</f>
        <v>5565</v>
      </c>
      <c r="S1799" s="1" t="str">
        <f>VLOOKUP(SALIDAS111518[[#This Row],[CÓDIGO]],PRODUCTOS31316[],3,FALSE)</f>
        <v>PAJILLAS TRANSPARENTES 0,25</v>
      </c>
      <c r="T1799" s="2">
        <v>1</v>
      </c>
      <c r="U1799" s="2">
        <v>795</v>
      </c>
      <c r="V1799" s="2"/>
      <c r="W1799" s="2"/>
      <c r="X1799" s="2"/>
      <c r="Y1799" s="7"/>
      <c r="Z1799" s="2"/>
      <c r="AA1799" s="1"/>
      <c r="AC1799" s="2"/>
      <c r="AE1799" s="1"/>
      <c r="AG1799" s="2"/>
    </row>
    <row r="1800" spans="12:33" ht="49.95" customHeight="1" x14ac:dyDescent="0.3">
      <c r="L1800" s="374" t="s">
        <v>3520</v>
      </c>
      <c r="M1800" s="374" t="s">
        <v>4922</v>
      </c>
      <c r="N1800" s="2">
        <v>8383</v>
      </c>
      <c r="O1800" s="374" t="s">
        <v>2722</v>
      </c>
      <c r="P1800" s="16">
        <v>46156</v>
      </c>
      <c r="Q1800" s="374" t="s">
        <v>3307</v>
      </c>
      <c r="R1800" s="2">
        <f>VLOOKUP(SALIDAS111518[[#This Row],[CÓDIGO]],PRODUCTOS31316[],2,FALSE)</f>
        <v>25</v>
      </c>
      <c r="S1800" s="1" t="str">
        <f>VLOOKUP(SALIDAS111518[[#This Row],[CÓDIGO]],PRODUCTOS31316[],3,FALSE)</f>
        <v>FILTRO EZ</v>
      </c>
      <c r="T1800" s="2">
        <v>2</v>
      </c>
      <c r="U1800" s="2">
        <v>796</v>
      </c>
      <c r="V1800" s="2"/>
      <c r="W1800" s="2"/>
      <c r="X1800" s="90"/>
      <c r="Y1800" s="7"/>
      <c r="Z1800" s="2"/>
      <c r="AA1800" s="1"/>
      <c r="AC1800" s="2"/>
      <c r="AE1800" s="1"/>
      <c r="AG1800" s="2"/>
    </row>
    <row r="1801" spans="12:33" ht="49.95" customHeight="1" x14ac:dyDescent="0.3">
      <c r="L1801" s="2"/>
      <c r="M1801" s="2"/>
      <c r="N1801" s="2">
        <v>8383</v>
      </c>
      <c r="O1801" s="374" t="s">
        <v>2722</v>
      </c>
      <c r="P1801" s="16">
        <v>46156</v>
      </c>
      <c r="Q1801" s="374" t="s">
        <v>2305</v>
      </c>
      <c r="R1801" s="2">
        <f>VLOOKUP(SALIDAS111518[[#This Row],[CÓDIGO]],PRODUCTOS31316[],2,FALSE)</f>
        <v>0</v>
      </c>
      <c r="S1801" s="1" t="str">
        <f>VLOOKUP(SALIDAS111518[[#This Row],[CÓDIGO]],PRODUCTOS31316[],3,FALSE)</f>
        <v>CATÉTER FOLLEY 32 FR 75 CC/ 864 MM</v>
      </c>
      <c r="T1801" s="2">
        <v>1</v>
      </c>
      <c r="U1801" s="2"/>
      <c r="V1801" s="2"/>
      <c r="W1801" s="2"/>
      <c r="X1801" s="2"/>
      <c r="Y1801" s="7"/>
      <c r="Z1801" s="2"/>
      <c r="AA1801" s="1"/>
      <c r="AC1801" s="2"/>
      <c r="AE1801" s="1"/>
      <c r="AG1801" s="2"/>
    </row>
    <row r="1802" spans="12:33" ht="49.95" customHeight="1" x14ac:dyDescent="0.3">
      <c r="L1802" s="2"/>
      <c r="M1802" s="2"/>
      <c r="N1802" s="2">
        <v>8383</v>
      </c>
      <c r="O1802" s="374" t="s">
        <v>2722</v>
      </c>
      <c r="P1802" s="16">
        <v>46156</v>
      </c>
      <c r="Q1802" s="374" t="s">
        <v>3309</v>
      </c>
      <c r="R1802" s="2">
        <f>VLOOKUP(SALIDAS111518[[#This Row],[CÓDIGO]],PRODUCTOS31316[],2,FALSE)</f>
        <v>60</v>
      </c>
      <c r="S1802" s="1" t="str">
        <f>VLOOKUP(SALIDAS111518[[#This Row],[CÓDIGO]],PRODUCTOS31316[],3,FALSE)</f>
        <v>SONDA EN "Y" CON VÁLVULA PARA BOVINOS</v>
      </c>
      <c r="T1802" s="2">
        <v>2</v>
      </c>
      <c r="U1802" s="2"/>
      <c r="V1802" s="2"/>
      <c r="W1802" s="2"/>
      <c r="X1802" s="2"/>
      <c r="Y1802" s="7"/>
      <c r="Z1802" s="2"/>
      <c r="AA1802" s="1"/>
      <c r="AC1802" s="2"/>
      <c r="AE1802" s="1"/>
      <c r="AG1802" s="2"/>
    </row>
    <row r="1803" spans="12:33" ht="49.95" customHeight="1" x14ac:dyDescent="0.3">
      <c r="L1803" s="2"/>
      <c r="M1803" s="2"/>
      <c r="N1803" s="2">
        <v>8383</v>
      </c>
      <c r="O1803" s="374" t="s">
        <v>2722</v>
      </c>
      <c r="P1803" s="16">
        <v>46156</v>
      </c>
      <c r="Q1803" s="374" t="s">
        <v>382</v>
      </c>
      <c r="R1803" s="2">
        <f>VLOOKUP(SALIDAS111518[[#This Row],[CÓDIGO]],PRODUCTOS31316[],2,FALSE)</f>
        <v>605032</v>
      </c>
      <c r="S1803" s="1" t="str">
        <f>VLOOKUP(SALIDAS111518[[#This Row],[CÓDIGO]],PRODUCTOS31316[],3,FALSE)</f>
        <v>LUBRICANTE OB, NO ESPERMICIDA</v>
      </c>
      <c r="T1803" s="2">
        <v>1</v>
      </c>
      <c r="U1803" s="2"/>
      <c r="V1803" s="2"/>
      <c r="W1803" s="2"/>
      <c r="X1803" s="2"/>
      <c r="Y1803" s="7"/>
      <c r="Z1803" s="2"/>
      <c r="AA1803" s="1"/>
      <c r="AC1803" s="2"/>
      <c r="AE1803" s="1"/>
      <c r="AG1803" s="2"/>
    </row>
    <row r="1804" spans="12:33" ht="49.95" customHeight="1" x14ac:dyDescent="0.3">
      <c r="L1804" s="2"/>
      <c r="M1804" s="2"/>
      <c r="N1804" s="2">
        <v>8383</v>
      </c>
      <c r="O1804" s="374" t="s">
        <v>2722</v>
      </c>
      <c r="P1804" s="16">
        <v>46156</v>
      </c>
      <c r="Q1804" s="374" t="s">
        <v>1426</v>
      </c>
      <c r="R1804" s="2">
        <f>VLOOKUP(SALIDAS111518[[#This Row],[CÓDIGO]],PRODUCTOS31316[],2,FALSE)</f>
        <v>4166</v>
      </c>
      <c r="S1804" s="1" t="str">
        <f>VLOOKUP(SALIDAS111518[[#This Row],[CÓDIGO]],PRODUCTOS31316[],3,FALSE)</f>
        <v>PAJILLAS 1/4 CC IRRADIADAS/ 0,25</v>
      </c>
      <c r="T1804" s="2">
        <v>3</v>
      </c>
      <c r="U1804" s="2"/>
      <c r="V1804" s="2"/>
      <c r="W1804" s="2"/>
      <c r="X1804" s="2"/>
      <c r="Y1804" s="7"/>
      <c r="Z1804" s="2"/>
      <c r="AA1804" s="1"/>
      <c r="AC1804" s="2"/>
      <c r="AE1804" s="1"/>
      <c r="AG1804" s="2"/>
    </row>
    <row r="1805" spans="12:33" ht="49.95" customHeight="1" x14ac:dyDescent="0.3">
      <c r="L1805" s="2"/>
      <c r="M1805" s="2"/>
      <c r="N1805" s="2">
        <v>8383</v>
      </c>
      <c r="O1805" s="374" t="s">
        <v>2722</v>
      </c>
      <c r="P1805" s="16">
        <v>46156</v>
      </c>
      <c r="Q1805" s="374" t="s">
        <v>396</v>
      </c>
      <c r="R1805" s="2">
        <f>VLOOKUP(SALIDAS111518[[#This Row],[CÓDIGO]],PRODUCTOS31316[],2,FALSE)</f>
        <v>4168</v>
      </c>
      <c r="S1805" s="1" t="str">
        <f>VLOOKUP(SALIDAS111518[[#This Row],[CÓDIGO]],PRODUCTOS31316[],3,FALSE)</f>
        <v>PAJILLAS 1/2  IRRADIADAS CC/ ,05</v>
      </c>
      <c r="T1805" s="2">
        <v>3</v>
      </c>
      <c r="U1805" s="2"/>
      <c r="V1805" s="2"/>
      <c r="W1805" s="2"/>
      <c r="X1805" s="2"/>
      <c r="Y1805" s="7"/>
      <c r="Z1805" s="2"/>
      <c r="AA1805" s="1"/>
      <c r="AC1805" s="2"/>
      <c r="AE1805" s="1"/>
      <c r="AG1805" s="2"/>
    </row>
    <row r="1806" spans="12:33" ht="49.95" customHeight="1" x14ac:dyDescent="0.3">
      <c r="L1806" s="2"/>
      <c r="M1806" s="2"/>
      <c r="N1806" s="2">
        <v>8383</v>
      </c>
      <c r="O1806" s="374" t="s">
        <v>2722</v>
      </c>
      <c r="P1806" s="16">
        <v>46156</v>
      </c>
      <c r="Q1806" s="374" t="s">
        <v>369</v>
      </c>
      <c r="R1806" s="2">
        <f>VLOOKUP(SALIDAS111518[[#This Row],[CÓDIGO]],PRODUCTOS31316[],2,FALSE)</f>
        <v>0</v>
      </c>
      <c r="S1806" s="1" t="str">
        <f>VLOOKUP(SALIDAS111518[[#This Row],[CÓDIGO]],PRODUCTOS31316[],3,FALSE)</f>
        <v>FUNDA UNIVERSAL PARA I.A. RANURADA</v>
      </c>
      <c r="T1806" s="2">
        <v>3</v>
      </c>
      <c r="U1806" s="2"/>
      <c r="V1806" s="2"/>
      <c r="W1806" s="2"/>
      <c r="X1806" s="2"/>
      <c r="Y1806" s="7"/>
      <c r="Z1806" s="2"/>
      <c r="AA1806" s="1"/>
      <c r="AC1806" s="2"/>
      <c r="AE1806" s="1"/>
      <c r="AG1806" s="2"/>
    </row>
    <row r="1807" spans="12:33" ht="49.95" customHeight="1" x14ac:dyDescent="0.3">
      <c r="L1807" s="374" t="s">
        <v>3520</v>
      </c>
      <c r="M1807" s="374" t="s">
        <v>4922</v>
      </c>
      <c r="N1807" s="2">
        <v>8384</v>
      </c>
      <c r="O1807" s="374" t="s">
        <v>3895</v>
      </c>
      <c r="P1807" s="16">
        <v>46156</v>
      </c>
      <c r="Q1807" s="374" t="s">
        <v>1779</v>
      </c>
      <c r="R1807" s="2">
        <f>VLOOKUP(SALIDAS111518[[#This Row],[CÓDIGO]],PRODUCTOS31316[],2,FALSE)</f>
        <v>5563</v>
      </c>
      <c r="S1807" s="1" t="str">
        <f>VLOOKUP(SALIDAS111518[[#This Row],[CÓDIGO]],PRODUCTOS31316[],3,FALSE)</f>
        <v>CAMISA SANITARIA ROLLO X 80</v>
      </c>
      <c r="T1807" s="2">
        <v>10</v>
      </c>
      <c r="U1807" s="2">
        <v>797</v>
      </c>
      <c r="V1807" s="2"/>
      <c r="W1807" s="2"/>
      <c r="X1807" s="2"/>
      <c r="Y1807" s="7"/>
      <c r="Z1807" s="2"/>
      <c r="AA1807" s="1"/>
      <c r="AC1807" s="2"/>
      <c r="AE1807" s="1"/>
      <c r="AG1807" s="2"/>
    </row>
    <row r="1808" spans="12:33" ht="49.95" customHeight="1" x14ac:dyDescent="0.3">
      <c r="L1808" s="2"/>
      <c r="M1808" s="2"/>
      <c r="N1808" s="2">
        <v>8384</v>
      </c>
      <c r="O1808" s="374" t="s">
        <v>3895</v>
      </c>
      <c r="P1808" s="16">
        <v>46156</v>
      </c>
      <c r="Q1808" s="374" t="s">
        <v>15</v>
      </c>
      <c r="R1808" s="2" t="str">
        <f>VLOOKUP(SALIDAS111518[[#This Row],[CÓDIGO]],PRODUCTOS31316[],2,FALSE)</f>
        <v>BTE-025PT/ 504002</v>
      </c>
      <c r="S1808" s="1" t="str">
        <f>VLOOKUP(SALIDAS111518[[#This Row],[CÓDIGO]],PRODUCTOS31316[],3,FALSE)</f>
        <v>FUNDAS PARA TRANSFERENCIA DE EMBRIONES</v>
      </c>
      <c r="T1808" s="2">
        <v>50</v>
      </c>
      <c r="U1808" s="2"/>
      <c r="V1808" s="2"/>
      <c r="W1808" s="2"/>
      <c r="X1808" s="2"/>
      <c r="Y1808" s="7"/>
      <c r="Z1808" s="2"/>
      <c r="AA1808" s="1"/>
      <c r="AC1808" s="2"/>
      <c r="AE1808" s="1"/>
      <c r="AG1808" s="2"/>
    </row>
    <row r="1809" spans="12:33" ht="49.95" customHeight="1" x14ac:dyDescent="0.3">
      <c r="L1809" s="2"/>
      <c r="M1809" s="2"/>
      <c r="N1809" s="2">
        <v>8384</v>
      </c>
      <c r="O1809" s="374" t="s">
        <v>3895</v>
      </c>
      <c r="P1809" s="16">
        <v>46156</v>
      </c>
      <c r="Q1809" s="374" t="s">
        <v>36</v>
      </c>
      <c r="R1809" s="2">
        <f>VLOOKUP(SALIDAS111518[[#This Row],[CÓDIGO]],PRODUCTOS31316[],2,FALSE)</f>
        <v>1</v>
      </c>
      <c r="S1809" s="1" t="str">
        <f>VLOOKUP(SALIDAS111518[[#This Row],[CÓDIGO]],PRODUCTOS31316[],3,FALSE)</f>
        <v xml:space="preserve">PARCHE ESTROTECT </v>
      </c>
      <c r="T1809" s="2">
        <v>24</v>
      </c>
      <c r="U1809" s="2"/>
      <c r="V1809" s="2"/>
      <c r="W1809" s="2"/>
      <c r="X1809" s="2"/>
      <c r="Y1809" s="7"/>
      <c r="Z1809" s="2"/>
      <c r="AA1809" s="1"/>
      <c r="AC1809" s="2"/>
      <c r="AE1809" s="1"/>
      <c r="AG1809" s="2"/>
    </row>
    <row r="1810" spans="12:33" ht="49.95" customHeight="1" x14ac:dyDescent="0.3">
      <c r="L1810" s="2"/>
      <c r="M1810" s="2"/>
      <c r="N1810" s="2">
        <v>8384</v>
      </c>
      <c r="O1810" s="374" t="s">
        <v>3895</v>
      </c>
      <c r="P1810" s="16">
        <v>46156</v>
      </c>
      <c r="Q1810" s="374" t="s">
        <v>153</v>
      </c>
      <c r="R1810" s="2">
        <f>VLOOKUP(SALIDAS111518[[#This Row],[CÓDIGO]],PRODUCTOS31316[],2,FALSE)</f>
        <v>1132</v>
      </c>
      <c r="S1810" s="1" t="str">
        <f>VLOOKUP(SALIDAS111518[[#This Row],[CÓDIGO]],PRODUCTOS31316[],3,FALSE)</f>
        <v>PISTOLA QUICKLOCK CLASIC</v>
      </c>
      <c r="T1810" s="2">
        <v>3</v>
      </c>
      <c r="U1810" s="2"/>
      <c r="V1810" s="2"/>
      <c r="W1810" s="2"/>
      <c r="X1810" s="2"/>
      <c r="Y1810" s="7"/>
      <c r="Z1810" s="2"/>
      <c r="AA1810" s="1"/>
      <c r="AC1810" s="2"/>
      <c r="AE1810" s="1"/>
      <c r="AG1810" s="2"/>
    </row>
    <row r="1811" spans="12:33" ht="49.95" customHeight="1" x14ac:dyDescent="0.3">
      <c r="L1811" s="2"/>
      <c r="M1811" s="2"/>
      <c r="N1811" s="2">
        <v>8384</v>
      </c>
      <c r="O1811" s="374" t="s">
        <v>3895</v>
      </c>
      <c r="P1811" s="16">
        <v>46156</v>
      </c>
      <c r="Q1811" s="374" t="s">
        <v>369</v>
      </c>
      <c r="R1811" s="2">
        <f>VLOOKUP(SALIDAS111518[[#This Row],[CÓDIGO]],PRODUCTOS31316[],2,FALSE)</f>
        <v>0</v>
      </c>
      <c r="S1811" s="1" t="str">
        <f>VLOOKUP(SALIDAS111518[[#This Row],[CÓDIGO]],PRODUCTOS31316[],3,FALSE)</f>
        <v>FUNDA UNIVERSAL PARA I.A. RANURADA</v>
      </c>
      <c r="T1811" s="2">
        <v>80</v>
      </c>
      <c r="U1811" s="2"/>
      <c r="V1811" s="2"/>
      <c r="W1811" s="2"/>
      <c r="X1811" s="2"/>
      <c r="Y1811" s="7"/>
      <c r="Z1811" s="2"/>
      <c r="AA1811" s="1"/>
      <c r="AC1811" s="2"/>
      <c r="AE1811" s="1"/>
      <c r="AG1811" s="2"/>
    </row>
    <row r="1812" spans="12:33" ht="49.95" customHeight="1" x14ac:dyDescent="0.3">
      <c r="L1812" s="2"/>
      <c r="M1812" s="2"/>
      <c r="N1812" s="2">
        <v>8384</v>
      </c>
      <c r="O1812" s="374" t="s">
        <v>3895</v>
      </c>
      <c r="P1812" s="16">
        <v>46156</v>
      </c>
      <c r="Q1812" s="374" t="s">
        <v>236</v>
      </c>
      <c r="R1812" s="2">
        <f>VLOOKUP(SALIDAS111518[[#This Row],[CÓDIGO]],PRODUCTOS31316[],2,FALSE)</f>
        <v>0</v>
      </c>
      <c r="S1812" s="1" t="str">
        <f>VLOOKUP(SALIDAS111518[[#This Row],[CÓDIGO]],PRODUCTOS31316[],3,FALSE)</f>
        <v>TERMO METÁLICO DESCONGELADOR</v>
      </c>
      <c r="T1812" s="2">
        <v>1</v>
      </c>
      <c r="U1812" s="2"/>
      <c r="V1812" s="2"/>
      <c r="W1812" s="2"/>
      <c r="X1812" s="2"/>
      <c r="Y1812" s="7"/>
      <c r="Z1812" s="2"/>
      <c r="AA1812" s="1"/>
      <c r="AC1812" s="2"/>
      <c r="AE1812" s="1"/>
      <c r="AG1812" s="2"/>
    </row>
    <row r="1813" spans="12:33" ht="49.95" customHeight="1" x14ac:dyDescent="0.3">
      <c r="L1813" s="374" t="s">
        <v>3520</v>
      </c>
      <c r="M1813" s="374" t="s">
        <v>4922</v>
      </c>
      <c r="N1813" s="2" t="s">
        <v>5064</v>
      </c>
      <c r="O1813" s="398" t="s">
        <v>3031</v>
      </c>
      <c r="P1813" s="16">
        <v>46156</v>
      </c>
      <c r="Q1813" s="2" t="s">
        <v>104</v>
      </c>
      <c r="R1813" s="2">
        <f>VLOOKUP(SALIDAS111518[[#This Row],[CÓDIGO]],PRODUCTOS31316[],2,FALSE)</f>
        <v>0</v>
      </c>
      <c r="S1813" s="1" t="str">
        <f>VLOOKUP(SALIDAS111518[[#This Row],[CÓDIGO]],PRODUCTOS31316[],3,FALSE)</f>
        <v>ISPERM CHIPS (500 TESTS PER BOX) PAQ. X 50 UND</v>
      </c>
      <c r="T1813" s="2">
        <v>20</v>
      </c>
      <c r="U1813" s="2">
        <v>806</v>
      </c>
      <c r="V1813" s="2"/>
      <c r="W1813" s="2" t="s">
        <v>3412</v>
      </c>
      <c r="X1813" s="92"/>
      <c r="Y1813" s="7"/>
      <c r="Z1813" s="2"/>
      <c r="AA1813" s="1"/>
      <c r="AC1813" s="2"/>
      <c r="AE1813" s="1"/>
      <c r="AG1813" s="2"/>
    </row>
    <row r="1814" spans="12:33" ht="49.95" customHeight="1" x14ac:dyDescent="0.3">
      <c r="L1814" s="2"/>
      <c r="M1814" s="2"/>
      <c r="N1814" s="2">
        <v>8392</v>
      </c>
      <c r="O1814" s="1" t="s">
        <v>3031</v>
      </c>
      <c r="P1814" s="16">
        <v>46156</v>
      </c>
      <c r="Q1814" s="2" t="s">
        <v>679</v>
      </c>
      <c r="R1814" s="2" t="str">
        <f>VLOOKUP(SALIDAS111518[[#This Row],[CÓDIGO]],PRODUCTOS31316[],2,FALSE)</f>
        <v>P31205</v>
      </c>
      <c r="S1814" s="1" t="str">
        <f>VLOOKUP(SALIDAS111518[[#This Row],[CÓDIGO]],PRODUCTOS31316[],3,FALSE)</f>
        <v>PIPETA PASTEUR 3 ML</v>
      </c>
      <c r="T1814" s="2">
        <v>4</v>
      </c>
      <c r="U1814" s="2"/>
      <c r="V1814" s="2"/>
      <c r="W1814" s="2"/>
      <c r="X1814" s="2"/>
      <c r="Y1814" s="7"/>
      <c r="Z1814" s="2"/>
      <c r="AA1814" s="1"/>
      <c r="AC1814" s="2"/>
      <c r="AE1814" s="1"/>
      <c r="AG1814" s="2"/>
    </row>
    <row r="1815" spans="12:33" ht="49.95" customHeight="1" x14ac:dyDescent="0.3">
      <c r="L1815" s="374" t="s">
        <v>3520</v>
      </c>
      <c r="M1815" s="374" t="s">
        <v>4922</v>
      </c>
      <c r="N1815" s="2" t="s">
        <v>5066</v>
      </c>
      <c r="O1815" s="2" t="s">
        <v>5065</v>
      </c>
      <c r="P1815" s="16">
        <v>46156</v>
      </c>
      <c r="Q1815" s="2" t="s">
        <v>3142</v>
      </c>
      <c r="R1815" s="2">
        <f>VLOOKUP(SALIDAS111518[[#This Row],[CÓDIGO]],PRODUCTOS31316[],2,FALSE)</f>
        <v>16301</v>
      </c>
      <c r="S1815" s="1" t="str">
        <f>VLOOKUP(SALIDAS111518[[#This Row],[CÓDIGO]],PRODUCTOS31316[],3,FALSE)</f>
        <v>PISTOLA DE TRANSFERENCIA DE EMBRIONES 0,25 DE MANGO DE ALUMINIO</v>
      </c>
      <c r="T1815" s="2">
        <v>1</v>
      </c>
      <c r="U1815" s="2">
        <v>798</v>
      </c>
      <c r="V1815" s="2"/>
      <c r="W1815" s="2"/>
      <c r="X1815" s="2"/>
      <c r="Y1815" s="7"/>
      <c r="Z1815" s="2"/>
      <c r="AA1815" s="1"/>
      <c r="AC1815" s="2"/>
      <c r="AE1815" s="1"/>
      <c r="AG1815" s="2"/>
    </row>
    <row r="1816" spans="12:33" ht="49.95" customHeight="1" x14ac:dyDescent="0.3">
      <c r="L1816" s="2"/>
      <c r="M1816" s="2"/>
      <c r="N1816" s="2">
        <v>8385</v>
      </c>
      <c r="O1816" s="2" t="s">
        <v>5065</v>
      </c>
      <c r="P1816" s="16">
        <v>46156</v>
      </c>
      <c r="Q1816" s="2" t="s">
        <v>149</v>
      </c>
      <c r="R1816" s="2">
        <f>VLOOKUP(SALIDAS111518[[#This Row],[CÓDIGO]],PRODUCTOS31316[],2,FALSE)</f>
        <v>18621</v>
      </c>
      <c r="S1816" s="1" t="str">
        <f>VLOOKUP(SALIDAS111518[[#This Row],[CÓDIGO]],PRODUCTOS31316[],3,FALSE)</f>
        <v>TERMO DESCONGELADOR DE SEMEN DE EMBRIONES ROJO</v>
      </c>
      <c r="T1816" s="2">
        <v>1</v>
      </c>
      <c r="U1816" s="2"/>
      <c r="V1816" s="2"/>
      <c r="W1816" s="2"/>
      <c r="X1816" s="2"/>
      <c r="Y1816" s="7"/>
      <c r="Z1816" s="2"/>
      <c r="AA1816" s="1"/>
      <c r="AC1816" s="2"/>
      <c r="AE1816" s="1"/>
      <c r="AG1816" s="2"/>
    </row>
    <row r="1817" spans="12:33" ht="49.95" customHeight="1" x14ac:dyDescent="0.3">
      <c r="L1817" s="2"/>
      <c r="M1817" s="2"/>
      <c r="N1817" s="2">
        <v>8385</v>
      </c>
      <c r="O1817" s="2" t="s">
        <v>5065</v>
      </c>
      <c r="P1817" s="16">
        <v>46156</v>
      </c>
      <c r="Q1817" s="2" t="s">
        <v>15</v>
      </c>
      <c r="R1817" s="2" t="str">
        <f>VLOOKUP(SALIDAS111518[[#This Row],[CÓDIGO]],PRODUCTOS31316[],2,FALSE)</f>
        <v>BTE-025PT/ 504002</v>
      </c>
      <c r="S1817" s="1" t="str">
        <f>VLOOKUP(SALIDAS111518[[#This Row],[CÓDIGO]],PRODUCTOS31316[],3,FALSE)</f>
        <v>FUNDAS PARA TRANSFERENCIA DE EMBRIONES</v>
      </c>
      <c r="T1817" s="2">
        <v>4</v>
      </c>
      <c r="U1817" s="2"/>
      <c r="V1817" s="2"/>
      <c r="W1817" s="2"/>
      <c r="X1817" s="2"/>
      <c r="Y1817" s="7"/>
      <c r="Z1817" s="2"/>
      <c r="AA1817" s="1"/>
      <c r="AC1817" s="2"/>
      <c r="AE1817" s="1"/>
      <c r="AG1817" s="2"/>
    </row>
    <row r="1818" spans="12:33" ht="49.95" customHeight="1" x14ac:dyDescent="0.3">
      <c r="L1818" s="2"/>
      <c r="M1818" s="2"/>
      <c r="N1818" s="2">
        <v>8385</v>
      </c>
      <c r="O1818" s="2" t="s">
        <v>5065</v>
      </c>
      <c r="P1818" s="16">
        <v>46156</v>
      </c>
      <c r="Q1818" s="2" t="s">
        <v>1779</v>
      </c>
      <c r="R1818" s="2">
        <f>VLOOKUP(SALIDAS111518[[#This Row],[CÓDIGO]],PRODUCTOS31316[],2,FALSE)</f>
        <v>5563</v>
      </c>
      <c r="S1818" s="1" t="str">
        <f>VLOOKUP(SALIDAS111518[[#This Row],[CÓDIGO]],PRODUCTOS31316[],3,FALSE)</f>
        <v>CAMISA SANITARIA ROLLO X 80</v>
      </c>
      <c r="T1818" s="2">
        <v>1</v>
      </c>
      <c r="U1818" s="2"/>
      <c r="V1818" s="2"/>
      <c r="W1818" s="2"/>
      <c r="X1818" s="2"/>
      <c r="Y1818" s="7"/>
      <c r="Z1818" s="2"/>
      <c r="AA1818" s="1"/>
      <c r="AC1818" s="2"/>
      <c r="AE1818" s="1"/>
      <c r="AG1818" s="2"/>
    </row>
    <row r="1819" spans="12:33" ht="49.95" customHeight="1" x14ac:dyDescent="0.3">
      <c r="L1819" s="374" t="s">
        <v>3520</v>
      </c>
      <c r="M1819" s="374" t="s">
        <v>4922</v>
      </c>
      <c r="N1819" s="374" t="s">
        <v>5505</v>
      </c>
      <c r="O1819" s="374" t="s">
        <v>2925</v>
      </c>
      <c r="P1819" s="16">
        <v>46156</v>
      </c>
      <c r="Q1819" s="374" t="s">
        <v>2306</v>
      </c>
      <c r="R1819" s="2">
        <f>VLOOKUP(SALIDAS111518[[#This Row],[CÓDIGO]],PRODUCTOS31316[],2,FALSE)</f>
        <v>0</v>
      </c>
      <c r="S1819" s="1" t="str">
        <f>VLOOKUP(SALIDAS111518[[#This Row],[CÓDIGO]],PRODUCTOS31316[],3,FALSE)</f>
        <v>ESCALERILLAS METÁLICAS DE 10 MM</v>
      </c>
      <c r="T1819" s="2">
        <v>5</v>
      </c>
      <c r="U1819" s="2">
        <v>802</v>
      </c>
      <c r="V1819" s="2"/>
      <c r="W1819" s="2"/>
      <c r="X1819" s="2"/>
      <c r="Y1819" s="7"/>
      <c r="Z1819" s="2"/>
      <c r="AA1819" s="1"/>
      <c r="AC1819" s="2"/>
      <c r="AE1819" s="1"/>
      <c r="AG1819" s="2"/>
    </row>
    <row r="1820" spans="12:33" ht="49.95" customHeight="1" x14ac:dyDescent="0.3">
      <c r="L1820" s="2"/>
      <c r="M1820" s="2"/>
      <c r="N1820" s="2">
        <v>8391</v>
      </c>
      <c r="O1820" s="374" t="s">
        <v>2925</v>
      </c>
      <c r="P1820" s="16">
        <v>46156</v>
      </c>
      <c r="Q1820" s="374" t="s">
        <v>1681</v>
      </c>
      <c r="R1820" s="2">
        <f>VLOOKUP(SALIDAS111518[[#This Row],[CÓDIGO]],PRODUCTOS31316[],2,FALSE)</f>
        <v>347430</v>
      </c>
      <c r="S1820" s="1" t="str">
        <f>VLOOKUP(SALIDAS111518[[#This Row],[CÓDIGO]],PRODUCTOS31316[],3,FALSE)</f>
        <v>GOBLETS BLANCOS DE 10 MM</v>
      </c>
      <c r="T1820" s="2">
        <v>10</v>
      </c>
      <c r="U1820" s="2"/>
      <c r="V1820" s="2"/>
      <c r="W1820" s="2"/>
      <c r="X1820" s="2"/>
      <c r="Y1820" s="7"/>
      <c r="Z1820" s="2"/>
      <c r="AA1820" s="1"/>
      <c r="AC1820" s="2"/>
      <c r="AE1820" s="1"/>
      <c r="AG1820" s="2"/>
    </row>
    <row r="1821" spans="12:33" ht="49.95" customHeight="1" x14ac:dyDescent="0.3">
      <c r="L1821" s="374" t="s">
        <v>3520</v>
      </c>
      <c r="M1821" s="374" t="s">
        <v>4922</v>
      </c>
      <c r="N1821" s="374" t="s">
        <v>5496</v>
      </c>
      <c r="O1821" s="374" t="s">
        <v>3387</v>
      </c>
      <c r="P1821" s="16">
        <v>46156</v>
      </c>
      <c r="Q1821" s="374" t="s">
        <v>15</v>
      </c>
      <c r="R1821" s="2" t="str">
        <f>VLOOKUP(SALIDAS111518[[#This Row],[CÓDIGO]],PRODUCTOS31316[],2,FALSE)</f>
        <v>BTE-025PT/ 504002</v>
      </c>
      <c r="S1821" s="1" t="str">
        <f>VLOOKUP(SALIDAS111518[[#This Row],[CÓDIGO]],PRODUCTOS31316[],3,FALSE)</f>
        <v>FUNDAS PARA TRANSFERENCIA DE EMBRIONES</v>
      </c>
      <c r="T1821" s="2">
        <v>20</v>
      </c>
      <c r="U1821" s="2">
        <v>803</v>
      </c>
      <c r="V1821" s="2"/>
      <c r="W1821" s="2"/>
      <c r="X1821" s="2"/>
      <c r="Y1821" s="7"/>
      <c r="Z1821" s="2"/>
      <c r="AA1821" s="1"/>
      <c r="AC1821" s="2"/>
      <c r="AE1821" s="1"/>
      <c r="AG1821" s="2"/>
    </row>
    <row r="1822" spans="12:33" ht="49.95" customHeight="1" x14ac:dyDescent="0.3">
      <c r="L1822" s="2"/>
      <c r="M1822" s="2"/>
      <c r="N1822" s="2">
        <v>8387</v>
      </c>
      <c r="O1822" s="374" t="s">
        <v>3387</v>
      </c>
      <c r="P1822" s="16">
        <v>46156</v>
      </c>
      <c r="Q1822" s="374" t="s">
        <v>1779</v>
      </c>
      <c r="R1822" s="2">
        <f>VLOOKUP(SALIDAS111518[[#This Row],[CÓDIGO]],PRODUCTOS31316[],2,FALSE)</f>
        <v>5563</v>
      </c>
      <c r="S1822" s="1" t="str">
        <f>VLOOKUP(SALIDAS111518[[#This Row],[CÓDIGO]],PRODUCTOS31316[],3,FALSE)</f>
        <v>CAMISA SANITARIA ROLLO X 80</v>
      </c>
      <c r="T1822" s="2">
        <v>1</v>
      </c>
      <c r="U1822" s="2"/>
      <c r="V1822" s="2"/>
      <c r="W1822" s="2"/>
      <c r="X1822" s="2"/>
      <c r="Y1822" s="7"/>
      <c r="Z1822" s="2"/>
      <c r="AA1822" s="1"/>
      <c r="AC1822" s="2"/>
      <c r="AE1822" s="1"/>
      <c r="AG1822" s="2"/>
    </row>
    <row r="1823" spans="12:33" ht="49.95" customHeight="1" x14ac:dyDescent="0.3">
      <c r="L1823" s="374" t="s">
        <v>3520</v>
      </c>
      <c r="M1823" s="374" t="s">
        <v>4922</v>
      </c>
      <c r="N1823" s="374" t="s">
        <v>5497</v>
      </c>
      <c r="O1823" s="374" t="s">
        <v>2704</v>
      </c>
      <c r="P1823" s="16">
        <v>46156</v>
      </c>
      <c r="Q1823" s="374" t="s">
        <v>4402</v>
      </c>
      <c r="R1823" s="2">
        <f>VLOOKUP(SALIDAS111518[[#This Row],[CÓDIGO]],PRODUCTOS31316[],2,FALSE)</f>
        <v>0</v>
      </c>
      <c r="S1823" s="1" t="str">
        <f>VLOOKUP(SALIDAS111518[[#This Row],[CÓDIGO]],PRODUCTOS31316[],3,FALSE)</f>
        <v>PAJILLA TRANSPARENTE DE 0.5 IMV PAQ.X 200 UND</v>
      </c>
      <c r="T1823" s="2">
        <v>1</v>
      </c>
      <c r="U1823" s="2">
        <v>799</v>
      </c>
      <c r="V1823" s="2"/>
      <c r="W1823" s="2"/>
      <c r="X1823" s="2"/>
      <c r="Y1823" s="7"/>
      <c r="Z1823" s="2"/>
      <c r="AA1823" s="1"/>
      <c r="AC1823" s="2"/>
      <c r="AE1823" s="1"/>
      <c r="AG1823" s="2"/>
    </row>
    <row r="1824" spans="12:33" ht="49.95" customHeight="1" x14ac:dyDescent="0.3">
      <c r="L1824" s="374"/>
      <c r="M1824" s="374"/>
      <c r="N1824" s="2">
        <v>8386</v>
      </c>
      <c r="O1824" s="374" t="s">
        <v>2704</v>
      </c>
      <c r="P1824" s="16">
        <v>46156</v>
      </c>
      <c r="Q1824" s="374" t="s">
        <v>47</v>
      </c>
      <c r="R1824" s="2">
        <f>VLOOKUP(SALIDAS111518[[#This Row],[CÓDIGO]],PRODUCTOS31316[],2,FALSE)</f>
        <v>1135</v>
      </c>
      <c r="S1824" s="1" t="str">
        <f>VLOOKUP(SALIDAS111518[[#This Row],[CÓDIGO]],PRODUCTOS31316[],3,FALSE)</f>
        <v>TRILADYL</v>
      </c>
      <c r="T1824" s="2">
        <v>1</v>
      </c>
      <c r="U1824" s="2"/>
      <c r="V1824" s="2"/>
      <c r="W1824" s="2"/>
      <c r="X1824" s="2"/>
      <c r="Y1824" s="7"/>
      <c r="Z1824" s="2"/>
      <c r="AA1824" s="1"/>
      <c r="AC1824" s="2"/>
      <c r="AE1824" s="1"/>
      <c r="AG1824" s="2"/>
    </row>
    <row r="1825" spans="12:33" ht="49.95" customHeight="1" x14ac:dyDescent="0.3">
      <c r="L1825" s="374"/>
      <c r="M1825" s="374"/>
      <c r="N1825" s="2">
        <v>8386</v>
      </c>
      <c r="O1825" s="374" t="s">
        <v>2704</v>
      </c>
      <c r="P1825" s="16">
        <v>46156</v>
      </c>
      <c r="Q1825" s="374" t="s">
        <v>2232</v>
      </c>
      <c r="R1825" s="2">
        <f>VLOOKUP(SALIDAS111518[[#This Row],[CÓDIGO]],PRODUCTOS31316[],2,FALSE)</f>
        <v>0</v>
      </c>
      <c r="S1825" s="1" t="str">
        <f>VLOOKUP(SALIDAS111518[[#This Row],[CÓDIGO]],PRODUCTOS31316[],3,FALSE)</f>
        <v>CONO RECOLECTOR</v>
      </c>
      <c r="T1825" s="2">
        <v>1</v>
      </c>
      <c r="U1825" s="2"/>
      <c r="V1825" s="2"/>
      <c r="W1825" s="2"/>
      <c r="X1825" s="2"/>
      <c r="Y1825" s="7"/>
      <c r="Z1825" s="2"/>
      <c r="AA1825" s="1"/>
      <c r="AC1825" s="2"/>
      <c r="AE1825" s="1"/>
      <c r="AG1825" s="2"/>
    </row>
    <row r="1826" spans="12:33" ht="49.95" customHeight="1" x14ac:dyDescent="0.3">
      <c r="L1826" s="374"/>
      <c r="M1826" s="374"/>
      <c r="N1826" s="2">
        <v>8386</v>
      </c>
      <c r="O1826" s="374" t="s">
        <v>2704</v>
      </c>
      <c r="P1826" s="16">
        <v>46156</v>
      </c>
      <c r="Q1826" s="374" t="s">
        <v>1631</v>
      </c>
      <c r="R1826" s="2" t="str">
        <f>VLOOKUP(SALIDAS111518[[#This Row],[CÓDIGO]],PRODUCTOS31316[],2,FALSE)</f>
        <v>7101-CRAL</v>
      </c>
      <c r="S1826" s="1" t="str">
        <f>VLOOKUP(SALIDAS111518[[#This Row],[CÓDIGO]],PRODUCTOS31316[],3,FALSE)</f>
        <v>LAMINA PORTA OBJETOS LISA EN VIDRIO 26X76MM, BORDE ESMERILADO</v>
      </c>
      <c r="T1826" s="2">
        <v>1</v>
      </c>
      <c r="U1826" s="2"/>
      <c r="V1826" s="2"/>
      <c r="W1826" s="2"/>
      <c r="X1826" s="2"/>
      <c r="Y1826" s="7"/>
      <c r="Z1826" s="2"/>
      <c r="AA1826" s="1"/>
      <c r="AC1826" s="2"/>
      <c r="AE1826" s="1"/>
      <c r="AG1826" s="2"/>
    </row>
    <row r="1827" spans="12:33" ht="49.95" customHeight="1" x14ac:dyDescent="0.3">
      <c r="L1827" s="374"/>
      <c r="M1827" s="374"/>
      <c r="N1827" s="2">
        <v>8386</v>
      </c>
      <c r="O1827" s="374" t="s">
        <v>2704</v>
      </c>
      <c r="P1827" s="16">
        <v>46156</v>
      </c>
      <c r="Q1827" s="374" t="s">
        <v>1637</v>
      </c>
      <c r="R1827" s="2" t="str">
        <f>VLOOKUP(SALIDAS111518[[#This Row],[CÓDIGO]],PRODUCTOS31316[],2,FALSE)</f>
        <v>P22X22</v>
      </c>
      <c r="S1827" s="1" t="str">
        <f>VLOOKUP(SALIDAS111518[[#This Row],[CÓDIGO]],PRODUCTOS31316[],3,FALSE)</f>
        <v>LAMINA CUBRE OBJETO EN VIDRIO 22X22</v>
      </c>
      <c r="T1827" s="2">
        <v>1</v>
      </c>
      <c r="U1827" s="2"/>
      <c r="V1827" s="2"/>
      <c r="W1827" s="2"/>
      <c r="X1827" s="2"/>
      <c r="Y1827" s="7"/>
      <c r="Z1827" s="2"/>
      <c r="AA1827" s="1"/>
      <c r="AC1827" s="2"/>
      <c r="AE1827" s="1"/>
      <c r="AG1827" s="2"/>
    </row>
    <row r="1828" spans="12:33" ht="49.95" customHeight="1" x14ac:dyDescent="0.3">
      <c r="L1828" s="374" t="s">
        <v>3520</v>
      </c>
      <c r="M1828" s="374" t="s">
        <v>4922</v>
      </c>
      <c r="N1828" s="374" t="s">
        <v>5494</v>
      </c>
      <c r="O1828" s="374" t="s">
        <v>2706</v>
      </c>
      <c r="P1828" s="16">
        <v>46156</v>
      </c>
      <c r="Q1828" s="374" t="s">
        <v>4386</v>
      </c>
      <c r="R1828" s="2">
        <f>VLOOKUP(SALIDAS111518[[#This Row],[CÓDIGO]],PRODUCTOS31316[],2,FALSE)</f>
        <v>754001</v>
      </c>
      <c r="S1828" s="1" t="str">
        <f>VLOOKUP(SALIDAS111518[[#This Row],[CÓDIGO]],PRODUCTOS31316[],3,FALSE)</f>
        <v>CAJA PETRI DESECHABLE ESTERIL 60X15MM MARCA: NEST</v>
      </c>
      <c r="T1828" s="2">
        <v>20</v>
      </c>
      <c r="U1828" s="2">
        <v>805</v>
      </c>
      <c r="V1828" s="2"/>
      <c r="W1828" s="2"/>
      <c r="X1828" s="2"/>
      <c r="Y1828" s="7"/>
      <c r="Z1828" s="2"/>
      <c r="AA1828" s="1"/>
      <c r="AC1828" s="2"/>
      <c r="AE1828" s="1"/>
      <c r="AG1828" s="2"/>
    </row>
    <row r="1829" spans="12:33" ht="49.95" customHeight="1" x14ac:dyDescent="0.3">
      <c r="L1829" s="2"/>
      <c r="M1829" s="2"/>
      <c r="N1829" s="2">
        <v>8389</v>
      </c>
      <c r="O1829" s="374" t="s">
        <v>2706</v>
      </c>
      <c r="P1829" s="16">
        <v>46156</v>
      </c>
      <c r="Q1829" s="374" t="s">
        <v>2235</v>
      </c>
      <c r="R1829" s="2">
        <f>VLOOKUP(SALIDAS111518[[#This Row],[CÓDIGO]],PRODUCTOS31316[],2,FALSE)</f>
        <v>1868703</v>
      </c>
      <c r="S1829" s="1" t="str">
        <f>VLOOKUP(SALIDAS111518[[#This Row],[CÓDIGO]],PRODUCTOS31316[],3,FALSE)</f>
        <v>PARAFILM 38M X 10 CM</v>
      </c>
      <c r="T1829" s="2">
        <v>1</v>
      </c>
      <c r="U1829" s="2"/>
      <c r="V1829" s="2"/>
      <c r="W1829" s="2"/>
      <c r="X1829" s="2"/>
      <c r="Y1829" s="7"/>
      <c r="Z1829" s="2"/>
      <c r="AA1829" s="1"/>
      <c r="AC1829" s="2"/>
      <c r="AE1829" s="1"/>
      <c r="AG1829" s="2"/>
    </row>
    <row r="1830" spans="12:33" ht="49.95" customHeight="1" x14ac:dyDescent="0.3">
      <c r="L1830" s="2"/>
      <c r="M1830" s="2"/>
      <c r="N1830" s="2">
        <v>8389</v>
      </c>
      <c r="O1830" s="374" t="s">
        <v>2706</v>
      </c>
      <c r="P1830" s="16">
        <v>46156</v>
      </c>
      <c r="Q1830" s="374" t="s">
        <v>3708</v>
      </c>
      <c r="R1830" s="2" t="str">
        <f>VLOOKUP(SALIDAS111518[[#This Row],[CÓDIGO]],PRODUCTOS31316[],2,FALSE)</f>
        <v>13407-144</v>
      </c>
      <c r="S1830" s="1" t="str">
        <f>VLOOKUP(SALIDAS111518[[#This Row],[CÓDIGO]],PRODUCTOS31316[],3,FALSE)</f>
        <v>PAJUELA ANARANJADA 0.25/ PAQ. X 2000 MARCA MINITUBE</v>
      </c>
      <c r="T1830" s="2">
        <v>1</v>
      </c>
      <c r="U1830" s="2"/>
      <c r="V1830" s="2"/>
      <c r="W1830" s="2"/>
      <c r="X1830" s="2"/>
      <c r="Y1830" s="7"/>
      <c r="Z1830" s="2"/>
      <c r="AA1830" s="1"/>
      <c r="AC1830" s="2"/>
      <c r="AE1830" s="1"/>
      <c r="AG1830" s="2"/>
    </row>
    <row r="1831" spans="12:33" ht="49.95" customHeight="1" x14ac:dyDescent="0.3">
      <c r="L1831" s="2"/>
      <c r="M1831" s="2"/>
      <c r="N1831" s="2">
        <v>8389</v>
      </c>
      <c r="O1831" s="374" t="s">
        <v>2706</v>
      </c>
      <c r="P1831" s="16">
        <v>46156</v>
      </c>
      <c r="Q1831" s="374" t="s">
        <v>247</v>
      </c>
      <c r="R1831" s="2">
        <f>VLOOKUP(SALIDAS111518[[#This Row],[CÓDIGO]],PRODUCTOS31316[],2,FALSE)</f>
        <v>352054</v>
      </c>
      <c r="S1831" s="1" t="str">
        <f>VLOOKUP(SALIDAS111518[[#This Row],[CÓDIGO]],PRODUCTOS31316[],3,FALSE)</f>
        <v>TUBO DE FONDO REDONDO DE 5ML 12X75MM , POLIESTIRENO</v>
      </c>
      <c r="T1831" s="2">
        <v>3</v>
      </c>
      <c r="U1831" s="2"/>
      <c r="V1831" s="2"/>
      <c r="W1831" s="2"/>
      <c r="X1831" s="90"/>
      <c r="Y1831" s="7"/>
      <c r="Z1831" s="2"/>
      <c r="AA1831" s="1"/>
      <c r="AC1831" s="2"/>
      <c r="AE1831" s="1"/>
      <c r="AG1831" s="2"/>
    </row>
    <row r="1832" spans="12:33" ht="49.95" customHeight="1" x14ac:dyDescent="0.3">
      <c r="L1832" s="2"/>
      <c r="M1832" s="2"/>
      <c r="N1832" s="2">
        <v>8389</v>
      </c>
      <c r="O1832" s="374" t="s">
        <v>2706</v>
      </c>
      <c r="P1832" s="16">
        <v>46156</v>
      </c>
      <c r="Q1832" s="374" t="s">
        <v>1799</v>
      </c>
      <c r="R1832" s="2">
        <f>VLOOKUP(SALIDAS111518[[#This Row],[CÓDIGO]],PRODUCTOS31316[],2,FALSE)</f>
        <v>4846</v>
      </c>
      <c r="S1832" s="1" t="str">
        <f>VLOOKUP(SALIDAS111518[[#This Row],[CÓDIGO]],PRODUCTOS31316[],3,FALSE)</f>
        <v>PUNTA AZULES UNIVERSALES 100- 1000 UL</v>
      </c>
      <c r="T1832" s="2">
        <v>1</v>
      </c>
      <c r="U1832" s="2"/>
      <c r="V1832" s="2"/>
      <c r="W1832" s="2"/>
      <c r="X1832" s="2"/>
      <c r="Y1832" s="7"/>
      <c r="Z1832" s="2"/>
      <c r="AA1832" s="1"/>
      <c r="AC1832" s="2"/>
      <c r="AE1832" s="1"/>
      <c r="AG1832" s="2"/>
    </row>
    <row r="1833" spans="12:33" ht="49.95" customHeight="1" x14ac:dyDescent="0.3">
      <c r="L1833" s="374" t="s">
        <v>3521</v>
      </c>
      <c r="M1833" s="374" t="s">
        <v>4922</v>
      </c>
      <c r="N1833" s="374" t="s">
        <v>5491</v>
      </c>
      <c r="O1833" s="375" t="s">
        <v>3474</v>
      </c>
      <c r="P1833" s="16">
        <v>46157</v>
      </c>
      <c r="Q1833" s="374" t="s">
        <v>104</v>
      </c>
      <c r="R1833" s="2">
        <f>VLOOKUP(SALIDAS111518[[#This Row],[CÓDIGO]],PRODUCTOS31316[],2,FALSE)</f>
        <v>0</v>
      </c>
      <c r="S1833" s="1" t="str">
        <f>VLOOKUP(SALIDAS111518[[#This Row],[CÓDIGO]],PRODUCTOS31316[],3,FALSE)</f>
        <v>ISPERM CHIPS (500 TESTS PER BOX) PAQ. X 50 UND</v>
      </c>
      <c r="T1833" s="2">
        <v>1</v>
      </c>
      <c r="U1833" s="2">
        <v>810</v>
      </c>
      <c r="V1833" s="2"/>
      <c r="W1833" s="2"/>
      <c r="X1833" s="2"/>
      <c r="Y1833" s="7"/>
      <c r="Z1833" s="2"/>
      <c r="AA1833" s="1"/>
      <c r="AC1833" s="2"/>
      <c r="AE1833" s="1"/>
      <c r="AG1833" s="2"/>
    </row>
    <row r="1834" spans="12:33" ht="49.95" customHeight="1" x14ac:dyDescent="0.3">
      <c r="L1834" s="374" t="s">
        <v>3520</v>
      </c>
      <c r="M1834" s="374" t="s">
        <v>4922</v>
      </c>
      <c r="N1834" s="374" t="s">
        <v>5490</v>
      </c>
      <c r="O1834" s="374" t="s">
        <v>3374</v>
      </c>
      <c r="P1834" s="16">
        <v>46157</v>
      </c>
      <c r="Q1834" s="374" t="s">
        <v>2364</v>
      </c>
      <c r="R1834" s="2">
        <f>VLOOKUP(SALIDAS111518[[#This Row],[CÓDIGO]],PRODUCTOS31316[],2,FALSE)</f>
        <v>0</v>
      </c>
      <c r="S1834" s="1" t="str">
        <f>VLOOKUP(SALIDAS111518[[#This Row],[CÓDIGO]],PRODUCTOS31316[],3,FALSE)</f>
        <v>CORTAPAJILLAS WTA</v>
      </c>
      <c r="T1834" s="2">
        <v>1</v>
      </c>
      <c r="U1834" s="2">
        <v>811</v>
      </c>
      <c r="V1834" s="2"/>
      <c r="W1834" s="2"/>
      <c r="X1834" s="2"/>
      <c r="Y1834" s="7"/>
      <c r="Z1834" s="2"/>
      <c r="AA1834" s="1"/>
      <c r="AC1834" s="2"/>
      <c r="AE1834" s="1"/>
      <c r="AG1834" s="2"/>
    </row>
    <row r="1835" spans="12:33" ht="49.95" customHeight="1" x14ac:dyDescent="0.3">
      <c r="L1835" s="2"/>
      <c r="M1835" s="2"/>
      <c r="N1835" s="2">
        <v>8396</v>
      </c>
      <c r="O1835" s="374" t="s">
        <v>3374</v>
      </c>
      <c r="P1835" s="16">
        <v>46157</v>
      </c>
      <c r="Q1835" s="374" t="s">
        <v>236</v>
      </c>
      <c r="R1835" s="2">
        <f>VLOOKUP(SALIDAS111518[[#This Row],[CÓDIGO]],PRODUCTOS31316[],2,FALSE)</f>
        <v>0</v>
      </c>
      <c r="S1835" s="1" t="str">
        <f>VLOOKUP(SALIDAS111518[[#This Row],[CÓDIGO]],PRODUCTOS31316[],3,FALSE)</f>
        <v>TERMO METÁLICO DESCONGELADOR</v>
      </c>
      <c r="T1835" s="2">
        <v>1</v>
      </c>
      <c r="U1835" s="2"/>
      <c r="V1835" s="2"/>
      <c r="W1835" s="2"/>
      <c r="X1835" s="2"/>
      <c r="Y1835" s="7"/>
      <c r="Z1835" s="2"/>
      <c r="AA1835" s="1"/>
      <c r="AC1835" s="2"/>
      <c r="AE1835" s="1"/>
      <c r="AG1835" s="2"/>
    </row>
    <row r="1836" spans="12:33" ht="49.95" customHeight="1" x14ac:dyDescent="0.3">
      <c r="L1836" s="2"/>
      <c r="M1836" s="2"/>
      <c r="N1836" s="2">
        <v>8396</v>
      </c>
      <c r="O1836" s="374" t="s">
        <v>3374</v>
      </c>
      <c r="P1836" s="16">
        <v>46157</v>
      </c>
      <c r="Q1836" s="374" t="s">
        <v>581</v>
      </c>
      <c r="R1836" s="2">
        <f>VLOOKUP(SALIDAS111518[[#This Row],[CÓDIGO]],PRODUCTOS31316[],2,FALSE)</f>
        <v>11571</v>
      </c>
      <c r="S1836" s="1" t="str">
        <f>VLOOKUP(SALIDAS111518[[#This Row],[CÓDIGO]],PRODUCTOS31316[],3,FALSE)</f>
        <v>PINZA COGEPAJILLA</v>
      </c>
      <c r="T1836" s="2">
        <v>1</v>
      </c>
      <c r="U1836" s="2"/>
      <c r="V1836" s="2"/>
      <c r="W1836" s="2"/>
      <c r="X1836" s="2"/>
      <c r="Y1836" s="7"/>
      <c r="Z1836" s="2"/>
      <c r="AA1836" s="1"/>
      <c r="AC1836" s="2"/>
      <c r="AE1836" s="1"/>
      <c r="AG1836" s="2"/>
    </row>
    <row r="1837" spans="12:33" ht="49.95" customHeight="1" x14ac:dyDescent="0.3">
      <c r="L1837" s="2"/>
      <c r="M1837" s="2"/>
      <c r="N1837" s="2">
        <v>8396</v>
      </c>
      <c r="O1837" s="374" t="s">
        <v>3374</v>
      </c>
      <c r="P1837" s="16">
        <v>46157</v>
      </c>
      <c r="Q1837" s="374" t="s">
        <v>445</v>
      </c>
      <c r="R1837" s="2">
        <f>VLOOKUP(SALIDAS111518[[#This Row],[CÓDIGO]],PRODUCTOS31316[],2,FALSE)</f>
        <v>0</v>
      </c>
      <c r="S1837" s="1" t="str">
        <f>VLOOKUP(SALIDAS111518[[#This Row],[CÓDIGO]],PRODUCTOS31316[],3,FALSE)</f>
        <v>MANGA DE PALPACIÓN NARANJA</v>
      </c>
      <c r="T1837" s="2">
        <v>1</v>
      </c>
      <c r="U1837" s="2"/>
      <c r="V1837" s="2"/>
      <c r="W1837" s="2"/>
      <c r="X1837" s="2"/>
      <c r="Y1837" s="7"/>
      <c r="Z1837" s="2"/>
      <c r="AA1837" s="1"/>
      <c r="AC1837" s="2"/>
      <c r="AE1837" s="1"/>
      <c r="AG1837" s="2"/>
    </row>
    <row r="1838" spans="12:33" ht="49.95" customHeight="1" x14ac:dyDescent="0.3">
      <c r="L1838" s="2"/>
      <c r="M1838" s="2"/>
      <c r="N1838" s="2">
        <v>8396</v>
      </c>
      <c r="O1838" s="374" t="s">
        <v>3374</v>
      </c>
      <c r="P1838" s="16">
        <v>46157</v>
      </c>
      <c r="Q1838" s="374" t="s">
        <v>1779</v>
      </c>
      <c r="R1838" s="2">
        <f>VLOOKUP(SALIDAS111518[[#This Row],[CÓDIGO]],PRODUCTOS31316[],2,FALSE)</f>
        <v>5563</v>
      </c>
      <c r="S1838" s="1" t="str">
        <f>VLOOKUP(SALIDAS111518[[#This Row],[CÓDIGO]],PRODUCTOS31316[],3,FALSE)</f>
        <v>CAMISA SANITARIA ROLLO X 80</v>
      </c>
      <c r="T1838" s="2">
        <v>1</v>
      </c>
      <c r="U1838" s="2"/>
      <c r="V1838" s="2"/>
      <c r="W1838" s="2"/>
      <c r="X1838" s="2"/>
      <c r="Y1838" s="7"/>
      <c r="Z1838" s="2"/>
      <c r="AA1838" s="1"/>
      <c r="AC1838" s="2"/>
      <c r="AE1838" s="1"/>
      <c r="AG1838" s="2"/>
    </row>
    <row r="1839" spans="12:33" ht="49.95" customHeight="1" x14ac:dyDescent="0.3">
      <c r="L1839" s="2"/>
      <c r="M1839" s="2"/>
      <c r="N1839" s="2">
        <v>8396</v>
      </c>
      <c r="O1839" s="374" t="s">
        <v>3374</v>
      </c>
      <c r="P1839" s="16">
        <v>46157</v>
      </c>
      <c r="Q1839" s="374" t="s">
        <v>2382</v>
      </c>
      <c r="R1839" s="2">
        <f>VLOOKUP(SALIDAS111518[[#This Row],[CÓDIGO]],PRODUCTOS31316[],2,FALSE)</f>
        <v>1</v>
      </c>
      <c r="S1839" s="1" t="str">
        <f>VLOOKUP(SALIDAS111518[[#This Row],[CÓDIGO]],PRODUCTOS31316[],3,FALSE)</f>
        <v>TERMO DE TRANSPORTE 1 LITRO</v>
      </c>
      <c r="T1839" s="2">
        <v>1</v>
      </c>
      <c r="U1839" s="2"/>
      <c r="V1839" s="2"/>
      <c r="W1839" s="2"/>
      <c r="X1839" s="2"/>
      <c r="Y1839" s="7"/>
      <c r="Z1839" s="2"/>
      <c r="AA1839" s="1"/>
      <c r="AC1839" s="2"/>
      <c r="AE1839" s="1"/>
      <c r="AG1839" s="2"/>
    </row>
    <row r="1840" spans="12:33" ht="49.95" customHeight="1" x14ac:dyDescent="0.3">
      <c r="L1840" s="374" t="s">
        <v>3521</v>
      </c>
      <c r="M1840" s="374" t="s">
        <v>4922</v>
      </c>
      <c r="N1840" s="374" t="s">
        <v>5504</v>
      </c>
      <c r="O1840" s="374" t="s">
        <v>5503</v>
      </c>
      <c r="P1840" s="16">
        <v>46157</v>
      </c>
      <c r="Q1840" s="374" t="s">
        <v>36</v>
      </c>
      <c r="R1840" s="2">
        <f>VLOOKUP(SALIDAS111518[[#This Row],[CÓDIGO]],PRODUCTOS31316[],2,FALSE)</f>
        <v>1</v>
      </c>
      <c r="S1840" s="1" t="str">
        <f>VLOOKUP(SALIDAS111518[[#This Row],[CÓDIGO]],PRODUCTOS31316[],3,FALSE)</f>
        <v xml:space="preserve">PARCHE ESTROTECT </v>
      </c>
      <c r="T1840" s="2">
        <v>24</v>
      </c>
      <c r="U1840" s="15"/>
      <c r="V1840" s="2"/>
      <c r="W1840" s="2"/>
      <c r="X1840" s="2"/>
      <c r="Y1840" s="7"/>
      <c r="Z1840" s="2"/>
      <c r="AA1840" s="1"/>
      <c r="AC1840" s="2"/>
      <c r="AE1840" s="1"/>
      <c r="AG1840" s="2"/>
    </row>
    <row r="1841" spans="12:33" ht="49.95" customHeight="1" x14ac:dyDescent="0.3">
      <c r="L1841" s="374" t="s">
        <v>3521</v>
      </c>
      <c r="M1841" s="374" t="s">
        <v>4922</v>
      </c>
      <c r="N1841" s="1" t="s">
        <v>5067</v>
      </c>
      <c r="O1841" s="374" t="s">
        <v>3390</v>
      </c>
      <c r="P1841" s="16">
        <v>46157</v>
      </c>
      <c r="Q1841" s="374" t="s">
        <v>3211</v>
      </c>
      <c r="R1841" s="2" t="str">
        <f>VLOOKUP(SALIDAS111518[[#This Row],[CÓDIGO]],PRODUCTOS31316[],2,FALSE)</f>
        <v>S7</v>
      </c>
      <c r="S1841" s="1" t="str">
        <f>VLOOKUP(SALIDAS111518[[#This Row],[CÓDIGO]],PRODUCTOS31316[],3,FALSE)</f>
        <v>SONDA S7 PLUS DOPPLER COLOR</v>
      </c>
      <c r="T1841" s="2">
        <v>1</v>
      </c>
      <c r="U1841" s="15"/>
      <c r="V1841" s="2"/>
      <c r="W1841" s="2"/>
      <c r="X1841" s="2"/>
      <c r="Y1841" s="7"/>
      <c r="Z1841" s="2"/>
      <c r="AA1841" s="1"/>
      <c r="AC1841" s="2"/>
      <c r="AE1841" s="1"/>
      <c r="AG1841" s="2"/>
    </row>
    <row r="1842" spans="12:33" ht="49.95" customHeight="1" x14ac:dyDescent="0.3">
      <c r="L1842" s="2"/>
      <c r="M1842" s="2"/>
      <c r="N1842" s="2">
        <v>8508</v>
      </c>
      <c r="O1842" s="374" t="s">
        <v>3390</v>
      </c>
      <c r="P1842" s="16">
        <v>46157</v>
      </c>
      <c r="Q1842" s="374" t="s">
        <v>3213</v>
      </c>
      <c r="R1842" s="2" t="str">
        <f>VLOOKUP(SALIDAS111518[[#This Row],[CÓDIGO]],PRODUCTOS31316[],2,FALSE)</f>
        <v>SONDA S7</v>
      </c>
      <c r="S1842" s="1" t="str">
        <f>VLOOKUP(SALIDAS111518[[#This Row],[CÓDIGO]],PRODUCTOS31316[],3,FALSE)</f>
        <v>SONDA ADICIONAL S7 PLUS</v>
      </c>
      <c r="T1842" s="2">
        <v>1</v>
      </c>
      <c r="U1842" s="2"/>
      <c r="V1842" s="2"/>
      <c r="W1842" s="2"/>
      <c r="X1842" s="2"/>
      <c r="Y1842" s="7"/>
      <c r="Z1842" s="2"/>
      <c r="AA1842" s="1"/>
      <c r="AC1842" s="2"/>
      <c r="AE1842" s="1"/>
      <c r="AG1842" s="2"/>
    </row>
    <row r="1843" spans="12:33" ht="49.95" customHeight="1" x14ac:dyDescent="0.3">
      <c r="L1843" s="374" t="s">
        <v>3520</v>
      </c>
      <c r="M1843" s="374" t="s">
        <v>4922</v>
      </c>
      <c r="N1843" s="374" t="s">
        <v>5489</v>
      </c>
      <c r="O1843" s="374" t="s">
        <v>2724</v>
      </c>
      <c r="P1843" s="16">
        <v>46157</v>
      </c>
      <c r="Q1843" s="374" t="s">
        <v>15</v>
      </c>
      <c r="R1843" s="2" t="str">
        <f>VLOOKUP(SALIDAS111518[[#This Row],[CÓDIGO]],PRODUCTOS31316[],2,FALSE)</f>
        <v>BTE-025PT/ 504002</v>
      </c>
      <c r="S1843" s="1" t="str">
        <f>VLOOKUP(SALIDAS111518[[#This Row],[CÓDIGO]],PRODUCTOS31316[],3,FALSE)</f>
        <v>FUNDAS PARA TRANSFERENCIA DE EMBRIONES</v>
      </c>
      <c r="T1843" s="2">
        <v>40</v>
      </c>
      <c r="U1843" s="2">
        <v>812</v>
      </c>
      <c r="V1843" s="2"/>
      <c r="W1843" s="374" t="s">
        <v>2823</v>
      </c>
      <c r="X1843" s="2"/>
      <c r="Y1843" s="7"/>
      <c r="Z1843" s="2"/>
      <c r="AA1843" s="1"/>
      <c r="AC1843" s="2"/>
      <c r="AE1843" s="1"/>
      <c r="AG1843" s="2"/>
    </row>
    <row r="1844" spans="12:33" ht="49.95" customHeight="1" x14ac:dyDescent="0.3">
      <c r="L1844" s="374" t="s">
        <v>3520</v>
      </c>
      <c r="M1844" s="374" t="s">
        <v>4922</v>
      </c>
      <c r="N1844" s="374" t="s">
        <v>5487</v>
      </c>
      <c r="O1844" s="374" t="s">
        <v>4962</v>
      </c>
      <c r="P1844" s="16">
        <v>46157</v>
      </c>
      <c r="Q1844" s="374" t="s">
        <v>3075</v>
      </c>
      <c r="R1844" s="2">
        <f>VLOOKUP(SALIDAS111518[[#This Row],[CÓDIGO]],PRODUCTOS31316[],2,FALSE)</f>
        <v>0</v>
      </c>
      <c r="S1844" s="1" t="str">
        <f>VLOOKUP(SALIDAS111518[[#This Row],[CÓDIGO]],PRODUCTOS31316[],3,FALSE)</f>
        <v>AUTOJAC V3 ELECTROEYACUALADOR MANUAL Y AUTOMÁTICO</v>
      </c>
      <c r="T1844" s="2">
        <v>1</v>
      </c>
      <c r="U1844" s="2">
        <v>816</v>
      </c>
      <c r="V1844" s="2"/>
      <c r="W1844" s="374" t="s">
        <v>2823</v>
      </c>
      <c r="X1844" s="2"/>
      <c r="Y1844" s="7"/>
      <c r="Z1844" s="2"/>
      <c r="AA1844" s="1"/>
      <c r="AC1844" s="2"/>
      <c r="AE1844" s="1"/>
      <c r="AG1844" s="2"/>
    </row>
    <row r="1845" spans="12:33" ht="49.95" customHeight="1" x14ac:dyDescent="0.3">
      <c r="L1845" s="2"/>
      <c r="M1845" s="2"/>
      <c r="N1845" s="2">
        <v>8411</v>
      </c>
      <c r="O1845" s="374" t="s">
        <v>4962</v>
      </c>
      <c r="P1845" s="16">
        <v>46157</v>
      </c>
      <c r="Q1845" s="374" t="s">
        <v>913</v>
      </c>
      <c r="R1845" s="2" t="str">
        <f>VLOOKUP(SALIDAS111518[[#This Row],[CÓDIGO]],PRODUCTOS31316[],2,FALSE)</f>
        <v>HC-R069</v>
      </c>
      <c r="S1845" s="1" t="str">
        <f>VLOOKUP(SALIDAS111518[[#This Row],[CÓDIGO]],PRODUCTOS31316[],3,FALSE)</f>
        <v>MICROSCOPIO CON PLATINA Y PANTALLA 7"</v>
      </c>
      <c r="T1845" s="2">
        <v>1</v>
      </c>
      <c r="U1845" s="2"/>
      <c r="V1845" s="2"/>
      <c r="W1845" s="2"/>
      <c r="X1845" s="2"/>
      <c r="Y1845" s="7"/>
      <c r="Z1845" s="2"/>
      <c r="AA1845" s="1"/>
      <c r="AC1845" s="2"/>
      <c r="AE1845" s="1"/>
      <c r="AG1845" s="2"/>
    </row>
    <row r="1846" spans="12:33" ht="49.95" customHeight="1" x14ac:dyDescent="0.3">
      <c r="L1846" s="2"/>
      <c r="M1846" s="2"/>
      <c r="N1846" s="2">
        <v>8411</v>
      </c>
      <c r="O1846" s="374" t="s">
        <v>4962</v>
      </c>
      <c r="P1846" s="16">
        <v>46157</v>
      </c>
      <c r="Q1846" s="374" t="s">
        <v>2232</v>
      </c>
      <c r="R1846" s="2">
        <f>VLOOKUP(SALIDAS111518[[#This Row],[CÓDIGO]],PRODUCTOS31316[],2,FALSE)</f>
        <v>0</v>
      </c>
      <c r="S1846" s="1" t="str">
        <f>VLOOKUP(SALIDAS111518[[#This Row],[CÓDIGO]],PRODUCTOS31316[],3,FALSE)</f>
        <v>CONO RECOLECTOR</v>
      </c>
      <c r="T1846" s="2">
        <v>1</v>
      </c>
      <c r="U1846" s="2"/>
      <c r="V1846" s="2"/>
      <c r="W1846" s="2"/>
      <c r="X1846" s="2"/>
      <c r="Y1846" s="7"/>
      <c r="Z1846" s="2"/>
      <c r="AA1846" s="1"/>
      <c r="AC1846" s="2"/>
      <c r="AE1846" s="1"/>
      <c r="AG1846" s="2"/>
    </row>
    <row r="1847" spans="12:33" ht="49.95" customHeight="1" x14ac:dyDescent="0.3">
      <c r="L1847" s="2"/>
      <c r="M1847" s="2"/>
      <c r="N1847" s="2">
        <v>8411</v>
      </c>
      <c r="O1847" s="374" t="s">
        <v>4962</v>
      </c>
      <c r="P1847" s="16">
        <v>46157</v>
      </c>
      <c r="Q1847" s="374" t="s">
        <v>333</v>
      </c>
      <c r="R1847" s="2" t="str">
        <f>VLOOKUP(SALIDAS111518[[#This Row],[CÓDIGO]],PRODUCTOS31316[],2,FALSE)</f>
        <v>CTB15</v>
      </c>
      <c r="S1847" s="1" t="str">
        <f>VLOOKUP(SALIDAS111518[[#This Row],[CÓDIGO]],PRODUCTOS31316[],3,FALSE)</f>
        <v>TUBO CÓNICO DE 15 ML, TAPA ROSCA ESTÉRIL  RCF MAX: 10000xg, 
graduados, PCR puro. VENCE: 03/04/2028</v>
      </c>
      <c r="T1847" s="2">
        <v>1</v>
      </c>
      <c r="U1847" s="2"/>
      <c r="V1847" s="2"/>
      <c r="W1847" s="2"/>
      <c r="X1847" s="2"/>
      <c r="Y1847" s="7"/>
      <c r="Z1847" s="2"/>
      <c r="AA1847" s="1"/>
      <c r="AC1847" s="2"/>
      <c r="AE1847" s="1"/>
      <c r="AG1847" s="2"/>
    </row>
    <row r="1848" spans="12:33" ht="49.95" customHeight="1" x14ac:dyDescent="0.3">
      <c r="L1848" s="2"/>
      <c r="M1848" s="2"/>
      <c r="N1848" s="2">
        <v>8411</v>
      </c>
      <c r="O1848" s="374" t="s">
        <v>4962</v>
      </c>
      <c r="P1848" s="16">
        <v>46157</v>
      </c>
      <c r="Q1848" s="374" t="s">
        <v>341</v>
      </c>
      <c r="R1848" s="2" t="str">
        <f>VLOOKUP(SALIDAS111518[[#This Row],[CÓDIGO]],PRODUCTOS31316[],2,FALSE)</f>
        <v>CTB50</v>
      </c>
      <c r="S1848" s="1" t="str">
        <f>VLOOKUP(SALIDAS111518[[#This Row],[CÓDIGO]],PRODUCTOS31316[],3,FALSE)</f>
        <v>TUBO CÓNICO DE 50 mL, TAPA ROSCA, PRE ESTERILIZADO. RCF MAX: 10000xg, graduados, PCR puro.</v>
      </c>
      <c r="T1848" s="2">
        <v>1</v>
      </c>
      <c r="U1848" s="2"/>
      <c r="V1848" s="2"/>
      <c r="W1848" s="2"/>
      <c r="X1848" s="2"/>
      <c r="Y1848" s="7"/>
      <c r="Z1848" s="2"/>
      <c r="AA1848" s="1"/>
      <c r="AC1848" s="2"/>
      <c r="AE1848" s="1"/>
      <c r="AG1848" s="2"/>
    </row>
    <row r="1849" spans="12:33" ht="49.95" customHeight="1" x14ac:dyDescent="0.3">
      <c r="L1849" s="2"/>
      <c r="M1849" s="2"/>
      <c r="N1849" s="2">
        <v>8411</v>
      </c>
      <c r="O1849" s="374" t="s">
        <v>4962</v>
      </c>
      <c r="P1849" s="16">
        <v>46157</v>
      </c>
      <c r="Q1849" s="374" t="s">
        <v>2409</v>
      </c>
      <c r="R1849" s="2">
        <f>VLOOKUP(SALIDAS111518[[#This Row],[CÓDIGO]],PRODUCTOS31316[],2,FALSE)</f>
        <v>6986</v>
      </c>
      <c r="S1849" s="1" t="str">
        <f>VLOOKUP(SALIDAS111518[[#This Row],[CÓDIGO]],PRODUCTOS31316[],3,FALSE)</f>
        <v>CINTA ESCROTAL METÁLICA</v>
      </c>
      <c r="T1849" s="2">
        <v>1</v>
      </c>
      <c r="U1849" s="2"/>
      <c r="V1849" s="2"/>
      <c r="W1849" s="2"/>
      <c r="X1849" s="2"/>
      <c r="Y1849" s="7"/>
      <c r="Z1849" s="2"/>
      <c r="AA1849" s="1"/>
      <c r="AC1849" s="2"/>
      <c r="AE1849" s="1"/>
      <c r="AG1849" s="2"/>
    </row>
    <row r="1850" spans="12:33" ht="49.95" customHeight="1" x14ac:dyDescent="0.3">
      <c r="L1850" s="2"/>
      <c r="M1850" s="2"/>
      <c r="N1850" s="2">
        <v>8411</v>
      </c>
      <c r="O1850" s="374" t="s">
        <v>4962</v>
      </c>
      <c r="P1850" s="16">
        <v>46157</v>
      </c>
      <c r="Q1850" s="374" t="s">
        <v>1631</v>
      </c>
      <c r="R1850" s="2" t="str">
        <f>VLOOKUP(SALIDAS111518[[#This Row],[CÓDIGO]],PRODUCTOS31316[],2,FALSE)</f>
        <v>7101-CRAL</v>
      </c>
      <c r="S1850" s="1" t="str">
        <f>VLOOKUP(SALIDAS111518[[#This Row],[CÓDIGO]],PRODUCTOS31316[],3,FALSE)</f>
        <v>LAMINA PORTA OBJETOS LISA EN VIDRIO 26X76MM, BORDE ESMERILADO</v>
      </c>
      <c r="T1850" s="2">
        <v>1</v>
      </c>
      <c r="U1850" s="2"/>
      <c r="V1850" s="2"/>
      <c r="W1850" s="2"/>
      <c r="X1850" s="2"/>
      <c r="Y1850" s="7"/>
      <c r="Z1850" s="2"/>
      <c r="AA1850" s="1"/>
      <c r="AC1850" s="2"/>
      <c r="AE1850" s="1"/>
      <c r="AG1850" s="2"/>
    </row>
    <row r="1851" spans="12:33" ht="49.95" customHeight="1" x14ac:dyDescent="0.3">
      <c r="L1851" s="2"/>
      <c r="M1851" s="2"/>
      <c r="N1851" s="2">
        <v>8411</v>
      </c>
      <c r="O1851" s="374" t="s">
        <v>4962</v>
      </c>
      <c r="P1851" s="16">
        <v>46157</v>
      </c>
      <c r="Q1851" s="374" t="s">
        <v>1637</v>
      </c>
      <c r="R1851" s="2" t="str">
        <f>VLOOKUP(SALIDAS111518[[#This Row],[CÓDIGO]],PRODUCTOS31316[],2,FALSE)</f>
        <v>P22X22</v>
      </c>
      <c r="S1851" s="1" t="str">
        <f>VLOOKUP(SALIDAS111518[[#This Row],[CÓDIGO]],PRODUCTOS31316[],3,FALSE)</f>
        <v>LAMINA CUBRE OBJETO EN VIDRIO 22X22</v>
      </c>
      <c r="T1851" s="2">
        <v>1</v>
      </c>
      <c r="U1851" s="2"/>
      <c r="V1851" s="2"/>
      <c r="W1851" s="2"/>
      <c r="X1851" s="2"/>
      <c r="Y1851" s="7"/>
      <c r="Z1851" s="2"/>
      <c r="AA1851" s="1"/>
      <c r="AC1851" s="2"/>
      <c r="AE1851" s="1"/>
      <c r="AG1851" s="2"/>
    </row>
    <row r="1852" spans="12:33" ht="49.95" customHeight="1" x14ac:dyDescent="0.3">
      <c r="L1852" s="2"/>
      <c r="M1852" s="2"/>
      <c r="N1852" s="2">
        <v>8411</v>
      </c>
      <c r="O1852" s="374" t="s">
        <v>4962</v>
      </c>
      <c r="P1852" s="16">
        <v>46157</v>
      </c>
      <c r="Q1852" s="374" t="s">
        <v>5113</v>
      </c>
      <c r="R1852" s="2">
        <f>VLOOKUP(SALIDAS111518[[#This Row],[CÓDIGO]],PRODUCTOS31316[],2,FALSE)</f>
        <v>0</v>
      </c>
      <c r="S1852" s="1" t="str">
        <f>VLOOKUP(SALIDAS111518[[#This Row],[CÓDIGO]],PRODUCTOS31316[],3,FALSE)</f>
        <v>MICROPIPETA AUTOMATICA VOLUMEN VARIABLE DE 20 - 200 UL MARCA: JOAN LAB</v>
      </c>
      <c r="T1852" s="2">
        <v>1</v>
      </c>
      <c r="U1852" s="2"/>
      <c r="V1852" s="2"/>
      <c r="W1852" s="2"/>
      <c r="X1852" s="2"/>
      <c r="Y1852" s="7"/>
      <c r="Z1852" s="2"/>
      <c r="AA1852" s="1"/>
      <c r="AC1852" s="2"/>
      <c r="AE1852" s="1"/>
      <c r="AG1852" s="2"/>
    </row>
    <row r="1853" spans="12:33" ht="49.95" customHeight="1" x14ac:dyDescent="0.3">
      <c r="L1853" s="2"/>
      <c r="M1853" s="2"/>
      <c r="N1853" s="2">
        <v>8411</v>
      </c>
      <c r="O1853" s="374" t="s">
        <v>4962</v>
      </c>
      <c r="P1853" s="16">
        <v>46157</v>
      </c>
      <c r="Q1853" s="374" t="s">
        <v>3233</v>
      </c>
      <c r="R1853" s="2" t="str">
        <f>VLOOKUP(SALIDAS111518[[#This Row],[CÓDIGO]],PRODUCTOS31316[],2,FALSE)</f>
        <v>JA3022</v>
      </c>
      <c r="S1853" s="1" t="str">
        <f>VLOOKUP(SALIDAS111518[[#This Row],[CÓDIGO]],PRODUCTOS31316[],3,FALSE)</f>
        <v>PIPETA AUTOMÁTICA VOLUMEN DE 0.5A 10UL</v>
      </c>
      <c r="T1853" s="2">
        <v>1</v>
      </c>
      <c r="U1853" s="2"/>
      <c r="V1853" s="2"/>
      <c r="W1853" s="2"/>
      <c r="X1853" s="2"/>
      <c r="Y1853" s="7"/>
      <c r="Z1853" s="2"/>
      <c r="AA1853" s="1"/>
      <c r="AC1853" s="2"/>
      <c r="AE1853" s="1"/>
      <c r="AG1853" s="2"/>
    </row>
    <row r="1854" spans="12:33" ht="49.95" customHeight="1" x14ac:dyDescent="0.3">
      <c r="L1854" s="2"/>
      <c r="M1854" s="2"/>
      <c r="N1854" s="2">
        <v>8411</v>
      </c>
      <c r="O1854" s="374" t="s">
        <v>4962</v>
      </c>
      <c r="P1854" s="16">
        <v>46157</v>
      </c>
      <c r="Q1854" s="374" t="s">
        <v>168</v>
      </c>
      <c r="R1854" s="2">
        <f>VLOOKUP(SALIDAS111518[[#This Row],[CÓDIGO]],PRODUCTOS31316[],2,FALSE)</f>
        <v>4840</v>
      </c>
      <c r="S1854" s="1" t="str">
        <f>VLOOKUP(SALIDAS111518[[#This Row],[CÓDIGO]],PRODUCTOS31316[],3,FALSE)</f>
        <v>PUNTAS BLANCAS UNIVERSALES, PLÁSTICAS, LIBRES DE DNASAS, RNASA Y PIROGENOS, RANGO DE 0.1 A 10UL. (CORTAS).</v>
      </c>
      <c r="T1854" s="2">
        <v>1</v>
      </c>
      <c r="U1854" s="2"/>
      <c r="V1854" s="2"/>
      <c r="W1854" s="2"/>
      <c r="X1854" s="2"/>
      <c r="Y1854" s="7"/>
      <c r="Z1854" s="2"/>
      <c r="AA1854" s="1"/>
      <c r="AC1854" s="2"/>
      <c r="AE1854" s="1"/>
      <c r="AG1854" s="2"/>
    </row>
    <row r="1855" spans="12:33" ht="49.95" customHeight="1" x14ac:dyDescent="0.3">
      <c r="L1855" s="2"/>
      <c r="M1855" s="2"/>
      <c r="N1855" s="2">
        <v>8411</v>
      </c>
      <c r="O1855" s="374" t="s">
        <v>4962</v>
      </c>
      <c r="P1855" s="16">
        <v>46157</v>
      </c>
      <c r="Q1855" s="374" t="s">
        <v>602</v>
      </c>
      <c r="R1855" s="2">
        <f>VLOOKUP(SALIDAS111518[[#This Row],[CÓDIGO]],PRODUCTOS31316[],2,FALSE)</f>
        <v>4845</v>
      </c>
      <c r="S1855" s="1" t="str">
        <f>VLOOKUP(SALIDAS111518[[#This Row],[CÓDIGO]],PRODUCTOS31316[],3,FALSE)</f>
        <v>PUNTAS AMARILLAS, UNIVERSALES. PLASTICAS, NO ESTERIL. LIBRES DE RNASE, DNASE Y PYROGENOS. RANGO DE 1-200UL. BOLSA X1000UDS.</v>
      </c>
      <c r="T1855" s="2">
        <v>1</v>
      </c>
      <c r="U1855" s="2"/>
      <c r="V1855" s="2"/>
      <c r="W1855" s="2"/>
      <c r="X1855" s="2"/>
      <c r="Y1855" s="7"/>
      <c r="Z1855" s="2"/>
      <c r="AA1855" s="1"/>
      <c r="AC1855" s="2"/>
      <c r="AE1855" s="1"/>
      <c r="AG1855" s="2"/>
    </row>
    <row r="1856" spans="12:33" ht="49.95" customHeight="1" x14ac:dyDescent="0.3">
      <c r="L1856" s="2"/>
      <c r="M1856" s="2"/>
      <c r="N1856" s="2">
        <v>8411</v>
      </c>
      <c r="O1856" s="374" t="s">
        <v>4962</v>
      </c>
      <c r="P1856" s="16">
        <v>46157</v>
      </c>
      <c r="Q1856" s="374" t="s">
        <v>2378</v>
      </c>
      <c r="R1856" s="2">
        <f>VLOOKUP(SALIDAS111518[[#This Row],[CÓDIGO]],PRODUCTOS31316[],2,FALSE)</f>
        <v>0</v>
      </c>
      <c r="S1856" s="1" t="str">
        <f>VLOOKUP(SALIDAS111518[[#This Row],[CÓDIGO]],PRODUCTOS31316[],3,FALSE)</f>
        <v>CAMARA DE NEUBAUER</v>
      </c>
      <c r="T1856" s="2">
        <v>2</v>
      </c>
      <c r="U1856" s="2"/>
      <c r="V1856" s="2"/>
      <c r="W1856" s="2"/>
      <c r="X1856" s="2"/>
      <c r="Y1856" s="7"/>
      <c r="Z1856" s="2"/>
      <c r="AA1856" s="1"/>
      <c r="AC1856" s="2"/>
      <c r="AE1856" s="1"/>
      <c r="AG1856" s="2"/>
    </row>
    <row r="1857" spans="12:33" ht="49.95" customHeight="1" x14ac:dyDescent="0.3">
      <c r="L1857" s="2"/>
      <c r="M1857" s="2"/>
      <c r="N1857" s="2">
        <v>8411</v>
      </c>
      <c r="O1857" s="374" t="s">
        <v>4962</v>
      </c>
      <c r="P1857" s="16">
        <v>46157</v>
      </c>
      <c r="Q1857" s="374" t="s">
        <v>2295</v>
      </c>
      <c r="R1857" s="2" t="str">
        <f>VLOOKUP(SALIDAS111518[[#This Row],[CÓDIGO]],PRODUCTOS31316[],2,FALSE)</f>
        <v>B00992</v>
      </c>
      <c r="S1857" s="1" t="str">
        <f>VLOOKUP(SALIDAS111518[[#This Row],[CÓDIGO]],PRODUCTOS31316[],3,FALSE)</f>
        <v>BOLSA WHRIL-PAK 7 OZ</v>
      </c>
      <c r="T1857" s="2">
        <v>16</v>
      </c>
      <c r="U1857" s="2"/>
      <c r="V1857" s="2"/>
      <c r="W1857" s="2"/>
      <c r="X1857" s="2"/>
      <c r="Y1857" s="7"/>
      <c r="Z1857" s="2"/>
      <c r="AA1857" s="1"/>
      <c r="AC1857" s="2"/>
      <c r="AE1857" s="1"/>
      <c r="AG1857" s="2"/>
    </row>
    <row r="1858" spans="12:33" ht="49.95" customHeight="1" x14ac:dyDescent="0.3">
      <c r="L1858" s="2"/>
      <c r="M1858" s="2"/>
      <c r="N1858" s="2">
        <v>8411</v>
      </c>
      <c r="O1858" s="374" t="s">
        <v>4962</v>
      </c>
      <c r="P1858" s="16">
        <v>46157</v>
      </c>
      <c r="Q1858" s="374" t="s">
        <v>3095</v>
      </c>
      <c r="R1858" s="2">
        <f>VLOOKUP(SALIDAS111518[[#This Row],[CÓDIGO]],PRODUCTOS31316[],2,FALSE)</f>
        <v>0</v>
      </c>
      <c r="S1858" s="1" t="str">
        <f>VLOOKUP(SALIDAS111518[[#This Row],[CÓDIGO]],PRODUCTOS31316[],3,FALSE)</f>
        <v>GORRA MAS CAMPO</v>
      </c>
      <c r="T1858" s="2">
        <v>1</v>
      </c>
      <c r="U1858" s="2"/>
      <c r="V1858" s="2"/>
      <c r="W1858" s="2"/>
      <c r="X1858" s="2"/>
      <c r="Y1858" s="7"/>
      <c r="Z1858" s="2"/>
      <c r="AA1858" s="1"/>
      <c r="AC1858" s="2"/>
      <c r="AE1858" s="1"/>
      <c r="AG1858" s="2"/>
    </row>
    <row r="1859" spans="12:33" ht="49.95" customHeight="1" x14ac:dyDescent="0.3">
      <c r="L1859" s="374" t="s">
        <v>3520</v>
      </c>
      <c r="M1859" s="374" t="s">
        <v>4922</v>
      </c>
      <c r="N1859" s="374" t="s">
        <v>5488</v>
      </c>
      <c r="O1859" s="375" t="s">
        <v>2591</v>
      </c>
      <c r="P1859" s="16">
        <v>46157</v>
      </c>
      <c r="Q1859" s="374" t="s">
        <v>397</v>
      </c>
      <c r="R1859" s="2">
        <f>VLOOKUP(SALIDAS111518[[#This Row],[CÓDIGO]],PRODUCTOS31316[],2,FALSE)</f>
        <v>509013</v>
      </c>
      <c r="S1859" s="1" t="str">
        <f>VLOOKUP(SALIDAS111518[[#This Row],[CÓDIGO]],PRODUCTOS31316[],3,FALSE)</f>
        <v>CAMISA SANITARIA PARA PROBE RECTAL</v>
      </c>
      <c r="T1859" s="2">
        <v>4</v>
      </c>
      <c r="U1859" s="2">
        <v>814</v>
      </c>
      <c r="V1859" s="2"/>
      <c r="W1859" s="2"/>
      <c r="X1859" s="2"/>
      <c r="Y1859" s="7"/>
      <c r="Z1859" s="2"/>
      <c r="AA1859" s="1"/>
      <c r="AC1859" s="2"/>
      <c r="AE1859" s="1"/>
      <c r="AG1859" s="2"/>
    </row>
    <row r="1860" spans="12:33" ht="49.95" customHeight="1" x14ac:dyDescent="0.3">
      <c r="L1860" s="374" t="s">
        <v>3520</v>
      </c>
      <c r="M1860" s="374" t="s">
        <v>4922</v>
      </c>
      <c r="N1860" s="384" t="s">
        <v>5575</v>
      </c>
      <c r="O1860" s="374" t="s">
        <v>2204</v>
      </c>
      <c r="P1860" s="16">
        <v>46157</v>
      </c>
      <c r="Q1860" s="374" t="s">
        <v>4447</v>
      </c>
      <c r="R1860" s="2">
        <f>VLOOKUP(SALIDAS111518[[#This Row],[CÓDIGO]],PRODUCTOS31316[],2,FALSE)</f>
        <v>0</v>
      </c>
      <c r="S1860" s="1" t="str">
        <f>VLOOKUP(SALIDAS111518[[#This Row],[CÓDIGO]],PRODUCTOS31316[],3,FALSE)</f>
        <v>DISPOSITIVO DE SEPARACIÓN DE ESPERMA EQUINO VETMOTL 850 UL</v>
      </c>
      <c r="T1860" s="2">
        <v>50</v>
      </c>
      <c r="U1860" s="2">
        <v>817</v>
      </c>
      <c r="V1860" s="2"/>
      <c r="W1860" s="2"/>
      <c r="X1860" s="2"/>
      <c r="Y1860" s="7"/>
      <c r="Z1860" s="2"/>
      <c r="AA1860" s="1"/>
      <c r="AC1860" s="2"/>
      <c r="AE1860" s="1"/>
      <c r="AG1860" s="2"/>
    </row>
    <row r="1861" spans="12:33" ht="49.95" customHeight="1" x14ac:dyDescent="0.3">
      <c r="L1861" s="374" t="s">
        <v>3521</v>
      </c>
      <c r="M1861" s="374" t="s">
        <v>4922</v>
      </c>
      <c r="N1861" s="374" t="s">
        <v>5485</v>
      </c>
      <c r="O1861" s="374" t="s">
        <v>5484</v>
      </c>
      <c r="P1861" s="16">
        <v>46161</v>
      </c>
      <c r="Q1861" s="374" t="s">
        <v>2419</v>
      </c>
      <c r="R1861" s="2">
        <f>VLOOKUP(SALIDAS111518[[#This Row],[CÓDIGO]],PRODUCTOS31316[],2,FALSE)</f>
        <v>0</v>
      </c>
      <c r="S1861" s="1" t="str">
        <f>VLOOKUP(SALIDAS111518[[#This Row],[CÓDIGO]],PRODUCTOS31316[],3,FALSE)</f>
        <v>TUBO PLÁSTICO PARA PISTOLA DE INSEMINACIÓN</v>
      </c>
      <c r="T1861" s="2">
        <v>2</v>
      </c>
      <c r="U1861" s="2">
        <v>818</v>
      </c>
      <c r="V1861" s="2"/>
      <c r="W1861" s="2"/>
      <c r="X1861" s="2"/>
      <c r="Y1861" s="7"/>
      <c r="Z1861" s="2"/>
      <c r="AA1861" s="1"/>
      <c r="AC1861" s="2"/>
      <c r="AE1861" s="1"/>
      <c r="AG1861" s="2"/>
    </row>
    <row r="1862" spans="12:33" ht="49.95" customHeight="1" x14ac:dyDescent="0.3">
      <c r="L1862" s="2"/>
      <c r="M1862" s="2"/>
      <c r="N1862" s="374" t="s">
        <v>1553</v>
      </c>
      <c r="O1862" s="374" t="s">
        <v>5483</v>
      </c>
      <c r="P1862" s="16">
        <v>46161</v>
      </c>
      <c r="Q1862" s="374" t="s">
        <v>25</v>
      </c>
      <c r="R1862" s="2">
        <f>VLOOKUP(SALIDAS111518[[#This Row],[CÓDIGO]],PRODUCTOS31316[],2,FALSE)</f>
        <v>0</v>
      </c>
      <c r="S1862" s="1" t="str">
        <f>VLOOKUP(SALIDAS111518[[#This Row],[CÓDIGO]],PRODUCTOS31316[],3,FALSE)</f>
        <v>BOLSA TELA MAS CAMPO</v>
      </c>
      <c r="T1862" s="2">
        <v>22</v>
      </c>
      <c r="U1862" s="2">
        <v>819</v>
      </c>
      <c r="V1862" s="2"/>
      <c r="W1862" s="2"/>
      <c r="X1862" s="2"/>
      <c r="Y1862" s="7"/>
      <c r="Z1862" s="2"/>
      <c r="AA1862" s="1"/>
      <c r="AC1862" s="2"/>
      <c r="AE1862" s="1"/>
      <c r="AG1862" s="2"/>
    </row>
    <row r="1863" spans="12:33" ht="49.95" customHeight="1" x14ac:dyDescent="0.3">
      <c r="L1863" s="2"/>
      <c r="M1863" s="2"/>
      <c r="N1863" s="374" t="s">
        <v>1553</v>
      </c>
      <c r="O1863" s="374" t="s">
        <v>5483</v>
      </c>
      <c r="P1863" s="16">
        <v>46161</v>
      </c>
      <c r="Q1863" s="374" t="s">
        <v>3645</v>
      </c>
      <c r="R1863" s="2">
        <f>VLOOKUP(SALIDAS111518[[#This Row],[CÓDIGO]],PRODUCTOS31316[],2,FALSE)</f>
        <v>0</v>
      </c>
      <c r="S1863" s="1" t="str">
        <f>VLOOKUP(SALIDAS111518[[#This Row],[CÓDIGO]],PRODUCTOS31316[],3,FALSE)</f>
        <v>AGENDA MAS CAMPO</v>
      </c>
      <c r="T1863" s="2">
        <v>22</v>
      </c>
      <c r="U1863" s="2"/>
      <c r="V1863" s="2"/>
      <c r="W1863" s="2"/>
      <c r="X1863" s="2"/>
      <c r="Y1863" s="7"/>
      <c r="Z1863" s="2"/>
      <c r="AA1863" s="1"/>
      <c r="AC1863" s="2"/>
      <c r="AE1863" s="1"/>
      <c r="AG1863" s="2"/>
    </row>
    <row r="1864" spans="12:33" ht="49.95" customHeight="1" x14ac:dyDescent="0.3">
      <c r="L1864" s="2"/>
      <c r="M1864" s="2"/>
      <c r="N1864" s="374" t="s">
        <v>1553</v>
      </c>
      <c r="O1864" s="374" t="s">
        <v>5483</v>
      </c>
      <c r="P1864" s="16">
        <v>46161</v>
      </c>
      <c r="Q1864" s="374" t="s">
        <v>3649</v>
      </c>
      <c r="R1864" s="2">
        <f>VLOOKUP(SALIDAS111518[[#This Row],[CÓDIGO]],PRODUCTOS31316[],2,FALSE)</f>
        <v>0</v>
      </c>
      <c r="S1864" s="1" t="str">
        <f>VLOOKUP(SALIDAS111518[[#This Row],[CÓDIGO]],PRODUCTOS31316[],3,FALSE)</f>
        <v>ESFEROS MAS CAMPO</v>
      </c>
      <c r="T1864" s="2">
        <v>22</v>
      </c>
      <c r="U1864" s="2"/>
      <c r="V1864" s="2"/>
      <c r="W1864" s="2"/>
      <c r="X1864" s="2"/>
      <c r="Y1864" s="7"/>
      <c r="Z1864" s="2"/>
      <c r="AA1864" s="1"/>
      <c r="AC1864" s="2"/>
      <c r="AE1864" s="1"/>
      <c r="AG1864" s="2"/>
    </row>
    <row r="1865" spans="12:33" ht="49.95" customHeight="1" x14ac:dyDescent="0.3">
      <c r="L1865" s="374" t="s">
        <v>3521</v>
      </c>
      <c r="M1865" s="374" t="s">
        <v>4922</v>
      </c>
      <c r="N1865" s="374" t="s">
        <v>5482</v>
      </c>
      <c r="O1865" s="374" t="s">
        <v>5481</v>
      </c>
      <c r="P1865" s="16">
        <v>46161</v>
      </c>
      <c r="Q1865" s="374" t="s">
        <v>1779</v>
      </c>
      <c r="R1865" s="2">
        <f>VLOOKUP(SALIDAS111518[[#This Row],[CÓDIGO]],PRODUCTOS31316[],2,FALSE)</f>
        <v>5563</v>
      </c>
      <c r="S1865" s="1" t="str">
        <f>VLOOKUP(SALIDAS111518[[#This Row],[CÓDIGO]],PRODUCTOS31316[],3,FALSE)</f>
        <v>CAMISA SANITARIA ROLLO X 80</v>
      </c>
      <c r="T1865" s="2">
        <v>1</v>
      </c>
      <c r="U1865" s="2">
        <v>820</v>
      </c>
      <c r="V1865" s="2"/>
      <c r="W1865" s="2"/>
      <c r="X1865" s="2"/>
      <c r="Y1865" s="7"/>
      <c r="Z1865" s="2"/>
      <c r="AA1865" s="1"/>
      <c r="AC1865" s="2"/>
      <c r="AE1865" s="1"/>
      <c r="AG1865" s="2"/>
    </row>
    <row r="1866" spans="12:33" ht="49.95" customHeight="1" x14ac:dyDescent="0.3">
      <c r="L1866" s="374" t="s">
        <v>3520</v>
      </c>
      <c r="M1866" s="374" t="s">
        <v>4922</v>
      </c>
      <c r="N1866" s="374" t="s">
        <v>5501</v>
      </c>
      <c r="O1866" s="374" t="s">
        <v>3180</v>
      </c>
      <c r="P1866" s="16">
        <v>46161</v>
      </c>
      <c r="Q1866" s="374" t="s">
        <v>5500</v>
      </c>
      <c r="R1866" s="2" t="e">
        <f>VLOOKUP(SALIDAS111518[[#This Row],[CÓDIGO]],PRODUCTOS31316[],2,FALSE)</f>
        <v>#N/A</v>
      </c>
      <c r="S1866" s="1" t="e">
        <f>VLOOKUP(SALIDAS111518[[#This Row],[CÓDIGO]],PRODUCTOS31316[],3,FALSE)</f>
        <v>#N/A</v>
      </c>
      <c r="T1866" s="2">
        <v>1</v>
      </c>
      <c r="U1866" s="2"/>
      <c r="V1866" s="2"/>
      <c r="W1866" s="2"/>
      <c r="X1866" s="2"/>
      <c r="Y1866" s="7"/>
      <c r="Z1866" s="2"/>
      <c r="AA1866" s="1"/>
      <c r="AC1866" s="2"/>
      <c r="AE1866" s="1"/>
      <c r="AG1866" s="2"/>
    </row>
    <row r="1867" spans="12:33" ht="49.95" customHeight="1" x14ac:dyDescent="0.3">
      <c r="L1867" s="374" t="s">
        <v>3520</v>
      </c>
      <c r="M1867" s="374" t="s">
        <v>4922</v>
      </c>
      <c r="N1867" s="374" t="s">
        <v>5480</v>
      </c>
      <c r="O1867" s="375" t="s">
        <v>3254</v>
      </c>
      <c r="P1867" s="16">
        <v>46161</v>
      </c>
      <c r="Q1867" s="374" t="s">
        <v>2253</v>
      </c>
      <c r="R1867" s="2">
        <f>VLOOKUP(SALIDAS111518[[#This Row],[CÓDIGO]],PRODUCTOS31316[],2,FALSE)</f>
        <v>26218</v>
      </c>
      <c r="S1867" s="1" t="str">
        <f>VLOOKUP(SALIDAS111518[[#This Row],[CÓDIGO]],PRODUCTOS31316[],3,FALSE)</f>
        <v>OPTIXCELL 250 ML</v>
      </c>
      <c r="T1867" s="2">
        <v>1</v>
      </c>
      <c r="U1867" s="2">
        <v>821</v>
      </c>
      <c r="V1867" s="2"/>
      <c r="W1867" s="2"/>
      <c r="X1867" s="2"/>
      <c r="Y1867" s="7"/>
      <c r="Z1867" s="2"/>
      <c r="AA1867" s="1"/>
      <c r="AC1867" s="2"/>
      <c r="AE1867" s="1"/>
      <c r="AG1867" s="2"/>
    </row>
    <row r="1868" spans="12:33" ht="49.95" customHeight="1" x14ac:dyDescent="0.3">
      <c r="L1868" s="2"/>
      <c r="M1868" s="2"/>
      <c r="N1868" s="2">
        <v>8407</v>
      </c>
      <c r="O1868" s="375" t="s">
        <v>3254</v>
      </c>
      <c r="P1868" s="16">
        <v>46161</v>
      </c>
      <c r="Q1868" s="374" t="s">
        <v>658</v>
      </c>
      <c r="R1868" s="2">
        <f>VLOOKUP(SALIDAS111518[[#This Row],[CÓDIGO]],PRODUCTOS31316[],2,FALSE)</f>
        <v>0</v>
      </c>
      <c r="S1868" s="1" t="str">
        <f>VLOOKUP(SALIDAS111518[[#This Row],[CÓDIGO]],PRODUCTOS31316[],3,FALSE)</f>
        <v>CATETER TALADRO TRANSPARENTE 18"</v>
      </c>
      <c r="T1868" s="2">
        <v>6</v>
      </c>
      <c r="U1868" s="2"/>
      <c r="V1868" s="2"/>
      <c r="W1868" s="2"/>
      <c r="X1868" s="2"/>
      <c r="Y1868" s="7"/>
      <c r="Z1868" s="2"/>
      <c r="AA1868" s="1"/>
      <c r="AC1868" s="2"/>
      <c r="AE1868" s="1"/>
      <c r="AG1868" s="2"/>
    </row>
    <row r="1869" spans="12:33" ht="49.95" customHeight="1" x14ac:dyDescent="0.3">
      <c r="L1869" s="374" t="s">
        <v>3520</v>
      </c>
      <c r="M1869" s="374" t="s">
        <v>4922</v>
      </c>
      <c r="N1869" s="374" t="s">
        <v>5479</v>
      </c>
      <c r="O1869" s="374" t="s">
        <v>3276</v>
      </c>
      <c r="P1869" s="16">
        <v>46161</v>
      </c>
      <c r="Q1869" s="374" t="s">
        <v>4402</v>
      </c>
      <c r="R1869" s="2">
        <f>VLOOKUP(SALIDAS111518[[#This Row],[CÓDIGO]],PRODUCTOS31316[],2,FALSE)</f>
        <v>0</v>
      </c>
      <c r="S1869" s="1" t="str">
        <f>VLOOKUP(SALIDAS111518[[#This Row],[CÓDIGO]],PRODUCTOS31316[],3,FALSE)</f>
        <v>PAJILLA TRANSPARENTE DE 0.5 IMV PAQ.X 200 UND</v>
      </c>
      <c r="T1869" s="2">
        <v>1</v>
      </c>
      <c r="U1869" s="2">
        <v>822</v>
      </c>
      <c r="V1869" s="2"/>
      <c r="W1869" s="2"/>
      <c r="X1869" s="2"/>
      <c r="Y1869" s="7"/>
      <c r="Z1869" s="2"/>
      <c r="AA1869" s="1"/>
      <c r="AC1869" s="2"/>
      <c r="AE1869" s="1"/>
      <c r="AG1869" s="2"/>
    </row>
    <row r="1870" spans="12:33" ht="49.95" customHeight="1" x14ac:dyDescent="0.3">
      <c r="L1870" s="2"/>
      <c r="M1870" s="2"/>
      <c r="N1870" s="2">
        <v>8408</v>
      </c>
      <c r="O1870" s="374" t="s">
        <v>3276</v>
      </c>
      <c r="P1870" s="16">
        <v>46161</v>
      </c>
      <c r="Q1870" s="374" t="s">
        <v>2295</v>
      </c>
      <c r="R1870" s="2" t="str">
        <f>VLOOKUP(SALIDAS111518[[#This Row],[CÓDIGO]],PRODUCTOS31316[],2,FALSE)</f>
        <v>B00992</v>
      </c>
      <c r="S1870" s="1" t="str">
        <f>VLOOKUP(SALIDAS111518[[#This Row],[CÓDIGO]],PRODUCTOS31316[],3,FALSE)</f>
        <v>BOLSA WHRIL-PAK 7 OZ</v>
      </c>
      <c r="T1870" s="2">
        <v>10</v>
      </c>
      <c r="U1870" s="2"/>
      <c r="V1870" s="2"/>
      <c r="W1870" s="2"/>
      <c r="X1870" s="2"/>
      <c r="Y1870" s="7"/>
      <c r="Z1870" s="2"/>
      <c r="AA1870" s="1"/>
      <c r="AC1870" s="2"/>
      <c r="AE1870" s="1"/>
      <c r="AG1870" s="2"/>
    </row>
    <row r="1871" spans="12:33" ht="49.95" customHeight="1" x14ac:dyDescent="0.3">
      <c r="L1871" s="374" t="s">
        <v>3520</v>
      </c>
      <c r="M1871" s="374" t="s">
        <v>4922</v>
      </c>
      <c r="N1871" s="374" t="s">
        <v>5478</v>
      </c>
      <c r="O1871" s="375" t="s">
        <v>5477</v>
      </c>
      <c r="P1871" s="16">
        <v>46161</v>
      </c>
      <c r="Q1871" s="374" t="s">
        <v>3202</v>
      </c>
      <c r="R1871" s="2">
        <f>VLOOKUP(SALIDAS111518[[#This Row],[CÓDIGO]],PRODUCTOS31316[],2,FALSE)</f>
        <v>0</v>
      </c>
      <c r="S1871" s="1" t="str">
        <f>VLOOKUP(SALIDAS111518[[#This Row],[CÓDIGO]],PRODUCTOS31316[],3,FALSE)</f>
        <v>CABLE REPUESTO ECOGRAFO S5</v>
      </c>
      <c r="T1871" s="2">
        <v>2</v>
      </c>
      <c r="U1871" s="2">
        <v>824</v>
      </c>
      <c r="V1871" s="2"/>
      <c r="W1871" s="2"/>
      <c r="X1871" s="2"/>
      <c r="Y1871" s="7"/>
      <c r="Z1871" s="2"/>
      <c r="AA1871" s="1"/>
      <c r="AC1871" s="2"/>
      <c r="AE1871" s="1"/>
      <c r="AG1871" s="2"/>
    </row>
    <row r="1872" spans="12:33" ht="49.95" customHeight="1" x14ac:dyDescent="0.3">
      <c r="L1872" s="374" t="s">
        <v>3520</v>
      </c>
      <c r="M1872" s="374" t="s">
        <v>4922</v>
      </c>
      <c r="N1872" s="374" t="s">
        <v>5486</v>
      </c>
      <c r="O1872" s="374" t="s">
        <v>2299</v>
      </c>
      <c r="P1872" s="16">
        <v>46161</v>
      </c>
      <c r="Q1872" s="374" t="s">
        <v>2306</v>
      </c>
      <c r="R1872" s="2">
        <f>VLOOKUP(SALIDAS111518[[#This Row],[CÓDIGO]],PRODUCTOS31316[],2,FALSE)</f>
        <v>0</v>
      </c>
      <c r="S1872" s="1" t="str">
        <f>VLOOKUP(SALIDAS111518[[#This Row],[CÓDIGO]],PRODUCTOS31316[],3,FALSE)</f>
        <v>ESCALERILLAS METÁLICAS DE 10 MM</v>
      </c>
      <c r="T1872" s="2">
        <v>1</v>
      </c>
      <c r="U1872" s="2">
        <v>823</v>
      </c>
      <c r="V1872" s="2"/>
      <c r="W1872" s="2"/>
      <c r="X1872" s="2"/>
      <c r="Y1872" s="7"/>
      <c r="Z1872" s="2"/>
      <c r="AA1872" s="1"/>
      <c r="AC1872" s="2"/>
      <c r="AE1872" s="1"/>
      <c r="AG1872" s="2"/>
    </row>
    <row r="1873" spans="12:33" ht="49.95" customHeight="1" x14ac:dyDescent="0.3">
      <c r="L1873" s="2"/>
      <c r="M1873" s="2"/>
      <c r="N1873" s="2">
        <v>8409</v>
      </c>
      <c r="O1873" s="374" t="s">
        <v>2299</v>
      </c>
      <c r="P1873" s="16">
        <v>46161</v>
      </c>
      <c r="Q1873" s="374" t="s">
        <v>3699</v>
      </c>
      <c r="R1873" s="2">
        <f>VLOOKUP(SALIDAS111518[[#This Row],[CÓDIGO]],PRODUCTOS31316[],2,FALSE)</f>
        <v>5569</v>
      </c>
      <c r="S1873" s="1" t="str">
        <f>VLOOKUP(SALIDAS111518[[#This Row],[CÓDIGO]],PRODUCTOS31316[],3,FALSE)</f>
        <v>PAJUELA TRANSPARENTES 0.50/ PAQ. X 2000 MARCA IMV</v>
      </c>
      <c r="T1873" s="2">
        <v>1</v>
      </c>
      <c r="U1873" s="2"/>
      <c r="V1873" s="2"/>
      <c r="W1873" s="2"/>
      <c r="X1873" s="2"/>
      <c r="Y1873" s="7"/>
      <c r="Z1873" s="2"/>
      <c r="AA1873" s="1"/>
      <c r="AC1873" s="2"/>
      <c r="AE1873" s="1"/>
      <c r="AG1873" s="2"/>
    </row>
    <row r="1874" spans="12:33" ht="49.95" customHeight="1" x14ac:dyDescent="0.3">
      <c r="L1874" s="374" t="s">
        <v>3520</v>
      </c>
      <c r="M1874" s="374" t="s">
        <v>4922</v>
      </c>
      <c r="N1874" s="374" t="s">
        <v>5476</v>
      </c>
      <c r="O1874" s="375" t="s">
        <v>3482</v>
      </c>
      <c r="P1874" s="16">
        <v>46161</v>
      </c>
      <c r="Q1874" s="374" t="s">
        <v>1631</v>
      </c>
      <c r="R1874" s="2" t="str">
        <f>VLOOKUP(SALIDAS111518[[#This Row],[CÓDIGO]],PRODUCTOS31316[],2,FALSE)</f>
        <v>7101-CRAL</v>
      </c>
      <c r="S1874" s="1" t="str">
        <f>VLOOKUP(SALIDAS111518[[#This Row],[CÓDIGO]],PRODUCTOS31316[],3,FALSE)</f>
        <v>LAMINA PORTA OBJETOS LISA EN VIDRIO 26X76MM, BORDE ESMERILADO</v>
      </c>
      <c r="T1874" s="2">
        <v>4</v>
      </c>
      <c r="U1874" s="2">
        <v>825</v>
      </c>
      <c r="V1874" s="2"/>
      <c r="W1874" s="2"/>
      <c r="X1874" s="2"/>
      <c r="Y1874" s="7"/>
      <c r="Z1874" s="2"/>
      <c r="AA1874" s="1"/>
      <c r="AC1874" s="2"/>
      <c r="AE1874" s="1"/>
      <c r="AG1874" s="2"/>
    </row>
    <row r="1875" spans="12:33" ht="49.95" customHeight="1" x14ac:dyDescent="0.3">
      <c r="L1875" s="2"/>
      <c r="M1875" s="2"/>
      <c r="N1875" s="2">
        <v>8412</v>
      </c>
      <c r="O1875" s="375" t="s">
        <v>3482</v>
      </c>
      <c r="P1875" s="16">
        <v>46161</v>
      </c>
      <c r="Q1875" s="374" t="s">
        <v>1637</v>
      </c>
      <c r="R1875" s="2" t="str">
        <f>VLOOKUP(SALIDAS111518[[#This Row],[CÓDIGO]],PRODUCTOS31316[],2,FALSE)</f>
        <v>P22X22</v>
      </c>
      <c r="S1875" s="1" t="str">
        <f>VLOOKUP(SALIDAS111518[[#This Row],[CÓDIGO]],PRODUCTOS31316[],3,FALSE)</f>
        <v>LAMINA CUBRE OBJETO EN VIDRIO 22X22</v>
      </c>
      <c r="T1875" s="2">
        <v>4</v>
      </c>
      <c r="U1875" s="2"/>
      <c r="V1875" s="2"/>
      <c r="W1875" s="2"/>
      <c r="X1875" s="2"/>
      <c r="Y1875" s="7"/>
      <c r="Z1875" s="2"/>
      <c r="AA1875" s="1"/>
      <c r="AC1875" s="2"/>
      <c r="AE1875" s="1"/>
      <c r="AG1875" s="2"/>
    </row>
    <row r="1876" spans="12:33" ht="49.95" customHeight="1" x14ac:dyDescent="0.3">
      <c r="L1876" s="2"/>
      <c r="M1876" s="2"/>
      <c r="N1876" s="2">
        <v>8412</v>
      </c>
      <c r="O1876" s="375" t="s">
        <v>3482</v>
      </c>
      <c r="P1876" s="16">
        <v>46161</v>
      </c>
      <c r="Q1876" s="374" t="s">
        <v>4402</v>
      </c>
      <c r="R1876" s="2">
        <f>VLOOKUP(SALIDAS111518[[#This Row],[CÓDIGO]],PRODUCTOS31316[],2,FALSE)</f>
        <v>0</v>
      </c>
      <c r="S1876" s="1" t="str">
        <f>VLOOKUP(SALIDAS111518[[#This Row],[CÓDIGO]],PRODUCTOS31316[],3,FALSE)</f>
        <v>PAJILLA TRANSPARENTE DE 0.5 IMV PAQ.X 200 UND</v>
      </c>
      <c r="T1876" s="2">
        <v>1</v>
      </c>
      <c r="U1876" s="2"/>
      <c r="V1876" s="2"/>
      <c r="W1876" s="2"/>
      <c r="X1876" s="2"/>
      <c r="Y1876" s="7"/>
      <c r="Z1876" s="2"/>
      <c r="AA1876" s="1"/>
      <c r="AC1876" s="2"/>
      <c r="AE1876" s="1"/>
      <c r="AG1876" s="2"/>
    </row>
    <row r="1877" spans="12:33" ht="49.95" customHeight="1" x14ac:dyDescent="0.3">
      <c r="L1877" s="2"/>
      <c r="M1877" s="2"/>
      <c r="N1877" s="2">
        <v>8412</v>
      </c>
      <c r="O1877" s="375" t="s">
        <v>3482</v>
      </c>
      <c r="P1877" s="16">
        <v>46161</v>
      </c>
      <c r="Q1877" s="374" t="s">
        <v>369</v>
      </c>
      <c r="R1877" s="2">
        <f>VLOOKUP(SALIDAS111518[[#This Row],[CÓDIGO]],PRODUCTOS31316[],2,FALSE)</f>
        <v>0</v>
      </c>
      <c r="S1877" s="1" t="str">
        <f>VLOOKUP(SALIDAS111518[[#This Row],[CÓDIGO]],PRODUCTOS31316[],3,FALSE)</f>
        <v>FUNDA UNIVERSAL PARA I.A. RANURADA</v>
      </c>
      <c r="T1877" s="2">
        <v>1</v>
      </c>
      <c r="U1877" s="2"/>
      <c r="V1877" s="2"/>
      <c r="W1877" s="2"/>
      <c r="X1877" s="2"/>
      <c r="Y1877" s="7"/>
      <c r="Z1877" s="2"/>
      <c r="AA1877" s="1"/>
      <c r="AC1877" s="2"/>
      <c r="AE1877" s="1"/>
      <c r="AG1877" s="2"/>
    </row>
    <row r="1878" spans="12:33" ht="49.95" customHeight="1" x14ac:dyDescent="0.3">
      <c r="L1878" s="2"/>
      <c r="M1878" s="2"/>
      <c r="N1878" s="2">
        <v>8412</v>
      </c>
      <c r="O1878" s="375" t="s">
        <v>3482</v>
      </c>
      <c r="P1878" s="16">
        <v>46161</v>
      </c>
      <c r="Q1878" s="374" t="s">
        <v>2232</v>
      </c>
      <c r="R1878" s="2">
        <f>VLOOKUP(SALIDAS111518[[#This Row],[CÓDIGO]],PRODUCTOS31316[],2,FALSE)</f>
        <v>0</v>
      </c>
      <c r="S1878" s="1" t="str">
        <f>VLOOKUP(SALIDAS111518[[#This Row],[CÓDIGO]],PRODUCTOS31316[],3,FALSE)</f>
        <v>CONO RECOLECTOR</v>
      </c>
      <c r="T1878" s="2">
        <v>1</v>
      </c>
      <c r="U1878" s="2"/>
      <c r="V1878" s="2"/>
      <c r="W1878" s="2"/>
      <c r="X1878" s="2"/>
      <c r="Y1878" s="7"/>
      <c r="Z1878" s="2"/>
      <c r="AA1878" s="1"/>
      <c r="AC1878" s="2"/>
      <c r="AE1878" s="1"/>
      <c r="AG1878" s="2"/>
    </row>
    <row r="1879" spans="12:33" ht="49.95" customHeight="1" x14ac:dyDescent="0.3">
      <c r="L1879" s="2"/>
      <c r="M1879" s="2"/>
      <c r="N1879" s="2">
        <v>8412</v>
      </c>
      <c r="O1879" s="375" t="s">
        <v>3482</v>
      </c>
      <c r="P1879" s="16">
        <v>46161</v>
      </c>
      <c r="Q1879" s="374" t="s">
        <v>658</v>
      </c>
      <c r="R1879" s="2">
        <f>VLOOKUP(SALIDAS111518[[#This Row],[CÓDIGO]],PRODUCTOS31316[],2,FALSE)</f>
        <v>0</v>
      </c>
      <c r="S1879" s="1" t="str">
        <f>VLOOKUP(SALIDAS111518[[#This Row],[CÓDIGO]],PRODUCTOS31316[],3,FALSE)</f>
        <v>CATETER TALADRO TRANSPARENTE 18"</v>
      </c>
      <c r="T1879" s="2">
        <v>2</v>
      </c>
      <c r="U1879" s="2"/>
      <c r="V1879" s="2"/>
      <c r="W1879" s="2"/>
      <c r="X1879" s="2"/>
      <c r="Y1879" s="7"/>
      <c r="Z1879" s="2"/>
      <c r="AA1879" s="1"/>
      <c r="AC1879" s="2"/>
      <c r="AE1879" s="1"/>
      <c r="AG1879" s="2"/>
    </row>
    <row r="1880" spans="12:33" ht="49.95" customHeight="1" x14ac:dyDescent="0.3">
      <c r="L1880" s="374" t="s">
        <v>3520</v>
      </c>
      <c r="M1880" s="374" t="s">
        <v>4922</v>
      </c>
      <c r="N1880" s="374" t="s">
        <v>5474</v>
      </c>
      <c r="O1880" s="375" t="s">
        <v>3536</v>
      </c>
      <c r="P1880" s="16">
        <v>46162</v>
      </c>
      <c r="Q1880" s="374" t="s">
        <v>1720</v>
      </c>
      <c r="R1880" s="2">
        <f>VLOOKUP(SALIDAS111518[[#This Row],[CÓDIGO]],PRODUCTOS31316[],2,FALSE)</f>
        <v>0</v>
      </c>
      <c r="S1880" s="1" t="str">
        <f>VLOOKUP(SALIDAS111518[[#This Row],[CÓDIGO]],PRODUCTOS31316[],3,FALSE)</f>
        <v>LENTE ISPERM</v>
      </c>
      <c r="T1880" s="2">
        <v>1</v>
      </c>
      <c r="U1880" s="2">
        <v>827</v>
      </c>
      <c r="V1880" s="2"/>
      <c r="W1880" s="374" t="s">
        <v>3412</v>
      </c>
      <c r="X1880" s="2"/>
      <c r="Y1880" s="7"/>
      <c r="Z1880" s="2"/>
      <c r="AA1880" s="1"/>
      <c r="AC1880" s="2"/>
      <c r="AE1880" s="1"/>
      <c r="AG1880" s="2"/>
    </row>
    <row r="1881" spans="12:33" ht="49.95" customHeight="1" x14ac:dyDescent="0.3">
      <c r="L1881" s="374" t="s">
        <v>3520</v>
      </c>
      <c r="M1881" s="374" t="s">
        <v>4922</v>
      </c>
      <c r="N1881" s="374" t="s">
        <v>5473</v>
      </c>
      <c r="O1881" s="374" t="s">
        <v>3379</v>
      </c>
      <c r="P1881" s="16">
        <v>46162</v>
      </c>
      <c r="Q1881" s="374" t="s">
        <v>683</v>
      </c>
      <c r="R1881" s="2">
        <f>VLOOKUP(SALIDAS111518[[#This Row],[CÓDIGO]],PRODUCTOS31316[],2,FALSE)</f>
        <v>109304</v>
      </c>
      <c r="S1881" s="1" t="str">
        <f>VLOOKUP(SALIDAS111518[[#This Row],[CÓDIGO]],PRODUCTOS31316[],3,FALSE)</f>
        <v>EOSINA- NIGROSINA</v>
      </c>
      <c r="T1881" s="2">
        <v>1</v>
      </c>
      <c r="U1881" s="2">
        <v>828</v>
      </c>
      <c r="V1881" s="2"/>
      <c r="W1881" s="2"/>
      <c r="X1881" s="2"/>
      <c r="Y1881" s="7"/>
      <c r="Z1881" s="2"/>
      <c r="AA1881" s="1"/>
      <c r="AC1881" s="2"/>
      <c r="AE1881" s="1"/>
      <c r="AG1881" s="2"/>
    </row>
    <row r="1882" spans="12:33" ht="49.95" customHeight="1" x14ac:dyDescent="0.3">
      <c r="L1882" s="374" t="s">
        <v>3521</v>
      </c>
      <c r="M1882" s="374" t="s">
        <v>4922</v>
      </c>
      <c r="N1882" s="374" t="s">
        <v>5465</v>
      </c>
      <c r="O1882" s="374" t="s">
        <v>5315</v>
      </c>
      <c r="P1882" s="16">
        <v>46162</v>
      </c>
      <c r="Q1882" s="374" t="s">
        <v>33</v>
      </c>
      <c r="R1882" s="2" t="str">
        <f>VLOOKUP(SALIDAS111518[[#This Row],[CÓDIGO]],PRODUCTOS31316[],2,FALSE)</f>
        <v>LA-120 /506003</v>
      </c>
      <c r="S1882" s="1" t="str">
        <f>VLOOKUP(SALIDAS111518[[#This Row],[CÓDIGO]],PRODUCTOS31316[],3,FALSE)</f>
        <v>LíNEA PARA OPU 1,2 METROS</v>
      </c>
      <c r="T1882" s="2">
        <v>50</v>
      </c>
      <c r="U1882" s="2">
        <v>836</v>
      </c>
      <c r="V1882" s="2"/>
      <c r="W1882" s="2"/>
      <c r="X1882" s="2"/>
      <c r="Y1882" s="7"/>
      <c r="Z1882" s="2"/>
      <c r="AA1882" s="1"/>
      <c r="AC1882" s="2"/>
      <c r="AE1882" s="1"/>
      <c r="AG1882" s="2"/>
    </row>
    <row r="1883" spans="12:33" ht="49.95" customHeight="1" x14ac:dyDescent="0.3">
      <c r="L1883" s="374" t="s">
        <v>3521</v>
      </c>
      <c r="M1883" s="374" t="s">
        <v>4922</v>
      </c>
      <c r="N1883" s="2">
        <v>8424</v>
      </c>
      <c r="O1883" s="374" t="s">
        <v>5315</v>
      </c>
      <c r="P1883" s="16">
        <v>46162</v>
      </c>
      <c r="Q1883" s="374" t="s">
        <v>63</v>
      </c>
      <c r="R1883" s="2">
        <f>VLOOKUP(SALIDAS111518[[#This Row],[CÓDIGO]],PRODUCTOS31316[],2,FALSE)</f>
        <v>25458</v>
      </c>
      <c r="S1883" s="1" t="str">
        <f>VLOOKUP(SALIDAS111518[[#This Row],[CÓDIGO]],PRODUCTOS31316[],3,FALSE)</f>
        <v>FILTROS PARA OPU 100 UL</v>
      </c>
      <c r="T1883" s="2">
        <v>3</v>
      </c>
      <c r="U1883" s="2"/>
      <c r="V1883" s="2"/>
      <c r="W1883" s="2"/>
      <c r="X1883" s="2"/>
      <c r="Y1883" s="7"/>
      <c r="Z1883" s="2"/>
      <c r="AA1883" s="1"/>
      <c r="AC1883" s="2"/>
      <c r="AE1883" s="1"/>
      <c r="AG1883" s="2"/>
    </row>
    <row r="1884" spans="12:33" ht="49.95" customHeight="1" x14ac:dyDescent="0.3">
      <c r="L1884" s="374" t="s">
        <v>3520</v>
      </c>
      <c r="M1884" s="374" t="s">
        <v>4922</v>
      </c>
      <c r="N1884" s="374" t="s">
        <v>5472</v>
      </c>
      <c r="O1884" s="374" t="s">
        <v>2925</v>
      </c>
      <c r="P1884" s="16">
        <v>46162</v>
      </c>
      <c r="Q1884" s="374" t="s">
        <v>36</v>
      </c>
      <c r="R1884" s="2">
        <f>VLOOKUP(SALIDAS111518[[#This Row],[CÓDIGO]],PRODUCTOS31316[],2,FALSE)</f>
        <v>1</v>
      </c>
      <c r="S1884" s="1" t="str">
        <f>VLOOKUP(SALIDAS111518[[#This Row],[CÓDIGO]],PRODUCTOS31316[],3,FALSE)</f>
        <v xml:space="preserve">PARCHE ESTROTECT </v>
      </c>
      <c r="T1884" s="2">
        <v>12</v>
      </c>
      <c r="U1884" s="2">
        <v>829</v>
      </c>
      <c r="V1884" s="2"/>
      <c r="W1884" s="2"/>
      <c r="X1884" s="2"/>
      <c r="Y1884" s="7"/>
      <c r="Z1884" s="2"/>
      <c r="AA1884" s="1"/>
      <c r="AC1884" s="2"/>
      <c r="AE1884" s="1"/>
      <c r="AG1884" s="2"/>
    </row>
    <row r="1885" spans="12:33" ht="49.95" customHeight="1" x14ac:dyDescent="0.3">
      <c r="L1885" s="374" t="s">
        <v>3520</v>
      </c>
      <c r="M1885" s="374" t="s">
        <v>4922</v>
      </c>
      <c r="N1885" s="374" t="s">
        <v>5471</v>
      </c>
      <c r="O1885" s="374" t="s">
        <v>3067</v>
      </c>
      <c r="P1885" s="16">
        <v>46162</v>
      </c>
      <c r="Q1885" s="374" t="s">
        <v>33</v>
      </c>
      <c r="R1885" s="2" t="str">
        <f>VLOOKUP(SALIDAS111518[[#This Row],[CÓDIGO]],PRODUCTOS31316[],2,FALSE)</f>
        <v>LA-120 /506003</v>
      </c>
      <c r="S1885" s="1" t="str">
        <f>VLOOKUP(SALIDAS111518[[#This Row],[CÓDIGO]],PRODUCTOS31316[],3,FALSE)</f>
        <v>LíNEA PARA OPU 1,2 METROS</v>
      </c>
      <c r="T1885" s="2">
        <v>13</v>
      </c>
      <c r="U1885" s="2">
        <v>830</v>
      </c>
      <c r="V1885" s="2"/>
      <c r="W1885" s="2"/>
      <c r="X1885" s="97"/>
      <c r="Y1885" s="7"/>
      <c r="Z1885" s="2"/>
      <c r="AA1885" s="1"/>
      <c r="AC1885" s="2"/>
      <c r="AE1885" s="1"/>
      <c r="AG1885" s="2"/>
    </row>
    <row r="1886" spans="12:33" ht="49.95" customHeight="1" x14ac:dyDescent="0.3">
      <c r="L1886" s="2"/>
      <c r="M1886" s="2"/>
      <c r="N1886" s="2">
        <v>8419</v>
      </c>
      <c r="O1886" s="374" t="s">
        <v>3067</v>
      </c>
      <c r="P1886" s="16">
        <v>46162</v>
      </c>
      <c r="Q1886" s="374" t="s">
        <v>1779</v>
      </c>
      <c r="R1886" s="2">
        <f>VLOOKUP(SALIDAS111518[[#This Row],[CÓDIGO]],PRODUCTOS31316[],2,FALSE)</f>
        <v>5563</v>
      </c>
      <c r="S1886" s="1" t="str">
        <f>VLOOKUP(SALIDAS111518[[#This Row],[CÓDIGO]],PRODUCTOS31316[],3,FALSE)</f>
        <v>CAMISA SANITARIA ROLLO X 80</v>
      </c>
      <c r="T1886" s="2">
        <v>1</v>
      </c>
      <c r="U1886" s="2"/>
      <c r="V1886" s="2"/>
      <c r="W1886" s="2"/>
      <c r="X1886" s="2"/>
      <c r="Y1886" s="7"/>
      <c r="Z1886" s="2"/>
      <c r="AA1886" s="1"/>
      <c r="AC1886" s="2"/>
      <c r="AE1886" s="1"/>
      <c r="AG1886" s="2"/>
    </row>
    <row r="1887" spans="12:33" ht="49.95" customHeight="1" x14ac:dyDescent="0.3">
      <c r="L1887" s="374" t="s">
        <v>3520</v>
      </c>
      <c r="M1887" s="374" t="s">
        <v>4922</v>
      </c>
      <c r="N1887" s="374" t="s">
        <v>5469</v>
      </c>
      <c r="O1887" s="374" t="s">
        <v>2197</v>
      </c>
      <c r="P1887" s="16">
        <v>46162</v>
      </c>
      <c r="Q1887" s="374" t="s">
        <v>438</v>
      </c>
      <c r="R1887" s="2">
        <f>VLOOKUP(SALIDAS111518[[#This Row],[CÓDIGO]],PRODUCTOS31316[],2,FALSE)</f>
        <v>18421</v>
      </c>
      <c r="S1887" s="1" t="str">
        <f>VLOOKUP(SALIDAS111518[[#This Row],[CÓDIGO]],PRODUCTOS31316[],3,FALSE)</f>
        <v xml:space="preserve">PISTOLA DE TRANSFERENCIA DE EMBRIONES 0,25 / BLOQUEO AUTOMÁTICO </v>
      </c>
      <c r="T1887" s="2">
        <v>2</v>
      </c>
      <c r="U1887" s="2">
        <v>832</v>
      </c>
      <c r="V1887" s="2"/>
      <c r="W1887" s="2"/>
      <c r="X1887" s="2"/>
      <c r="Y1887" s="7"/>
      <c r="Z1887" s="2"/>
      <c r="AA1887" s="1"/>
      <c r="AC1887" s="2"/>
      <c r="AE1887" s="1"/>
      <c r="AG1887" s="2"/>
    </row>
    <row r="1888" spans="12:33" ht="49.95" customHeight="1" x14ac:dyDescent="0.3">
      <c r="L1888" s="374" t="s">
        <v>3521</v>
      </c>
      <c r="M1888" s="374" t="s">
        <v>4922</v>
      </c>
      <c r="N1888" s="2" t="s">
        <v>5068</v>
      </c>
      <c r="O1888" s="374" t="s">
        <v>5467</v>
      </c>
      <c r="P1888" s="16">
        <v>46162</v>
      </c>
      <c r="Q1888" s="374" t="s">
        <v>587</v>
      </c>
      <c r="R1888" s="2">
        <f>VLOOKUP(SALIDAS111518[[#This Row],[CÓDIGO]],PRODUCTOS31316[],2,FALSE)</f>
        <v>20435</v>
      </c>
      <c r="S1888" s="1" t="str">
        <f>VLOOKUP(SALIDAS111518[[#This Row],[CÓDIGO]],PRODUCTOS31316[],3,FALSE)</f>
        <v>PLATINA TERMICA COMPACTA</v>
      </c>
      <c r="T1888" s="2">
        <v>1</v>
      </c>
      <c r="U1888" s="2">
        <v>834</v>
      </c>
      <c r="V1888" s="2"/>
      <c r="W1888" s="2"/>
      <c r="X1888" s="2"/>
      <c r="Y1888" s="7"/>
      <c r="Z1888" s="2"/>
      <c r="AA1888" s="1"/>
      <c r="AC1888" s="2"/>
      <c r="AE1888" s="1"/>
      <c r="AG1888" s="2"/>
    </row>
    <row r="1889" spans="12:33" ht="49.95" customHeight="1" x14ac:dyDescent="0.3">
      <c r="L1889" s="374" t="s">
        <v>3520</v>
      </c>
      <c r="M1889" s="374" t="s">
        <v>4922</v>
      </c>
      <c r="N1889" s="374" t="s">
        <v>5466</v>
      </c>
      <c r="O1889" s="375" t="s">
        <v>3120</v>
      </c>
      <c r="P1889" s="16">
        <v>46162</v>
      </c>
      <c r="Q1889" s="374" t="s">
        <v>3710</v>
      </c>
      <c r="R1889" s="2" t="str">
        <f>VLOOKUP(SALIDAS111518[[#This Row],[CÓDIGO]],PRODUCTOS31316[],2,FALSE)</f>
        <v>13408-044</v>
      </c>
      <c r="S1889" s="1" t="str">
        <f>VLOOKUP(SALIDAS111518[[#This Row],[CÓDIGO]],PRODUCTOS31316[],3,FALSE)</f>
        <v>PAJUELA ROJA 0.50/ PAQ. X 2500 MARCA MINITUBE</v>
      </c>
      <c r="T1889" s="2">
        <v>1</v>
      </c>
      <c r="U1889" s="2">
        <v>835</v>
      </c>
      <c r="V1889" s="2"/>
      <c r="W1889" s="374" t="s">
        <v>3412</v>
      </c>
      <c r="X1889" s="2"/>
      <c r="Y1889" s="7"/>
      <c r="Z1889" s="2"/>
      <c r="AA1889" s="1"/>
      <c r="AC1889" s="2"/>
      <c r="AE1889" s="1"/>
      <c r="AG1889" s="2"/>
    </row>
    <row r="1890" spans="12:33" ht="49.95" customHeight="1" x14ac:dyDescent="0.3">
      <c r="L1890" s="374" t="s">
        <v>3521</v>
      </c>
      <c r="M1890" s="374" t="s">
        <v>4922</v>
      </c>
      <c r="N1890" s="374" t="s">
        <v>5463</v>
      </c>
      <c r="O1890" s="374" t="s">
        <v>5462</v>
      </c>
      <c r="P1890" s="16">
        <v>46162</v>
      </c>
      <c r="Q1890" s="374" t="s">
        <v>438</v>
      </c>
      <c r="R1890" s="2">
        <f>VLOOKUP(SALIDAS111518[[#This Row],[CÓDIGO]],PRODUCTOS31316[],2,FALSE)</f>
        <v>18421</v>
      </c>
      <c r="S1890" s="1" t="str">
        <f>VLOOKUP(SALIDAS111518[[#This Row],[CÓDIGO]],PRODUCTOS31316[],3,FALSE)</f>
        <v xml:space="preserve">PISTOLA DE TRANSFERENCIA DE EMBRIONES 0,25 / BLOQUEO AUTOMÁTICO </v>
      </c>
      <c r="T1890" s="2">
        <v>1</v>
      </c>
      <c r="U1890" s="2">
        <v>837</v>
      </c>
      <c r="V1890" s="2"/>
      <c r="W1890" s="2"/>
      <c r="X1890" s="2"/>
      <c r="Y1890" s="7"/>
      <c r="Z1890" s="2"/>
      <c r="AA1890" s="1"/>
      <c r="AC1890" s="2"/>
      <c r="AE1890" s="1"/>
      <c r="AG1890" s="2"/>
    </row>
    <row r="1891" spans="12:33" ht="49.95" customHeight="1" x14ac:dyDescent="0.3">
      <c r="L1891" s="374" t="s">
        <v>3520</v>
      </c>
      <c r="M1891" s="374" t="s">
        <v>4922</v>
      </c>
      <c r="N1891" s="374" t="s">
        <v>5464</v>
      </c>
      <c r="O1891" s="374" t="s">
        <v>2704</v>
      </c>
      <c r="P1891" s="16">
        <v>46162</v>
      </c>
      <c r="Q1891" s="374" t="s">
        <v>4402</v>
      </c>
      <c r="R1891" s="2">
        <f>VLOOKUP(SALIDAS111518[[#This Row],[CÓDIGO]],PRODUCTOS31316[],2,FALSE)</f>
        <v>0</v>
      </c>
      <c r="S1891" s="1" t="str">
        <f>VLOOKUP(SALIDAS111518[[#This Row],[CÓDIGO]],PRODUCTOS31316[],3,FALSE)</f>
        <v>PAJILLA TRANSPARENTE DE 0.5 IMV PAQ.X 200 UND</v>
      </c>
      <c r="T1891" s="2">
        <v>3</v>
      </c>
      <c r="U1891" s="2">
        <v>839</v>
      </c>
      <c r="V1891" s="2"/>
      <c r="W1891" s="2"/>
      <c r="X1891" s="2"/>
      <c r="Y1891" s="7"/>
      <c r="Z1891" s="2"/>
      <c r="AA1891" s="1"/>
      <c r="AC1891" s="2"/>
      <c r="AE1891" s="1"/>
      <c r="AG1891" s="2"/>
    </row>
    <row r="1892" spans="12:33" ht="49.95" customHeight="1" x14ac:dyDescent="0.3">
      <c r="L1892" s="374" t="s">
        <v>3521</v>
      </c>
      <c r="M1892" s="374" t="s">
        <v>4922</v>
      </c>
      <c r="N1892" s="2" t="s">
        <v>5069</v>
      </c>
      <c r="O1892" s="374" t="s">
        <v>5468</v>
      </c>
      <c r="P1892" s="16">
        <v>46163</v>
      </c>
      <c r="Q1892" s="374" t="s">
        <v>36</v>
      </c>
      <c r="R1892" s="2">
        <f>VLOOKUP(SALIDAS111518[[#This Row],[CÓDIGO]],PRODUCTOS31316[],2,FALSE)</f>
        <v>1</v>
      </c>
      <c r="S1892" s="1" t="str">
        <f>VLOOKUP(SALIDAS111518[[#This Row],[CÓDIGO]],PRODUCTOS31316[],3,FALSE)</f>
        <v xml:space="preserve">PARCHE ESTROTECT </v>
      </c>
      <c r="T1892" s="2">
        <v>2</v>
      </c>
      <c r="U1892" s="2">
        <v>833</v>
      </c>
      <c r="V1892" s="2"/>
      <c r="W1892" s="2"/>
      <c r="X1892" s="2"/>
      <c r="Y1892" s="7"/>
      <c r="Z1892" s="2"/>
      <c r="AA1892" s="1"/>
      <c r="AC1892" s="2"/>
      <c r="AE1892" s="1"/>
      <c r="AG1892" s="2"/>
    </row>
    <row r="1893" spans="12:33" ht="49.95" customHeight="1" x14ac:dyDescent="0.3">
      <c r="L1893" s="374" t="s">
        <v>3520</v>
      </c>
      <c r="M1893" s="374" t="s">
        <v>4922</v>
      </c>
      <c r="N1893" s="374" t="s">
        <v>5461</v>
      </c>
      <c r="O1893" s="375" t="s">
        <v>2738</v>
      </c>
      <c r="P1893" s="16">
        <v>46163</v>
      </c>
      <c r="Q1893" s="374" t="s">
        <v>2815</v>
      </c>
      <c r="R1893" s="2">
        <f>VLOOKUP(SALIDAS111518[[#This Row],[CÓDIGO]],PRODUCTOS31316[],2,FALSE)</f>
        <v>26541</v>
      </c>
      <c r="S1893" s="1" t="str">
        <f>VLOOKUP(SALIDAS111518[[#This Row],[CÓDIGO]],PRODUCTOS31316[],3,FALSE)</f>
        <v>LINER MEMBRANA ESTRIADA LATEX BOVINA</v>
      </c>
      <c r="T1893" s="2">
        <v>6</v>
      </c>
      <c r="U1893" s="2">
        <v>838</v>
      </c>
      <c r="V1893" s="2"/>
      <c r="W1893" s="2"/>
      <c r="X1893" s="2"/>
      <c r="Y1893" s="7"/>
      <c r="Z1893" s="2"/>
      <c r="AA1893" s="1"/>
      <c r="AC1893" s="2"/>
      <c r="AE1893" s="1"/>
      <c r="AG1893" s="2"/>
    </row>
    <row r="1894" spans="12:33" ht="49.95" customHeight="1" x14ac:dyDescent="0.3">
      <c r="L1894" s="2"/>
      <c r="M1894" s="2"/>
      <c r="N1894" s="2">
        <v>8428</v>
      </c>
      <c r="O1894" s="375" t="s">
        <v>2738</v>
      </c>
      <c r="P1894" s="16">
        <v>46163</v>
      </c>
      <c r="Q1894" s="374" t="s">
        <v>3205</v>
      </c>
      <c r="R1894" s="2">
        <f>VLOOKUP(SALIDAS111518[[#This Row],[CÓDIGO]],PRODUCTOS31316[],2,FALSE)</f>
        <v>5232</v>
      </c>
      <c r="S1894" s="1" t="str">
        <f>VLOOKUP(SALIDAS111518[[#This Row],[CÓDIGO]],PRODUCTOS31316[],3,FALSE)</f>
        <v>LINER ESTRIADO NEGRO BOVINO</v>
      </c>
      <c r="T1894" s="2">
        <v>2</v>
      </c>
      <c r="U1894" s="2"/>
      <c r="V1894" s="2"/>
      <c r="W1894" s="2"/>
      <c r="X1894" s="2"/>
      <c r="Y1894" s="7"/>
      <c r="Z1894" s="2"/>
      <c r="AA1894" s="1"/>
      <c r="AC1894" s="2"/>
      <c r="AE1894" s="1"/>
      <c r="AG1894" s="2"/>
    </row>
    <row r="1895" spans="12:33" ht="49.95" customHeight="1" x14ac:dyDescent="0.3">
      <c r="L1895" s="374" t="s">
        <v>3520</v>
      </c>
      <c r="M1895" s="374" t="s">
        <v>4922</v>
      </c>
      <c r="N1895" s="374" t="s">
        <v>5459</v>
      </c>
      <c r="O1895" s="375" t="s">
        <v>2667</v>
      </c>
      <c r="P1895" s="16">
        <v>46163</v>
      </c>
      <c r="Q1895" s="374" t="s">
        <v>4386</v>
      </c>
      <c r="R1895" s="2">
        <f>VLOOKUP(SALIDAS111518[[#This Row],[CÓDIGO]],PRODUCTOS31316[],2,FALSE)</f>
        <v>754001</v>
      </c>
      <c r="S1895" s="1" t="str">
        <f>VLOOKUP(SALIDAS111518[[#This Row],[CÓDIGO]],PRODUCTOS31316[],3,FALSE)</f>
        <v>CAJA PETRI DESECHABLE ESTERIL 60X15MM MARCA: NEST</v>
      </c>
      <c r="T1895" s="2">
        <v>10</v>
      </c>
      <c r="U1895" s="2">
        <v>841</v>
      </c>
      <c r="V1895" s="2"/>
      <c r="W1895" s="2"/>
      <c r="X1895" s="2"/>
      <c r="Y1895" s="7"/>
      <c r="Z1895" s="2"/>
      <c r="AA1895" s="1"/>
      <c r="AC1895" s="2"/>
      <c r="AE1895" s="1"/>
      <c r="AG1895" s="2"/>
    </row>
    <row r="1896" spans="12:33" ht="49.95" customHeight="1" x14ac:dyDescent="0.3">
      <c r="L1896" s="2"/>
      <c r="M1896" s="2"/>
      <c r="N1896" s="2">
        <v>8431</v>
      </c>
      <c r="O1896" s="375" t="s">
        <v>2667</v>
      </c>
      <c r="P1896" s="16">
        <v>46163</v>
      </c>
      <c r="Q1896" s="374" t="s">
        <v>167</v>
      </c>
      <c r="R1896" s="2" t="str">
        <f>VLOOKUP(SALIDAS111518[[#This Row],[CÓDIGO]],PRODUCTOS31316[],2,FALSE)</f>
        <v>50050-1</v>
      </c>
      <c r="S1896" s="1" t="str">
        <f>VLOOKUP(SALIDAS111518[[#This Row],[CÓDIGO]],PRODUCTOS31316[],3,FALSE)</f>
        <v>TUBO CONICO PLUG, AUTOCLAVABLE ESTERIL  TAPA ROSCA DE 50 ML</v>
      </c>
      <c r="T1896" s="2">
        <v>5</v>
      </c>
      <c r="U1896" s="2"/>
      <c r="V1896" s="2"/>
      <c r="W1896" s="2"/>
      <c r="X1896" s="2"/>
      <c r="Y1896" s="7"/>
      <c r="Z1896" s="2"/>
      <c r="AA1896" s="1"/>
      <c r="AC1896" s="2"/>
      <c r="AE1896" s="1"/>
      <c r="AG1896" s="2"/>
    </row>
    <row r="1897" spans="12:33" ht="49.95" customHeight="1" x14ac:dyDescent="0.3">
      <c r="L1897" s="2"/>
      <c r="M1897" s="2"/>
      <c r="N1897" s="2">
        <v>8431</v>
      </c>
      <c r="O1897" s="375" t="s">
        <v>2667</v>
      </c>
      <c r="P1897" s="16">
        <v>46163</v>
      </c>
      <c r="Q1897" s="374" t="s">
        <v>63</v>
      </c>
      <c r="R1897" s="2">
        <f>VLOOKUP(SALIDAS111518[[#This Row],[CÓDIGO]],PRODUCTOS31316[],2,FALSE)</f>
        <v>25458</v>
      </c>
      <c r="S1897" s="1" t="str">
        <f>VLOOKUP(SALIDAS111518[[#This Row],[CÓDIGO]],PRODUCTOS31316[],3,FALSE)</f>
        <v>FILTROS PARA OPU 100 UL</v>
      </c>
      <c r="T1897" s="2">
        <v>1</v>
      </c>
      <c r="U1897" s="2"/>
      <c r="V1897" s="2"/>
      <c r="W1897" s="2"/>
      <c r="X1897" s="2"/>
      <c r="Y1897" s="7"/>
      <c r="Z1897" s="2"/>
      <c r="AA1897" s="1"/>
      <c r="AC1897" s="2"/>
      <c r="AE1897" s="1"/>
      <c r="AG1897" s="2"/>
    </row>
    <row r="1898" spans="12:33" ht="49.95" customHeight="1" x14ac:dyDescent="0.3">
      <c r="L1898" s="2"/>
      <c r="M1898" s="2"/>
      <c r="N1898" s="2">
        <v>8431</v>
      </c>
      <c r="O1898" s="375" t="s">
        <v>2667</v>
      </c>
      <c r="P1898" s="16">
        <v>46163</v>
      </c>
      <c r="Q1898" s="374" t="s">
        <v>15</v>
      </c>
      <c r="R1898" s="2" t="str">
        <f>VLOOKUP(SALIDAS111518[[#This Row],[CÓDIGO]],PRODUCTOS31316[],2,FALSE)</f>
        <v>BTE-025PT/ 504002</v>
      </c>
      <c r="S1898" s="1" t="str">
        <f>VLOOKUP(SALIDAS111518[[#This Row],[CÓDIGO]],PRODUCTOS31316[],3,FALSE)</f>
        <v>FUNDAS PARA TRANSFERENCIA DE EMBRIONES</v>
      </c>
      <c r="T1898" s="2">
        <v>20</v>
      </c>
      <c r="U1898" s="2"/>
      <c r="V1898" s="2"/>
      <c r="W1898" s="2"/>
      <c r="X1898" s="2"/>
      <c r="Y1898" s="7"/>
      <c r="Z1898" s="2"/>
      <c r="AA1898" s="1"/>
      <c r="AC1898" s="2"/>
      <c r="AE1898" s="1"/>
      <c r="AG1898" s="2"/>
    </row>
    <row r="1899" spans="12:33" ht="49.95" customHeight="1" x14ac:dyDescent="0.3">
      <c r="L1899" s="2"/>
      <c r="M1899" s="2"/>
      <c r="N1899" s="2">
        <v>8431</v>
      </c>
      <c r="O1899" s="375" t="s">
        <v>2667</v>
      </c>
      <c r="P1899" s="16">
        <v>46163</v>
      </c>
      <c r="Q1899" s="374" t="s">
        <v>1779</v>
      </c>
      <c r="R1899" s="2">
        <f>VLOOKUP(SALIDAS111518[[#This Row],[CÓDIGO]],PRODUCTOS31316[],2,FALSE)</f>
        <v>5563</v>
      </c>
      <c r="S1899" s="1" t="str">
        <f>VLOOKUP(SALIDAS111518[[#This Row],[CÓDIGO]],PRODUCTOS31316[],3,FALSE)</f>
        <v>CAMISA SANITARIA ROLLO X 80</v>
      </c>
      <c r="T1899" s="2">
        <v>1</v>
      </c>
      <c r="U1899" s="2"/>
      <c r="V1899" s="2"/>
      <c r="W1899" s="2"/>
      <c r="X1899" s="2"/>
      <c r="Y1899" s="7"/>
      <c r="Z1899" s="2"/>
      <c r="AA1899" s="1"/>
      <c r="AC1899" s="2"/>
      <c r="AE1899" s="1"/>
      <c r="AG1899" s="2"/>
    </row>
    <row r="1900" spans="12:33" ht="49.95" customHeight="1" x14ac:dyDescent="0.3">
      <c r="L1900" s="374" t="s">
        <v>3520</v>
      </c>
      <c r="M1900" s="374" t="s">
        <v>4922</v>
      </c>
      <c r="N1900" s="374" t="s">
        <v>5460</v>
      </c>
      <c r="O1900" s="375" t="s">
        <v>2726</v>
      </c>
      <c r="P1900" s="16">
        <v>46163</v>
      </c>
      <c r="Q1900" s="374" t="s">
        <v>2755</v>
      </c>
      <c r="R1900" s="2" t="str">
        <f>VLOOKUP(SALIDAS111518[[#This Row],[CÓDIGO]],PRODUCTOS31316[],2,FALSE)</f>
        <v>MSLDO05</v>
      </c>
      <c r="S1900" s="1" t="str">
        <f>VLOOKUP(SALIDAS111518[[#This Row],[CÓDIGO]],PRODUCTOS31316[],3,FALSE)</f>
        <v>TERMO DE RECOLECCIÓN DE SEMEN/ USO VETERINARIO</v>
      </c>
      <c r="T1900" s="2">
        <v>6</v>
      </c>
      <c r="U1900" s="2">
        <v>840</v>
      </c>
      <c r="V1900" s="2"/>
      <c r="W1900" s="2"/>
      <c r="X1900" s="2"/>
      <c r="Y1900" s="7"/>
      <c r="Z1900" s="2"/>
      <c r="AA1900" s="1"/>
      <c r="AC1900" s="2"/>
      <c r="AE1900" s="1"/>
      <c r="AG1900" s="2"/>
    </row>
    <row r="1901" spans="12:33" ht="49.95" customHeight="1" x14ac:dyDescent="0.3">
      <c r="L1901" s="374" t="s">
        <v>3521</v>
      </c>
      <c r="M1901" s="374" t="s">
        <v>4922</v>
      </c>
      <c r="N1901" s="2">
        <v>8381</v>
      </c>
      <c r="O1901" s="375" t="s">
        <v>5458</v>
      </c>
      <c r="P1901" s="16">
        <v>46163</v>
      </c>
      <c r="Q1901" s="374" t="s">
        <v>15</v>
      </c>
      <c r="R1901" s="2" t="str">
        <f>VLOOKUP(SALIDAS111518[[#This Row],[CÓDIGO]],PRODUCTOS31316[],2,FALSE)</f>
        <v>BTE-025PT/ 504002</v>
      </c>
      <c r="S1901" s="1" t="str">
        <f>VLOOKUP(SALIDAS111518[[#This Row],[CÓDIGO]],PRODUCTOS31316[],3,FALSE)</f>
        <v>FUNDAS PARA TRANSFERENCIA DE EMBRIONES</v>
      </c>
      <c r="T1901" s="2">
        <v>5</v>
      </c>
      <c r="U1901" s="2">
        <v>842</v>
      </c>
      <c r="V1901" s="2"/>
      <c r="W1901" s="2"/>
      <c r="X1901" s="2"/>
      <c r="Y1901" s="7"/>
      <c r="Z1901" s="2"/>
      <c r="AA1901" s="1"/>
      <c r="AC1901" s="2"/>
      <c r="AE1901" s="1"/>
      <c r="AG1901" s="2"/>
    </row>
    <row r="1902" spans="12:33" ht="49.95" customHeight="1" x14ac:dyDescent="0.3">
      <c r="L1902" s="374" t="s">
        <v>3520</v>
      </c>
      <c r="M1902" s="374" t="s">
        <v>4922</v>
      </c>
      <c r="N1902" s="374" t="s">
        <v>5457</v>
      </c>
      <c r="O1902" s="375" t="s">
        <v>5456</v>
      </c>
      <c r="P1902" s="16">
        <v>46163</v>
      </c>
      <c r="Q1902" s="374" t="s">
        <v>15</v>
      </c>
      <c r="R1902" s="2" t="str">
        <f>VLOOKUP(SALIDAS111518[[#This Row],[CÓDIGO]],PRODUCTOS31316[],2,FALSE)</f>
        <v>BTE-025PT/ 504002</v>
      </c>
      <c r="S1902" s="1" t="str">
        <f>VLOOKUP(SALIDAS111518[[#This Row],[CÓDIGO]],PRODUCTOS31316[],3,FALSE)</f>
        <v>FUNDAS PARA TRANSFERENCIA DE EMBRIONES</v>
      </c>
      <c r="T1902" s="2">
        <v>100</v>
      </c>
      <c r="U1902" s="2">
        <v>843</v>
      </c>
      <c r="V1902" s="2"/>
      <c r="W1902" s="2"/>
      <c r="X1902" s="2"/>
      <c r="Y1902" s="7"/>
      <c r="Z1902" s="2"/>
      <c r="AA1902" s="1"/>
      <c r="AC1902" s="2"/>
      <c r="AE1902" s="1"/>
      <c r="AG1902" s="2"/>
    </row>
    <row r="1903" spans="12:33" ht="49.95" customHeight="1" x14ac:dyDescent="0.3">
      <c r="L1903" s="374" t="s">
        <v>3520</v>
      </c>
      <c r="M1903" s="374" t="s">
        <v>4922</v>
      </c>
      <c r="N1903" s="374" t="s">
        <v>5455</v>
      </c>
      <c r="O1903" s="374" t="s">
        <v>2299</v>
      </c>
      <c r="P1903" s="16">
        <v>46163</v>
      </c>
      <c r="Q1903" s="411" t="s">
        <v>341</v>
      </c>
      <c r="R1903" s="2" t="str">
        <f>VLOOKUP(SALIDAS111518[[#This Row],[CÓDIGO]],PRODUCTOS31316[],2,FALSE)</f>
        <v>CTB50</v>
      </c>
      <c r="S1903" s="1" t="str">
        <f>VLOOKUP(SALIDAS111518[[#This Row],[CÓDIGO]],PRODUCTOS31316[],3,FALSE)</f>
        <v>TUBO CÓNICO DE 50 mL, TAPA ROSCA, PRE ESTERILIZADO. RCF MAX: 10000xg, graduados, PCR puro.</v>
      </c>
      <c r="T1903" s="2">
        <v>10</v>
      </c>
      <c r="U1903" s="2">
        <v>844</v>
      </c>
      <c r="V1903" s="2"/>
      <c r="W1903" s="2"/>
      <c r="X1903" s="2"/>
      <c r="Y1903" s="7"/>
      <c r="Z1903" s="2"/>
      <c r="AA1903" s="1"/>
      <c r="AC1903" s="2"/>
      <c r="AE1903" s="1"/>
      <c r="AG1903" s="2"/>
    </row>
    <row r="1904" spans="12:33" ht="49.95" customHeight="1" x14ac:dyDescent="0.3">
      <c r="L1904" s="2"/>
      <c r="M1904" s="2"/>
      <c r="N1904" s="2">
        <v>8433</v>
      </c>
      <c r="O1904" s="374" t="s">
        <v>2299</v>
      </c>
      <c r="P1904" s="16">
        <v>46163</v>
      </c>
      <c r="Q1904" s="374" t="s">
        <v>752</v>
      </c>
      <c r="R1904" s="2">
        <f>VLOOKUP(SALIDAS111518[[#This Row],[CÓDIGO]],PRODUCTOS31316[],2,FALSE)</f>
        <v>0</v>
      </c>
      <c r="S1904" s="1" t="str">
        <f>VLOOKUP(SALIDAS111518[[#This Row],[CÓDIGO]],PRODUCTOS31316[],3,FALSE)</f>
        <v>TABS BLANCOS</v>
      </c>
      <c r="T1904" s="2">
        <v>2</v>
      </c>
      <c r="U1904" s="2"/>
      <c r="V1904" s="2"/>
      <c r="W1904" s="2"/>
      <c r="X1904" s="2"/>
      <c r="Y1904" s="7"/>
      <c r="Z1904" s="2"/>
      <c r="AA1904" s="1"/>
      <c r="AC1904" s="2"/>
      <c r="AE1904" s="1"/>
      <c r="AG1904" s="2"/>
    </row>
    <row r="1905" spans="12:33" ht="49.95" customHeight="1" x14ac:dyDescent="0.3">
      <c r="L1905" s="374" t="s">
        <v>3520</v>
      </c>
      <c r="M1905" s="374" t="s">
        <v>4922</v>
      </c>
      <c r="N1905" s="374" t="s">
        <v>5453</v>
      </c>
      <c r="O1905" s="374" t="s">
        <v>5452</v>
      </c>
      <c r="P1905" s="16">
        <v>46163</v>
      </c>
      <c r="Q1905" s="374" t="s">
        <v>2755</v>
      </c>
      <c r="R1905" s="2" t="str">
        <f>VLOOKUP(SALIDAS111518[[#This Row],[CÓDIGO]],PRODUCTOS31316[],2,FALSE)</f>
        <v>MSLDO05</v>
      </c>
      <c r="S1905" s="1" t="str">
        <f>VLOOKUP(SALIDAS111518[[#This Row],[CÓDIGO]],PRODUCTOS31316[],3,FALSE)</f>
        <v>TERMO DE RECOLECCIÓN DE SEMEN/ USO VETERINARIO</v>
      </c>
      <c r="T1905" s="2">
        <v>1</v>
      </c>
      <c r="U1905" s="2">
        <v>845</v>
      </c>
      <c r="V1905" s="2"/>
      <c r="W1905" s="2"/>
      <c r="X1905" s="2"/>
      <c r="Y1905" s="7"/>
      <c r="Z1905" s="2"/>
      <c r="AA1905" s="1"/>
      <c r="AC1905" s="2"/>
      <c r="AE1905" s="1"/>
      <c r="AG1905" s="2"/>
    </row>
    <row r="1906" spans="12:33" ht="49.95" customHeight="1" x14ac:dyDescent="0.3">
      <c r="L1906" s="374" t="s">
        <v>3521</v>
      </c>
      <c r="M1906" s="374" t="s">
        <v>4922</v>
      </c>
      <c r="N1906" s="374" t="s">
        <v>5454</v>
      </c>
      <c r="O1906" s="374" t="s">
        <v>2739</v>
      </c>
      <c r="P1906" s="16">
        <v>46163</v>
      </c>
      <c r="Q1906" s="374" t="s">
        <v>2420</v>
      </c>
      <c r="R1906" s="2" t="str">
        <f>VLOOKUP(SALIDAS111518[[#This Row],[CÓDIGO]],PRODUCTOS31316[],2,FALSE)</f>
        <v>L 60</v>
      </c>
      <c r="S1906" s="1" t="str">
        <f>VLOOKUP(SALIDAS111518[[#This Row],[CÓDIGO]],PRODUCTOS31316[],3,FALSE)</f>
        <v>SONDA LINEAL RECTAL L60 BMV</v>
      </c>
      <c r="T1906" s="2">
        <v>1</v>
      </c>
      <c r="U1906" s="15"/>
      <c r="V1906" s="2"/>
      <c r="W1906" s="2"/>
      <c r="X1906" s="2"/>
      <c r="Y1906" s="7"/>
      <c r="Z1906" s="2"/>
      <c r="AA1906" s="1"/>
      <c r="AC1906" s="2"/>
      <c r="AE1906" s="1"/>
      <c r="AG1906" s="2"/>
    </row>
    <row r="1907" spans="12:33" ht="49.95" customHeight="1" x14ac:dyDescent="0.3">
      <c r="L1907" s="2"/>
      <c r="M1907" s="2"/>
      <c r="N1907" s="2">
        <v>8177</v>
      </c>
      <c r="O1907" s="374" t="s">
        <v>2739</v>
      </c>
      <c r="P1907" s="16">
        <v>46163</v>
      </c>
      <c r="Q1907" s="374" t="s">
        <v>273</v>
      </c>
      <c r="R1907" s="2">
        <f>VLOOKUP(SALIDAS111518[[#This Row],[CÓDIGO]],PRODUCTOS31316[],2,FALSE)</f>
        <v>1003514</v>
      </c>
      <c r="S1907" s="1" t="str">
        <f>VLOOKUP(SALIDAS111518[[#This Row],[CÓDIGO]],PRODUCTOS31316[],3,FALSE)</f>
        <v>JALEA CONDUCTIVA (GEL ULTRASONICO) GALON X 3785 ML AZUL</v>
      </c>
      <c r="T1907" s="2">
        <v>1</v>
      </c>
      <c r="U1907" s="2"/>
      <c r="V1907" s="2"/>
      <c r="W1907" s="2"/>
      <c r="X1907" s="2"/>
      <c r="Y1907" s="7"/>
      <c r="Z1907" s="2"/>
      <c r="AA1907" s="1"/>
      <c r="AC1907" s="2"/>
      <c r="AE1907" s="1"/>
      <c r="AG1907" s="2"/>
    </row>
    <row r="1908" spans="12:33" ht="49.95" customHeight="1" x14ac:dyDescent="0.3">
      <c r="L1908" s="374" t="s">
        <v>3521</v>
      </c>
      <c r="M1908" s="374" t="s">
        <v>4922</v>
      </c>
      <c r="N1908" s="2">
        <v>15285</v>
      </c>
      <c r="O1908" s="374" t="s">
        <v>5451</v>
      </c>
      <c r="P1908" s="16">
        <v>46163</v>
      </c>
      <c r="Q1908" s="374" t="s">
        <v>2755</v>
      </c>
      <c r="R1908" s="2" t="str">
        <f>VLOOKUP(SALIDAS111518[[#This Row],[CÓDIGO]],PRODUCTOS31316[],2,FALSE)</f>
        <v>MSLDO05</v>
      </c>
      <c r="S1908" s="1" t="str">
        <f>VLOOKUP(SALIDAS111518[[#This Row],[CÓDIGO]],PRODUCTOS31316[],3,FALSE)</f>
        <v>TERMO DE RECOLECCIÓN DE SEMEN/ USO VETERINARIO</v>
      </c>
      <c r="T1908" s="2">
        <v>1</v>
      </c>
      <c r="U1908" s="2">
        <v>847</v>
      </c>
      <c r="V1908" s="2"/>
      <c r="W1908" s="2"/>
      <c r="X1908" s="2"/>
      <c r="Y1908" s="7"/>
      <c r="Z1908" s="2"/>
      <c r="AA1908" s="1"/>
      <c r="AC1908" s="2"/>
      <c r="AE1908" s="1"/>
      <c r="AG1908" s="2"/>
    </row>
    <row r="1909" spans="12:33" ht="49.95" customHeight="1" x14ac:dyDescent="0.3">
      <c r="L1909" s="374" t="s">
        <v>3520</v>
      </c>
      <c r="M1909" s="374" t="s">
        <v>4922</v>
      </c>
      <c r="N1909" s="1" t="s">
        <v>5070</v>
      </c>
      <c r="O1909" s="374" t="s">
        <v>3159</v>
      </c>
      <c r="P1909" s="16">
        <v>46162</v>
      </c>
      <c r="Q1909" s="374" t="s">
        <v>15</v>
      </c>
      <c r="R1909" s="2" t="str">
        <f>VLOOKUP(SALIDAS111518[[#This Row],[CÓDIGO]],PRODUCTOS31316[],2,FALSE)</f>
        <v>BTE-025PT/ 504002</v>
      </c>
      <c r="S1909" s="1" t="str">
        <f>VLOOKUP(SALIDAS111518[[#This Row],[CÓDIGO]],PRODUCTOS31316[],3,FALSE)</f>
        <v>FUNDAS PARA TRANSFERENCIA DE EMBRIONES</v>
      </c>
      <c r="T1909" s="2">
        <v>400</v>
      </c>
      <c r="U1909" s="374" t="s">
        <v>5470</v>
      </c>
      <c r="V1909" s="2"/>
      <c r="W1909" s="2"/>
      <c r="X1909" s="2"/>
      <c r="Y1909" s="7"/>
      <c r="Z1909" s="2"/>
      <c r="AA1909" s="1"/>
      <c r="AC1909" s="2"/>
      <c r="AE1909" s="1"/>
      <c r="AG1909" s="2"/>
    </row>
    <row r="1910" spans="12:33" ht="49.95" customHeight="1" x14ac:dyDescent="0.3">
      <c r="L1910" s="374" t="s">
        <v>3520</v>
      </c>
      <c r="M1910" s="374" t="s">
        <v>4922</v>
      </c>
      <c r="N1910" s="374" t="s">
        <v>5450</v>
      </c>
      <c r="O1910" s="374" t="s">
        <v>2311</v>
      </c>
      <c r="P1910" s="16">
        <v>46164</v>
      </c>
      <c r="Q1910" s="374" t="s">
        <v>15</v>
      </c>
      <c r="R1910" s="2" t="str">
        <f>VLOOKUP(SALIDAS111518[[#This Row],[CÓDIGO]],PRODUCTOS31316[],2,FALSE)</f>
        <v>BTE-025PT/ 504002</v>
      </c>
      <c r="S1910" s="1" t="str">
        <f>VLOOKUP(SALIDAS111518[[#This Row],[CÓDIGO]],PRODUCTOS31316[],3,FALSE)</f>
        <v>FUNDAS PARA TRANSFERENCIA DE EMBRIONES</v>
      </c>
      <c r="T1910" s="2">
        <v>100</v>
      </c>
      <c r="U1910" s="2">
        <v>848</v>
      </c>
      <c r="V1910" s="2"/>
      <c r="W1910" s="2"/>
      <c r="X1910" s="2"/>
      <c r="Y1910" s="7"/>
      <c r="Z1910" s="2"/>
      <c r="AA1910" s="1"/>
      <c r="AC1910" s="2"/>
      <c r="AE1910" s="1"/>
      <c r="AG1910" s="2"/>
    </row>
    <row r="1911" spans="12:33" ht="49.95" customHeight="1" x14ac:dyDescent="0.3">
      <c r="L1911" s="2"/>
      <c r="M1911" s="2"/>
      <c r="N1911" s="2">
        <v>8436</v>
      </c>
      <c r="O1911" s="374" t="s">
        <v>2311</v>
      </c>
      <c r="P1911" s="16">
        <v>46166</v>
      </c>
      <c r="Q1911" s="374" t="s">
        <v>767</v>
      </c>
      <c r="R1911" s="2">
        <f>VLOOKUP(SALIDAS111518[[#This Row],[CÓDIGO]],PRODUCTOS31316[],2,FALSE)</f>
        <v>430165</v>
      </c>
      <c r="S1911" s="1" t="str">
        <f>VLOOKUP(SALIDAS111518[[#This Row],[CÓDIGO]],PRODUCTOS31316[],3,FALSE)</f>
        <v>CAJAS DE PETRI DE 35X 10 MM, EN POLYESTYRENO, ESTPERILES, DESECHABLES, PARA CULTIVO CELULAR</v>
      </c>
      <c r="T1911" s="2">
        <v>20</v>
      </c>
      <c r="U1911" s="2"/>
      <c r="V1911" s="2"/>
      <c r="W1911" s="2"/>
      <c r="X1911" s="2"/>
      <c r="Y1911" s="7"/>
      <c r="Z1911" s="2"/>
      <c r="AA1911" s="1"/>
      <c r="AC1911" s="2"/>
      <c r="AE1911" s="1"/>
      <c r="AG1911" s="2"/>
    </row>
    <row r="1912" spans="12:33" ht="49.95" customHeight="1" x14ac:dyDescent="0.3">
      <c r="L1912" s="2"/>
      <c r="M1912" s="2"/>
      <c r="N1912" s="2">
        <v>8436</v>
      </c>
      <c r="O1912" s="374" t="s">
        <v>2311</v>
      </c>
      <c r="P1912" s="16">
        <v>46168</v>
      </c>
      <c r="Q1912" s="374" t="s">
        <v>333</v>
      </c>
      <c r="R1912" s="2" t="str">
        <f>VLOOKUP(SALIDAS111518[[#This Row],[CÓDIGO]],PRODUCTOS31316[],2,FALSE)</f>
        <v>CTB15</v>
      </c>
      <c r="S1912" s="1" t="str">
        <f>VLOOKUP(SALIDAS111518[[#This Row],[CÓDIGO]],PRODUCTOS31316[],3,FALSE)</f>
        <v>TUBO CÓNICO DE 15 ML, TAPA ROSCA ESTÉRIL  RCF MAX: 10000xg, 
graduados, PCR puro. VENCE: 03/04/2028</v>
      </c>
      <c r="T1912" s="2">
        <v>2</v>
      </c>
      <c r="U1912" s="2"/>
      <c r="V1912" s="2"/>
      <c r="W1912" s="2"/>
      <c r="X1912" s="2"/>
      <c r="Y1912" s="7"/>
      <c r="Z1912" s="2"/>
      <c r="AA1912" s="1"/>
      <c r="AC1912" s="2"/>
      <c r="AE1912" s="1"/>
      <c r="AG1912" s="2"/>
    </row>
    <row r="1913" spans="12:33" ht="49.95" customHeight="1" x14ac:dyDescent="0.3">
      <c r="L1913" s="2"/>
      <c r="M1913" s="2"/>
      <c r="N1913" s="2">
        <v>8436</v>
      </c>
      <c r="O1913" s="374" t="s">
        <v>2311</v>
      </c>
      <c r="P1913" s="16">
        <v>46170</v>
      </c>
      <c r="Q1913" s="374" t="s">
        <v>247</v>
      </c>
      <c r="R1913" s="2">
        <f>VLOOKUP(SALIDAS111518[[#This Row],[CÓDIGO]],PRODUCTOS31316[],2,FALSE)</f>
        <v>352054</v>
      </c>
      <c r="S1913" s="1" t="str">
        <f>VLOOKUP(SALIDAS111518[[#This Row],[CÓDIGO]],PRODUCTOS31316[],3,FALSE)</f>
        <v>TUBO DE FONDO REDONDO DE 5ML 12X75MM , POLIESTIRENO</v>
      </c>
      <c r="T1913" s="2">
        <v>3</v>
      </c>
      <c r="U1913" s="2"/>
      <c r="V1913" s="2"/>
      <c r="W1913" s="2"/>
      <c r="X1913" s="2"/>
      <c r="Y1913" s="7"/>
      <c r="Z1913" s="2"/>
      <c r="AA1913" s="1"/>
      <c r="AC1913" s="2"/>
      <c r="AE1913" s="1"/>
      <c r="AG1913" s="2"/>
    </row>
    <row r="1914" spans="12:33" ht="49.95" customHeight="1" x14ac:dyDescent="0.3">
      <c r="L1914" s="2"/>
      <c r="M1914" s="2"/>
      <c r="N1914" s="2">
        <v>8436</v>
      </c>
      <c r="O1914" s="374" t="s">
        <v>2311</v>
      </c>
      <c r="P1914" s="16">
        <v>46172</v>
      </c>
      <c r="Q1914" s="374" t="s">
        <v>167</v>
      </c>
      <c r="R1914" s="2" t="str">
        <f>VLOOKUP(SALIDAS111518[[#This Row],[CÓDIGO]],PRODUCTOS31316[],2,FALSE)</f>
        <v>50050-1</v>
      </c>
      <c r="S1914" s="1" t="str">
        <f>VLOOKUP(SALIDAS111518[[#This Row],[CÓDIGO]],PRODUCTOS31316[],3,FALSE)</f>
        <v>TUBO CONICO PLUG, AUTOCLAVABLE ESTERIL  TAPA ROSCA DE 50 ML</v>
      </c>
      <c r="T1914" s="2">
        <v>20</v>
      </c>
      <c r="U1914" s="2"/>
      <c r="V1914" s="2"/>
      <c r="W1914" s="2"/>
      <c r="X1914" s="2"/>
      <c r="Y1914" s="7"/>
      <c r="Z1914" s="2"/>
      <c r="AA1914" s="1"/>
      <c r="AC1914" s="2"/>
      <c r="AE1914" s="1"/>
      <c r="AG1914" s="2"/>
    </row>
    <row r="1915" spans="12:33" ht="49.95" customHeight="1" x14ac:dyDescent="0.3">
      <c r="L1915" s="2"/>
      <c r="M1915" s="2"/>
      <c r="N1915" s="2">
        <v>8436</v>
      </c>
      <c r="O1915" s="374" t="s">
        <v>2311</v>
      </c>
      <c r="P1915" s="16">
        <v>46174</v>
      </c>
      <c r="Q1915" s="374" t="s">
        <v>4386</v>
      </c>
      <c r="R1915" s="2">
        <f>VLOOKUP(SALIDAS111518[[#This Row],[CÓDIGO]],PRODUCTOS31316[],2,FALSE)</f>
        <v>754001</v>
      </c>
      <c r="S1915" s="1" t="str">
        <f>VLOOKUP(SALIDAS111518[[#This Row],[CÓDIGO]],PRODUCTOS31316[],3,FALSE)</f>
        <v>CAJA PETRI DESECHABLE ESTERIL 60X15MM MARCA: NEST</v>
      </c>
      <c r="T1915" s="2">
        <v>30</v>
      </c>
      <c r="U1915" s="2"/>
      <c r="V1915" s="2"/>
      <c r="W1915" s="2"/>
      <c r="X1915" s="2"/>
      <c r="Y1915" s="7"/>
      <c r="Z1915" s="2"/>
      <c r="AA1915" s="1"/>
      <c r="AC1915" s="2"/>
      <c r="AE1915" s="1"/>
      <c r="AG1915" s="2"/>
    </row>
    <row r="1916" spans="12:33" ht="49.95" customHeight="1" x14ac:dyDescent="0.3">
      <c r="L1916" s="2"/>
      <c r="M1916" s="2"/>
      <c r="N1916" s="2">
        <v>8436</v>
      </c>
      <c r="O1916" s="374" t="s">
        <v>2311</v>
      </c>
      <c r="P1916" s="16">
        <v>46176</v>
      </c>
      <c r="Q1916" s="374" t="s">
        <v>1779</v>
      </c>
      <c r="R1916" s="2">
        <f>VLOOKUP(SALIDAS111518[[#This Row],[CÓDIGO]],PRODUCTOS31316[],2,FALSE)</f>
        <v>5563</v>
      </c>
      <c r="S1916" s="1" t="str">
        <f>VLOOKUP(SALIDAS111518[[#This Row],[CÓDIGO]],PRODUCTOS31316[],3,FALSE)</f>
        <v>CAMISA SANITARIA ROLLO X 80</v>
      </c>
      <c r="T1916" s="2">
        <v>6</v>
      </c>
      <c r="U1916" s="2"/>
      <c r="V1916" s="2"/>
      <c r="W1916" s="2"/>
      <c r="X1916" s="2"/>
      <c r="Y1916" s="7"/>
      <c r="Z1916" s="2"/>
      <c r="AA1916" s="1"/>
      <c r="AC1916" s="2"/>
      <c r="AE1916" s="1"/>
      <c r="AG1916" s="2"/>
    </row>
    <row r="1917" spans="12:33" ht="49.95" customHeight="1" x14ac:dyDescent="0.3">
      <c r="L1917" s="374" t="s">
        <v>3520</v>
      </c>
      <c r="M1917" s="374" t="s">
        <v>4922</v>
      </c>
      <c r="N1917" s="2">
        <v>15283</v>
      </c>
      <c r="O1917" s="374" t="s">
        <v>3021</v>
      </c>
      <c r="P1917" s="16">
        <v>46164</v>
      </c>
      <c r="Q1917" s="374" t="s">
        <v>36</v>
      </c>
      <c r="R1917" s="2">
        <f>VLOOKUP(SALIDAS111518[[#This Row],[CÓDIGO]],PRODUCTOS31316[],2,FALSE)</f>
        <v>1</v>
      </c>
      <c r="S1917" s="1" t="str">
        <f>VLOOKUP(SALIDAS111518[[#This Row],[CÓDIGO]],PRODUCTOS31316[],3,FALSE)</f>
        <v xml:space="preserve">PARCHE ESTROTECT </v>
      </c>
      <c r="T1917" s="2">
        <v>48</v>
      </c>
      <c r="U1917" s="2">
        <v>849</v>
      </c>
      <c r="V1917" s="2"/>
      <c r="W1917" s="374" t="s">
        <v>3412</v>
      </c>
      <c r="X1917" s="2"/>
      <c r="Y1917" s="7"/>
      <c r="Z1917" s="2"/>
      <c r="AA1917" s="1"/>
      <c r="AC1917" s="2"/>
      <c r="AE1917" s="1"/>
      <c r="AG1917" s="2"/>
    </row>
    <row r="1918" spans="12:33" ht="49.95" customHeight="1" x14ac:dyDescent="0.3">
      <c r="L1918" s="374" t="s">
        <v>3520</v>
      </c>
      <c r="M1918" s="374" t="s">
        <v>4922</v>
      </c>
      <c r="N1918" s="15">
        <v>15605</v>
      </c>
      <c r="O1918" s="375" t="s">
        <v>2201</v>
      </c>
      <c r="P1918" s="16">
        <v>46164</v>
      </c>
      <c r="Q1918" s="374" t="s">
        <v>15</v>
      </c>
      <c r="R1918" s="2" t="str">
        <f>VLOOKUP(SALIDAS111518[[#This Row],[CÓDIGO]],PRODUCTOS31316[],2,FALSE)</f>
        <v>BTE-025PT/ 504002</v>
      </c>
      <c r="S1918" s="1" t="str">
        <f>VLOOKUP(SALIDAS111518[[#This Row],[CÓDIGO]],PRODUCTOS31316[],3,FALSE)</f>
        <v>FUNDAS PARA TRANSFERENCIA DE EMBRIONES</v>
      </c>
      <c r="T1918" s="15">
        <v>10</v>
      </c>
      <c r="U1918" s="2">
        <v>851</v>
      </c>
      <c r="V1918" s="2"/>
      <c r="W1918" s="2"/>
      <c r="X1918" s="2"/>
      <c r="Y1918" s="7"/>
      <c r="Z1918" s="2"/>
      <c r="AA1918" s="1"/>
      <c r="AC1918" s="2"/>
      <c r="AE1918" s="1"/>
      <c r="AG1918" s="2"/>
    </row>
    <row r="1919" spans="12:33" ht="49.95" customHeight="1" x14ac:dyDescent="0.3">
      <c r="L1919" s="374" t="s">
        <v>3520</v>
      </c>
      <c r="M1919" s="374" t="s">
        <v>4922</v>
      </c>
      <c r="N1919" s="374" t="s">
        <v>5449</v>
      </c>
      <c r="O1919" s="375" t="s">
        <v>3195</v>
      </c>
      <c r="P1919" s="16">
        <v>46164</v>
      </c>
      <c r="Q1919" s="374" t="s">
        <v>15</v>
      </c>
      <c r="R1919" s="2" t="str">
        <f>VLOOKUP(SALIDAS111518[[#This Row],[CÓDIGO]],PRODUCTOS31316[],2,FALSE)</f>
        <v>BTE-025PT/ 504002</v>
      </c>
      <c r="S1919" s="1" t="str">
        <f>VLOOKUP(SALIDAS111518[[#This Row],[CÓDIGO]],PRODUCTOS31316[],3,FALSE)</f>
        <v>FUNDAS PARA TRANSFERENCIA DE EMBRIONES</v>
      </c>
      <c r="T1919" s="2">
        <v>40</v>
      </c>
      <c r="U1919" s="2">
        <v>850</v>
      </c>
      <c r="V1919" s="2"/>
      <c r="W1919" s="2"/>
      <c r="X1919" s="2"/>
      <c r="Y1919" s="7"/>
      <c r="Z1919" s="2"/>
      <c r="AA1919" s="1"/>
      <c r="AC1919" s="2"/>
      <c r="AE1919" s="1"/>
      <c r="AG1919" s="2"/>
    </row>
    <row r="1920" spans="12:33" ht="49.95" customHeight="1" x14ac:dyDescent="0.3">
      <c r="L1920" s="2"/>
      <c r="M1920" s="2"/>
      <c r="N1920" s="2">
        <v>8438</v>
      </c>
      <c r="O1920" s="375" t="s">
        <v>3195</v>
      </c>
      <c r="P1920" s="16">
        <v>46164</v>
      </c>
      <c r="Q1920" s="374" t="s">
        <v>1779</v>
      </c>
      <c r="R1920" s="2">
        <f>VLOOKUP(SALIDAS111518[[#This Row],[CÓDIGO]],PRODUCTOS31316[],2,FALSE)</f>
        <v>5563</v>
      </c>
      <c r="S1920" s="1" t="str">
        <f>VLOOKUP(SALIDAS111518[[#This Row],[CÓDIGO]],PRODUCTOS31316[],3,FALSE)</f>
        <v>CAMISA SANITARIA ROLLO X 80</v>
      </c>
      <c r="T1920" s="2">
        <v>3</v>
      </c>
      <c r="U1920" s="2"/>
      <c r="V1920" s="2"/>
      <c r="W1920" s="2"/>
      <c r="X1920" s="2"/>
      <c r="Y1920" s="7"/>
      <c r="Z1920" s="2"/>
      <c r="AA1920" s="1"/>
      <c r="AC1920" s="2"/>
      <c r="AE1920" s="1"/>
      <c r="AG1920" s="2"/>
    </row>
    <row r="1921" spans="12:33" ht="49.95" customHeight="1" x14ac:dyDescent="0.3">
      <c r="L1921" s="374" t="s">
        <v>3520</v>
      </c>
      <c r="M1921" s="374" t="s">
        <v>4922</v>
      </c>
      <c r="N1921" s="374" t="s">
        <v>5447</v>
      </c>
      <c r="O1921" s="374" t="s">
        <v>2204</v>
      </c>
      <c r="P1921" s="16">
        <v>46164</v>
      </c>
      <c r="Q1921" s="374" t="s">
        <v>3355</v>
      </c>
      <c r="R1921" s="2">
        <f>VLOOKUP(SALIDAS111518[[#This Row],[CÓDIGO]],PRODUCTOS31316[],2,FALSE)</f>
        <v>140681</v>
      </c>
      <c r="S1921" s="1" t="str">
        <f>VLOOKUP(SALIDAS111518[[#This Row],[CÓDIGO]],PRODUCTOS31316[],3,FALSE)</f>
        <v>CAJA DE PETRI DESECHABLE ESTERIL 60x15MM.</v>
      </c>
      <c r="T1921" s="2">
        <v>100</v>
      </c>
      <c r="U1921" s="2">
        <v>853</v>
      </c>
      <c r="V1921" s="2"/>
      <c r="W1921" s="2"/>
      <c r="X1921" s="2"/>
      <c r="Y1921" s="7"/>
      <c r="Z1921" s="2"/>
      <c r="AA1921" s="1"/>
      <c r="AC1921" s="2"/>
      <c r="AE1921" s="1"/>
      <c r="AG1921" s="2"/>
    </row>
    <row r="1922" spans="12:33" ht="49.95" customHeight="1" x14ac:dyDescent="0.3">
      <c r="L1922" s="374" t="s">
        <v>3520</v>
      </c>
      <c r="M1922" s="374" t="s">
        <v>4922</v>
      </c>
      <c r="N1922" s="374" t="s">
        <v>5448</v>
      </c>
      <c r="O1922" s="374" t="s">
        <v>94</v>
      </c>
      <c r="P1922" s="16">
        <v>46164</v>
      </c>
      <c r="Q1922" s="374" t="s">
        <v>15</v>
      </c>
      <c r="R1922" s="2" t="str">
        <f>VLOOKUP(SALIDAS111518[[#This Row],[CÓDIGO]],PRODUCTOS31316[],2,FALSE)</f>
        <v>BTE-025PT/ 504002</v>
      </c>
      <c r="S1922" s="1" t="str">
        <f>VLOOKUP(SALIDAS111518[[#This Row],[CÓDIGO]],PRODUCTOS31316[],3,FALSE)</f>
        <v>FUNDAS PARA TRANSFERENCIA DE EMBRIONES</v>
      </c>
      <c r="T1922" s="2">
        <v>200</v>
      </c>
      <c r="U1922" s="2">
        <v>854</v>
      </c>
      <c r="V1922" s="2"/>
      <c r="W1922" s="2"/>
      <c r="X1922" s="2"/>
      <c r="Y1922" s="7"/>
      <c r="Z1922" s="2"/>
      <c r="AA1922" s="1"/>
      <c r="AC1922" s="2"/>
      <c r="AE1922" s="1"/>
      <c r="AG1922" s="2"/>
    </row>
    <row r="1923" spans="12:33" ht="49.95" customHeight="1" x14ac:dyDescent="0.3">
      <c r="L1923" s="374" t="s">
        <v>3521</v>
      </c>
      <c r="M1923" s="374" t="s">
        <v>4922</v>
      </c>
      <c r="N1923" s="374" t="s">
        <v>5446</v>
      </c>
      <c r="O1923" s="375" t="s">
        <v>5445</v>
      </c>
      <c r="P1923" s="16">
        <v>46164</v>
      </c>
      <c r="Q1923" s="374" t="s">
        <v>210</v>
      </c>
      <c r="R1923" s="2">
        <f>VLOOKUP(SALIDAS111518[[#This Row],[CÓDIGO]],PRODUCTOS31316[],2,FALSE)</f>
        <v>101257</v>
      </c>
      <c r="S1923" s="1" t="str">
        <f>VLOOKUP(SALIDAS111518[[#This Row],[CÓDIGO]],PRODUCTOS31316[],3,FALSE)</f>
        <v>MANGA DESECHABLE SUPER SENSITIVA</v>
      </c>
      <c r="T1923" s="2">
        <v>5</v>
      </c>
      <c r="U1923" s="2">
        <v>856</v>
      </c>
      <c r="V1923" s="2"/>
      <c r="W1923" s="2"/>
      <c r="X1923" s="2"/>
      <c r="Y1923" s="7"/>
      <c r="Z1923" s="2"/>
      <c r="AA1923" s="1"/>
      <c r="AC1923" s="2"/>
      <c r="AE1923" s="1"/>
      <c r="AG1923" s="2"/>
    </row>
    <row r="1924" spans="12:33" ht="49.95" customHeight="1" x14ac:dyDescent="0.3">
      <c r="L1924" s="2"/>
      <c r="M1924" s="2"/>
      <c r="N1924" s="2">
        <v>8442</v>
      </c>
      <c r="O1924" s="375" t="s">
        <v>5445</v>
      </c>
      <c r="P1924" s="16">
        <v>46164</v>
      </c>
      <c r="Q1924" s="374" t="s">
        <v>683</v>
      </c>
      <c r="R1924" s="2">
        <f>VLOOKUP(SALIDAS111518[[#This Row],[CÓDIGO]],PRODUCTOS31316[],2,FALSE)</f>
        <v>109304</v>
      </c>
      <c r="S1924" s="1" t="str">
        <f>VLOOKUP(SALIDAS111518[[#This Row],[CÓDIGO]],PRODUCTOS31316[],3,FALSE)</f>
        <v>EOSINA- NIGROSINA</v>
      </c>
      <c r="T1924" s="2">
        <v>1</v>
      </c>
      <c r="U1924" s="2"/>
      <c r="V1924" s="2"/>
      <c r="W1924" s="2"/>
      <c r="X1924" s="2"/>
      <c r="Y1924" s="7"/>
      <c r="Z1924" s="2"/>
      <c r="AA1924" s="1"/>
      <c r="AC1924" s="2"/>
      <c r="AE1924" s="1"/>
      <c r="AG1924" s="2"/>
    </row>
    <row r="1925" spans="12:33" ht="49.95" customHeight="1" x14ac:dyDescent="0.3">
      <c r="L1925" s="2"/>
      <c r="M1925" s="2"/>
      <c r="N1925" s="2">
        <v>8442</v>
      </c>
      <c r="O1925" s="375" t="s">
        <v>5445</v>
      </c>
      <c r="P1925" s="16">
        <v>46164</v>
      </c>
      <c r="Q1925" s="374" t="s">
        <v>2282</v>
      </c>
      <c r="R1925" s="2">
        <f>VLOOKUP(SALIDAS111518[[#This Row],[CÓDIGO]],PRODUCTOS31316[],2,FALSE)</f>
        <v>0</v>
      </c>
      <c r="S1925" s="1" t="str">
        <f>VLOOKUP(SALIDAS111518[[#This Row],[CÓDIGO]],PRODUCTOS31316[],3,FALSE)</f>
        <v xml:space="preserve">CATÉTER FOLLEY DE SILICONA 18FR. X 30CC </v>
      </c>
      <c r="T1925" s="2">
        <v>1</v>
      </c>
      <c r="U1925" s="2"/>
      <c r="V1925" s="2"/>
      <c r="W1925" s="2"/>
      <c r="X1925" s="2"/>
      <c r="Y1925" s="7"/>
      <c r="Z1925" s="2"/>
      <c r="AA1925" s="1"/>
      <c r="AC1925" s="2"/>
      <c r="AE1925" s="1"/>
      <c r="AG1925" s="2"/>
    </row>
    <row r="1926" spans="12:33" ht="49.95" customHeight="1" x14ac:dyDescent="0.3">
      <c r="L1926" s="2"/>
      <c r="M1926" s="2"/>
      <c r="N1926" s="2">
        <v>8442</v>
      </c>
      <c r="O1926" s="375" t="s">
        <v>5445</v>
      </c>
      <c r="P1926" s="16">
        <v>46164</v>
      </c>
      <c r="Q1926" s="374" t="s">
        <v>47</v>
      </c>
      <c r="R1926" s="2">
        <f>VLOOKUP(SALIDAS111518[[#This Row],[CÓDIGO]],PRODUCTOS31316[],2,FALSE)</f>
        <v>1135</v>
      </c>
      <c r="S1926" s="1" t="str">
        <f>VLOOKUP(SALIDAS111518[[#This Row],[CÓDIGO]],PRODUCTOS31316[],3,FALSE)</f>
        <v>TRILADYL</v>
      </c>
      <c r="T1926" s="2">
        <v>1</v>
      </c>
      <c r="U1926" s="2"/>
      <c r="V1926" s="2"/>
      <c r="W1926" s="2"/>
      <c r="X1926" s="2"/>
      <c r="Y1926" s="7"/>
      <c r="Z1926" s="2"/>
      <c r="AA1926" s="1"/>
      <c r="AC1926" s="2"/>
      <c r="AE1926" s="1"/>
      <c r="AG1926" s="2"/>
    </row>
    <row r="1927" spans="12:33" ht="49.95" customHeight="1" x14ac:dyDescent="0.3">
      <c r="L1927" s="2"/>
      <c r="M1927" s="2"/>
      <c r="N1927" s="2">
        <v>8442</v>
      </c>
      <c r="O1927" s="375" t="s">
        <v>5445</v>
      </c>
      <c r="P1927" s="16">
        <v>46213</v>
      </c>
      <c r="Q1927" s="374" t="s">
        <v>387</v>
      </c>
      <c r="R1927" s="2">
        <f>VLOOKUP(SALIDAS111518[[#This Row],[CÓDIGO]],PRODUCTOS31316[],2,FALSE)</f>
        <v>131830</v>
      </c>
      <c r="S1927" s="1" t="str">
        <f>VLOOKUP(SALIDAS111518[[#This Row],[CÓDIGO]],PRODUCTOS31316[],3,FALSE)</f>
        <v>CATÉTER FOLLEY DE SILICONA (ABT) 18FR. X 30CC X 22</v>
      </c>
      <c r="T1927" s="2">
        <v>3</v>
      </c>
      <c r="U1927" s="2"/>
      <c r="V1927" s="2"/>
      <c r="W1927" s="2"/>
      <c r="X1927" s="2"/>
      <c r="Y1927" s="7"/>
      <c r="Z1927" s="2"/>
      <c r="AA1927" s="1"/>
      <c r="AC1927" s="2"/>
      <c r="AE1927" s="1"/>
      <c r="AG1927" s="2"/>
    </row>
    <row r="1928" spans="12:33" ht="49.95" customHeight="1" x14ac:dyDescent="0.3">
      <c r="L1928" s="374" t="s">
        <v>3520</v>
      </c>
      <c r="M1928" s="374" t="s">
        <v>4922</v>
      </c>
      <c r="N1928" s="374" t="s">
        <v>5444</v>
      </c>
      <c r="O1928" s="374" t="s">
        <v>3263</v>
      </c>
      <c r="P1928" s="16">
        <v>46164</v>
      </c>
      <c r="Q1928" s="374" t="s">
        <v>2401</v>
      </c>
      <c r="R1928" s="2">
        <f>VLOOKUP(SALIDAS111518[[#This Row],[CÓDIGO]],PRODUCTOS31316[],2,FALSE)</f>
        <v>5540</v>
      </c>
      <c r="S1928" s="1" t="str">
        <f>VLOOKUP(SALIDAS111518[[#This Row],[CÓDIGO]],PRODUCTOS31316[],3,FALSE)</f>
        <v xml:space="preserve">FUNDAS DE TRANSFERENCIA AZUL PUNTA METÁLICA 21"                 </v>
      </c>
      <c r="T1928" s="2">
        <v>50</v>
      </c>
      <c r="U1928" s="374" t="s">
        <v>5443</v>
      </c>
      <c r="V1928" s="2"/>
      <c r="W1928" s="2"/>
      <c r="X1928" s="2"/>
      <c r="Y1928" s="7"/>
      <c r="Z1928" s="2"/>
      <c r="AA1928" s="1"/>
      <c r="AC1928" s="2"/>
      <c r="AE1928" s="1"/>
      <c r="AG1928" s="2"/>
    </row>
    <row r="1929" spans="12:33" ht="49.95" customHeight="1" x14ac:dyDescent="0.3">
      <c r="L1929" s="374" t="s">
        <v>3520</v>
      </c>
      <c r="M1929" s="374" t="s">
        <v>4922</v>
      </c>
      <c r="N1929" s="374" t="s">
        <v>5442</v>
      </c>
      <c r="O1929" s="374" t="s">
        <v>1358</v>
      </c>
      <c r="P1929" s="16">
        <v>46167</v>
      </c>
      <c r="Q1929" s="374" t="s">
        <v>104</v>
      </c>
      <c r="R1929" s="2">
        <f>VLOOKUP(SALIDAS111518[[#This Row],[CÓDIGO]],PRODUCTOS31316[],2,FALSE)</f>
        <v>0</v>
      </c>
      <c r="S1929" s="1" t="str">
        <f>VLOOKUP(SALIDAS111518[[#This Row],[CÓDIGO]],PRODUCTOS31316[],3,FALSE)</f>
        <v>ISPERM CHIPS (500 TESTS PER BOX) PAQ. X 50 UND</v>
      </c>
      <c r="T1929" s="2">
        <v>2</v>
      </c>
      <c r="U1929" s="2">
        <v>858</v>
      </c>
      <c r="V1929" s="2"/>
      <c r="W1929" s="2"/>
      <c r="X1929" s="2"/>
      <c r="Y1929" s="7"/>
      <c r="Z1929" s="2"/>
      <c r="AA1929" s="1"/>
      <c r="AC1929" s="2"/>
      <c r="AE1929" s="1"/>
      <c r="AG1929" s="2"/>
    </row>
    <row r="1930" spans="12:33" ht="49.95" customHeight="1" x14ac:dyDescent="0.3">
      <c r="L1930" s="2"/>
      <c r="M1930" s="2"/>
      <c r="N1930" s="2">
        <v>8444</v>
      </c>
      <c r="O1930" s="374" t="s">
        <v>1358</v>
      </c>
      <c r="P1930" s="16">
        <v>46170</v>
      </c>
      <c r="Q1930" s="374" t="s">
        <v>236</v>
      </c>
      <c r="R1930" s="2">
        <f>VLOOKUP(SALIDAS111518[[#This Row],[CÓDIGO]],PRODUCTOS31316[],2,FALSE)</f>
        <v>0</v>
      </c>
      <c r="S1930" s="1" t="str">
        <f>VLOOKUP(SALIDAS111518[[#This Row],[CÓDIGO]],PRODUCTOS31316[],3,FALSE)</f>
        <v>TERMO METÁLICO DESCONGELADOR</v>
      </c>
      <c r="T1930" s="2">
        <v>2</v>
      </c>
      <c r="U1930" s="2"/>
      <c r="V1930" s="2"/>
      <c r="W1930" s="2"/>
      <c r="X1930" s="100"/>
      <c r="Y1930" s="7"/>
      <c r="Z1930" s="2"/>
      <c r="AA1930" s="1"/>
      <c r="AC1930" s="2"/>
      <c r="AE1930" s="1"/>
      <c r="AG1930" s="2"/>
    </row>
    <row r="1931" spans="12:33" ht="49.95" customHeight="1" x14ac:dyDescent="0.3">
      <c r="L1931" s="374" t="s">
        <v>3520</v>
      </c>
      <c r="M1931" s="374" t="s">
        <v>4922</v>
      </c>
      <c r="N1931" s="374" t="s">
        <v>5441</v>
      </c>
      <c r="O1931" s="375" t="s">
        <v>3044</v>
      </c>
      <c r="P1931" s="16">
        <v>46167</v>
      </c>
      <c r="Q1931" s="374" t="s">
        <v>1631</v>
      </c>
      <c r="R1931" s="2" t="str">
        <f>VLOOKUP(SALIDAS111518[[#This Row],[CÓDIGO]],PRODUCTOS31316[],2,FALSE)</f>
        <v>7101-CRAL</v>
      </c>
      <c r="S1931" s="1" t="str">
        <f>VLOOKUP(SALIDAS111518[[#This Row],[CÓDIGO]],PRODUCTOS31316[],3,FALSE)</f>
        <v>LAMINA PORTA OBJETOS LISA EN VIDRIO 26X76MM, BORDE ESMERILADO</v>
      </c>
      <c r="T1931" s="2">
        <v>1</v>
      </c>
      <c r="U1931" s="2">
        <v>859</v>
      </c>
      <c r="V1931" s="2"/>
      <c r="W1931" s="2"/>
      <c r="X1931" s="2"/>
      <c r="Y1931" s="7"/>
      <c r="Z1931" s="2"/>
      <c r="AA1931" s="1"/>
      <c r="AC1931" s="2"/>
      <c r="AE1931" s="1"/>
      <c r="AG1931" s="2"/>
    </row>
    <row r="1932" spans="12:33" ht="49.95" customHeight="1" x14ac:dyDescent="0.3">
      <c r="L1932" s="2"/>
      <c r="M1932" s="2"/>
      <c r="N1932" s="2">
        <v>8445</v>
      </c>
      <c r="O1932" s="375" t="s">
        <v>3044</v>
      </c>
      <c r="P1932" s="16">
        <v>46167</v>
      </c>
      <c r="Q1932" s="374" t="s">
        <v>1637</v>
      </c>
      <c r="R1932" s="2" t="str">
        <f>VLOOKUP(SALIDAS111518[[#This Row],[CÓDIGO]],PRODUCTOS31316[],2,FALSE)</f>
        <v>P22X22</v>
      </c>
      <c r="S1932" s="1" t="str">
        <f>VLOOKUP(SALIDAS111518[[#This Row],[CÓDIGO]],PRODUCTOS31316[],3,FALSE)</f>
        <v>LAMINA CUBRE OBJETO EN VIDRIO 22X22</v>
      </c>
      <c r="T1932" s="2">
        <v>1</v>
      </c>
      <c r="U1932" s="2"/>
      <c r="V1932" s="2"/>
      <c r="W1932" s="2"/>
      <c r="X1932" s="2"/>
      <c r="Y1932" s="7"/>
      <c r="Z1932" s="2"/>
      <c r="AA1932" s="1"/>
      <c r="AC1932" s="2"/>
      <c r="AE1932" s="1"/>
      <c r="AG1932" s="2"/>
    </row>
    <row r="1933" spans="12:33" ht="49.95" customHeight="1" x14ac:dyDescent="0.3">
      <c r="L1933" s="2"/>
      <c r="M1933" s="2"/>
      <c r="N1933" s="2">
        <v>8445</v>
      </c>
      <c r="O1933" s="375" t="s">
        <v>3044</v>
      </c>
      <c r="P1933" s="16">
        <v>46167</v>
      </c>
      <c r="Q1933" s="374" t="s">
        <v>2232</v>
      </c>
      <c r="R1933" s="2">
        <f>VLOOKUP(SALIDAS111518[[#This Row],[CÓDIGO]],PRODUCTOS31316[],2,FALSE)</f>
        <v>0</v>
      </c>
      <c r="S1933" s="1" t="str">
        <f>VLOOKUP(SALIDAS111518[[#This Row],[CÓDIGO]],PRODUCTOS31316[],3,FALSE)</f>
        <v>CONO RECOLECTOR</v>
      </c>
      <c r="T1933" s="2">
        <v>1</v>
      </c>
      <c r="U1933" s="2"/>
      <c r="V1933" s="2"/>
      <c r="W1933" s="2"/>
      <c r="X1933" s="2"/>
      <c r="Y1933" s="7"/>
      <c r="Z1933" s="2"/>
      <c r="AA1933" s="1"/>
      <c r="AC1933" s="2"/>
      <c r="AE1933" s="1"/>
      <c r="AG1933" s="2"/>
    </row>
    <row r="1934" spans="12:33" ht="49.95" customHeight="1" x14ac:dyDescent="0.3">
      <c r="L1934" s="2"/>
      <c r="M1934" s="2"/>
      <c r="N1934" s="2">
        <v>8445</v>
      </c>
      <c r="O1934" s="375" t="s">
        <v>3044</v>
      </c>
      <c r="P1934" s="16">
        <v>46167</v>
      </c>
      <c r="Q1934" s="374" t="s">
        <v>341</v>
      </c>
      <c r="R1934" s="2" t="str">
        <f>VLOOKUP(SALIDAS111518[[#This Row],[CÓDIGO]],PRODUCTOS31316[],2,FALSE)</f>
        <v>CTB50</v>
      </c>
      <c r="S1934" s="1" t="str">
        <f>VLOOKUP(SALIDAS111518[[#This Row],[CÓDIGO]],PRODUCTOS31316[],3,FALSE)</f>
        <v>TUBO CÓNICO DE 50 mL, TAPA ROSCA, PRE ESTERILIZADO. RCF MAX: 10000xg, graduados, PCR puro.</v>
      </c>
      <c r="T1934" s="2">
        <v>1</v>
      </c>
      <c r="U1934" s="2"/>
      <c r="V1934" s="2"/>
      <c r="W1934" s="2"/>
      <c r="X1934" s="2"/>
      <c r="Y1934" s="7"/>
      <c r="Z1934" s="2"/>
      <c r="AA1934" s="1"/>
      <c r="AC1934" s="2"/>
      <c r="AE1934" s="1"/>
      <c r="AG1934" s="2"/>
    </row>
    <row r="1935" spans="12:33" ht="49.95" customHeight="1" x14ac:dyDescent="0.3">
      <c r="L1935" s="374" t="s">
        <v>3521</v>
      </c>
      <c r="M1935" s="374" t="s">
        <v>4922</v>
      </c>
      <c r="N1935" s="374" t="s">
        <v>5440</v>
      </c>
      <c r="O1935" s="375" t="s">
        <v>3217</v>
      </c>
      <c r="P1935" s="16">
        <v>46167</v>
      </c>
      <c r="Q1935" s="374" t="s">
        <v>2251</v>
      </c>
      <c r="R1935" s="2">
        <f>VLOOKUP(SALIDAS111518[[#This Row],[CÓDIGO]],PRODUCTOS31316[],2,FALSE)</f>
        <v>7240</v>
      </c>
      <c r="S1935" s="1" t="str">
        <f>VLOOKUP(SALIDAS111518[[#This Row],[CÓDIGO]],PRODUCTOS31316[],3,FALSE)</f>
        <v>PISTOLA DE TE 0,25 MARCA IMV</v>
      </c>
      <c r="T1935" s="2">
        <v>1</v>
      </c>
      <c r="U1935" s="2">
        <v>860</v>
      </c>
      <c r="V1935" s="2"/>
      <c r="W1935" s="374" t="s">
        <v>2823</v>
      </c>
      <c r="X1935" s="2"/>
      <c r="Y1935" s="7"/>
      <c r="Z1935" s="2"/>
      <c r="AA1935" s="1"/>
      <c r="AC1935" s="2"/>
      <c r="AE1935" s="1"/>
      <c r="AG1935" s="2"/>
    </row>
    <row r="1936" spans="12:33" ht="49.95" customHeight="1" x14ac:dyDescent="0.3">
      <c r="L1936" s="2"/>
      <c r="M1936" s="2"/>
      <c r="N1936" s="2">
        <v>8446</v>
      </c>
      <c r="O1936" s="375" t="s">
        <v>3217</v>
      </c>
      <c r="P1936" s="16">
        <v>46167</v>
      </c>
      <c r="Q1936" s="374" t="s">
        <v>1779</v>
      </c>
      <c r="R1936" s="2">
        <f>VLOOKUP(SALIDAS111518[[#This Row],[CÓDIGO]],PRODUCTOS31316[],2,FALSE)</f>
        <v>5563</v>
      </c>
      <c r="S1936" s="1" t="str">
        <f>VLOOKUP(SALIDAS111518[[#This Row],[CÓDIGO]],PRODUCTOS31316[],3,FALSE)</f>
        <v>CAMISA SANITARIA ROLLO X 80</v>
      </c>
      <c r="T1936" s="2">
        <v>1</v>
      </c>
      <c r="U1936" s="2"/>
      <c r="V1936" s="2"/>
      <c r="W1936" s="2"/>
      <c r="X1936" s="2"/>
      <c r="Y1936" s="7"/>
      <c r="Z1936" s="2"/>
      <c r="AA1936" s="1"/>
      <c r="AC1936" s="2"/>
      <c r="AE1936" s="1"/>
      <c r="AG1936" s="2"/>
    </row>
    <row r="1937" spans="12:33" ht="49.95" customHeight="1" x14ac:dyDescent="0.3">
      <c r="L1937" s="2"/>
      <c r="M1937" s="2"/>
      <c r="N1937" s="2">
        <v>8846</v>
      </c>
      <c r="O1937" s="375" t="s">
        <v>3217</v>
      </c>
      <c r="P1937" s="16">
        <v>46167</v>
      </c>
      <c r="Q1937" s="374" t="s">
        <v>15</v>
      </c>
      <c r="R1937" s="2" t="str">
        <f>VLOOKUP(SALIDAS111518[[#This Row],[CÓDIGO]],PRODUCTOS31316[],2,FALSE)</f>
        <v>BTE-025PT/ 504002</v>
      </c>
      <c r="S1937" s="1" t="str">
        <f>VLOOKUP(SALIDAS111518[[#This Row],[CÓDIGO]],PRODUCTOS31316[],3,FALSE)</f>
        <v>FUNDAS PARA TRANSFERENCIA DE EMBRIONES</v>
      </c>
      <c r="T1937" s="2">
        <v>1</v>
      </c>
      <c r="U1937" s="2"/>
      <c r="V1937" s="2"/>
      <c r="W1937" s="2"/>
      <c r="X1937" s="2"/>
      <c r="Y1937" s="7"/>
      <c r="Z1937" s="2"/>
      <c r="AA1937" s="1"/>
      <c r="AC1937" s="2"/>
      <c r="AE1937" s="1"/>
      <c r="AG1937" s="2"/>
    </row>
    <row r="1938" spans="12:33" ht="49.95" customHeight="1" x14ac:dyDescent="0.3">
      <c r="L1938" s="374" t="s">
        <v>3521</v>
      </c>
      <c r="M1938" s="374" t="s">
        <v>4922</v>
      </c>
      <c r="N1938" s="374" t="s">
        <v>5438</v>
      </c>
      <c r="O1938" s="375" t="s">
        <v>5437</v>
      </c>
      <c r="P1938" s="16">
        <v>46167</v>
      </c>
      <c r="Q1938" s="374" t="s">
        <v>115</v>
      </c>
      <c r="R1938" s="2" t="str">
        <f>VLOOKUP(SALIDAS111518[[#This Row],[CÓDIGO]],PRODUCTOS31316[],2,FALSE)</f>
        <v>CTS-800</v>
      </c>
      <c r="S1938" s="1" t="str">
        <f>VLOOKUP(SALIDAS111518[[#This Row],[CÓDIGO]],PRODUCTOS31316[],3,FALSE)</f>
        <v>ECOGRAFO SIUI ULTRA SOUND SCANNER WITH L7FCV</v>
      </c>
      <c r="T1938" s="2">
        <v>1</v>
      </c>
      <c r="U1938" s="2">
        <v>861</v>
      </c>
      <c r="V1938" s="2"/>
      <c r="W1938" s="374" t="s">
        <v>2823</v>
      </c>
      <c r="X1938" s="2"/>
      <c r="Y1938" s="7"/>
      <c r="Z1938" s="2"/>
      <c r="AA1938" s="1"/>
      <c r="AC1938" s="2"/>
      <c r="AE1938" s="1"/>
      <c r="AG1938" s="2"/>
    </row>
    <row r="1939" spans="12:33" ht="49.95" customHeight="1" x14ac:dyDescent="0.3">
      <c r="L1939" s="2"/>
      <c r="M1939" s="2"/>
      <c r="N1939" s="2">
        <v>8447</v>
      </c>
      <c r="O1939" s="375" t="s">
        <v>5437</v>
      </c>
      <c r="P1939" s="16">
        <v>46167</v>
      </c>
      <c r="Q1939" s="374" t="s">
        <v>3037</v>
      </c>
      <c r="R1939" s="2">
        <f>VLOOKUP(SALIDAS111518[[#This Row],[CÓDIGO]],PRODUCTOS31316[],2,FALSE)</f>
        <v>0</v>
      </c>
      <c r="S1939" s="1" t="str">
        <f>VLOOKUP(SALIDAS111518[[#This Row],[CÓDIGO]],PRODUCTOS31316[],3,FALSE)</f>
        <v>FUNDA CON BOLSA DE COLECTA PARA EQUINOS</v>
      </c>
      <c r="T1939" s="2">
        <v>1</v>
      </c>
      <c r="U1939" s="2"/>
      <c r="V1939" s="2"/>
      <c r="W1939" s="2"/>
      <c r="X1939" s="2"/>
      <c r="Y1939" s="7"/>
      <c r="Z1939" s="2"/>
      <c r="AA1939" s="1"/>
      <c r="AC1939" s="2"/>
      <c r="AE1939" s="1"/>
      <c r="AG1939" s="2"/>
    </row>
    <row r="1940" spans="12:33" ht="49.95" customHeight="1" x14ac:dyDescent="0.3">
      <c r="L1940" s="374" t="s">
        <v>3521</v>
      </c>
      <c r="M1940" s="374" t="s">
        <v>4922</v>
      </c>
      <c r="N1940" s="374" t="s">
        <v>5439</v>
      </c>
      <c r="O1940" s="374" t="s">
        <v>5436</v>
      </c>
      <c r="P1940" s="16">
        <v>46167</v>
      </c>
      <c r="Q1940" s="374" t="s">
        <v>3365</v>
      </c>
      <c r="R1940" s="2">
        <f>VLOOKUP(SALIDAS111518[[#This Row],[CÓDIGO]],PRODUCTOS31316[],2,FALSE)</f>
        <v>0</v>
      </c>
      <c r="S1940" s="1" t="str">
        <f>VLOOKUP(SALIDAS111518[[#This Row],[CÓDIGO]],PRODUCTOS31316[],3,FALSE)</f>
        <v>MANGA DE PROTECCIÓN PALPACIÓN MAS CAMPO</v>
      </c>
      <c r="T1940" s="2">
        <v>4</v>
      </c>
      <c r="U1940" s="2">
        <v>862</v>
      </c>
      <c r="V1940" s="2"/>
      <c r="W1940" s="2"/>
      <c r="X1940" s="2"/>
      <c r="Y1940" s="7"/>
      <c r="Z1940" s="2"/>
      <c r="AA1940" s="1"/>
      <c r="AC1940" s="2"/>
      <c r="AE1940" s="1"/>
      <c r="AG1940" s="2"/>
    </row>
    <row r="1941" spans="12:33" ht="49.95" customHeight="1" x14ac:dyDescent="0.3">
      <c r="L1941" s="374" t="s">
        <v>3521</v>
      </c>
      <c r="M1941" s="374" t="s">
        <v>4922</v>
      </c>
      <c r="N1941" s="374" t="s">
        <v>5435</v>
      </c>
      <c r="O1941" s="374" t="s">
        <v>5434</v>
      </c>
      <c r="P1941" s="16">
        <v>46167</v>
      </c>
      <c r="Q1941" s="374" t="s">
        <v>3181</v>
      </c>
      <c r="R1941" s="2">
        <f>VLOOKUP(SALIDAS111518[[#This Row],[CÓDIGO]],PRODUCTOS31316[],2,FALSE)</f>
        <v>7416</v>
      </c>
      <c r="S1941" s="1" t="str">
        <f>VLOOKUP(SALIDAS111518[[#This Row],[CÓDIGO]],PRODUCTOS31316[],3,FALSE)</f>
        <v>CAJA PLÁSTICA DE 22" DE TRANSPORTE</v>
      </c>
      <c r="T1941" s="2">
        <v>1</v>
      </c>
      <c r="U1941" s="2">
        <v>863</v>
      </c>
      <c r="V1941" s="2"/>
      <c r="W1941" s="2"/>
      <c r="X1941" s="2"/>
      <c r="Y1941" s="7"/>
      <c r="Z1941" s="2"/>
      <c r="AA1941" s="1"/>
      <c r="AC1941" s="2"/>
      <c r="AE1941" s="1"/>
      <c r="AG1941" s="2"/>
    </row>
    <row r="1942" spans="12:33" ht="49.95" customHeight="1" x14ac:dyDescent="0.3">
      <c r="L1942" s="2"/>
      <c r="M1942" s="2"/>
      <c r="N1942" s="2">
        <v>8449</v>
      </c>
      <c r="O1942" s="374" t="s">
        <v>5434</v>
      </c>
      <c r="P1942" s="16">
        <v>46167</v>
      </c>
      <c r="Q1942" s="374" t="s">
        <v>153</v>
      </c>
      <c r="R1942" s="2">
        <f>VLOOKUP(SALIDAS111518[[#This Row],[CÓDIGO]],PRODUCTOS31316[],2,FALSE)</f>
        <v>1132</v>
      </c>
      <c r="S1942" s="1" t="str">
        <f>VLOOKUP(SALIDAS111518[[#This Row],[CÓDIGO]],PRODUCTOS31316[],3,FALSE)</f>
        <v>PISTOLA QUICKLOCK CLASIC</v>
      </c>
      <c r="T1942" s="2">
        <v>1</v>
      </c>
      <c r="U1942" s="2"/>
      <c r="V1942" s="2"/>
      <c r="W1942" s="2"/>
      <c r="X1942" s="2"/>
      <c r="Y1942" s="7"/>
      <c r="Z1942" s="2"/>
      <c r="AA1942" s="1"/>
      <c r="AC1942" s="2"/>
      <c r="AE1942" s="1"/>
      <c r="AG1942" s="2"/>
    </row>
    <row r="1943" spans="12:33" ht="49.95" customHeight="1" x14ac:dyDescent="0.3">
      <c r="L1943" s="2"/>
      <c r="M1943" s="2"/>
      <c r="N1943" s="2">
        <v>8449</v>
      </c>
      <c r="O1943" s="374" t="s">
        <v>5434</v>
      </c>
      <c r="P1943" s="16">
        <v>46167</v>
      </c>
      <c r="Q1943" s="374" t="s">
        <v>369</v>
      </c>
      <c r="R1943" s="2">
        <f>VLOOKUP(SALIDAS111518[[#This Row],[CÓDIGO]],PRODUCTOS31316[],2,FALSE)</f>
        <v>0</v>
      </c>
      <c r="S1943" s="1" t="str">
        <f>VLOOKUP(SALIDAS111518[[#This Row],[CÓDIGO]],PRODUCTOS31316[],3,FALSE)</f>
        <v>FUNDA UNIVERSAL PARA I.A. RANURADA</v>
      </c>
      <c r="T1943" s="2">
        <v>1</v>
      </c>
      <c r="U1943" s="2"/>
      <c r="V1943" s="2"/>
      <c r="W1943" s="2"/>
      <c r="X1943" s="2"/>
      <c r="Y1943" s="7"/>
      <c r="Z1943" s="2"/>
      <c r="AA1943" s="1"/>
      <c r="AC1943" s="2"/>
      <c r="AE1943" s="1"/>
      <c r="AG1943" s="2"/>
    </row>
    <row r="1944" spans="12:33" ht="49.95" customHeight="1" x14ac:dyDescent="0.3">
      <c r="L1944" s="2"/>
      <c r="M1944" s="2"/>
      <c r="N1944" s="2">
        <v>8449</v>
      </c>
      <c r="O1944" s="374" t="s">
        <v>5434</v>
      </c>
      <c r="P1944" s="16">
        <v>46167</v>
      </c>
      <c r="Q1944" s="374" t="s">
        <v>658</v>
      </c>
      <c r="R1944" s="2">
        <f>VLOOKUP(SALIDAS111518[[#This Row],[CÓDIGO]],PRODUCTOS31316[],2,FALSE)</f>
        <v>0</v>
      </c>
      <c r="S1944" s="1" t="str">
        <f>VLOOKUP(SALIDAS111518[[#This Row],[CÓDIGO]],PRODUCTOS31316[],3,FALSE)</f>
        <v>CATETER TALADRO TRANSPARENTE 18"</v>
      </c>
      <c r="T1944" s="2">
        <v>1</v>
      </c>
      <c r="U1944" s="2"/>
      <c r="V1944" s="2"/>
      <c r="W1944" s="2"/>
      <c r="X1944" s="84"/>
      <c r="Y1944" s="7"/>
      <c r="Z1944" s="2"/>
      <c r="AA1944" s="1"/>
      <c r="AC1944" s="2"/>
      <c r="AE1944" s="1"/>
      <c r="AG1944" s="2"/>
    </row>
    <row r="1945" spans="12:33" ht="49.95" customHeight="1" x14ac:dyDescent="0.3">
      <c r="L1945" s="2"/>
      <c r="M1945" s="2"/>
      <c r="N1945" s="2">
        <v>8449</v>
      </c>
      <c r="O1945" s="374" t="s">
        <v>5434</v>
      </c>
      <c r="P1945" s="16">
        <v>46167</v>
      </c>
      <c r="Q1945" s="374" t="s">
        <v>382</v>
      </c>
      <c r="R1945" s="2">
        <f>VLOOKUP(SALIDAS111518[[#This Row],[CÓDIGO]],PRODUCTOS31316[],2,FALSE)</f>
        <v>605032</v>
      </c>
      <c r="S1945" s="1" t="str">
        <f>VLOOKUP(SALIDAS111518[[#This Row],[CÓDIGO]],PRODUCTOS31316[],3,FALSE)</f>
        <v>LUBRICANTE OB, NO ESPERMICIDA</v>
      </c>
      <c r="T1945" s="2">
        <v>1</v>
      </c>
      <c r="U1945" s="2"/>
      <c r="V1945" s="2"/>
      <c r="W1945" s="2"/>
      <c r="X1945" s="84"/>
      <c r="Y1945" s="7"/>
      <c r="Z1945" s="2"/>
      <c r="AA1945" s="1"/>
      <c r="AC1945" s="2"/>
      <c r="AE1945" s="1"/>
      <c r="AG1945" s="2"/>
    </row>
    <row r="1946" spans="12:33" ht="49.95" customHeight="1" x14ac:dyDescent="0.3">
      <c r="L1946" s="2"/>
      <c r="M1946" s="2"/>
      <c r="N1946" s="2">
        <v>8449</v>
      </c>
      <c r="O1946" s="374" t="s">
        <v>5434</v>
      </c>
      <c r="P1946" s="16">
        <v>46167</v>
      </c>
      <c r="Q1946" s="374" t="s">
        <v>210</v>
      </c>
      <c r="R1946" s="2">
        <f>VLOOKUP(SALIDAS111518[[#This Row],[CÓDIGO]],PRODUCTOS31316[],2,FALSE)</f>
        <v>101257</v>
      </c>
      <c r="S1946" s="1" t="str">
        <f>VLOOKUP(SALIDAS111518[[#This Row],[CÓDIGO]],PRODUCTOS31316[],3,FALSE)</f>
        <v>MANGA DESECHABLE SUPER SENSITIVA</v>
      </c>
      <c r="T1946" s="2">
        <v>1</v>
      </c>
      <c r="U1946" s="2"/>
      <c r="V1946" s="2"/>
      <c r="W1946" s="2"/>
      <c r="X1946" s="2"/>
      <c r="Y1946" s="7"/>
      <c r="Z1946" s="2"/>
      <c r="AA1946" s="1"/>
      <c r="AC1946" s="2"/>
      <c r="AE1946" s="1"/>
      <c r="AG1946" s="2"/>
    </row>
    <row r="1947" spans="12:33" ht="49.95" customHeight="1" x14ac:dyDescent="0.3">
      <c r="L1947" s="2"/>
      <c r="M1947" s="2"/>
      <c r="N1947" s="2">
        <v>8449</v>
      </c>
      <c r="O1947" s="374" t="s">
        <v>5434</v>
      </c>
      <c r="P1947" s="16">
        <v>46167</v>
      </c>
      <c r="Q1947" s="374" t="s">
        <v>1779</v>
      </c>
      <c r="R1947" s="2">
        <f>VLOOKUP(SALIDAS111518[[#This Row],[CÓDIGO]],PRODUCTOS31316[],2,FALSE)</f>
        <v>5563</v>
      </c>
      <c r="S1947" s="1" t="str">
        <f>VLOOKUP(SALIDAS111518[[#This Row],[CÓDIGO]],PRODUCTOS31316[],3,FALSE)</f>
        <v>CAMISA SANITARIA ROLLO X 80</v>
      </c>
      <c r="T1947" s="2">
        <v>1</v>
      </c>
      <c r="U1947" s="2"/>
      <c r="V1947" s="2"/>
      <c r="W1947" s="2"/>
      <c r="X1947" s="2"/>
      <c r="Y1947" s="7"/>
      <c r="Z1947" s="2"/>
      <c r="AA1947" s="1"/>
      <c r="AC1947" s="2"/>
      <c r="AE1947" s="1"/>
      <c r="AG1947" s="2"/>
    </row>
    <row r="1948" spans="12:33" ht="49.95" customHeight="1" x14ac:dyDescent="0.3">
      <c r="L1948" s="2"/>
      <c r="M1948" s="2"/>
      <c r="N1948" s="2">
        <v>8449</v>
      </c>
      <c r="O1948" s="374" t="s">
        <v>5434</v>
      </c>
      <c r="P1948" s="16">
        <v>46167</v>
      </c>
      <c r="Q1948" s="374" t="s">
        <v>2364</v>
      </c>
      <c r="R1948" s="2">
        <f>VLOOKUP(SALIDAS111518[[#This Row],[CÓDIGO]],PRODUCTOS31316[],2,FALSE)</f>
        <v>0</v>
      </c>
      <c r="S1948" s="1" t="str">
        <f>VLOOKUP(SALIDAS111518[[#This Row],[CÓDIGO]],PRODUCTOS31316[],3,FALSE)</f>
        <v>CORTAPAJILLAS WTA</v>
      </c>
      <c r="T1948" s="2">
        <v>1</v>
      </c>
      <c r="U1948" s="2"/>
      <c r="V1948" s="2"/>
      <c r="W1948" s="2"/>
      <c r="X1948" s="2"/>
      <c r="Y1948" s="7"/>
      <c r="Z1948" s="2"/>
      <c r="AA1948" s="1"/>
      <c r="AC1948" s="2"/>
      <c r="AE1948" s="1"/>
      <c r="AG1948" s="2"/>
    </row>
    <row r="1949" spans="12:33" ht="49.95" customHeight="1" x14ac:dyDescent="0.3">
      <c r="L1949" s="2"/>
      <c r="M1949" s="2"/>
      <c r="N1949" s="2">
        <v>8449</v>
      </c>
      <c r="O1949" s="374" t="s">
        <v>5434</v>
      </c>
      <c r="P1949" s="16">
        <v>46167</v>
      </c>
      <c r="Q1949" s="374" t="s">
        <v>210</v>
      </c>
      <c r="R1949" s="2">
        <f>VLOOKUP(SALIDAS111518[[#This Row],[CÓDIGO]],PRODUCTOS31316[],2,FALSE)</f>
        <v>101257</v>
      </c>
      <c r="S1949" s="1" t="str">
        <f>VLOOKUP(SALIDAS111518[[#This Row],[CÓDIGO]],PRODUCTOS31316[],3,FALSE)</f>
        <v>MANGA DESECHABLE SUPER SENSITIVA</v>
      </c>
      <c r="T1949" s="2">
        <v>1</v>
      </c>
      <c r="U1949" s="2"/>
      <c r="V1949" s="2"/>
      <c r="W1949" s="2"/>
      <c r="X1949" s="2"/>
      <c r="Y1949" s="7"/>
      <c r="Z1949" s="2"/>
      <c r="AA1949" s="1"/>
      <c r="AC1949" s="2"/>
      <c r="AE1949" s="1"/>
      <c r="AG1949" s="2"/>
    </row>
    <row r="1950" spans="12:33" ht="49.95" customHeight="1" x14ac:dyDescent="0.3">
      <c r="L1950" s="2"/>
      <c r="M1950" s="2"/>
      <c r="N1950" s="2">
        <v>8449</v>
      </c>
      <c r="O1950" s="374" t="s">
        <v>5434</v>
      </c>
      <c r="P1950" s="16">
        <v>46167</v>
      </c>
      <c r="Q1950" s="374" t="s">
        <v>2755</v>
      </c>
      <c r="R1950" s="2" t="str">
        <f>VLOOKUP(SALIDAS111518[[#This Row],[CÓDIGO]],PRODUCTOS31316[],2,FALSE)</f>
        <v>MSLDO05</v>
      </c>
      <c r="S1950" s="1" t="str">
        <f>VLOOKUP(SALIDAS111518[[#This Row],[CÓDIGO]],PRODUCTOS31316[],3,FALSE)</f>
        <v>TERMO DE RECOLECCIÓN DE SEMEN/ USO VETERINARIO</v>
      </c>
      <c r="T1950" s="2">
        <v>1</v>
      </c>
      <c r="U1950" s="2"/>
      <c r="V1950" s="2"/>
      <c r="W1950" s="2"/>
      <c r="X1950" s="2"/>
      <c r="Y1950" s="7"/>
      <c r="Z1950" s="2"/>
      <c r="AA1950" s="1"/>
      <c r="AC1950" s="2"/>
      <c r="AE1950" s="1"/>
      <c r="AG1950" s="2"/>
    </row>
    <row r="1951" spans="12:33" ht="49.95" customHeight="1" x14ac:dyDescent="0.3">
      <c r="L1951" s="374" t="s">
        <v>3521</v>
      </c>
      <c r="M1951" s="374" t="s">
        <v>4922</v>
      </c>
      <c r="N1951" s="374" t="s">
        <v>5432</v>
      </c>
      <c r="O1951" s="375" t="s">
        <v>5431</v>
      </c>
      <c r="P1951" s="16">
        <v>46167</v>
      </c>
      <c r="Q1951" s="374" t="s">
        <v>369</v>
      </c>
      <c r="R1951" s="2">
        <f>VLOOKUP(SALIDAS111518[[#This Row],[CÓDIGO]],PRODUCTOS31316[],2,FALSE)</f>
        <v>0</v>
      </c>
      <c r="S1951" s="1" t="str">
        <f>VLOOKUP(SALIDAS111518[[#This Row],[CÓDIGO]],PRODUCTOS31316[],3,FALSE)</f>
        <v>FUNDA UNIVERSAL PARA I.A. RANURADA</v>
      </c>
      <c r="T1951" s="2">
        <v>40</v>
      </c>
      <c r="U1951" s="2">
        <v>864</v>
      </c>
      <c r="V1951" s="2"/>
      <c r="W1951" s="2"/>
      <c r="X1951" s="2"/>
      <c r="Y1951" s="7"/>
      <c r="Z1951" s="2"/>
      <c r="AA1951" s="1"/>
      <c r="AC1951" s="2"/>
      <c r="AE1951" s="1"/>
      <c r="AG1951" s="2"/>
    </row>
    <row r="1952" spans="12:33" ht="49.95" customHeight="1" x14ac:dyDescent="0.3">
      <c r="L1952" s="374" t="s">
        <v>3521</v>
      </c>
      <c r="M1952" s="374" t="s">
        <v>4922</v>
      </c>
      <c r="N1952" s="374" t="s">
        <v>5433</v>
      </c>
      <c r="O1952" s="375" t="s">
        <v>5430</v>
      </c>
      <c r="P1952" s="16">
        <v>46167</v>
      </c>
      <c r="Q1952" s="374" t="s">
        <v>2755</v>
      </c>
      <c r="R1952" s="2" t="str">
        <f>VLOOKUP(SALIDAS111518[[#This Row],[CÓDIGO]],PRODUCTOS31316[],2,FALSE)</f>
        <v>MSLDO05</v>
      </c>
      <c r="S1952" s="1" t="str">
        <f>VLOOKUP(SALIDAS111518[[#This Row],[CÓDIGO]],PRODUCTOS31316[],3,FALSE)</f>
        <v>TERMO DE RECOLECCIÓN DE SEMEN/ USO VETERINARIO</v>
      </c>
      <c r="T1952" s="2">
        <v>1</v>
      </c>
      <c r="U1952" s="2">
        <v>865</v>
      </c>
      <c r="V1952" s="2"/>
      <c r="W1952" s="2"/>
      <c r="X1952" s="2"/>
      <c r="Y1952" s="7"/>
      <c r="Z1952" s="2"/>
      <c r="AA1952" s="1"/>
      <c r="AC1952" s="2"/>
      <c r="AE1952" s="1"/>
      <c r="AG1952" s="2"/>
    </row>
    <row r="1953" spans="12:33" ht="49.95" customHeight="1" x14ac:dyDescent="0.3">
      <c r="L1953" s="374" t="s">
        <v>3521</v>
      </c>
      <c r="M1953" s="374" t="s">
        <v>4922</v>
      </c>
      <c r="N1953" s="374" t="s">
        <v>5429</v>
      </c>
      <c r="O1953" s="374" t="s">
        <v>5428</v>
      </c>
      <c r="P1953" s="16">
        <v>46168</v>
      </c>
      <c r="Q1953" s="374" t="s">
        <v>20</v>
      </c>
      <c r="R1953" s="2" t="str">
        <f>VLOOKUP(SALIDAS111518[[#This Row],[CÓDIGO]],PRODUCTOS31316[],2,FALSE)</f>
        <v>L60</v>
      </c>
      <c r="S1953" s="1" t="str">
        <f>VLOOKUP(SALIDAS111518[[#This Row],[CÓDIGO]],PRODUCTOS31316[],3,FALSE)</f>
        <v>ECOGRAFO POTATIL L60 CON SONDA LINEAL RECTAL</v>
      </c>
      <c r="T1953" s="2">
        <v>1</v>
      </c>
      <c r="U1953" s="2">
        <v>867</v>
      </c>
      <c r="V1953" s="2"/>
      <c r="W1953" s="2"/>
      <c r="X1953" s="2"/>
      <c r="Y1953" s="7"/>
      <c r="Z1953" s="2"/>
      <c r="AA1953" s="1"/>
      <c r="AC1953" s="2"/>
      <c r="AE1953" s="1"/>
      <c r="AG1953" s="2"/>
    </row>
    <row r="1954" spans="12:33" ht="49.95" customHeight="1" x14ac:dyDescent="0.3">
      <c r="L1954" s="374" t="s">
        <v>3520</v>
      </c>
      <c r="M1954" s="374" t="s">
        <v>4922</v>
      </c>
      <c r="N1954" s="374" t="s">
        <v>5427</v>
      </c>
      <c r="O1954" s="374" t="s">
        <v>1358</v>
      </c>
      <c r="P1954" s="16">
        <v>46168</v>
      </c>
      <c r="Q1954" s="374" t="s">
        <v>27</v>
      </c>
      <c r="R1954" s="2" t="str">
        <f>VLOOKUP(SALIDAS111518[[#This Row],[CÓDIGO]],PRODUCTOS31316[],2,FALSE)</f>
        <v>INO-025/ 508001</v>
      </c>
      <c r="S1954" s="1" t="str">
        <f>VLOOKUP(SALIDAS111518[[#This Row],[CÓDIGO]],PRODUCTOS31316[],3,FALSE)</f>
        <v>PISTOLA DE TRANSFERENCIA DE EMBRIONES</v>
      </c>
      <c r="T1954" s="2">
        <v>2</v>
      </c>
      <c r="U1954" s="2">
        <v>870</v>
      </c>
      <c r="V1954" s="2"/>
      <c r="W1954" s="2"/>
      <c r="X1954" s="2"/>
      <c r="Y1954" s="7"/>
      <c r="Z1954" s="2"/>
      <c r="AA1954" s="1"/>
      <c r="AC1954" s="2"/>
      <c r="AE1954" s="1"/>
      <c r="AG1954" s="2"/>
    </row>
    <row r="1955" spans="12:33" ht="49.95" customHeight="1" x14ac:dyDescent="0.3">
      <c r="L1955" s="374" t="s">
        <v>3520</v>
      </c>
      <c r="M1955" s="374" t="s">
        <v>4922</v>
      </c>
      <c r="N1955" s="2">
        <v>15328</v>
      </c>
      <c r="O1955" s="374" t="s">
        <v>5060</v>
      </c>
      <c r="P1955" s="16">
        <v>46168</v>
      </c>
      <c r="Q1955" s="374" t="s">
        <v>104</v>
      </c>
      <c r="R1955" s="2">
        <f>VLOOKUP(SALIDAS111518[[#This Row],[CÓDIGO]],PRODUCTOS31316[],2,FALSE)</f>
        <v>0</v>
      </c>
      <c r="S1955" s="1" t="str">
        <f>VLOOKUP(SALIDAS111518[[#This Row],[CÓDIGO]],PRODUCTOS31316[],3,FALSE)</f>
        <v>ISPERM CHIPS (500 TESTS PER BOX) PAQ. X 50 UND</v>
      </c>
      <c r="T1955" s="2">
        <v>1</v>
      </c>
      <c r="U1955" s="15"/>
      <c r="V1955" s="2"/>
      <c r="W1955" s="2"/>
      <c r="X1955" s="2"/>
      <c r="Y1955" s="7"/>
      <c r="Z1955" s="2"/>
      <c r="AA1955" s="1"/>
      <c r="AC1955" s="2"/>
      <c r="AE1955" s="1"/>
      <c r="AG1955" s="2"/>
    </row>
    <row r="1956" spans="12:33" ht="49.95" customHeight="1" x14ac:dyDescent="0.3">
      <c r="L1956" s="374" t="s">
        <v>3520</v>
      </c>
      <c r="M1956" s="374" t="s">
        <v>4922</v>
      </c>
      <c r="N1956" s="354" t="s">
        <v>5576</v>
      </c>
      <c r="O1956" s="368" t="s">
        <v>3136</v>
      </c>
      <c r="P1956" s="346">
        <v>46168</v>
      </c>
      <c r="Q1956" s="2" t="s">
        <v>3699</v>
      </c>
      <c r="R1956" s="2">
        <f>VLOOKUP(SALIDAS111518[[#This Row],[CÓDIGO]],PRODUCTOS31316[],2,FALSE)</f>
        <v>5569</v>
      </c>
      <c r="S1956" s="1" t="str">
        <f>VLOOKUP(SALIDAS111518[[#This Row],[CÓDIGO]],PRODUCTOS31316[],3,FALSE)</f>
        <v>PAJUELA TRANSPARENTES 0.50/ PAQ. X 2000 MARCA IMV</v>
      </c>
      <c r="T1956" s="2">
        <v>1</v>
      </c>
      <c r="U1956" s="2"/>
      <c r="V1956" s="2"/>
      <c r="W1956" s="2"/>
      <c r="X1956" s="2"/>
      <c r="Y1956" s="7"/>
      <c r="Z1956" s="2"/>
      <c r="AA1956" s="1"/>
      <c r="AC1956" s="2"/>
      <c r="AE1956" s="1"/>
      <c r="AG1956" s="2"/>
    </row>
    <row r="1957" spans="12:33" ht="49.95" customHeight="1" x14ac:dyDescent="0.3">
      <c r="L1957" s="2"/>
      <c r="M1957" s="2"/>
      <c r="N1957" s="2">
        <v>8464</v>
      </c>
      <c r="O1957" s="374" t="s">
        <v>3136</v>
      </c>
      <c r="P1957" s="16">
        <v>46168</v>
      </c>
      <c r="Q1957" s="2" t="s">
        <v>369</v>
      </c>
      <c r="R1957" s="2">
        <f>VLOOKUP(SALIDAS111518[[#This Row],[CÓDIGO]],PRODUCTOS31316[],2,FALSE)</f>
        <v>0</v>
      </c>
      <c r="S1957" s="1" t="str">
        <f>VLOOKUP(SALIDAS111518[[#This Row],[CÓDIGO]],PRODUCTOS31316[],3,FALSE)</f>
        <v>FUNDA UNIVERSAL PARA I.A. RANURADA</v>
      </c>
      <c r="T1957" s="2">
        <v>1</v>
      </c>
      <c r="U1957" s="2"/>
      <c r="V1957" s="2"/>
      <c r="W1957" s="2"/>
      <c r="X1957" s="2"/>
      <c r="Y1957" s="7"/>
      <c r="Z1957" s="2"/>
      <c r="AA1957" s="1"/>
      <c r="AC1957" s="2"/>
      <c r="AE1957" s="1"/>
      <c r="AG1957" s="2"/>
    </row>
    <row r="1958" spans="12:33" ht="49.95" customHeight="1" x14ac:dyDescent="0.3">
      <c r="L1958" s="374" t="s">
        <v>3521</v>
      </c>
      <c r="M1958" s="374" t="s">
        <v>4922</v>
      </c>
      <c r="N1958" s="374" t="s">
        <v>5424</v>
      </c>
      <c r="O1958" s="374" t="s">
        <v>2196</v>
      </c>
      <c r="P1958" s="16">
        <v>46168</v>
      </c>
      <c r="Q1958" s="374" t="s">
        <v>63</v>
      </c>
      <c r="R1958" s="2">
        <f>VLOOKUP(SALIDAS111518[[#This Row],[CÓDIGO]],PRODUCTOS31316[],2,FALSE)</f>
        <v>25458</v>
      </c>
      <c r="S1958" s="1" t="str">
        <f>VLOOKUP(SALIDAS111518[[#This Row],[CÓDIGO]],PRODUCTOS31316[],3,FALSE)</f>
        <v>FILTROS PARA OPU 100 UL</v>
      </c>
      <c r="T1958" s="2">
        <v>1</v>
      </c>
      <c r="U1958" s="2">
        <v>872</v>
      </c>
      <c r="V1958" s="2"/>
      <c r="W1958" s="2"/>
      <c r="X1958" s="2"/>
      <c r="Y1958" s="7"/>
      <c r="Z1958" s="2"/>
      <c r="AA1958" s="1"/>
      <c r="AC1958" s="2"/>
      <c r="AE1958" s="1"/>
      <c r="AG1958" s="2"/>
    </row>
    <row r="1959" spans="12:33" ht="49.95" customHeight="1" x14ac:dyDescent="0.3">
      <c r="L1959" s="2"/>
      <c r="M1959" s="2"/>
      <c r="N1959" s="2">
        <v>8457</v>
      </c>
      <c r="O1959" s="374" t="s">
        <v>2196</v>
      </c>
      <c r="P1959" s="16">
        <v>46168</v>
      </c>
      <c r="Q1959" s="374" t="s">
        <v>1722</v>
      </c>
      <c r="R1959" s="2">
        <f>VLOOKUP(SALIDAS111518[[#This Row],[CÓDIGO]],PRODUCTOS31316[],2,FALSE)</f>
        <v>10191</v>
      </c>
      <c r="S1959" s="1" t="str">
        <f>VLOOKUP(SALIDAS111518[[#This Row],[CÓDIGO]],PRODUCTOS31316[],3,FALSE)</f>
        <v>PUNTERA DE AGUJA GUÍA OPU WTA</v>
      </c>
      <c r="T1959" s="2">
        <v>1</v>
      </c>
      <c r="U1959" s="2"/>
      <c r="V1959" s="2"/>
      <c r="W1959" s="2"/>
      <c r="X1959" s="2"/>
      <c r="Y1959" s="7"/>
      <c r="Z1959" s="2"/>
      <c r="AA1959" s="1"/>
      <c r="AC1959" s="2"/>
      <c r="AE1959" s="1"/>
      <c r="AG1959" s="2"/>
    </row>
    <row r="1960" spans="12:33" ht="49.95" customHeight="1" x14ac:dyDescent="0.3">
      <c r="L1960" s="374" t="s">
        <v>3520</v>
      </c>
      <c r="M1960" s="374" t="s">
        <v>4922</v>
      </c>
      <c r="N1960" s="374" t="s">
        <v>5426</v>
      </c>
      <c r="O1960" s="374" t="s">
        <v>5425</v>
      </c>
      <c r="P1960" s="16">
        <v>46169</v>
      </c>
      <c r="Q1960" s="374" t="s">
        <v>15</v>
      </c>
      <c r="R1960" s="2" t="str">
        <f>VLOOKUP(SALIDAS111518[[#This Row],[CÓDIGO]],PRODUCTOS31316[],2,FALSE)</f>
        <v>BTE-025PT/ 504002</v>
      </c>
      <c r="S1960" s="1" t="str">
        <f>VLOOKUP(SALIDAS111518[[#This Row],[CÓDIGO]],PRODUCTOS31316[],3,FALSE)</f>
        <v>FUNDAS PARA TRANSFERENCIA DE EMBRIONES</v>
      </c>
      <c r="T1960" s="2">
        <v>30</v>
      </c>
      <c r="U1960" s="2">
        <v>871</v>
      </c>
      <c r="V1960" s="2"/>
      <c r="W1960" s="2"/>
      <c r="X1960" s="2"/>
      <c r="Y1960" s="7"/>
      <c r="Z1960" s="2"/>
      <c r="AA1960" s="1"/>
      <c r="AC1960" s="2"/>
      <c r="AE1960" s="1"/>
      <c r="AG1960" s="2"/>
    </row>
    <row r="1961" spans="12:33" ht="49.95" customHeight="1" x14ac:dyDescent="0.3">
      <c r="L1961" s="374" t="s">
        <v>3520</v>
      </c>
      <c r="M1961" s="374" t="s">
        <v>4922</v>
      </c>
      <c r="N1961" s="2">
        <v>15311</v>
      </c>
      <c r="O1961" s="374" t="s">
        <v>3257</v>
      </c>
      <c r="P1961" s="16">
        <v>46169</v>
      </c>
      <c r="Q1961" s="374" t="s">
        <v>15</v>
      </c>
      <c r="R1961" s="2" t="str">
        <f>VLOOKUP(SALIDAS111518[[#This Row],[CÓDIGO]],PRODUCTOS31316[],2,FALSE)</f>
        <v>BTE-025PT/ 504002</v>
      </c>
      <c r="S1961" s="1" t="str">
        <f>VLOOKUP(SALIDAS111518[[#This Row],[CÓDIGO]],PRODUCTOS31316[],3,FALSE)</f>
        <v>FUNDAS PARA TRANSFERENCIA DE EMBRIONES</v>
      </c>
      <c r="T1961" s="2">
        <v>340</v>
      </c>
      <c r="U1961" s="2">
        <v>873</v>
      </c>
      <c r="V1961" s="2"/>
      <c r="W1961" s="374" t="s">
        <v>2823</v>
      </c>
      <c r="X1961" s="2"/>
      <c r="Y1961" s="7"/>
      <c r="Z1961" s="2"/>
      <c r="AA1961" s="1"/>
      <c r="AC1961" s="2"/>
      <c r="AE1961" s="1"/>
      <c r="AG1961" s="2"/>
    </row>
    <row r="1962" spans="12:33" ht="49.95" customHeight="1" x14ac:dyDescent="0.3">
      <c r="L1962" s="2"/>
      <c r="M1962" s="2"/>
      <c r="N1962" s="2"/>
      <c r="O1962" s="374" t="s">
        <v>3257</v>
      </c>
      <c r="P1962" s="16">
        <v>46169</v>
      </c>
      <c r="Q1962" s="374" t="s">
        <v>1779</v>
      </c>
      <c r="R1962" s="2">
        <f>VLOOKUP(SALIDAS111518[[#This Row],[CÓDIGO]],PRODUCTOS31316[],2,FALSE)</f>
        <v>5563</v>
      </c>
      <c r="S1962" s="1" t="str">
        <f>VLOOKUP(SALIDAS111518[[#This Row],[CÓDIGO]],PRODUCTOS31316[],3,FALSE)</f>
        <v>CAMISA SANITARIA ROLLO X 80</v>
      </c>
      <c r="T1962" s="2">
        <v>18</v>
      </c>
      <c r="U1962" s="2"/>
      <c r="V1962" s="2"/>
      <c r="W1962" s="2"/>
      <c r="X1962" s="2"/>
      <c r="Y1962" s="7"/>
      <c r="Z1962" s="2"/>
      <c r="AA1962" s="1"/>
      <c r="AC1962" s="2"/>
      <c r="AE1962" s="1"/>
      <c r="AG1962" s="2"/>
    </row>
    <row r="1963" spans="12:33" ht="49.95" customHeight="1" x14ac:dyDescent="0.3">
      <c r="L1963" s="374" t="s">
        <v>3520</v>
      </c>
      <c r="M1963" s="374" t="s">
        <v>4922</v>
      </c>
      <c r="N1963" s="374" t="s">
        <v>5423</v>
      </c>
      <c r="O1963" s="374" t="s">
        <v>2723</v>
      </c>
      <c r="P1963" s="16">
        <v>46169</v>
      </c>
      <c r="Q1963" s="374" t="s">
        <v>33</v>
      </c>
      <c r="R1963" s="2" t="str">
        <f>VLOOKUP(SALIDAS111518[[#This Row],[CÓDIGO]],PRODUCTOS31316[],2,FALSE)</f>
        <v>LA-120 /506003</v>
      </c>
      <c r="S1963" s="1" t="str">
        <f>VLOOKUP(SALIDAS111518[[#This Row],[CÓDIGO]],PRODUCTOS31316[],3,FALSE)</f>
        <v>LíNEA PARA OPU 1,2 METROS</v>
      </c>
      <c r="T1963" s="2">
        <v>4</v>
      </c>
      <c r="U1963" s="2">
        <v>874</v>
      </c>
      <c r="V1963" s="2"/>
      <c r="W1963" s="2"/>
      <c r="X1963" s="2"/>
      <c r="Y1963" s="7"/>
      <c r="Z1963" s="2"/>
      <c r="AA1963" s="1"/>
      <c r="AC1963" s="2"/>
      <c r="AE1963" s="1"/>
      <c r="AG1963" s="2"/>
    </row>
    <row r="1964" spans="12:33" ht="49.95" customHeight="1" x14ac:dyDescent="0.3">
      <c r="L1964" s="2"/>
      <c r="M1964" s="2"/>
      <c r="N1964" s="2">
        <v>8459</v>
      </c>
      <c r="O1964" s="374" t="s">
        <v>2723</v>
      </c>
      <c r="P1964" s="16">
        <v>46169</v>
      </c>
      <c r="Q1964" s="374" t="s">
        <v>70</v>
      </c>
      <c r="R1964" s="2">
        <f>VLOOKUP(SALIDAS111518[[#This Row],[CÓDIGO]],PRODUCTOS31316[],2,FALSE)</f>
        <v>25458</v>
      </c>
      <c r="S1964" s="1" t="str">
        <f>VLOOKUP(SALIDAS111518[[#This Row],[CÓDIGO]],PRODUCTOS31316[],3,FALSE)</f>
        <v>FILTROS PARA OPU 100 UL</v>
      </c>
      <c r="T1964" s="2">
        <v>4</v>
      </c>
      <c r="U1964" s="2"/>
      <c r="V1964" s="2"/>
      <c r="W1964" s="2"/>
      <c r="X1964" s="2"/>
      <c r="Y1964" s="7"/>
      <c r="Z1964" s="2"/>
      <c r="AA1964" s="1"/>
      <c r="AC1964" s="2"/>
      <c r="AE1964" s="1"/>
      <c r="AG1964" s="2"/>
    </row>
    <row r="1965" spans="12:33" ht="49.95" customHeight="1" x14ac:dyDescent="0.3">
      <c r="L1965" s="2"/>
      <c r="M1965" s="2"/>
      <c r="N1965" s="2">
        <v>8459</v>
      </c>
      <c r="O1965" s="374" t="s">
        <v>2723</v>
      </c>
      <c r="P1965" s="16">
        <v>46169</v>
      </c>
      <c r="Q1965" s="374" t="s">
        <v>58</v>
      </c>
      <c r="R1965" s="2" t="str">
        <f>VLOOKUP(SALIDAS111518[[#This Row],[CÓDIGO]],PRODUCTOS31316[],2,FALSE)</f>
        <v>TNB-0001-16</v>
      </c>
      <c r="S1965" s="1" t="str">
        <f>VLOOKUP(SALIDAS111518[[#This Row],[CÓDIGO]],PRODUCTOS31316[],3,FALSE)</f>
        <v>CAMISA SANITARIA PARA OPU ASPIRACIÓN FOLICULAR</v>
      </c>
      <c r="T1965" s="2">
        <v>1</v>
      </c>
      <c r="U1965" s="2"/>
      <c r="V1965" s="2"/>
      <c r="W1965" s="2"/>
      <c r="X1965" s="2"/>
      <c r="Y1965" s="7"/>
      <c r="Z1965" s="2"/>
      <c r="AA1965" s="1"/>
      <c r="AC1965" s="2"/>
      <c r="AE1965" s="1"/>
      <c r="AG1965" s="2"/>
    </row>
    <row r="1966" spans="12:33" ht="49.95" customHeight="1" x14ac:dyDescent="0.3">
      <c r="L1966" s="2"/>
      <c r="M1966" s="2"/>
      <c r="N1966" s="2">
        <v>8459</v>
      </c>
      <c r="O1966" s="374" t="s">
        <v>2723</v>
      </c>
      <c r="P1966" s="16">
        <v>46169</v>
      </c>
      <c r="Q1966" s="374" t="s">
        <v>4386</v>
      </c>
      <c r="R1966" s="2">
        <f>VLOOKUP(SALIDAS111518[[#This Row],[CÓDIGO]],PRODUCTOS31316[],2,FALSE)</f>
        <v>754001</v>
      </c>
      <c r="S1966" s="1" t="str">
        <f>VLOOKUP(SALIDAS111518[[#This Row],[CÓDIGO]],PRODUCTOS31316[],3,FALSE)</f>
        <v>CAJA PETRI DESECHABLE ESTERIL 60X15MM MARCA: NEST</v>
      </c>
      <c r="T1966" s="2">
        <v>1</v>
      </c>
      <c r="U1966" s="2"/>
      <c r="V1966" s="2"/>
      <c r="W1966" s="2"/>
      <c r="X1966" s="2"/>
      <c r="Y1966" s="7"/>
      <c r="Z1966" s="2"/>
      <c r="AA1966" s="1"/>
      <c r="AC1966" s="2"/>
      <c r="AE1966" s="1"/>
      <c r="AG1966" s="2"/>
    </row>
    <row r="1967" spans="12:33" ht="49.95" customHeight="1" x14ac:dyDescent="0.3">
      <c r="L1967" s="374" t="s">
        <v>3520</v>
      </c>
      <c r="M1967" s="374" t="s">
        <v>4922</v>
      </c>
      <c r="N1967" s="374" t="s">
        <v>5422</v>
      </c>
      <c r="O1967" s="374" t="s">
        <v>2384</v>
      </c>
      <c r="P1967" s="16">
        <v>46169</v>
      </c>
      <c r="Q1967" s="374" t="s">
        <v>167</v>
      </c>
      <c r="R1967" s="2" t="str">
        <f>VLOOKUP(SALIDAS111518[[#This Row],[CÓDIGO]],PRODUCTOS31316[],2,FALSE)</f>
        <v>50050-1</v>
      </c>
      <c r="S1967" s="1" t="str">
        <f>VLOOKUP(SALIDAS111518[[#This Row],[CÓDIGO]],PRODUCTOS31316[],3,FALSE)</f>
        <v>TUBO CONICO PLUG, AUTOCLAVABLE ESTERIL  TAPA ROSCA DE 50 ML</v>
      </c>
      <c r="T1967" s="2">
        <v>3</v>
      </c>
      <c r="U1967" s="2">
        <v>875</v>
      </c>
      <c r="V1967" s="2"/>
      <c r="W1967" s="2"/>
      <c r="X1967" s="2"/>
      <c r="Y1967" s="7"/>
      <c r="Z1967" s="2"/>
      <c r="AA1967" s="1"/>
      <c r="AC1967" s="2"/>
      <c r="AE1967" s="1"/>
      <c r="AG1967" s="2"/>
    </row>
    <row r="1968" spans="12:33" ht="49.95" customHeight="1" x14ac:dyDescent="0.3">
      <c r="L1968" s="374" t="s">
        <v>3521</v>
      </c>
      <c r="M1968" s="374" t="s">
        <v>4922</v>
      </c>
      <c r="N1968" s="374" t="s">
        <v>5421</v>
      </c>
      <c r="O1968" s="375" t="s">
        <v>3426</v>
      </c>
      <c r="P1968" s="16">
        <v>46169</v>
      </c>
      <c r="Q1968" s="374" t="s">
        <v>2382</v>
      </c>
      <c r="R1968" s="2">
        <f>VLOOKUP(SALIDAS111518[[#This Row],[CÓDIGO]],PRODUCTOS31316[],2,FALSE)</f>
        <v>1</v>
      </c>
      <c r="S1968" s="1" t="str">
        <f>VLOOKUP(SALIDAS111518[[#This Row],[CÓDIGO]],PRODUCTOS31316[],3,FALSE)</f>
        <v>TERMO DE TRANSPORTE 1 LITRO</v>
      </c>
      <c r="T1968" s="2">
        <v>1</v>
      </c>
      <c r="U1968" s="2">
        <v>876</v>
      </c>
      <c r="V1968" s="2"/>
      <c r="W1968" s="2"/>
      <c r="X1968" s="2"/>
      <c r="Y1968" s="7"/>
      <c r="Z1968" s="2"/>
      <c r="AA1968" s="1"/>
      <c r="AC1968" s="2"/>
      <c r="AE1968" s="1"/>
      <c r="AG1968" s="2"/>
    </row>
    <row r="1969" spans="12:33" ht="49.95" customHeight="1" x14ac:dyDescent="0.3">
      <c r="L1969" s="374" t="s">
        <v>3520</v>
      </c>
      <c r="M1969" s="374" t="s">
        <v>4922</v>
      </c>
      <c r="N1969" s="374" t="s">
        <v>5420</v>
      </c>
      <c r="O1969" s="374" t="s">
        <v>2344</v>
      </c>
      <c r="P1969" s="16">
        <v>46169</v>
      </c>
      <c r="Q1969" s="374" t="s">
        <v>2755</v>
      </c>
      <c r="R1969" s="2" t="str">
        <f>VLOOKUP(SALIDAS111518[[#This Row],[CÓDIGO]],PRODUCTOS31316[],2,FALSE)</f>
        <v>MSLDO05</v>
      </c>
      <c r="S1969" s="1" t="str">
        <f>VLOOKUP(SALIDAS111518[[#This Row],[CÓDIGO]],PRODUCTOS31316[],3,FALSE)</f>
        <v>TERMO DE RECOLECCIÓN DE SEMEN/ USO VETERINARIO</v>
      </c>
      <c r="T1969" s="2">
        <v>3</v>
      </c>
      <c r="U1969" s="2">
        <v>877</v>
      </c>
      <c r="V1969" s="2"/>
      <c r="W1969" s="2"/>
      <c r="X1969" s="2"/>
      <c r="Y1969" s="7"/>
      <c r="Z1969" s="2"/>
      <c r="AA1969" s="1"/>
      <c r="AC1969" s="2"/>
      <c r="AE1969" s="1"/>
      <c r="AG1969" s="2"/>
    </row>
    <row r="1970" spans="12:33" ht="49.95" customHeight="1" x14ac:dyDescent="0.3">
      <c r="L1970" s="374" t="s">
        <v>3520</v>
      </c>
      <c r="M1970" s="374" t="s">
        <v>4922</v>
      </c>
      <c r="N1970" s="374" t="s">
        <v>5418</v>
      </c>
      <c r="O1970" s="374" t="s">
        <v>2241</v>
      </c>
      <c r="P1970" s="16">
        <v>46169</v>
      </c>
      <c r="Q1970" s="374" t="s">
        <v>2360</v>
      </c>
      <c r="R1970" s="2">
        <f>VLOOKUP(SALIDAS111518[[#This Row],[CÓDIGO]],PRODUCTOS31316[],2,FALSE)</f>
        <v>0</v>
      </c>
      <c r="S1970" s="1" t="str">
        <f>VLOOKUP(SALIDAS111518[[#This Row],[CÓDIGO]],PRODUCTOS31316[],3,FALSE)</f>
        <v>ADAPTADOR DE CELULAR PARA MICROSCOPIO</v>
      </c>
      <c r="T1970" s="2">
        <v>3</v>
      </c>
      <c r="U1970" s="2">
        <v>878</v>
      </c>
      <c r="V1970" s="2"/>
      <c r="W1970" s="374" t="s">
        <v>3412</v>
      </c>
      <c r="X1970" s="2"/>
      <c r="Y1970" s="7"/>
      <c r="Z1970" s="2"/>
      <c r="AA1970" s="1"/>
      <c r="AC1970" s="2"/>
      <c r="AE1970" s="1"/>
      <c r="AG1970" s="2"/>
    </row>
    <row r="1971" spans="12:33" ht="49.95" customHeight="1" x14ac:dyDescent="0.3">
      <c r="L1971" s="2"/>
      <c r="M1971" s="2"/>
      <c r="N1971" s="2">
        <v>8465</v>
      </c>
      <c r="O1971" s="374" t="s">
        <v>2241</v>
      </c>
      <c r="P1971" s="16">
        <v>46169</v>
      </c>
      <c r="Q1971" s="374" t="s">
        <v>2406</v>
      </c>
      <c r="R1971" s="2">
        <f>VLOOKUP(SALIDAS111518[[#This Row],[CÓDIGO]],PRODUCTOS31316[],2,FALSE)</f>
        <v>28801</v>
      </c>
      <c r="S1971" s="1" t="str">
        <f>VLOOKUP(SALIDAS111518[[#This Row],[CÓDIGO]],PRODUCTOS31316[],3,FALSE)</f>
        <v>FUNDA DE INSEMINACIÓN 3W 0,25</v>
      </c>
      <c r="T1971" s="2">
        <v>1</v>
      </c>
      <c r="U1971" s="2"/>
      <c r="V1971" s="2"/>
      <c r="W1971" s="2"/>
      <c r="X1971" s="2"/>
      <c r="Y1971" s="7"/>
      <c r="Z1971" s="2"/>
      <c r="AA1971" s="1"/>
      <c r="AC1971" s="2"/>
      <c r="AE1971" s="1"/>
      <c r="AG1971" s="2"/>
    </row>
    <row r="1972" spans="12:33" ht="49.95" customHeight="1" x14ac:dyDescent="0.3">
      <c r="L1972" s="374" t="s">
        <v>3521</v>
      </c>
      <c r="M1972" s="374" t="s">
        <v>4922</v>
      </c>
      <c r="N1972" s="374" t="s">
        <v>5417</v>
      </c>
      <c r="O1972" s="374" t="s">
        <v>5416</v>
      </c>
      <c r="P1972" s="16">
        <v>46169</v>
      </c>
      <c r="Q1972" s="374" t="s">
        <v>438</v>
      </c>
      <c r="R1972" s="2">
        <f>VLOOKUP(SALIDAS111518[[#This Row],[CÓDIGO]],PRODUCTOS31316[],2,FALSE)</f>
        <v>18421</v>
      </c>
      <c r="S1972" s="1" t="str">
        <f>VLOOKUP(SALIDAS111518[[#This Row],[CÓDIGO]],PRODUCTOS31316[],3,FALSE)</f>
        <v xml:space="preserve">PISTOLA DE TRANSFERENCIA DE EMBRIONES 0,25 / BLOQUEO AUTOMÁTICO </v>
      </c>
      <c r="T1972" s="2">
        <v>1</v>
      </c>
      <c r="U1972" s="2">
        <v>879</v>
      </c>
      <c r="V1972" s="2"/>
      <c r="W1972" s="2"/>
      <c r="X1972" s="2"/>
      <c r="Y1972" s="7"/>
      <c r="Z1972" s="2"/>
      <c r="AA1972" s="1"/>
      <c r="AC1972" s="2"/>
      <c r="AE1972" s="1"/>
      <c r="AG1972" s="2"/>
    </row>
    <row r="1973" spans="12:33" ht="49.95" customHeight="1" x14ac:dyDescent="0.3">
      <c r="L1973" s="2"/>
      <c r="M1973" s="2"/>
      <c r="N1973" s="2">
        <v>8466</v>
      </c>
      <c r="O1973" s="374" t="s">
        <v>5416</v>
      </c>
      <c r="P1973" s="16">
        <v>46169</v>
      </c>
      <c r="Q1973" s="374" t="s">
        <v>15</v>
      </c>
      <c r="R1973" s="2" t="str">
        <f>VLOOKUP(SALIDAS111518[[#This Row],[CÓDIGO]],PRODUCTOS31316[],2,FALSE)</f>
        <v>BTE-025PT/ 504002</v>
      </c>
      <c r="S1973" s="1" t="str">
        <f>VLOOKUP(SALIDAS111518[[#This Row],[CÓDIGO]],PRODUCTOS31316[],3,FALSE)</f>
        <v>FUNDAS PARA TRANSFERENCIA DE EMBRIONES</v>
      </c>
      <c r="T1973" s="2">
        <v>1</v>
      </c>
      <c r="U1973" s="2"/>
      <c r="V1973" s="2"/>
      <c r="W1973" s="2"/>
      <c r="X1973" s="2"/>
      <c r="Y1973" s="7"/>
      <c r="Z1973" s="2"/>
      <c r="AA1973" s="1"/>
      <c r="AC1973" s="2"/>
      <c r="AE1973" s="1"/>
      <c r="AG1973" s="2"/>
    </row>
    <row r="1974" spans="12:33" ht="49.95" customHeight="1" x14ac:dyDescent="0.3">
      <c r="L1974" s="374" t="s">
        <v>3520</v>
      </c>
      <c r="M1974" s="374" t="s">
        <v>4922</v>
      </c>
      <c r="N1974" s="374" t="s">
        <v>5415</v>
      </c>
      <c r="O1974" s="374" t="s">
        <v>2204</v>
      </c>
      <c r="P1974" s="16">
        <v>46169</v>
      </c>
      <c r="Q1974" s="374" t="s">
        <v>58</v>
      </c>
      <c r="R1974" s="2" t="str">
        <f>VLOOKUP(SALIDAS111518[[#This Row],[CÓDIGO]],PRODUCTOS31316[],2,FALSE)</f>
        <v>TNB-0001-16</v>
      </c>
      <c r="S1974" s="1" t="str">
        <f>VLOOKUP(SALIDAS111518[[#This Row],[CÓDIGO]],PRODUCTOS31316[],3,FALSE)</f>
        <v>CAMISA SANITARIA PARA OPU ASPIRACIÓN FOLICULAR</v>
      </c>
      <c r="T1974" s="2">
        <v>2</v>
      </c>
      <c r="U1974" s="2">
        <v>880</v>
      </c>
      <c r="V1974" s="2"/>
      <c r="W1974" s="2"/>
      <c r="X1974" s="2"/>
      <c r="Y1974" s="7"/>
      <c r="Z1974" s="2"/>
      <c r="AA1974" s="1"/>
      <c r="AC1974" s="2"/>
      <c r="AE1974" s="1"/>
      <c r="AG1974" s="2"/>
    </row>
    <row r="1975" spans="12:33" ht="49.95" customHeight="1" x14ac:dyDescent="0.3">
      <c r="L1975" s="374" t="s">
        <v>3520</v>
      </c>
      <c r="M1975" s="374" t="s">
        <v>4922</v>
      </c>
      <c r="N1975" s="374" t="s">
        <v>5414</v>
      </c>
      <c r="O1975" s="375" t="s">
        <v>2716</v>
      </c>
      <c r="P1975" s="16">
        <v>46170</v>
      </c>
      <c r="Q1975" s="374" t="s">
        <v>3710</v>
      </c>
      <c r="R1975" s="2" t="str">
        <f>VLOOKUP(SALIDAS111518[[#This Row],[CÓDIGO]],PRODUCTOS31316[],2,FALSE)</f>
        <v>13408-044</v>
      </c>
      <c r="S1975" s="1" t="str">
        <f>VLOOKUP(SALIDAS111518[[#This Row],[CÓDIGO]],PRODUCTOS31316[],3,FALSE)</f>
        <v>PAJUELA ROJA 0.50/ PAQ. X 2500 MARCA MINITUBE</v>
      </c>
      <c r="T1975" s="2">
        <v>1</v>
      </c>
      <c r="U1975" s="2">
        <v>881</v>
      </c>
      <c r="V1975" s="2"/>
      <c r="W1975" s="2"/>
      <c r="X1975" s="2"/>
      <c r="Y1975" s="7"/>
      <c r="Z1975" s="2"/>
      <c r="AA1975" s="1"/>
      <c r="AC1975" s="2"/>
      <c r="AE1975" s="1"/>
      <c r="AG1975" s="2"/>
    </row>
    <row r="1976" spans="12:33" ht="49.95" customHeight="1" x14ac:dyDescent="0.3">
      <c r="L1976" s="374" t="s">
        <v>3520</v>
      </c>
      <c r="M1976" s="374" t="s">
        <v>4922</v>
      </c>
      <c r="N1976" s="374" t="s">
        <v>5413</v>
      </c>
      <c r="O1976" s="374" t="s">
        <v>4624</v>
      </c>
      <c r="P1976" s="16">
        <v>46170</v>
      </c>
      <c r="Q1976" s="374" t="s">
        <v>3700</v>
      </c>
      <c r="R1976" s="2">
        <f>VLOOKUP(SALIDAS111518[[#This Row],[CÓDIGO]],PRODUCTOS31316[],2,FALSE)</f>
        <v>5709</v>
      </c>
      <c r="S1976" s="1" t="str">
        <f>VLOOKUP(SALIDAS111518[[#This Row],[CÓDIGO]],PRODUCTOS31316[],3,FALSE)</f>
        <v>PAJUELA ROJA 0.50/ PAQ. X 2000 MARCA IMV</v>
      </c>
      <c r="T1976" s="2">
        <v>1</v>
      </c>
      <c r="U1976" s="2">
        <v>882</v>
      </c>
      <c r="V1976" s="2"/>
      <c r="W1976" s="2"/>
      <c r="X1976" s="99"/>
      <c r="Y1976" s="7"/>
      <c r="Z1976" s="2"/>
      <c r="AA1976" s="1"/>
      <c r="AC1976" s="2"/>
      <c r="AE1976" s="1"/>
      <c r="AG1976" s="2"/>
    </row>
    <row r="1977" spans="12:33" ht="49.95" customHeight="1" x14ac:dyDescent="0.3">
      <c r="L1977" s="374" t="s">
        <v>3520</v>
      </c>
      <c r="M1977" s="374" t="s">
        <v>4922</v>
      </c>
      <c r="N1977" s="374" t="s">
        <v>5412</v>
      </c>
      <c r="O1977" s="375" t="s">
        <v>2283</v>
      </c>
      <c r="P1977" s="16">
        <v>46170</v>
      </c>
      <c r="Q1977" s="374" t="s">
        <v>2253</v>
      </c>
      <c r="R1977" s="2">
        <f>VLOOKUP(SALIDAS111518[[#This Row],[CÓDIGO]],PRODUCTOS31316[],2,FALSE)</f>
        <v>26218</v>
      </c>
      <c r="S1977" s="1" t="str">
        <f>VLOOKUP(SALIDAS111518[[#This Row],[CÓDIGO]],PRODUCTOS31316[],3,FALSE)</f>
        <v>OPTIXCELL 250 ML</v>
      </c>
      <c r="T1977" s="2">
        <v>1</v>
      </c>
      <c r="U1977" s="2">
        <v>883</v>
      </c>
      <c r="V1977" s="2"/>
      <c r="W1977" s="2"/>
      <c r="X1977" s="2"/>
      <c r="Y1977" s="7"/>
      <c r="Z1977" s="2"/>
      <c r="AA1977" s="1"/>
      <c r="AC1977" s="2"/>
      <c r="AE1977" s="1"/>
      <c r="AG1977" s="2"/>
    </row>
    <row r="1978" spans="12:33" ht="49.95" customHeight="1" x14ac:dyDescent="0.3">
      <c r="L1978" s="374" t="s">
        <v>3521</v>
      </c>
      <c r="M1978" s="374" t="s">
        <v>4922</v>
      </c>
      <c r="N1978" s="2">
        <v>15303</v>
      </c>
      <c r="O1978" s="374" t="s">
        <v>5411</v>
      </c>
      <c r="P1978" s="16">
        <v>46170</v>
      </c>
      <c r="Q1978" s="374" t="s">
        <v>443</v>
      </c>
      <c r="R1978" s="2">
        <f>VLOOKUP(SALIDAS111518[[#This Row],[CÓDIGO]],PRODUCTOS31316[],2,FALSE)</f>
        <v>23064</v>
      </c>
      <c r="S1978" s="1" t="str">
        <f>VLOOKUP(SALIDAS111518[[#This Row],[CÓDIGO]],PRODUCTOS31316[],3,FALSE)</f>
        <v>TERMO DESCONGELADOR DE SEMEN DE EMBRIONES AZUL</v>
      </c>
      <c r="T1978" s="2">
        <v>1</v>
      </c>
      <c r="U1978" s="2">
        <v>884</v>
      </c>
      <c r="V1978" s="2"/>
      <c r="W1978" s="374" t="s">
        <v>3412</v>
      </c>
      <c r="X1978" s="2"/>
      <c r="Y1978" s="7"/>
      <c r="Z1978" s="2"/>
      <c r="AA1978" s="1"/>
      <c r="AC1978" s="2"/>
      <c r="AE1978" s="1"/>
      <c r="AG1978" s="2"/>
    </row>
    <row r="1979" spans="12:33" ht="49.95" customHeight="1" x14ac:dyDescent="0.3">
      <c r="L1979" s="374" t="s">
        <v>3521</v>
      </c>
      <c r="M1979" s="374" t="s">
        <v>4922</v>
      </c>
      <c r="N1979" s="374" t="s">
        <v>5409</v>
      </c>
      <c r="O1979" s="374" t="s">
        <v>5408</v>
      </c>
      <c r="P1979" s="16">
        <v>46171</v>
      </c>
      <c r="Q1979" s="374" t="s">
        <v>2941</v>
      </c>
      <c r="R1979" s="2">
        <f>VLOOKUP(SALIDAS111518[[#This Row],[CÓDIGO]],PRODUCTOS31316[],2,FALSE)</f>
        <v>1101</v>
      </c>
      <c r="S1979" s="1" t="str">
        <f>VLOOKUP(SALIDAS111518[[#This Row],[CÓDIGO]],PRODUCTOS31316[],3,FALSE)</f>
        <v>ESCROTIMETRO</v>
      </c>
      <c r="T1979" s="2">
        <v>1</v>
      </c>
      <c r="U1979" s="2">
        <v>886</v>
      </c>
      <c r="V1979" s="2"/>
      <c r="W1979" s="2"/>
      <c r="X1979" s="2"/>
      <c r="Y1979" s="7"/>
      <c r="Z1979" s="2"/>
      <c r="AA1979" s="1"/>
      <c r="AC1979" s="2"/>
      <c r="AE1979" s="1"/>
      <c r="AG1979" s="2"/>
    </row>
    <row r="1980" spans="12:33" ht="49.95" customHeight="1" x14ac:dyDescent="0.3">
      <c r="L1980" s="374" t="s">
        <v>3520</v>
      </c>
      <c r="M1980" s="374" t="s">
        <v>4922</v>
      </c>
      <c r="N1980" s="374">
        <v>8475</v>
      </c>
      <c r="O1980" s="374" t="s">
        <v>2949</v>
      </c>
      <c r="P1980" s="16">
        <v>46171</v>
      </c>
      <c r="Q1980" s="374" t="s">
        <v>913</v>
      </c>
      <c r="R1980" s="2" t="str">
        <f>VLOOKUP(SALIDAS111518[[#This Row],[CÓDIGO]],PRODUCTOS31316[],2,FALSE)</f>
        <v>HC-R069</v>
      </c>
      <c r="S1980" s="1" t="str">
        <f>VLOOKUP(SALIDAS111518[[#This Row],[CÓDIGO]],PRODUCTOS31316[],3,FALSE)</f>
        <v>MICROSCOPIO CON PLATINA Y PANTALLA 7"</v>
      </c>
      <c r="T1980" s="2">
        <v>1</v>
      </c>
      <c r="U1980" s="2">
        <v>888</v>
      </c>
      <c r="V1980" s="2"/>
      <c r="W1980" s="2"/>
      <c r="X1980" s="2"/>
      <c r="Y1980" s="7"/>
      <c r="Z1980" s="2"/>
      <c r="AA1980" s="1"/>
      <c r="AC1980" s="2"/>
      <c r="AE1980" s="1"/>
      <c r="AG1980" s="2"/>
    </row>
    <row r="1981" spans="12:33" ht="49.95" customHeight="1" x14ac:dyDescent="0.3">
      <c r="L1981" s="374" t="s">
        <v>3520</v>
      </c>
      <c r="M1981" s="374" t="s">
        <v>4922</v>
      </c>
      <c r="N1981" s="374" t="s">
        <v>5407</v>
      </c>
      <c r="O1981" s="375" t="s">
        <v>2765</v>
      </c>
      <c r="P1981" s="16">
        <v>46171</v>
      </c>
      <c r="Q1981" s="374" t="s">
        <v>3303</v>
      </c>
      <c r="R1981" s="2">
        <f>VLOOKUP(SALIDAS111518[[#This Row],[CÓDIGO]],PRODUCTOS31316[],2,FALSE)</f>
        <v>10</v>
      </c>
      <c r="S1981" s="1" t="str">
        <f>VLOOKUP(SALIDAS111518[[#This Row],[CÓDIGO]],PRODUCTOS31316[],3,FALSE)</f>
        <v>CAJA PETRI 4 POZOS / 3,026X3,026 CM</v>
      </c>
      <c r="T1981" s="2">
        <v>10</v>
      </c>
      <c r="U1981" s="2">
        <v>889</v>
      </c>
      <c r="V1981" s="2"/>
      <c r="W1981" s="2"/>
      <c r="X1981" s="2"/>
      <c r="Y1981" s="7"/>
      <c r="Z1981" s="2"/>
      <c r="AA1981" s="1"/>
      <c r="AC1981" s="2"/>
      <c r="AE1981" s="1"/>
      <c r="AG1981" s="2"/>
    </row>
    <row r="1982" spans="12:33" ht="49.95" customHeight="1" x14ac:dyDescent="0.3">
      <c r="L1982" s="2"/>
      <c r="M1982" s="2"/>
      <c r="N1982" s="2">
        <v>8476</v>
      </c>
      <c r="O1982" s="375" t="s">
        <v>2765</v>
      </c>
      <c r="P1982" s="16">
        <v>46171</v>
      </c>
      <c r="Q1982" s="374" t="s">
        <v>366</v>
      </c>
      <c r="R1982" s="2">
        <f>VLOOKUP(SALIDAS111518[[#This Row],[CÓDIGO]],PRODUCTOS31316[],2,FALSE)</f>
        <v>505003</v>
      </c>
      <c r="S1982" s="1" t="str">
        <f>VLOOKUP(SALIDAS111518[[#This Row],[CÓDIGO]],PRODUCTOS31316[],3,FALSE)</f>
        <v>LACRADOR REDONDO BLANCO</v>
      </c>
      <c r="T1982" s="2">
        <v>1</v>
      </c>
      <c r="U1982" s="2"/>
      <c r="V1982" s="2"/>
      <c r="W1982" s="2"/>
      <c r="X1982" s="2"/>
      <c r="Y1982" s="7"/>
      <c r="Z1982" s="2"/>
      <c r="AA1982" s="1"/>
      <c r="AC1982" s="2"/>
      <c r="AE1982" s="1"/>
      <c r="AG1982" s="2"/>
    </row>
    <row r="1983" spans="12:33" ht="49.95" customHeight="1" x14ac:dyDescent="0.3">
      <c r="L1983" s="2"/>
      <c r="M1983" s="2"/>
      <c r="N1983" s="2">
        <v>8476</v>
      </c>
      <c r="O1983" s="375" t="s">
        <v>2765</v>
      </c>
      <c r="P1983" s="16">
        <v>46171</v>
      </c>
      <c r="Q1983" s="374" t="s">
        <v>4140</v>
      </c>
      <c r="R1983" s="2">
        <f>VLOOKUP(SALIDAS111518[[#This Row],[CÓDIGO]],PRODUCTOS31316[],2,FALSE)</f>
        <v>5575</v>
      </c>
      <c r="S1983" s="1" t="str">
        <f>VLOOKUP(SALIDAS111518[[#This Row],[CÓDIGO]],PRODUCTOS31316[],3,FALSE)</f>
        <v>PAJUELA AMARILLA 0.25/ PAQUETE X 2000</v>
      </c>
      <c r="T1983" s="2">
        <v>1</v>
      </c>
      <c r="U1983" s="2"/>
      <c r="V1983" s="2"/>
      <c r="W1983" s="2"/>
      <c r="X1983" s="2"/>
      <c r="Y1983" s="7"/>
      <c r="Z1983" s="2"/>
      <c r="AA1983" s="1"/>
      <c r="AC1983" s="2"/>
      <c r="AE1983" s="1"/>
      <c r="AG1983" s="2"/>
    </row>
    <row r="1984" spans="12:33" ht="49.95" customHeight="1" x14ac:dyDescent="0.3">
      <c r="L1984" s="374" t="s">
        <v>3521</v>
      </c>
      <c r="M1984" s="374" t="s">
        <v>4922</v>
      </c>
      <c r="N1984" s="374" t="s">
        <v>5406</v>
      </c>
      <c r="O1984" s="374" t="s">
        <v>4125</v>
      </c>
      <c r="P1984" s="16">
        <v>46171</v>
      </c>
      <c r="Q1984" s="374" t="s">
        <v>3594</v>
      </c>
      <c r="R1984" s="2">
        <f>VLOOKUP(SALIDAS111518[[#This Row],[CÓDIGO]],PRODUCTOS31316[],2,FALSE)</f>
        <v>0</v>
      </c>
      <c r="S1984" s="1" t="str">
        <f>VLOOKUP(SALIDAS111518[[#This Row],[CÓDIGO]],PRODUCTOS31316[],3,FALSE)</f>
        <v>ECÓGRAFO SMART FASTSCAN CON SONDA CONVEXA DE 4,0 MhZ</v>
      </c>
      <c r="T1984" s="2">
        <v>1</v>
      </c>
      <c r="U1984" s="2">
        <v>890</v>
      </c>
      <c r="V1984" s="2"/>
      <c r="W1984" s="374" t="s">
        <v>2823</v>
      </c>
      <c r="X1984" s="2"/>
      <c r="Y1984" s="7"/>
      <c r="Z1984" s="2"/>
      <c r="AA1984" s="1"/>
      <c r="AC1984" s="2"/>
      <c r="AE1984" s="1"/>
      <c r="AG1984" s="2"/>
    </row>
    <row r="1985" spans="12:33" ht="49.95" customHeight="1" x14ac:dyDescent="0.3">
      <c r="L1985" s="2"/>
      <c r="M1985" s="2"/>
      <c r="N1985" s="2">
        <v>8477</v>
      </c>
      <c r="O1985" s="374" t="s">
        <v>4125</v>
      </c>
      <c r="P1985" s="16">
        <v>46171</v>
      </c>
      <c r="Q1985" s="374" t="s">
        <v>3365</v>
      </c>
      <c r="R1985" s="2">
        <f>VLOOKUP(SALIDAS111518[[#This Row],[CÓDIGO]],PRODUCTOS31316[],2,FALSE)</f>
        <v>0</v>
      </c>
      <c r="S1985" s="1" t="str">
        <f>VLOOKUP(SALIDAS111518[[#This Row],[CÓDIGO]],PRODUCTOS31316[],3,FALSE)</f>
        <v>MANGA DE PROTECCIÓN PALPACIÓN MAS CAMPO</v>
      </c>
      <c r="T1985" s="2">
        <v>1</v>
      </c>
      <c r="U1985" s="2"/>
      <c r="V1985" s="2"/>
      <c r="W1985" s="2"/>
      <c r="X1985" s="2"/>
      <c r="Y1985" s="7"/>
      <c r="Z1985" s="2"/>
      <c r="AA1985" s="1"/>
      <c r="AC1985" s="2"/>
      <c r="AE1985" s="1"/>
      <c r="AG1985" s="2"/>
    </row>
    <row r="1986" spans="12:33" ht="49.95" customHeight="1" x14ac:dyDescent="0.3">
      <c r="L1986" s="374" t="s">
        <v>3520</v>
      </c>
      <c r="M1986" s="374" t="s">
        <v>4922</v>
      </c>
      <c r="N1986" s="374" t="s">
        <v>5404</v>
      </c>
      <c r="O1986" s="375" t="s">
        <v>3120</v>
      </c>
      <c r="P1986" s="16">
        <v>46171</v>
      </c>
      <c r="Q1986" s="374" t="s">
        <v>104</v>
      </c>
      <c r="R1986" s="2">
        <f>VLOOKUP(SALIDAS111518[[#This Row],[CÓDIGO]],PRODUCTOS31316[],2,FALSE)</f>
        <v>0</v>
      </c>
      <c r="S1986" s="1" t="str">
        <f>VLOOKUP(SALIDAS111518[[#This Row],[CÓDIGO]],PRODUCTOS31316[],3,FALSE)</f>
        <v>ISPERM CHIPS (500 TESTS PER BOX) PAQ. X 50 UND</v>
      </c>
      <c r="T1986" s="2">
        <v>1</v>
      </c>
      <c r="U1986" s="2">
        <v>891</v>
      </c>
      <c r="V1986" s="2"/>
      <c r="W1986" s="2"/>
      <c r="X1986" s="2"/>
      <c r="Y1986" s="7"/>
      <c r="Z1986" s="2"/>
      <c r="AA1986" s="1"/>
      <c r="AC1986" s="2"/>
      <c r="AE1986" s="1"/>
      <c r="AG1986" s="2"/>
    </row>
    <row r="1987" spans="12:33" ht="49.95" customHeight="1" x14ac:dyDescent="0.3">
      <c r="L1987" s="374" t="s">
        <v>3520</v>
      </c>
      <c r="M1987" s="374" t="s">
        <v>5213</v>
      </c>
      <c r="N1987" s="374" t="s">
        <v>5403</v>
      </c>
      <c r="O1987" s="375" t="s">
        <v>2212</v>
      </c>
      <c r="P1987" s="16">
        <v>46171</v>
      </c>
      <c r="Q1987" s="374" t="s">
        <v>1356</v>
      </c>
      <c r="R1987" s="2">
        <f>VLOOKUP(SALIDAS111518[[#This Row],[CÓDIGO]],PRODUCTOS31316[],2,FALSE)</f>
        <v>1106</v>
      </c>
      <c r="S1987" s="1" t="str">
        <f>VLOOKUP(SALIDAS111518[[#This Row],[CÓDIGO]],PRODUCTOS31316[],3,FALSE)</f>
        <v>SONDA PROVETSCAN WIFI SR-2C/ WRPCCFB019</v>
      </c>
      <c r="T1987" s="2">
        <v>1</v>
      </c>
      <c r="U1987" s="2">
        <v>894</v>
      </c>
      <c r="V1987" s="2"/>
      <c r="W1987" s="2"/>
      <c r="X1987" s="2"/>
      <c r="Y1987" s="7"/>
      <c r="Z1987" s="2"/>
      <c r="AA1987" s="1"/>
      <c r="AC1987" s="2"/>
      <c r="AE1987" s="1"/>
      <c r="AG1987" s="2"/>
    </row>
    <row r="1988" spans="12:33" ht="49.95" customHeight="1" x14ac:dyDescent="0.3">
      <c r="L1988" s="374" t="s">
        <v>3520</v>
      </c>
      <c r="M1988" s="374" t="s">
        <v>5213</v>
      </c>
      <c r="N1988" s="374" t="s">
        <v>5401</v>
      </c>
      <c r="O1988" s="375" t="s">
        <v>5400</v>
      </c>
      <c r="P1988" s="16">
        <v>46174</v>
      </c>
      <c r="Q1988" s="374" t="s">
        <v>2401</v>
      </c>
      <c r="R1988" s="2">
        <f>VLOOKUP(SALIDAS111518[[#This Row],[CÓDIGO]],PRODUCTOS31316[],2,FALSE)</f>
        <v>5540</v>
      </c>
      <c r="S1988" s="1" t="str">
        <f>VLOOKUP(SALIDAS111518[[#This Row],[CÓDIGO]],PRODUCTOS31316[],3,FALSE)</f>
        <v xml:space="preserve">FUNDAS DE TRANSFERENCIA AZUL PUNTA METÁLICA 21"                 </v>
      </c>
      <c r="T1988" s="2">
        <v>10</v>
      </c>
      <c r="U1988" s="2">
        <v>896</v>
      </c>
      <c r="V1988" s="2"/>
      <c r="W1988" s="2"/>
      <c r="X1988" s="2"/>
      <c r="Y1988" s="7"/>
      <c r="Z1988" s="2"/>
      <c r="AA1988" s="1"/>
      <c r="AC1988" s="2"/>
      <c r="AE1988" s="1"/>
      <c r="AG1988" s="2"/>
    </row>
    <row r="1989" spans="12:33" ht="49.95" customHeight="1" x14ac:dyDescent="0.3">
      <c r="L1989" s="2"/>
      <c r="M1989" s="2"/>
      <c r="N1989" s="2">
        <v>8482</v>
      </c>
      <c r="O1989" s="375" t="s">
        <v>5400</v>
      </c>
      <c r="P1989" s="16">
        <v>46174</v>
      </c>
      <c r="Q1989" s="374" t="s">
        <v>2402</v>
      </c>
      <c r="R1989" s="2">
        <f>VLOOKUP(SALIDAS111518[[#This Row],[CÓDIGO]],PRODUCTOS31316[],2,FALSE)</f>
        <v>17532</v>
      </c>
      <c r="S1989" s="1" t="str">
        <f>VLOOKUP(SALIDAS111518[[#This Row],[CÓDIGO]],PRODUCTOS31316[],3,FALSE)</f>
        <v xml:space="preserve"> FUNDAS DE TRANSFERENCAI DE 0,5 PARA EQUINOS        IMV
</v>
      </c>
      <c r="T1989" s="2">
        <v>15</v>
      </c>
      <c r="U1989" s="2"/>
      <c r="V1989" s="2"/>
      <c r="W1989" s="2"/>
      <c r="X1989" s="2"/>
      <c r="Y1989" s="7"/>
      <c r="Z1989" s="2"/>
      <c r="AA1989" s="1"/>
      <c r="AC1989" s="2"/>
      <c r="AE1989" s="1"/>
      <c r="AG1989" s="2"/>
    </row>
    <row r="1990" spans="12:33" ht="49.95" customHeight="1" x14ac:dyDescent="0.3">
      <c r="L1990" s="2"/>
      <c r="M1990" s="2"/>
      <c r="N1990" s="2">
        <v>8482</v>
      </c>
      <c r="O1990" s="375" t="s">
        <v>5400</v>
      </c>
      <c r="P1990" s="16">
        <v>46174</v>
      </c>
      <c r="Q1990" s="374" t="s">
        <v>1779</v>
      </c>
      <c r="R1990" s="2">
        <f>VLOOKUP(SALIDAS111518[[#This Row],[CÓDIGO]],PRODUCTOS31316[],2,FALSE)</f>
        <v>5563</v>
      </c>
      <c r="S1990" s="1" t="str">
        <f>VLOOKUP(SALIDAS111518[[#This Row],[CÓDIGO]],PRODUCTOS31316[],3,FALSE)</f>
        <v>CAMISA SANITARIA ROLLO X 80</v>
      </c>
      <c r="T1990" s="2">
        <v>2</v>
      </c>
      <c r="U1990" s="2"/>
      <c r="V1990" s="2"/>
      <c r="W1990" s="2"/>
      <c r="X1990" s="2"/>
      <c r="Y1990" s="7"/>
      <c r="Z1990" s="2"/>
      <c r="AA1990" s="1"/>
      <c r="AC1990" s="2"/>
      <c r="AE1990" s="1"/>
      <c r="AG1990" s="2"/>
    </row>
    <row r="1991" spans="12:33" ht="49.95" customHeight="1" x14ac:dyDescent="0.3">
      <c r="L1991" s="2"/>
      <c r="M1991" s="2"/>
      <c r="N1991" s="2">
        <v>8482</v>
      </c>
      <c r="O1991" s="375" t="s">
        <v>5400</v>
      </c>
      <c r="P1991" s="16">
        <v>46174</v>
      </c>
      <c r="Q1991" s="374" t="s">
        <v>79</v>
      </c>
      <c r="R1991" s="2" t="str">
        <f>VLOOKUP(SALIDAS111518[[#This Row],[CÓDIGO]],PRODUCTOS31316[],2,FALSE)</f>
        <v>ABT ADAPT HOLDING</v>
      </c>
      <c r="S1991" s="1" t="str">
        <f>VLOOKUP(SALIDAS111518[[#This Row],[CÓDIGO]],PRODUCTOS31316[],3,FALSE)</f>
        <v>ABT ADAPT HOLDING CON HA 7 ML</v>
      </c>
      <c r="T1991" s="2">
        <v>2</v>
      </c>
      <c r="U1991" s="2"/>
      <c r="V1991" s="2"/>
      <c r="W1991" s="2"/>
      <c r="X1991" s="2"/>
      <c r="Y1991" s="7"/>
      <c r="Z1991" s="2"/>
      <c r="AA1991" s="1"/>
      <c r="AC1991" s="2"/>
      <c r="AE1991" s="1"/>
      <c r="AG1991" s="2"/>
    </row>
    <row r="1992" spans="12:33" ht="49.95" customHeight="1" x14ac:dyDescent="0.3">
      <c r="L1992" s="374" t="s">
        <v>3520</v>
      </c>
      <c r="M1992" s="374" t="s">
        <v>5213</v>
      </c>
      <c r="N1992" s="374" t="s">
        <v>5399</v>
      </c>
      <c r="O1992" s="374" t="s">
        <v>2714</v>
      </c>
      <c r="P1992" s="16">
        <v>46174</v>
      </c>
      <c r="Q1992" s="374" t="s">
        <v>104</v>
      </c>
      <c r="R1992" s="2">
        <f>VLOOKUP(SALIDAS111518[[#This Row],[CÓDIGO]],PRODUCTOS31316[],2,FALSE)</f>
        <v>0</v>
      </c>
      <c r="S1992" s="1" t="str">
        <f>VLOOKUP(SALIDAS111518[[#This Row],[CÓDIGO]],PRODUCTOS31316[],3,FALSE)</f>
        <v>ISPERM CHIPS (500 TESTS PER BOX) PAQ. X 50 UND</v>
      </c>
      <c r="T1992" s="2">
        <v>1</v>
      </c>
      <c r="U1992" s="2">
        <v>897</v>
      </c>
      <c r="V1992" s="2"/>
      <c r="W1992" s="2"/>
      <c r="X1992" s="2"/>
      <c r="Y1992" s="7"/>
      <c r="Z1992" s="2"/>
      <c r="AA1992" s="1"/>
      <c r="AC1992" s="2"/>
      <c r="AE1992" s="1"/>
      <c r="AG1992" s="2"/>
    </row>
    <row r="1993" spans="12:33" ht="49.95" customHeight="1" x14ac:dyDescent="0.3">
      <c r="L1993" s="374" t="s">
        <v>3520</v>
      </c>
      <c r="M1993" s="374" t="s">
        <v>5213</v>
      </c>
      <c r="N1993" s="374" t="s">
        <v>5398</v>
      </c>
      <c r="O1993" s="374" t="s">
        <v>3063</v>
      </c>
      <c r="P1993" s="16">
        <v>46174</v>
      </c>
      <c r="Q1993" s="374" t="s">
        <v>1779</v>
      </c>
      <c r="R1993" s="2">
        <f>VLOOKUP(SALIDAS111518[[#This Row],[CÓDIGO]],PRODUCTOS31316[],2,FALSE)</f>
        <v>5563</v>
      </c>
      <c r="S1993" s="1" t="str">
        <f>VLOOKUP(SALIDAS111518[[#This Row],[CÓDIGO]],PRODUCTOS31316[],3,FALSE)</f>
        <v>CAMISA SANITARIA ROLLO X 80</v>
      </c>
      <c r="T1993" s="2">
        <v>6</v>
      </c>
      <c r="U1993" s="2">
        <v>898</v>
      </c>
      <c r="V1993" s="2"/>
      <c r="W1993" s="2"/>
      <c r="X1993" s="2"/>
      <c r="Y1993" s="7"/>
      <c r="Z1993" s="2"/>
      <c r="AA1993" s="1"/>
      <c r="AC1993" s="2"/>
      <c r="AE1993" s="1"/>
      <c r="AG1993" s="2"/>
    </row>
    <row r="1994" spans="12:33" ht="49.95" customHeight="1" x14ac:dyDescent="0.3">
      <c r="L1994" s="2"/>
      <c r="M1994" s="2"/>
      <c r="N1994" s="2"/>
      <c r="O1994" s="375" t="s">
        <v>5396</v>
      </c>
      <c r="P1994" s="16">
        <v>46172</v>
      </c>
      <c r="Q1994" s="374" t="s">
        <v>2941</v>
      </c>
      <c r="R1994" s="2">
        <f>VLOOKUP(SALIDAS111518[[#This Row],[CÓDIGO]],PRODUCTOS31316[],2,FALSE)</f>
        <v>1101</v>
      </c>
      <c r="S1994" s="1" t="str">
        <f>VLOOKUP(SALIDAS111518[[#This Row],[CÓDIGO]],PRODUCTOS31316[],3,FALSE)</f>
        <v>ESCROTIMETRO</v>
      </c>
      <c r="T1994" s="2">
        <v>29</v>
      </c>
      <c r="U1994" s="375" t="s">
        <v>5395</v>
      </c>
      <c r="V1994" s="2"/>
      <c r="W1994" s="2"/>
      <c r="X1994" s="2"/>
      <c r="Y1994" s="7"/>
      <c r="Z1994" s="2"/>
      <c r="AA1994" s="1"/>
      <c r="AC1994" s="2"/>
      <c r="AE1994" s="1"/>
      <c r="AG1994" s="2"/>
    </row>
    <row r="1995" spans="12:33" ht="49.95" customHeight="1" x14ac:dyDescent="0.3">
      <c r="L1995" s="2"/>
      <c r="M1995" s="2"/>
      <c r="N1995" s="2"/>
      <c r="O1995" s="375" t="s">
        <v>5396</v>
      </c>
      <c r="P1995" s="16">
        <v>46172</v>
      </c>
      <c r="Q1995" s="374" t="s">
        <v>3365</v>
      </c>
      <c r="R1995" s="2">
        <f>VLOOKUP(SALIDAS111518[[#This Row],[CÓDIGO]],PRODUCTOS31316[],2,FALSE)</f>
        <v>0</v>
      </c>
      <c r="S1995" s="1" t="str">
        <f>VLOOKUP(SALIDAS111518[[#This Row],[CÓDIGO]],PRODUCTOS31316[],3,FALSE)</f>
        <v>MANGA DE PROTECCIÓN PALPACIÓN MAS CAMPO</v>
      </c>
      <c r="T1995" s="2">
        <v>29</v>
      </c>
      <c r="U1995" s="2"/>
      <c r="V1995" s="2"/>
      <c r="W1995" s="2"/>
      <c r="X1995" s="2"/>
      <c r="Y1995" s="7"/>
      <c r="Z1995" s="2"/>
      <c r="AA1995" s="1"/>
      <c r="AC1995" s="2"/>
      <c r="AE1995" s="1"/>
      <c r="AG1995" s="2"/>
    </row>
    <row r="1996" spans="12:33" ht="49.95" customHeight="1" x14ac:dyDescent="0.3">
      <c r="L1996" s="2"/>
      <c r="M1996" s="2"/>
      <c r="N1996" s="2"/>
      <c r="O1996" s="375" t="s">
        <v>5396</v>
      </c>
      <c r="P1996" s="16">
        <v>46172</v>
      </c>
      <c r="Q1996" s="374" t="s">
        <v>3095</v>
      </c>
      <c r="R1996" s="2">
        <f>VLOOKUP(SALIDAS111518[[#This Row],[CÓDIGO]],PRODUCTOS31316[],2,FALSE)</f>
        <v>0</v>
      </c>
      <c r="S1996" s="1" t="str">
        <f>VLOOKUP(SALIDAS111518[[#This Row],[CÓDIGO]],PRODUCTOS31316[],3,FALSE)</f>
        <v>GORRA MAS CAMPO</v>
      </c>
      <c r="T1996" s="2">
        <v>29</v>
      </c>
      <c r="U1996" s="2"/>
      <c r="V1996" s="2"/>
      <c r="W1996" s="2"/>
      <c r="X1996" s="101"/>
      <c r="Y1996" s="7"/>
      <c r="Z1996" s="2"/>
      <c r="AA1996" s="1"/>
      <c r="AC1996" s="2"/>
      <c r="AE1996" s="1"/>
      <c r="AG1996" s="2"/>
    </row>
    <row r="1997" spans="12:33" ht="49.95" customHeight="1" x14ac:dyDescent="0.3">
      <c r="L1997" s="2"/>
      <c r="M1997" s="2"/>
      <c r="N1997" s="2"/>
      <c r="O1997" s="375" t="s">
        <v>5396</v>
      </c>
      <c r="P1997" s="16">
        <v>46172</v>
      </c>
      <c r="Q1997" s="374" t="s">
        <v>3649</v>
      </c>
      <c r="R1997" s="2">
        <f>VLOOKUP(SALIDAS111518[[#This Row],[CÓDIGO]],PRODUCTOS31316[],2,FALSE)</f>
        <v>0</v>
      </c>
      <c r="S1997" s="1" t="str">
        <f>VLOOKUP(SALIDAS111518[[#This Row],[CÓDIGO]],PRODUCTOS31316[],3,FALSE)</f>
        <v>ESFEROS MAS CAMPO</v>
      </c>
      <c r="T1997" s="2">
        <v>29</v>
      </c>
      <c r="U1997" s="2"/>
      <c r="V1997" s="2"/>
      <c r="W1997" s="2"/>
      <c r="X1997" s="2"/>
      <c r="Y1997" s="7"/>
      <c r="Z1997" s="2"/>
      <c r="AA1997" s="1"/>
      <c r="AC1997" s="2"/>
      <c r="AE1997" s="1"/>
      <c r="AG1997" s="2"/>
    </row>
    <row r="1998" spans="12:33" ht="49.95" customHeight="1" x14ac:dyDescent="0.3">
      <c r="L1998" s="2"/>
      <c r="M1998" s="2"/>
      <c r="N1998" s="2"/>
      <c r="O1998" s="375" t="s">
        <v>5396</v>
      </c>
      <c r="P1998" s="16">
        <v>46172</v>
      </c>
      <c r="Q1998" s="374" t="s">
        <v>3645</v>
      </c>
      <c r="R1998" s="2">
        <f>VLOOKUP(SALIDAS111518[[#This Row],[CÓDIGO]],PRODUCTOS31316[],2,FALSE)</f>
        <v>0</v>
      </c>
      <c r="S1998" s="1" t="str">
        <f>VLOOKUP(SALIDAS111518[[#This Row],[CÓDIGO]],PRODUCTOS31316[],3,FALSE)</f>
        <v>AGENDA MAS CAMPO</v>
      </c>
      <c r="T1998" s="2">
        <v>29</v>
      </c>
      <c r="U1998" s="2"/>
      <c r="V1998" s="2"/>
      <c r="W1998" s="2"/>
      <c r="X1998" s="101"/>
      <c r="Y1998" s="7"/>
      <c r="Z1998" s="2"/>
      <c r="AA1998" s="1"/>
      <c r="AC1998" s="2"/>
      <c r="AE1998" s="1"/>
      <c r="AG1998" s="2"/>
    </row>
    <row r="1999" spans="12:33" ht="49.95" customHeight="1" x14ac:dyDescent="0.3">
      <c r="L1999" s="2"/>
      <c r="M1999" s="2"/>
      <c r="N1999" s="2"/>
      <c r="O1999" s="375" t="s">
        <v>5396</v>
      </c>
      <c r="P1999" s="16">
        <v>46172</v>
      </c>
      <c r="Q1999" s="374" t="s">
        <v>3376</v>
      </c>
      <c r="R1999" s="2">
        <f>VLOOKUP(SALIDAS111518[[#This Row],[CÓDIGO]],PRODUCTOS31316[],2,FALSE)</f>
        <v>0</v>
      </c>
      <c r="S1999" s="1" t="str">
        <f>VLOOKUP(SALIDAS111518[[#This Row],[CÓDIGO]],PRODUCTOS31316[],3,FALSE)</f>
        <v>TERMO DE 380 ML MAS CAMPO</v>
      </c>
      <c r="T1999" s="2">
        <v>29</v>
      </c>
      <c r="U1999" s="2"/>
      <c r="V1999" s="2"/>
      <c r="W1999" s="2"/>
      <c r="X1999" s="2"/>
      <c r="Y1999" s="7"/>
      <c r="Z1999" s="2"/>
      <c r="AA1999" s="1"/>
      <c r="AC1999" s="2"/>
      <c r="AE1999" s="1"/>
      <c r="AG1999" s="2"/>
    </row>
    <row r="2000" spans="12:33" ht="49.95" customHeight="1" x14ac:dyDescent="0.3">
      <c r="L2000" s="2"/>
      <c r="M2000" s="2"/>
      <c r="N2000" s="2"/>
      <c r="O2000" s="375" t="s">
        <v>5396</v>
      </c>
      <c r="P2000" s="16">
        <v>46172</v>
      </c>
      <c r="Q2000" s="374" t="s">
        <v>3647</v>
      </c>
      <c r="R2000" s="2">
        <f>VLOOKUP(SALIDAS111518[[#This Row],[CÓDIGO]],PRODUCTOS31316[],2,FALSE)</f>
        <v>0</v>
      </c>
      <c r="S2000" s="1" t="str">
        <f>VLOOKUP(SALIDAS111518[[#This Row],[CÓDIGO]],PRODUCTOS31316[],3,FALSE)</f>
        <v>MALETIN CURSO MAS CAMPO</v>
      </c>
      <c r="T2000" s="2">
        <v>29</v>
      </c>
      <c r="U2000" s="2"/>
      <c r="V2000" s="2"/>
      <c r="W2000" s="2"/>
      <c r="X2000" s="2"/>
      <c r="Y2000" s="7"/>
      <c r="Z2000" s="2"/>
      <c r="AA2000" s="1"/>
      <c r="AC2000" s="2"/>
      <c r="AE2000" s="1"/>
      <c r="AG2000" s="2"/>
    </row>
    <row r="2001" spans="12:33" ht="49.95" customHeight="1" x14ac:dyDescent="0.3">
      <c r="L2001" s="374" t="s">
        <v>3520</v>
      </c>
      <c r="M2001" s="374" t="s">
        <v>4922</v>
      </c>
      <c r="N2001" s="2">
        <v>8486</v>
      </c>
      <c r="O2001" s="374" t="s">
        <v>4137</v>
      </c>
      <c r="P2001" s="378" t="s">
        <v>5508</v>
      </c>
      <c r="Q2001" s="374" t="s">
        <v>4634</v>
      </c>
      <c r="R2001" s="2">
        <f>VLOOKUP(SALIDAS111518[[#This Row],[CÓDIGO]],PRODUCTOS31316[],2,FALSE)</f>
        <v>0</v>
      </c>
      <c r="S2001" s="1" t="str">
        <f>VLOOKUP(SALIDAS111518[[#This Row],[CÓDIGO]],PRODUCTOS31316[],3,FALSE)</f>
        <v xml:space="preserve">PRUEBA DE PREÑEZ TEMPRANA EN RUMIANTES </v>
      </c>
      <c r="T2001" s="2">
        <v>25</v>
      </c>
      <c r="U2001" s="2">
        <v>902</v>
      </c>
      <c r="V2001" s="2"/>
      <c r="W2001" s="2"/>
      <c r="X2001" s="2"/>
      <c r="Y2001" s="7"/>
      <c r="Z2001" s="2"/>
      <c r="AA2001" s="1"/>
      <c r="AC2001" s="2"/>
      <c r="AE2001" s="1"/>
      <c r="AG2001" s="2"/>
    </row>
    <row r="2002" spans="12:33" ht="49.95" customHeight="1" x14ac:dyDescent="0.3">
      <c r="L2002" s="374" t="s">
        <v>3520</v>
      </c>
      <c r="M2002" s="374" t="s">
        <v>5213</v>
      </c>
      <c r="N2002" s="374" t="s">
        <v>5394</v>
      </c>
      <c r="O2002" s="374" t="s">
        <v>3372</v>
      </c>
      <c r="P2002" s="16">
        <v>46174</v>
      </c>
      <c r="Q2002" s="374" t="s">
        <v>2755</v>
      </c>
      <c r="R2002" s="2" t="str">
        <f>VLOOKUP(SALIDAS111518[[#This Row],[CÓDIGO]],PRODUCTOS31316[],2,FALSE)</f>
        <v>MSLDO05</v>
      </c>
      <c r="S2002" s="1" t="str">
        <f>VLOOKUP(SALIDAS111518[[#This Row],[CÓDIGO]],PRODUCTOS31316[],3,FALSE)</f>
        <v>TERMO DE RECOLECCIÓN DE SEMEN/ USO VETERINARIO</v>
      </c>
      <c r="T2002" s="2">
        <v>1</v>
      </c>
      <c r="U2002" s="2">
        <v>904</v>
      </c>
      <c r="V2002" s="2"/>
      <c r="W2002" s="2"/>
      <c r="X2002" s="2"/>
      <c r="Y2002" s="7"/>
      <c r="Z2002" s="2"/>
      <c r="AA2002" s="1"/>
      <c r="AC2002" s="2"/>
      <c r="AE2002" s="1"/>
      <c r="AG2002" s="2"/>
    </row>
    <row r="2003" spans="12:33" ht="49.95" customHeight="1" x14ac:dyDescent="0.3">
      <c r="L2003" s="2"/>
      <c r="M2003" s="2"/>
      <c r="N2003" s="2">
        <v>8487</v>
      </c>
      <c r="O2003" s="374" t="s">
        <v>3372</v>
      </c>
      <c r="P2003" s="16">
        <v>46175</v>
      </c>
      <c r="Q2003" s="374" t="s">
        <v>1779</v>
      </c>
      <c r="R2003" s="2">
        <f>VLOOKUP(SALIDAS111518[[#This Row],[CÓDIGO]],PRODUCTOS31316[],2,FALSE)</f>
        <v>5563</v>
      </c>
      <c r="S2003" s="1" t="str">
        <f>VLOOKUP(SALIDAS111518[[#This Row],[CÓDIGO]],PRODUCTOS31316[],3,FALSE)</f>
        <v>CAMISA SANITARIA ROLLO X 80</v>
      </c>
      <c r="T2003" s="2">
        <v>5</v>
      </c>
      <c r="U2003" s="2"/>
      <c r="V2003" s="2"/>
      <c r="W2003" s="2"/>
      <c r="X2003" s="2"/>
      <c r="Y2003" s="7"/>
      <c r="Z2003" s="2"/>
      <c r="AA2003" s="1"/>
      <c r="AC2003" s="2"/>
      <c r="AE2003" s="1"/>
      <c r="AG2003" s="2"/>
    </row>
    <row r="2004" spans="12:33" ht="49.95" customHeight="1" x14ac:dyDescent="0.3">
      <c r="L2004" s="2"/>
      <c r="M2004" s="2"/>
      <c r="N2004" s="2">
        <v>8787</v>
      </c>
      <c r="O2004" s="374" t="s">
        <v>3372</v>
      </c>
      <c r="P2004" s="16">
        <v>46176</v>
      </c>
      <c r="Q2004" s="374" t="s">
        <v>153</v>
      </c>
      <c r="R2004" s="2">
        <f>VLOOKUP(SALIDAS111518[[#This Row],[CÓDIGO]],PRODUCTOS31316[],2,FALSE)</f>
        <v>1132</v>
      </c>
      <c r="S2004" s="1" t="str">
        <f>VLOOKUP(SALIDAS111518[[#This Row],[CÓDIGO]],PRODUCTOS31316[],3,FALSE)</f>
        <v>PISTOLA QUICKLOCK CLASIC</v>
      </c>
      <c r="T2004" s="2">
        <v>1</v>
      </c>
      <c r="U2004" s="2"/>
      <c r="V2004" s="2"/>
      <c r="W2004" s="2"/>
      <c r="X2004" s="2"/>
      <c r="Y2004" s="7"/>
      <c r="Z2004" s="2"/>
      <c r="AA2004" s="1"/>
      <c r="AC2004" s="2"/>
      <c r="AE2004" s="1"/>
      <c r="AG2004" s="2"/>
    </row>
    <row r="2005" spans="12:33" ht="49.95" customHeight="1" x14ac:dyDescent="0.3">
      <c r="L2005" s="374" t="s">
        <v>3521</v>
      </c>
      <c r="M2005" s="374" t="s">
        <v>4922</v>
      </c>
      <c r="N2005" s="375" t="s">
        <v>5419</v>
      </c>
      <c r="O2005" s="375" t="s">
        <v>5366</v>
      </c>
      <c r="P2005" s="16">
        <v>46200</v>
      </c>
      <c r="Q2005" s="374" t="s">
        <v>3354</v>
      </c>
      <c r="R2005" s="2" t="str">
        <f>VLOOKUP(SALIDAS111518[[#This Row],[CÓDIGO]],PRODUCTOS31316[],2,FALSE)</f>
        <v>MX5C</v>
      </c>
      <c r="S2005" s="1" t="str">
        <f>VLOOKUP(SALIDAS111518[[#This Row],[CÓDIGO]],PRODUCTOS31316[],3,FALSE)</f>
        <v>ECOGRAFO MX5C CON SONDA LINEAL RECTAL/DOPLLER COLOR</v>
      </c>
      <c r="T2005" s="2">
        <v>1</v>
      </c>
      <c r="U2005" s="2">
        <v>908</v>
      </c>
      <c r="V2005" s="2"/>
      <c r="W2005" s="374" t="s">
        <v>3412</v>
      </c>
      <c r="X2005" s="2"/>
      <c r="Y2005" s="7"/>
      <c r="Z2005" s="2"/>
      <c r="AA2005" s="1"/>
      <c r="AC2005" s="2"/>
      <c r="AE2005" s="1"/>
      <c r="AG2005" s="2"/>
    </row>
    <row r="2006" spans="12:33" ht="49.95" customHeight="1" x14ac:dyDescent="0.3">
      <c r="L2006" s="2"/>
      <c r="M2006" s="2"/>
      <c r="N2006" s="2">
        <v>8489</v>
      </c>
      <c r="O2006" s="375" t="s">
        <v>5366</v>
      </c>
      <c r="P2006" s="16">
        <v>46200</v>
      </c>
      <c r="Q2006" s="374" t="s">
        <v>5114</v>
      </c>
      <c r="R2006" s="2">
        <f>VLOOKUP(SALIDAS111518[[#This Row],[CÓDIGO]],PRODUCTOS31316[],2,FALSE)</f>
        <v>0</v>
      </c>
      <c r="S2006" s="1" t="str">
        <f>VLOOKUP(SALIDAS111518[[#This Row],[CÓDIGO]],PRODUCTOS31316[],3,FALSE)</f>
        <v>TABLET SANSUNG GALAXY TAB A11+ MARCA: SANSUNG COLOR SEGUN DISPONIBILIDAD</v>
      </c>
      <c r="T2006" s="2">
        <v>1</v>
      </c>
      <c r="U2006" s="2"/>
      <c r="V2006" s="2"/>
      <c r="W2006" s="2"/>
      <c r="X2006" s="2"/>
      <c r="Y2006" s="7"/>
      <c r="Z2006" s="2"/>
      <c r="AA2006" s="1"/>
      <c r="AC2006" s="2"/>
      <c r="AE2006" s="1"/>
      <c r="AG2006" s="2"/>
    </row>
    <row r="2007" spans="12:33" ht="49.95" customHeight="1" x14ac:dyDescent="0.3">
      <c r="L2007" s="2"/>
      <c r="M2007" s="2"/>
      <c r="N2007" s="2">
        <v>8489</v>
      </c>
      <c r="O2007" s="375" t="s">
        <v>5366</v>
      </c>
      <c r="P2007" s="16">
        <v>46200</v>
      </c>
      <c r="Q2007" s="374" t="s">
        <v>3286</v>
      </c>
      <c r="R2007" s="2">
        <f>VLOOKUP(SALIDAS111518[[#This Row],[CÓDIGO]],PRODUCTOS31316[],2,FALSE)</f>
        <v>0</v>
      </c>
      <c r="S2007" s="1" t="str">
        <f>VLOOKUP(SALIDAS111518[[#This Row],[CÓDIGO]],PRODUCTOS31316[],3,FALSE)</f>
        <v>CARCASA TABLET BMV</v>
      </c>
      <c r="T2007" s="2">
        <v>1</v>
      </c>
      <c r="U2007" s="2"/>
      <c r="V2007" s="2"/>
      <c r="W2007" s="2"/>
      <c r="X2007" s="2"/>
      <c r="Y2007" s="7"/>
      <c r="Z2007" s="2"/>
      <c r="AA2007" s="1"/>
      <c r="AC2007" s="2"/>
      <c r="AE2007" s="1"/>
      <c r="AG2007" s="2"/>
    </row>
    <row r="2008" spans="12:33" ht="49.95" customHeight="1" x14ac:dyDescent="0.3">
      <c r="L2008" s="2"/>
      <c r="M2008" s="2"/>
      <c r="N2008" s="2">
        <v>8489</v>
      </c>
      <c r="O2008" s="375" t="s">
        <v>5366</v>
      </c>
      <c r="P2008" s="16">
        <v>46200</v>
      </c>
      <c r="Q2008" s="374" t="s">
        <v>369</v>
      </c>
      <c r="R2008" s="2">
        <f>VLOOKUP(SALIDAS111518[[#This Row],[CÓDIGO]],PRODUCTOS31316[],2,FALSE)</f>
        <v>0</v>
      </c>
      <c r="S2008" s="1" t="str">
        <f>VLOOKUP(SALIDAS111518[[#This Row],[CÓDIGO]],PRODUCTOS31316[],3,FALSE)</f>
        <v>FUNDA UNIVERSAL PARA I.A. RANURADA</v>
      </c>
      <c r="T2008" s="2">
        <v>1</v>
      </c>
      <c r="U2008" s="2"/>
      <c r="V2008" s="2"/>
      <c r="W2008" s="2"/>
      <c r="X2008" s="2"/>
      <c r="Y2008" s="7"/>
      <c r="Z2008" s="2"/>
      <c r="AA2008" s="1"/>
      <c r="AC2008" s="2"/>
      <c r="AE2008" s="1"/>
      <c r="AG2008" s="2"/>
    </row>
    <row r="2009" spans="12:33" ht="49.95" customHeight="1" x14ac:dyDescent="0.3">
      <c r="L2009" s="2"/>
      <c r="M2009" s="2"/>
      <c r="N2009" s="2">
        <v>8489</v>
      </c>
      <c r="O2009" s="375" t="s">
        <v>5366</v>
      </c>
      <c r="P2009" s="16">
        <v>46200</v>
      </c>
      <c r="Q2009" s="374" t="s">
        <v>2360</v>
      </c>
      <c r="R2009" s="2">
        <f>VLOOKUP(SALIDAS111518[[#This Row],[CÓDIGO]],PRODUCTOS31316[],2,FALSE)</f>
        <v>0</v>
      </c>
      <c r="S2009" s="1" t="str">
        <f>VLOOKUP(SALIDAS111518[[#This Row],[CÓDIGO]],PRODUCTOS31316[],3,FALSE)</f>
        <v>ADAPTADOR DE CELULAR PARA MICROSCOPIO</v>
      </c>
      <c r="T2009" s="2">
        <v>1</v>
      </c>
      <c r="U2009" s="2"/>
      <c r="V2009" s="2"/>
      <c r="W2009" s="2"/>
      <c r="X2009" s="2"/>
      <c r="Y2009" s="7"/>
      <c r="Z2009" s="2"/>
      <c r="AA2009" s="1"/>
      <c r="AC2009" s="2"/>
      <c r="AE2009" s="1"/>
      <c r="AG2009" s="2"/>
    </row>
    <row r="2010" spans="12:33" ht="49.95" customHeight="1" x14ac:dyDescent="0.3">
      <c r="L2010" s="2"/>
      <c r="M2010" s="2"/>
      <c r="N2010" s="2">
        <v>8489</v>
      </c>
      <c r="O2010" s="375" t="s">
        <v>5366</v>
      </c>
      <c r="P2010" s="16">
        <v>46200</v>
      </c>
      <c r="Q2010" s="374" t="s">
        <v>210</v>
      </c>
      <c r="R2010" s="2">
        <f>VLOOKUP(SALIDAS111518[[#This Row],[CÓDIGO]],PRODUCTOS31316[],2,FALSE)</f>
        <v>101257</v>
      </c>
      <c r="S2010" s="1" t="str">
        <f>VLOOKUP(SALIDAS111518[[#This Row],[CÓDIGO]],PRODUCTOS31316[],3,FALSE)</f>
        <v>MANGA DESECHABLE SUPER SENSITIVA</v>
      </c>
      <c r="T2010" s="2">
        <v>1</v>
      </c>
      <c r="U2010" s="2"/>
      <c r="V2010" s="2"/>
      <c r="W2010" s="2"/>
      <c r="X2010" s="2"/>
      <c r="Y2010" s="7"/>
      <c r="Z2010" s="2"/>
      <c r="AA2010" s="1"/>
      <c r="AC2010" s="2"/>
      <c r="AE2010" s="1"/>
      <c r="AG2010" s="2"/>
    </row>
    <row r="2011" spans="12:33" ht="49.95" customHeight="1" x14ac:dyDescent="0.3">
      <c r="L2011" s="2"/>
      <c r="M2011" s="2"/>
      <c r="N2011" s="2">
        <v>8489</v>
      </c>
      <c r="O2011" s="375" t="s">
        <v>5366</v>
      </c>
      <c r="P2011" s="16">
        <v>46200</v>
      </c>
      <c r="Q2011" s="374" t="s">
        <v>2755</v>
      </c>
      <c r="R2011" s="2" t="str">
        <f>VLOOKUP(SALIDAS111518[[#This Row],[CÓDIGO]],PRODUCTOS31316[],2,FALSE)</f>
        <v>MSLDO05</v>
      </c>
      <c r="S2011" s="1" t="str">
        <f>VLOOKUP(SALIDAS111518[[#This Row],[CÓDIGO]],PRODUCTOS31316[],3,FALSE)</f>
        <v>TERMO DE RECOLECCIÓN DE SEMEN/ USO VETERINARIO</v>
      </c>
      <c r="T2011" s="2">
        <v>1</v>
      </c>
      <c r="U2011" s="2"/>
      <c r="V2011" s="2"/>
      <c r="W2011" s="2"/>
      <c r="X2011" s="2"/>
      <c r="Y2011" s="7"/>
      <c r="Z2011" s="2"/>
      <c r="AA2011" s="1"/>
      <c r="AC2011" s="2"/>
      <c r="AE2011" s="1"/>
      <c r="AG2011" s="2"/>
    </row>
    <row r="2012" spans="12:33" ht="49.95" customHeight="1" x14ac:dyDescent="0.3">
      <c r="L2012" s="2"/>
      <c r="M2012" s="2"/>
      <c r="N2012" s="2">
        <v>8489</v>
      </c>
      <c r="O2012" s="375" t="s">
        <v>5366</v>
      </c>
      <c r="P2012" s="16">
        <v>46200</v>
      </c>
      <c r="Q2012" s="374" t="s">
        <v>236</v>
      </c>
      <c r="R2012" s="2">
        <f>VLOOKUP(SALIDAS111518[[#This Row],[CÓDIGO]],PRODUCTOS31316[],2,FALSE)</f>
        <v>0</v>
      </c>
      <c r="S2012" s="1" t="str">
        <f>VLOOKUP(SALIDAS111518[[#This Row],[CÓDIGO]],PRODUCTOS31316[],3,FALSE)</f>
        <v>TERMO METÁLICO DESCONGELADOR</v>
      </c>
      <c r="T2012" s="2">
        <v>1</v>
      </c>
      <c r="U2012" s="2"/>
      <c r="V2012" s="2"/>
      <c r="W2012" s="2"/>
      <c r="X2012" s="125"/>
      <c r="Y2012" s="7"/>
      <c r="Z2012" s="2"/>
      <c r="AA2012" s="1"/>
      <c r="AC2012" s="2"/>
      <c r="AE2012" s="1"/>
      <c r="AG2012" s="2"/>
    </row>
    <row r="2013" spans="12:33" ht="49.95" customHeight="1" x14ac:dyDescent="0.3">
      <c r="L2013" s="2"/>
      <c r="M2013" s="2"/>
      <c r="N2013" s="2">
        <v>8489</v>
      </c>
      <c r="O2013" s="375" t="s">
        <v>5366</v>
      </c>
      <c r="P2013" s="16">
        <v>46200</v>
      </c>
      <c r="Q2013" s="374" t="s">
        <v>1779</v>
      </c>
      <c r="R2013" s="2">
        <f>VLOOKUP(SALIDAS111518[[#This Row],[CÓDIGO]],PRODUCTOS31316[],2,FALSE)</f>
        <v>5563</v>
      </c>
      <c r="S2013" s="1" t="str">
        <f>VLOOKUP(SALIDAS111518[[#This Row],[CÓDIGO]],PRODUCTOS31316[],3,FALSE)</f>
        <v>CAMISA SANITARIA ROLLO X 80</v>
      </c>
      <c r="T2013" s="2">
        <v>1</v>
      </c>
      <c r="U2013" s="2"/>
      <c r="V2013" s="2"/>
      <c r="W2013" s="2"/>
      <c r="X2013" s="125"/>
      <c r="Y2013" s="7"/>
      <c r="Z2013" s="2"/>
      <c r="AA2013" s="1"/>
      <c r="AC2013" s="2"/>
      <c r="AE2013" s="1"/>
      <c r="AG2013" s="2"/>
    </row>
    <row r="2014" spans="12:33" ht="49.95" customHeight="1" x14ac:dyDescent="0.3">
      <c r="L2014" s="374" t="s">
        <v>3520</v>
      </c>
      <c r="M2014" s="374" t="s">
        <v>4922</v>
      </c>
      <c r="N2014" s="375" t="s">
        <v>5377</v>
      </c>
      <c r="O2014" s="375" t="s">
        <v>5373</v>
      </c>
      <c r="P2014" s="16">
        <v>46203</v>
      </c>
      <c r="Q2014" s="374" t="s">
        <v>2303</v>
      </c>
      <c r="R2014" s="2">
        <f>VLOOKUP(SALIDAS111518[[#This Row],[CÓDIGO]],PRODUCTOS31316[],2,FALSE)</f>
        <v>28804</v>
      </c>
      <c r="S2014" s="1" t="str">
        <f>VLOOKUP(SALIDAS111518[[#This Row],[CÓDIGO]],PRODUCTOS31316[],3,FALSE)</f>
        <v>PISTOLA DE INSEMINACIÓN 0,50</v>
      </c>
      <c r="T2014" s="2">
        <v>1</v>
      </c>
      <c r="U2014" s="375" t="s">
        <v>5378</v>
      </c>
      <c r="V2014" s="2"/>
      <c r="W2014" s="374" t="s">
        <v>3412</v>
      </c>
      <c r="X2014" s="2"/>
      <c r="Y2014" s="7"/>
      <c r="Z2014" s="2"/>
      <c r="AA2014" s="1"/>
      <c r="AC2014" s="2"/>
      <c r="AE2014" s="1"/>
      <c r="AG2014" s="2"/>
    </row>
    <row r="2015" spans="12:33" ht="49.95" customHeight="1" x14ac:dyDescent="0.3">
      <c r="L2015" s="2"/>
      <c r="M2015" s="2"/>
      <c r="N2015" s="2">
        <v>8479</v>
      </c>
      <c r="O2015" s="375" t="s">
        <v>5373</v>
      </c>
      <c r="P2015" s="16">
        <v>46203</v>
      </c>
      <c r="Q2015" s="374" t="s">
        <v>2406</v>
      </c>
      <c r="R2015" s="2">
        <f>VLOOKUP(SALIDAS111518[[#This Row],[CÓDIGO]],PRODUCTOS31316[],2,FALSE)</f>
        <v>28801</v>
      </c>
      <c r="S2015" s="1" t="str">
        <f>VLOOKUP(SALIDAS111518[[#This Row],[CÓDIGO]],PRODUCTOS31316[],3,FALSE)</f>
        <v>FUNDA DE INSEMINACIÓN 3W 0,25</v>
      </c>
      <c r="T2015" s="2">
        <v>1</v>
      </c>
      <c r="U2015" s="2"/>
      <c r="V2015" s="2"/>
      <c r="W2015" s="2"/>
      <c r="X2015" s="2"/>
      <c r="Y2015" s="7"/>
      <c r="Z2015" s="2"/>
      <c r="AA2015" s="1"/>
      <c r="AC2015" s="2"/>
      <c r="AE2015" s="1"/>
      <c r="AG2015" s="2"/>
    </row>
    <row r="2016" spans="12:33" ht="49.95" customHeight="1" x14ac:dyDescent="0.3">
      <c r="L2016" s="374" t="s">
        <v>3521</v>
      </c>
      <c r="M2016" s="374" t="s">
        <v>4922</v>
      </c>
      <c r="N2016" s="375" t="s">
        <v>5374</v>
      </c>
      <c r="O2016" s="375" t="s">
        <v>5375</v>
      </c>
      <c r="P2016" s="16">
        <v>46203</v>
      </c>
      <c r="Q2016" s="374" t="s">
        <v>2303</v>
      </c>
      <c r="R2016" s="2">
        <f>VLOOKUP(SALIDAS111518[[#This Row],[CÓDIGO]],PRODUCTOS31316[],2,FALSE)</f>
        <v>28804</v>
      </c>
      <c r="S2016" s="1" t="str">
        <f>VLOOKUP(SALIDAS111518[[#This Row],[CÓDIGO]],PRODUCTOS31316[],3,FALSE)</f>
        <v>PISTOLA DE INSEMINACIÓN 0,50</v>
      </c>
      <c r="T2016" s="2">
        <v>1</v>
      </c>
      <c r="U2016" s="375" t="s">
        <v>5376</v>
      </c>
      <c r="V2016" s="2"/>
      <c r="W2016" s="374" t="s">
        <v>3412</v>
      </c>
      <c r="X2016" s="2"/>
      <c r="Y2016" s="7"/>
      <c r="Z2016" s="2"/>
      <c r="AA2016" s="1"/>
      <c r="AC2016" s="2"/>
      <c r="AE2016" s="1"/>
      <c r="AG2016" s="2"/>
    </row>
    <row r="2017" spans="12:33" ht="49.95" customHeight="1" x14ac:dyDescent="0.3">
      <c r="L2017" s="2"/>
      <c r="M2017" s="2"/>
      <c r="N2017" s="2">
        <v>8490</v>
      </c>
      <c r="O2017" s="375" t="s">
        <v>5375</v>
      </c>
      <c r="P2017" s="16">
        <v>46203</v>
      </c>
      <c r="Q2017" s="374" t="s">
        <v>2406</v>
      </c>
      <c r="R2017" s="2">
        <f>VLOOKUP(SALIDAS111518[[#This Row],[CÓDIGO]],PRODUCTOS31316[],2,FALSE)</f>
        <v>28801</v>
      </c>
      <c r="S2017" s="1" t="str">
        <f>VLOOKUP(SALIDAS111518[[#This Row],[CÓDIGO]],PRODUCTOS31316[],3,FALSE)</f>
        <v>FUNDA DE INSEMINACIÓN 3W 0,25</v>
      </c>
      <c r="T2017" s="2">
        <v>1</v>
      </c>
      <c r="U2017" s="2"/>
      <c r="V2017" s="2"/>
      <c r="W2017" s="2"/>
      <c r="X2017" s="2"/>
      <c r="Y2017" s="7"/>
      <c r="Z2017" s="2"/>
      <c r="AA2017" s="1"/>
      <c r="AC2017" s="2"/>
      <c r="AE2017" s="1"/>
      <c r="AG2017" s="2"/>
    </row>
    <row r="2018" spans="12:33" ht="49.95" customHeight="1" x14ac:dyDescent="0.3">
      <c r="L2018" s="2"/>
      <c r="M2018" s="2"/>
      <c r="N2018" s="2">
        <v>8490</v>
      </c>
      <c r="O2018" s="375" t="s">
        <v>5375</v>
      </c>
      <c r="P2018" s="16">
        <v>46203</v>
      </c>
      <c r="Q2018" s="374" t="s">
        <v>3142</v>
      </c>
      <c r="R2018" s="2">
        <f>VLOOKUP(SALIDAS111518[[#This Row],[CÓDIGO]],PRODUCTOS31316[],2,FALSE)</f>
        <v>16301</v>
      </c>
      <c r="S2018" s="1" t="str">
        <f>VLOOKUP(SALIDAS111518[[#This Row],[CÓDIGO]],PRODUCTOS31316[],3,FALSE)</f>
        <v>PISTOLA DE TRANSFERENCIA DE EMBRIONES 0,25 DE MANGO DE ALUMINIO</v>
      </c>
      <c r="T2018" s="2">
        <v>1</v>
      </c>
      <c r="U2018" s="2"/>
      <c r="V2018" s="2"/>
      <c r="W2018" s="2"/>
      <c r="X2018" s="2"/>
      <c r="Y2018" s="7"/>
      <c r="Z2018" s="2"/>
      <c r="AA2018" s="1"/>
      <c r="AC2018" s="2"/>
      <c r="AE2018" s="1"/>
      <c r="AG2018" s="2"/>
    </row>
    <row r="2019" spans="12:33" ht="49.95" customHeight="1" x14ac:dyDescent="0.3">
      <c r="L2019" s="2"/>
      <c r="M2019" s="2"/>
      <c r="N2019" s="2">
        <v>8490</v>
      </c>
      <c r="O2019" s="375" t="s">
        <v>5375</v>
      </c>
      <c r="P2019" s="16">
        <v>46203</v>
      </c>
      <c r="Q2019" s="374" t="s">
        <v>15</v>
      </c>
      <c r="R2019" s="2" t="str">
        <f>VLOOKUP(SALIDAS111518[[#This Row],[CÓDIGO]],PRODUCTOS31316[],2,FALSE)</f>
        <v>BTE-025PT/ 504002</v>
      </c>
      <c r="S2019" s="1" t="str">
        <f>VLOOKUP(SALIDAS111518[[#This Row],[CÓDIGO]],PRODUCTOS31316[],3,FALSE)</f>
        <v>FUNDAS PARA TRANSFERENCIA DE EMBRIONES</v>
      </c>
      <c r="T2019" s="2">
        <v>1</v>
      </c>
      <c r="U2019" s="2"/>
      <c r="V2019" s="2"/>
      <c r="W2019" s="2"/>
      <c r="X2019" s="2"/>
      <c r="Y2019" s="7"/>
      <c r="Z2019" s="2"/>
      <c r="AA2019" s="1"/>
      <c r="AC2019" s="2"/>
      <c r="AE2019" s="1"/>
      <c r="AG2019" s="2"/>
    </row>
    <row r="2020" spans="12:33" ht="49.95" customHeight="1" x14ac:dyDescent="0.3">
      <c r="L2020" s="2"/>
      <c r="M2020" s="2"/>
      <c r="N2020" s="2">
        <v>8490</v>
      </c>
      <c r="O2020" s="375" t="s">
        <v>5375</v>
      </c>
      <c r="P2020" s="16">
        <v>46203</v>
      </c>
      <c r="Q2020" s="374" t="s">
        <v>3376</v>
      </c>
      <c r="R2020" s="2">
        <f>VLOOKUP(SALIDAS111518[[#This Row],[CÓDIGO]],PRODUCTOS31316[],2,FALSE)</f>
        <v>0</v>
      </c>
      <c r="S2020" s="1" t="str">
        <f>VLOOKUP(SALIDAS111518[[#This Row],[CÓDIGO]],PRODUCTOS31316[],3,FALSE)</f>
        <v>TERMO DE 380 ML MAS CAMPO</v>
      </c>
      <c r="T2020" s="2">
        <v>1</v>
      </c>
      <c r="U2020" s="2"/>
      <c r="V2020" s="2"/>
      <c r="W2020" s="2"/>
      <c r="X2020" s="2"/>
      <c r="Y2020" s="7"/>
      <c r="Z2020" s="2"/>
      <c r="AA2020" s="1"/>
      <c r="AC2020" s="2"/>
      <c r="AE2020" s="1"/>
      <c r="AG2020" s="2"/>
    </row>
    <row r="2021" spans="12:33" ht="49.95" customHeight="1" x14ac:dyDescent="0.3">
      <c r="L2021" s="374" t="s">
        <v>3520</v>
      </c>
      <c r="M2021" s="374" t="s">
        <v>4922</v>
      </c>
      <c r="N2021" s="375" t="s">
        <v>5371</v>
      </c>
      <c r="O2021" s="375" t="s">
        <v>5373</v>
      </c>
      <c r="P2021" s="16">
        <v>46203</v>
      </c>
      <c r="Q2021" s="374" t="s">
        <v>2406</v>
      </c>
      <c r="R2021" s="2">
        <f>VLOOKUP(SALIDAS111518[[#This Row],[CÓDIGO]],PRODUCTOS31316[],2,FALSE)</f>
        <v>28801</v>
      </c>
      <c r="S2021" s="1" t="str">
        <f>VLOOKUP(SALIDAS111518[[#This Row],[CÓDIGO]],PRODUCTOS31316[],3,FALSE)</f>
        <v>FUNDA DE INSEMINACIÓN 3W 0,25</v>
      </c>
      <c r="T2021" s="2">
        <v>3</v>
      </c>
      <c r="U2021" s="375" t="s">
        <v>5372</v>
      </c>
      <c r="V2021" s="2"/>
      <c r="W2021" s="374" t="s">
        <v>3412</v>
      </c>
      <c r="X2021" s="2"/>
      <c r="Y2021" s="7"/>
      <c r="Z2021" s="2"/>
      <c r="AA2021" s="1"/>
      <c r="AC2021" s="2"/>
      <c r="AE2021" s="1"/>
      <c r="AG2021" s="2"/>
    </row>
    <row r="2022" spans="12:33" ht="49.95" customHeight="1" x14ac:dyDescent="0.3">
      <c r="L2022" s="2"/>
      <c r="M2022" s="2"/>
      <c r="N2022" s="2">
        <v>8492</v>
      </c>
      <c r="O2022" s="375" t="s">
        <v>5373</v>
      </c>
      <c r="P2022" s="16">
        <v>46203</v>
      </c>
      <c r="Q2022" s="374" t="s">
        <v>2303</v>
      </c>
      <c r="R2022" s="2">
        <f>VLOOKUP(SALIDAS111518[[#This Row],[CÓDIGO]],PRODUCTOS31316[],2,FALSE)</f>
        <v>28804</v>
      </c>
      <c r="S2022" s="1" t="str">
        <f>VLOOKUP(SALIDAS111518[[#This Row],[CÓDIGO]],PRODUCTOS31316[],3,FALSE)</f>
        <v>PISTOLA DE INSEMINACIÓN 0,50</v>
      </c>
      <c r="T2022" s="2">
        <v>1</v>
      </c>
      <c r="U2022" s="2"/>
      <c r="V2022" s="2"/>
      <c r="W2022" s="2"/>
      <c r="X2022" s="2"/>
      <c r="Y2022" s="7"/>
      <c r="Z2022" s="2"/>
      <c r="AA2022" s="1"/>
      <c r="AC2022" s="2"/>
      <c r="AE2022" s="1"/>
      <c r="AG2022" s="2"/>
    </row>
    <row r="2023" spans="12:33" ht="49.95" customHeight="1" x14ac:dyDescent="0.3">
      <c r="L2023" s="374" t="s">
        <v>3521</v>
      </c>
      <c r="M2023" s="374" t="s">
        <v>4922</v>
      </c>
      <c r="N2023" s="375" t="s">
        <v>5368</v>
      </c>
      <c r="O2023" s="375" t="s">
        <v>5370</v>
      </c>
      <c r="P2023" s="16">
        <v>46203</v>
      </c>
      <c r="Q2023" s="374" t="s">
        <v>651</v>
      </c>
      <c r="R2023" s="2">
        <f>VLOOKUP(SALIDAS111518[[#This Row],[CÓDIGO]],PRODUCTOS31316[],2,FALSE)</f>
        <v>18367</v>
      </c>
      <c r="S2023" s="1" t="str">
        <f>VLOOKUP(SALIDAS111518[[#This Row],[CÓDIGO]],PRODUCTOS31316[],3,FALSE)</f>
        <v>PISTOLA DE INSEMINACIÓN UNIVERSAL (AUTOMATIC LOCK)</v>
      </c>
      <c r="T2023" s="2">
        <v>1</v>
      </c>
      <c r="U2023" s="375" t="s">
        <v>5369</v>
      </c>
      <c r="V2023" s="2"/>
      <c r="W2023" s="2"/>
      <c r="X2023" s="2"/>
      <c r="Y2023" s="7"/>
      <c r="Z2023" s="2"/>
      <c r="AA2023" s="1"/>
      <c r="AC2023" s="2"/>
      <c r="AE2023" s="1"/>
      <c r="AG2023" s="2"/>
    </row>
    <row r="2024" spans="12:33" ht="49.95" customHeight="1" x14ac:dyDescent="0.3">
      <c r="L2024" s="374" t="s">
        <v>3521</v>
      </c>
      <c r="M2024" s="374" t="s">
        <v>4922</v>
      </c>
      <c r="N2024" s="375" t="s">
        <v>5364</v>
      </c>
      <c r="O2024" s="375" t="s">
        <v>5366</v>
      </c>
      <c r="P2024" s="16">
        <v>46203</v>
      </c>
      <c r="Q2024" s="374" t="s">
        <v>2303</v>
      </c>
      <c r="R2024" s="2">
        <f>VLOOKUP(SALIDAS111518[[#This Row],[CÓDIGO]],PRODUCTOS31316[],2,FALSE)</f>
        <v>28804</v>
      </c>
      <c r="S2024" s="1" t="str">
        <f>VLOOKUP(SALIDAS111518[[#This Row],[CÓDIGO]],PRODUCTOS31316[],3,FALSE)</f>
        <v>PISTOLA DE INSEMINACIÓN 0,50</v>
      </c>
      <c r="T2024" s="2">
        <v>1</v>
      </c>
      <c r="U2024" s="375" t="s">
        <v>5367</v>
      </c>
      <c r="V2024" s="2"/>
      <c r="W2024" s="374" t="s">
        <v>3412</v>
      </c>
      <c r="X2024" s="2"/>
      <c r="Y2024" s="7"/>
      <c r="Z2024" s="2"/>
      <c r="AA2024" s="1"/>
      <c r="AC2024" s="2"/>
      <c r="AE2024" s="1"/>
      <c r="AG2024" s="2"/>
    </row>
    <row r="2025" spans="12:33" ht="49.95" customHeight="1" x14ac:dyDescent="0.3">
      <c r="L2025" s="2"/>
      <c r="M2025" s="2"/>
      <c r="N2025" s="2">
        <v>8494</v>
      </c>
      <c r="O2025" s="375" t="s">
        <v>5366</v>
      </c>
      <c r="P2025" s="16">
        <v>46203</v>
      </c>
      <c r="Q2025" s="374" t="s">
        <v>2406</v>
      </c>
      <c r="R2025" s="2">
        <f>VLOOKUP(SALIDAS111518[[#This Row],[CÓDIGO]],PRODUCTOS31316[],2,FALSE)</f>
        <v>28801</v>
      </c>
      <c r="S2025" s="1" t="str">
        <f>VLOOKUP(SALIDAS111518[[#This Row],[CÓDIGO]],PRODUCTOS31316[],3,FALSE)</f>
        <v>FUNDA DE INSEMINACIÓN 3W 0,25</v>
      </c>
      <c r="T2025" s="2">
        <v>1</v>
      </c>
      <c r="U2025" s="2"/>
      <c r="V2025" s="2"/>
      <c r="W2025" s="2"/>
      <c r="X2025" s="2"/>
      <c r="Y2025" s="7"/>
      <c r="Z2025" s="2"/>
      <c r="AA2025" s="1"/>
      <c r="AC2025" s="2"/>
      <c r="AE2025" s="1"/>
      <c r="AG2025" s="2"/>
    </row>
    <row r="2026" spans="12:33" ht="49.95" customHeight="1" x14ac:dyDescent="0.3">
      <c r="L2026" s="374" t="s">
        <v>3521</v>
      </c>
      <c r="M2026" s="374" t="s">
        <v>4922</v>
      </c>
      <c r="N2026" s="375" t="s">
        <v>5362</v>
      </c>
      <c r="O2026" s="374" t="s">
        <v>5361</v>
      </c>
      <c r="P2026" s="16">
        <v>46170</v>
      </c>
      <c r="Q2026" s="374" t="s">
        <v>3365</v>
      </c>
      <c r="R2026" s="2">
        <f>VLOOKUP(SALIDAS111518[[#This Row],[CÓDIGO]],PRODUCTOS31316[],2,FALSE)</f>
        <v>0</v>
      </c>
      <c r="S2026" s="1" t="str">
        <f>VLOOKUP(SALIDAS111518[[#This Row],[CÓDIGO]],PRODUCTOS31316[],3,FALSE)</f>
        <v>MANGA DE PROTECCIÓN PALPACIÓN MAS CAMPO</v>
      </c>
      <c r="T2026" s="2">
        <v>7</v>
      </c>
      <c r="U2026" s="375" t="s">
        <v>5397</v>
      </c>
      <c r="V2026" s="2"/>
      <c r="W2026" s="374" t="s">
        <v>2823</v>
      </c>
      <c r="X2026" s="2"/>
      <c r="Y2026" s="7"/>
      <c r="Z2026" s="2"/>
      <c r="AA2026" s="1"/>
      <c r="AC2026" s="2"/>
      <c r="AE2026" s="1"/>
      <c r="AG2026" s="2"/>
    </row>
    <row r="2027" spans="12:33" ht="49.95" customHeight="1" x14ac:dyDescent="0.3">
      <c r="L2027" s="374" t="s">
        <v>3521</v>
      </c>
      <c r="M2027" s="374" t="s">
        <v>4922</v>
      </c>
      <c r="N2027" s="375" t="s">
        <v>5360</v>
      </c>
      <c r="O2027" s="374" t="s">
        <v>5359</v>
      </c>
      <c r="P2027" s="16">
        <v>46170</v>
      </c>
      <c r="Q2027" s="374" t="s">
        <v>3889</v>
      </c>
      <c r="R2027" s="2">
        <f>VLOOKUP(SALIDAS111518[[#This Row],[CÓDIGO]],PRODUCTOS31316[],2,FALSE)</f>
        <v>9013003</v>
      </c>
      <c r="S2027" s="1" t="str">
        <f>VLOOKUP(SALIDAS111518[[#This Row],[CÓDIGO]],PRODUCTOS31316[],3,FALSE)</f>
        <v>TERMO DESCONGELADOR DE SEMEN Y EMBRIONES DSEB-400 SIN BATERÍA BLUE/WHITE</v>
      </c>
      <c r="T2027" s="2">
        <v>1</v>
      </c>
      <c r="U2027" s="375" t="s">
        <v>5410</v>
      </c>
      <c r="V2027" s="2"/>
      <c r="W2027" s="374" t="s">
        <v>3412</v>
      </c>
      <c r="X2027" s="2"/>
      <c r="Y2027" s="7"/>
      <c r="Z2027" s="2"/>
      <c r="AA2027" s="1"/>
      <c r="AC2027" s="2"/>
      <c r="AE2027" s="1"/>
      <c r="AG2027" s="2"/>
    </row>
    <row r="2028" spans="12:33" ht="49.95" customHeight="1" x14ac:dyDescent="0.3">
      <c r="L2028" s="2"/>
      <c r="M2028" s="2"/>
      <c r="N2028" s="2">
        <v>8472</v>
      </c>
      <c r="O2028" s="374" t="s">
        <v>5359</v>
      </c>
      <c r="P2028" s="16">
        <v>46170</v>
      </c>
      <c r="Q2028" s="374" t="s">
        <v>2364</v>
      </c>
      <c r="R2028" s="2">
        <f>VLOOKUP(SALIDAS111518[[#This Row],[CÓDIGO]],PRODUCTOS31316[],2,FALSE)</f>
        <v>0</v>
      </c>
      <c r="S2028" s="1" t="str">
        <f>VLOOKUP(SALIDAS111518[[#This Row],[CÓDIGO]],PRODUCTOS31316[],3,FALSE)</f>
        <v>CORTAPAJILLAS WTA</v>
      </c>
      <c r="T2028" s="2">
        <v>3</v>
      </c>
      <c r="U2028" s="2"/>
      <c r="V2028" s="2"/>
      <c r="W2028" s="2"/>
      <c r="X2028" s="2"/>
      <c r="Y2028" s="7"/>
      <c r="Z2028" s="2"/>
      <c r="AA2028" s="1"/>
      <c r="AC2028" s="2"/>
      <c r="AE2028" s="1"/>
      <c r="AG2028" s="2"/>
    </row>
    <row r="2029" spans="12:33" ht="49.95" customHeight="1" x14ac:dyDescent="0.3">
      <c r="L2029" s="2"/>
      <c r="M2029" s="2"/>
      <c r="N2029" s="2">
        <v>8472</v>
      </c>
      <c r="O2029" s="374" t="s">
        <v>5359</v>
      </c>
      <c r="P2029" s="16">
        <v>46170</v>
      </c>
      <c r="Q2029" s="374" t="s">
        <v>3365</v>
      </c>
      <c r="R2029" s="2">
        <f>VLOOKUP(SALIDAS111518[[#This Row],[CÓDIGO]],PRODUCTOS31316[],2,FALSE)</f>
        <v>0</v>
      </c>
      <c r="S2029" s="1" t="str">
        <f>VLOOKUP(SALIDAS111518[[#This Row],[CÓDIGO]],PRODUCTOS31316[],3,FALSE)</f>
        <v>MANGA DE PROTECCIÓN PALPACIÓN MAS CAMPO</v>
      </c>
      <c r="T2029" s="2">
        <v>3</v>
      </c>
      <c r="U2029" s="2"/>
      <c r="V2029" s="2"/>
      <c r="W2029" s="2"/>
      <c r="X2029" s="2"/>
      <c r="Y2029" s="7"/>
      <c r="Z2029" s="2"/>
      <c r="AA2029" s="1"/>
      <c r="AC2029" s="2"/>
      <c r="AE2029" s="1"/>
      <c r="AG2029" s="2"/>
    </row>
    <row r="2030" spans="12:33" ht="49.95" customHeight="1" x14ac:dyDescent="0.3">
      <c r="L2030" s="2"/>
      <c r="M2030" s="2"/>
      <c r="N2030" s="2">
        <v>8472</v>
      </c>
      <c r="O2030" s="374" t="s">
        <v>5359</v>
      </c>
      <c r="P2030" s="16">
        <v>46170</v>
      </c>
      <c r="Q2030" s="374" t="s">
        <v>3095</v>
      </c>
      <c r="R2030" s="2">
        <f>VLOOKUP(SALIDAS111518[[#This Row],[CÓDIGO]],PRODUCTOS31316[],2,FALSE)</f>
        <v>0</v>
      </c>
      <c r="S2030" s="1" t="str">
        <f>VLOOKUP(SALIDAS111518[[#This Row],[CÓDIGO]],PRODUCTOS31316[],3,FALSE)</f>
        <v>GORRA MAS CAMPO</v>
      </c>
      <c r="T2030" s="2">
        <v>4</v>
      </c>
      <c r="U2030" s="2"/>
      <c r="V2030" s="2"/>
      <c r="W2030" s="2"/>
      <c r="X2030" s="2"/>
      <c r="Y2030" s="7"/>
      <c r="Z2030" s="2"/>
      <c r="AA2030" s="1"/>
      <c r="AC2030" s="2"/>
      <c r="AE2030" s="1"/>
      <c r="AG2030" s="2"/>
    </row>
    <row r="2031" spans="12:33" ht="49.95" customHeight="1" x14ac:dyDescent="0.3">
      <c r="L2031" s="374" t="s">
        <v>3521</v>
      </c>
      <c r="M2031" s="374" t="s">
        <v>5213</v>
      </c>
      <c r="N2031" s="374" t="s">
        <v>5392</v>
      </c>
      <c r="O2031" s="375" t="s">
        <v>5391</v>
      </c>
      <c r="P2031" s="16">
        <v>46175</v>
      </c>
      <c r="Q2031" s="374" t="s">
        <v>378</v>
      </c>
      <c r="R2031" s="2">
        <f>VLOOKUP(SALIDAS111518[[#This Row],[CÓDIGO]],PRODUCTOS31316[],2,FALSE)</f>
        <v>0</v>
      </c>
      <c r="S2031" s="1" t="str">
        <f>VLOOKUP(SALIDAS111518[[#This Row],[CÓDIGO]],PRODUCTOS31316[],3,FALSE)</f>
        <v>ISPERM KIT (WITH 50 INCLUIDED CHIPS, EXS M5)</v>
      </c>
      <c r="T2031" s="2">
        <v>1</v>
      </c>
      <c r="U2031" s="2">
        <v>913</v>
      </c>
      <c r="V2031" s="2"/>
      <c r="W2031" s="374" t="s">
        <v>2823</v>
      </c>
      <c r="X2031" s="2"/>
      <c r="Y2031" s="7"/>
      <c r="Z2031" s="2"/>
      <c r="AA2031" s="1"/>
      <c r="AC2031" s="2"/>
      <c r="AE2031" s="1"/>
      <c r="AG2031" s="2"/>
    </row>
    <row r="2032" spans="12:33" ht="49.95" customHeight="1" x14ac:dyDescent="0.3">
      <c r="L2032" s="2"/>
      <c r="M2032" s="2"/>
      <c r="N2032" s="2">
        <v>8495</v>
      </c>
      <c r="O2032" s="375" t="s">
        <v>5391</v>
      </c>
      <c r="P2032" s="16">
        <v>46175</v>
      </c>
      <c r="Q2032" s="374" t="s">
        <v>985</v>
      </c>
      <c r="R2032" s="2">
        <f>VLOOKUP(SALIDAS111518[[#This Row],[CÓDIGO]],PRODUCTOS31316[],2,FALSE)</f>
        <v>0</v>
      </c>
      <c r="S2032" s="1" t="str">
        <f>VLOOKUP(SALIDAS111518[[#This Row],[CÓDIGO]],PRODUCTOS31316[],3,FALSE)</f>
        <v>ISPERM SOFTWARE INICIAL ( UNA APLICACIÓN)</v>
      </c>
      <c r="T2032" s="2">
        <v>1</v>
      </c>
      <c r="U2032" s="2"/>
      <c r="V2032" s="2"/>
      <c r="W2032" s="2"/>
      <c r="X2032" s="2"/>
      <c r="Y2032" s="7"/>
      <c r="Z2032" s="2"/>
      <c r="AA2032" s="1"/>
      <c r="AC2032" s="2"/>
      <c r="AE2032" s="1"/>
      <c r="AG2032" s="2"/>
    </row>
    <row r="2033" spans="12:33" ht="49.95" customHeight="1" x14ac:dyDescent="0.3">
      <c r="L2033" s="2"/>
      <c r="M2033" s="2"/>
      <c r="N2033" s="2">
        <v>8495</v>
      </c>
      <c r="O2033" s="375" t="s">
        <v>5391</v>
      </c>
      <c r="P2033" s="16">
        <v>46175</v>
      </c>
      <c r="Q2033" s="374" t="s">
        <v>3275</v>
      </c>
      <c r="R2033" s="2">
        <f>VLOOKUP(SALIDAS111518[[#This Row],[CÓDIGO]],PRODUCTOS31316[],2,FALSE)</f>
        <v>0</v>
      </c>
      <c r="S2033" s="1" t="str">
        <f>VLOOKUP(SALIDAS111518[[#This Row],[CÓDIGO]],PRODUCTOS31316[],3,FALSE)</f>
        <v>IPAD MINI 7.9" PLATA 128 GB</v>
      </c>
      <c r="T2033" s="2">
        <v>1</v>
      </c>
      <c r="U2033" s="2"/>
      <c r="V2033" s="2"/>
      <c r="W2033" s="2"/>
      <c r="X2033" s="2"/>
      <c r="Y2033" s="7"/>
      <c r="Z2033" s="2"/>
      <c r="AA2033" s="1"/>
      <c r="AC2033" s="2"/>
      <c r="AE2033" s="1"/>
      <c r="AG2033" s="2"/>
    </row>
    <row r="2034" spans="12:33" ht="49.95" customHeight="1" x14ac:dyDescent="0.3">
      <c r="L2034" s="2"/>
      <c r="M2034" s="2"/>
      <c r="N2034" s="2">
        <v>8495</v>
      </c>
      <c r="O2034" s="375" t="s">
        <v>5391</v>
      </c>
      <c r="P2034" s="16">
        <v>46175</v>
      </c>
      <c r="Q2034" s="374" t="s">
        <v>913</v>
      </c>
      <c r="R2034" s="2" t="str">
        <f>VLOOKUP(SALIDAS111518[[#This Row],[CÓDIGO]],PRODUCTOS31316[],2,FALSE)</f>
        <v>HC-R069</v>
      </c>
      <c r="S2034" s="1" t="str">
        <f>VLOOKUP(SALIDAS111518[[#This Row],[CÓDIGO]],PRODUCTOS31316[],3,FALSE)</f>
        <v>MICROSCOPIO CON PLATINA Y PANTALLA 7"</v>
      </c>
      <c r="T2034" s="2">
        <v>1</v>
      </c>
      <c r="U2034" s="2"/>
      <c r="V2034" s="2"/>
      <c r="W2034" s="2"/>
      <c r="X2034" s="2"/>
      <c r="Y2034" s="7"/>
      <c r="Z2034" s="2"/>
      <c r="AA2034" s="1"/>
      <c r="AC2034" s="2"/>
      <c r="AE2034" s="1"/>
      <c r="AG2034" s="2"/>
    </row>
    <row r="2035" spans="12:33" ht="49.95" customHeight="1" x14ac:dyDescent="0.3">
      <c r="L2035" s="2"/>
      <c r="M2035" s="2"/>
      <c r="N2035" s="2">
        <v>8495</v>
      </c>
      <c r="O2035" s="375" t="s">
        <v>5391</v>
      </c>
      <c r="P2035" s="46">
        <v>46219</v>
      </c>
      <c r="Q2035" s="374" t="s">
        <v>2340</v>
      </c>
      <c r="R2035" s="2" t="str">
        <f>VLOOKUP(SALIDAS111518[[#This Row],[CÓDIGO]],PRODUCTOS31316[],2,FALSE)</f>
        <v>SMZ-05</v>
      </c>
      <c r="S2035" s="1" t="str">
        <f>VLOOKUP(SALIDAS111518[[#This Row],[CÓDIGO]],PRODUCTOS31316[],3,FALSE)</f>
        <v>ESTEREOMICROSCOPIO ZOOM</v>
      </c>
      <c r="T2035" s="2">
        <v>1</v>
      </c>
      <c r="U2035" s="374"/>
      <c r="V2035" s="2"/>
      <c r="W2035" s="2"/>
      <c r="X2035" s="2"/>
      <c r="Y2035" s="7"/>
      <c r="Z2035" s="2"/>
      <c r="AA2035" s="1"/>
      <c r="AC2035" s="2"/>
      <c r="AE2035" s="1"/>
      <c r="AG2035" s="2"/>
    </row>
    <row r="2036" spans="12:33" ht="49.95" customHeight="1" x14ac:dyDescent="0.3">
      <c r="L2036" s="374" t="s">
        <v>3521</v>
      </c>
      <c r="M2036" s="374" t="s">
        <v>5213</v>
      </c>
      <c r="N2036" s="374" t="s">
        <v>5390</v>
      </c>
      <c r="O2036" s="374" t="s">
        <v>5389</v>
      </c>
      <c r="P2036" s="16">
        <v>46175</v>
      </c>
      <c r="Q2036" s="374" t="s">
        <v>683</v>
      </c>
      <c r="R2036" s="2">
        <f>VLOOKUP(SALIDAS111518[[#This Row],[CÓDIGO]],PRODUCTOS31316[],2,FALSE)</f>
        <v>109304</v>
      </c>
      <c r="S2036" s="1" t="str">
        <f>VLOOKUP(SALIDAS111518[[#This Row],[CÓDIGO]],PRODUCTOS31316[],3,FALSE)</f>
        <v>EOSINA- NIGROSINA</v>
      </c>
      <c r="T2036" s="2">
        <v>1</v>
      </c>
      <c r="U2036" s="2">
        <v>914</v>
      </c>
      <c r="V2036" s="2"/>
      <c r="W2036" s="2"/>
      <c r="X2036" s="2"/>
      <c r="Y2036" s="7"/>
      <c r="Z2036" s="2"/>
      <c r="AA2036" s="1"/>
      <c r="AC2036" s="2"/>
      <c r="AE2036" s="1"/>
      <c r="AG2036" s="2"/>
    </row>
    <row r="2037" spans="12:33" ht="49.95" customHeight="1" x14ac:dyDescent="0.3">
      <c r="L2037" s="374" t="s">
        <v>3521</v>
      </c>
      <c r="M2037" s="374" t="s">
        <v>5213</v>
      </c>
      <c r="N2037" s="374" t="s">
        <v>5388</v>
      </c>
      <c r="O2037" s="374" t="s">
        <v>5387</v>
      </c>
      <c r="P2037" s="16">
        <v>46175</v>
      </c>
      <c r="Q2037" s="374" t="s">
        <v>2382</v>
      </c>
      <c r="R2037" s="2">
        <f>VLOOKUP(SALIDAS111518[[#This Row],[CÓDIGO]],PRODUCTOS31316[],2,FALSE)</f>
        <v>1</v>
      </c>
      <c r="S2037" s="1" t="str">
        <f>VLOOKUP(SALIDAS111518[[#This Row],[CÓDIGO]],PRODUCTOS31316[],3,FALSE)</f>
        <v>TERMO DE TRANSPORTE 1 LITRO</v>
      </c>
      <c r="T2037" s="2">
        <v>1</v>
      </c>
      <c r="U2037" s="2">
        <v>915</v>
      </c>
      <c r="V2037" s="2"/>
      <c r="W2037" s="2"/>
      <c r="X2037" s="2"/>
      <c r="Y2037" s="7"/>
      <c r="Z2037" s="2"/>
      <c r="AA2037" s="1"/>
      <c r="AC2037" s="2"/>
      <c r="AE2037" s="1"/>
      <c r="AG2037" s="2"/>
    </row>
    <row r="2038" spans="12:33" ht="49.95" customHeight="1" x14ac:dyDescent="0.3">
      <c r="L2038" s="374" t="s">
        <v>3520</v>
      </c>
      <c r="M2038" s="374" t="s">
        <v>5213</v>
      </c>
      <c r="N2038" s="374" t="s">
        <v>5386</v>
      </c>
      <c r="O2038" s="375" t="s">
        <v>2691</v>
      </c>
      <c r="P2038" s="16">
        <v>46175</v>
      </c>
      <c r="Q2038" s="374" t="s">
        <v>3405</v>
      </c>
      <c r="R2038" s="2" t="str">
        <f>VLOOKUP(SALIDAS111518[[#This Row],[CÓDIGO]],PRODUCTOS31316[],2,FALSE)</f>
        <v>17209/1265</v>
      </c>
      <c r="S2038" s="1" t="str">
        <f>VLOOKUP(SALIDAS111518[[#This Row],[CÓDIGO]],PRODUCTOS31316[],3,FALSE)</f>
        <v>PIPETA EQUINA DE 65 CM</v>
      </c>
      <c r="T2038" s="2">
        <v>10</v>
      </c>
      <c r="U2038" s="2">
        <v>916</v>
      </c>
      <c r="V2038" s="2"/>
      <c r="W2038" s="2"/>
      <c r="X2038" s="2"/>
      <c r="Y2038" s="7"/>
      <c r="Z2038" s="2"/>
      <c r="AA2038" s="1"/>
      <c r="AC2038" s="2"/>
      <c r="AE2038" s="1"/>
      <c r="AG2038" s="2"/>
    </row>
    <row r="2039" spans="12:33" ht="49.95" customHeight="1" x14ac:dyDescent="0.3">
      <c r="L2039" s="2"/>
      <c r="M2039" s="2"/>
      <c r="N2039" s="2">
        <v>8498</v>
      </c>
      <c r="O2039" s="375" t="s">
        <v>2691</v>
      </c>
      <c r="P2039" s="16">
        <v>46175</v>
      </c>
      <c r="Q2039" s="374" t="s">
        <v>741</v>
      </c>
      <c r="R2039" s="2" t="str">
        <f>VLOOKUP(SALIDAS111518[[#This Row],[CÓDIGO]],PRODUCTOS31316[],2,FALSE)</f>
        <v>17209/1165</v>
      </c>
      <c r="S2039" s="1" t="str">
        <f>VLOOKUP(SALIDAS111518[[#This Row],[CÓDIGO]],PRODUCTOS31316[],3,FALSE)</f>
        <v>PIPETA EQUINA 65CM</v>
      </c>
      <c r="T2039" s="2">
        <v>1</v>
      </c>
      <c r="U2039" s="2"/>
      <c r="V2039" s="2"/>
      <c r="W2039" s="2"/>
      <c r="X2039" s="2"/>
      <c r="Y2039" s="7"/>
      <c r="Z2039" s="2"/>
      <c r="AA2039" s="1"/>
      <c r="AC2039" s="2"/>
      <c r="AE2039" s="1"/>
      <c r="AG2039" s="2"/>
    </row>
    <row r="2040" spans="12:33" ht="49.95" customHeight="1" x14ac:dyDescent="0.3">
      <c r="L2040" s="374" t="s">
        <v>3520</v>
      </c>
      <c r="M2040" s="374" t="s">
        <v>5213</v>
      </c>
      <c r="N2040" s="374" t="s">
        <v>5385</v>
      </c>
      <c r="O2040" s="375" t="s">
        <v>5384</v>
      </c>
      <c r="P2040" s="16">
        <v>46175</v>
      </c>
      <c r="Q2040" s="374" t="s">
        <v>3142</v>
      </c>
      <c r="R2040" s="2">
        <f>VLOOKUP(SALIDAS111518[[#This Row],[CÓDIGO]],PRODUCTOS31316[],2,FALSE)</f>
        <v>16301</v>
      </c>
      <c r="S2040" s="1" t="str">
        <f>VLOOKUP(SALIDAS111518[[#This Row],[CÓDIGO]],PRODUCTOS31316[],3,FALSE)</f>
        <v>PISTOLA DE TRANSFERENCIA DE EMBRIONES 0,25 DE MANGO DE ALUMINIO</v>
      </c>
      <c r="T2040" s="2">
        <v>3</v>
      </c>
      <c r="U2040" s="2">
        <v>917</v>
      </c>
      <c r="V2040" s="2"/>
      <c r="W2040" s="374" t="s">
        <v>3412</v>
      </c>
      <c r="X2040" s="2"/>
      <c r="Y2040" s="7"/>
      <c r="Z2040" s="2"/>
      <c r="AA2040" s="1"/>
      <c r="AC2040" s="2"/>
      <c r="AE2040" s="1"/>
      <c r="AG2040" s="2"/>
    </row>
    <row r="2041" spans="12:33" ht="49.95" customHeight="1" x14ac:dyDescent="0.3">
      <c r="L2041" s="374" t="s">
        <v>3520</v>
      </c>
      <c r="M2041" s="374" t="s">
        <v>5213</v>
      </c>
      <c r="N2041" s="374" t="s">
        <v>5383</v>
      </c>
      <c r="O2041" s="375" t="s">
        <v>2702</v>
      </c>
      <c r="P2041" s="16">
        <v>46175</v>
      </c>
      <c r="Q2041" s="374" t="s">
        <v>247</v>
      </c>
      <c r="R2041" s="2">
        <f>VLOOKUP(SALIDAS111518[[#This Row],[CÓDIGO]],PRODUCTOS31316[],2,FALSE)</f>
        <v>352054</v>
      </c>
      <c r="S2041" s="1" t="str">
        <f>VLOOKUP(SALIDAS111518[[#This Row],[CÓDIGO]],PRODUCTOS31316[],3,FALSE)</f>
        <v>TUBO DE FONDO REDONDO DE 5ML 12X75MM , POLIESTIRENO</v>
      </c>
      <c r="T2041" s="2">
        <v>6</v>
      </c>
      <c r="U2041" s="2">
        <v>918</v>
      </c>
      <c r="V2041" s="2"/>
      <c r="W2041" s="2"/>
      <c r="X2041" s="2"/>
      <c r="Y2041" s="7"/>
      <c r="Z2041" s="2"/>
      <c r="AA2041" s="1"/>
      <c r="AC2041" s="2"/>
      <c r="AE2041" s="1"/>
      <c r="AG2041" s="2"/>
    </row>
    <row r="2042" spans="12:33" ht="49.95" customHeight="1" x14ac:dyDescent="0.3">
      <c r="L2042" s="2"/>
      <c r="M2042" s="2"/>
      <c r="N2042" s="2">
        <v>8500</v>
      </c>
      <c r="O2042" s="375" t="s">
        <v>2702</v>
      </c>
      <c r="P2042" s="16">
        <v>46175</v>
      </c>
      <c r="Q2042" s="374" t="s">
        <v>272</v>
      </c>
      <c r="R2042" s="2">
        <f>VLOOKUP(SALIDAS111518[[#This Row],[CÓDIGO]],PRODUCTOS31316[],2,FALSE)</f>
        <v>627161</v>
      </c>
      <c r="S2042" s="1" t="str">
        <f>VLOOKUP(SALIDAS111518[[#This Row],[CÓDIGO]],PRODUCTOS31316[],3,FALSE)</f>
        <v xml:space="preserve">CAJA PETRI 35X10 ESTERIL </v>
      </c>
      <c r="T2042" s="2">
        <v>15</v>
      </c>
      <c r="U2042" s="2"/>
      <c r="V2042" s="2"/>
      <c r="W2042" s="2"/>
      <c r="X2042" s="2"/>
      <c r="Y2042" s="7"/>
      <c r="Z2042" s="2"/>
      <c r="AA2042" s="1"/>
      <c r="AC2042" s="2"/>
      <c r="AE2042" s="1"/>
      <c r="AG2042" s="2"/>
    </row>
    <row r="2043" spans="12:33" ht="49.95" customHeight="1" x14ac:dyDescent="0.3">
      <c r="L2043" s="2"/>
      <c r="M2043" s="2"/>
      <c r="N2043" s="2">
        <v>8500</v>
      </c>
      <c r="O2043" s="375" t="s">
        <v>2702</v>
      </c>
      <c r="P2043" s="16">
        <v>46175</v>
      </c>
      <c r="Q2043" s="374" t="s">
        <v>3165</v>
      </c>
      <c r="R2043" s="2">
        <f>VLOOKUP(SALIDAS111518[[#This Row],[CÓDIGO]],PRODUCTOS31316[],2,FALSE)</f>
        <v>30943</v>
      </c>
      <c r="S2043" s="1" t="str">
        <f>VLOOKUP(SALIDAS111518[[#This Row],[CÓDIGO]],PRODUCTOS31316[],3,FALSE)</f>
        <v xml:space="preserve">CAJA PETRI DESECHABLE ESTERIL 90X 15 </v>
      </c>
      <c r="T2043" s="2">
        <v>10</v>
      </c>
      <c r="U2043" s="2"/>
      <c r="V2043" s="2"/>
      <c r="W2043" s="2"/>
      <c r="X2043" s="2"/>
      <c r="Y2043" s="7"/>
      <c r="Z2043" s="2"/>
      <c r="AA2043" s="1"/>
      <c r="AC2043" s="2"/>
      <c r="AE2043" s="1"/>
      <c r="AG2043" s="2"/>
    </row>
    <row r="2044" spans="12:33" ht="49.95" customHeight="1" x14ac:dyDescent="0.3">
      <c r="L2044" s="2"/>
      <c r="M2044" s="2"/>
      <c r="N2044" s="2">
        <v>8500</v>
      </c>
      <c r="O2044" s="375" t="s">
        <v>2702</v>
      </c>
      <c r="P2044" s="16">
        <v>46175</v>
      </c>
      <c r="Q2044" s="374" t="s">
        <v>360</v>
      </c>
      <c r="R2044" s="2">
        <f>VLOOKUP(SALIDAS111518[[#This Row],[CÓDIGO]],PRODUCTOS31316[],2,FALSE)</f>
        <v>505006</v>
      </c>
      <c r="S2044" s="1" t="str">
        <f>VLOOKUP(SALIDAS111518[[#This Row],[CÓDIGO]],PRODUCTOS31316[],3,FALSE)</f>
        <v>LACRADOR REDONDO AMARILLO</v>
      </c>
      <c r="T2044" s="2">
        <v>1</v>
      </c>
      <c r="U2044" s="2"/>
      <c r="V2044" s="2"/>
      <c r="W2044" s="2"/>
      <c r="X2044" s="2"/>
      <c r="Y2044" s="7"/>
      <c r="Z2044" s="2"/>
      <c r="AA2044" s="1"/>
      <c r="AC2044" s="2"/>
      <c r="AE2044" s="1"/>
      <c r="AG2044" s="2"/>
    </row>
    <row r="2045" spans="12:33" ht="49.95" customHeight="1" x14ac:dyDescent="0.3">
      <c r="L2045" s="374" t="s">
        <v>3520</v>
      </c>
      <c r="M2045" s="374" t="s">
        <v>5213</v>
      </c>
      <c r="N2045" s="374" t="s">
        <v>5382</v>
      </c>
      <c r="O2045" s="374" t="s">
        <v>5381</v>
      </c>
      <c r="P2045" s="16">
        <v>46175</v>
      </c>
      <c r="Q2045" s="374" t="s">
        <v>153</v>
      </c>
      <c r="R2045" s="2">
        <f>VLOOKUP(SALIDAS111518[[#This Row],[CÓDIGO]],PRODUCTOS31316[],2,FALSE)</f>
        <v>1132</v>
      </c>
      <c r="S2045" s="1" t="str">
        <f>VLOOKUP(SALIDAS111518[[#This Row],[CÓDIGO]],PRODUCTOS31316[],3,FALSE)</f>
        <v>PISTOLA QUICKLOCK CLASIC</v>
      </c>
      <c r="T2045" s="2">
        <v>1</v>
      </c>
      <c r="U2045" s="2">
        <v>919</v>
      </c>
      <c r="V2045" s="2"/>
      <c r="W2045" s="2"/>
      <c r="X2045" s="2"/>
      <c r="Y2045" s="7"/>
      <c r="Z2045" s="2"/>
      <c r="AA2045" s="1"/>
      <c r="AC2045" s="2"/>
      <c r="AE2045" s="1"/>
      <c r="AG2045" s="2"/>
    </row>
    <row r="2046" spans="12:33" ht="49.95" customHeight="1" x14ac:dyDescent="0.3">
      <c r="L2046" s="2"/>
      <c r="M2046" s="2"/>
      <c r="N2046" s="2">
        <v>8501</v>
      </c>
      <c r="O2046" s="374" t="s">
        <v>5381</v>
      </c>
      <c r="P2046" s="16">
        <v>46175</v>
      </c>
      <c r="Q2046" s="374" t="s">
        <v>369</v>
      </c>
      <c r="R2046" s="2">
        <f>VLOOKUP(SALIDAS111518[[#This Row],[CÓDIGO]],PRODUCTOS31316[],2,FALSE)</f>
        <v>0</v>
      </c>
      <c r="S2046" s="1" t="str">
        <f>VLOOKUP(SALIDAS111518[[#This Row],[CÓDIGO]],PRODUCTOS31316[],3,FALSE)</f>
        <v>FUNDA UNIVERSAL PARA I.A. RANURADA</v>
      </c>
      <c r="T2046" s="2">
        <v>1</v>
      </c>
      <c r="U2046" s="2"/>
      <c r="V2046" s="2"/>
      <c r="W2046" s="2"/>
      <c r="X2046" s="2"/>
      <c r="Y2046" s="7"/>
      <c r="Z2046" s="2"/>
      <c r="AA2046" s="1"/>
      <c r="AC2046" s="2"/>
      <c r="AE2046" s="1"/>
      <c r="AG2046" s="2"/>
    </row>
    <row r="2047" spans="12:33" ht="49.95" customHeight="1" x14ac:dyDescent="0.3">
      <c r="L2047" s="2"/>
      <c r="M2047" s="2"/>
      <c r="N2047" s="2">
        <v>8501</v>
      </c>
      <c r="O2047" s="374" t="s">
        <v>5381</v>
      </c>
      <c r="P2047" s="16">
        <v>46175</v>
      </c>
      <c r="Q2047" s="374" t="s">
        <v>2364</v>
      </c>
      <c r="R2047" s="2">
        <f>VLOOKUP(SALIDAS111518[[#This Row],[CÓDIGO]],PRODUCTOS31316[],2,FALSE)</f>
        <v>0</v>
      </c>
      <c r="S2047" s="1" t="str">
        <f>VLOOKUP(SALIDAS111518[[#This Row],[CÓDIGO]],PRODUCTOS31316[],3,FALSE)</f>
        <v>CORTAPAJILLAS WTA</v>
      </c>
      <c r="T2047" s="2">
        <v>1</v>
      </c>
      <c r="U2047" s="2"/>
      <c r="V2047" s="2"/>
      <c r="W2047" s="2"/>
      <c r="X2047" s="2"/>
      <c r="Y2047" s="7"/>
      <c r="Z2047" s="2"/>
      <c r="AA2047" s="1"/>
      <c r="AC2047" s="2"/>
      <c r="AE2047" s="1"/>
      <c r="AG2047" s="2"/>
    </row>
    <row r="2048" spans="12:33" ht="49.95" customHeight="1" x14ac:dyDescent="0.3">
      <c r="L2048" s="374" t="s">
        <v>3520</v>
      </c>
      <c r="M2048" s="374" t="s">
        <v>5213</v>
      </c>
      <c r="N2048" s="374" t="s">
        <v>5152</v>
      </c>
      <c r="O2048" s="375" t="s">
        <v>3485</v>
      </c>
      <c r="P2048" s="16">
        <v>46175</v>
      </c>
      <c r="Q2048" s="374" t="s">
        <v>648</v>
      </c>
      <c r="R2048" s="2" t="str">
        <f>VLOOKUP(SALIDAS111518[[#This Row],[CÓDIGO]],PRODUCTOS31316[],2,FALSE)</f>
        <v>S5</v>
      </c>
      <c r="S2048" s="1" t="str">
        <f>VLOOKUP(SALIDAS111518[[#This Row],[CÓDIGO]],PRODUCTOS31316[],3,FALSE)</f>
        <v>SONDA S5 UNIDAD PRINCIPAL CON SONDA LINEAL RECTAL</v>
      </c>
      <c r="T2048" s="2">
        <v>1</v>
      </c>
      <c r="U2048" s="2">
        <v>920</v>
      </c>
      <c r="V2048" s="2"/>
      <c r="W2048" s="374" t="s">
        <v>2823</v>
      </c>
      <c r="X2048" s="2"/>
      <c r="Y2048" s="7"/>
      <c r="Z2048" s="2"/>
      <c r="AA2048" s="1"/>
      <c r="AC2048" s="2"/>
      <c r="AE2048" s="1"/>
      <c r="AG2048" s="2"/>
    </row>
    <row r="2049" spans="12:33" ht="49.95" customHeight="1" x14ac:dyDescent="0.3">
      <c r="L2049" s="2"/>
      <c r="M2049" s="2"/>
      <c r="N2049" s="2">
        <v>8514</v>
      </c>
      <c r="O2049" s="375" t="s">
        <v>3485</v>
      </c>
      <c r="P2049" s="16">
        <v>46175</v>
      </c>
      <c r="Q2049" s="374" t="s">
        <v>5114</v>
      </c>
      <c r="R2049" s="2">
        <f>VLOOKUP(SALIDAS111518[[#This Row],[CÓDIGO]],PRODUCTOS31316[],2,FALSE)</f>
        <v>0</v>
      </c>
      <c r="S2049" s="1" t="str">
        <f>VLOOKUP(SALIDAS111518[[#This Row],[CÓDIGO]],PRODUCTOS31316[],3,FALSE)</f>
        <v>TABLET SANSUNG GALAXY TAB A11+ MARCA: SANSUNG COLOR SEGUN DISPONIBILIDAD</v>
      </c>
      <c r="T2049" s="2">
        <v>1</v>
      </c>
      <c r="U2049" s="2"/>
      <c r="V2049" s="2"/>
      <c r="W2049" s="2"/>
      <c r="X2049" s="2"/>
      <c r="Y2049" s="7"/>
      <c r="Z2049" s="2"/>
      <c r="AA2049" s="1"/>
      <c r="AC2049" s="2"/>
      <c r="AE2049" s="1"/>
      <c r="AG2049" s="2"/>
    </row>
    <row r="2050" spans="12:33" ht="49.95" customHeight="1" x14ac:dyDescent="0.3">
      <c r="L2050" s="2"/>
      <c r="M2050" s="2"/>
      <c r="N2050" s="2">
        <v>8514</v>
      </c>
      <c r="O2050" s="375" t="s">
        <v>3485</v>
      </c>
      <c r="P2050" s="16">
        <v>46175</v>
      </c>
      <c r="Q2050" s="374" t="s">
        <v>3286</v>
      </c>
      <c r="R2050" s="2">
        <f>VLOOKUP(SALIDAS111518[[#This Row],[CÓDIGO]],PRODUCTOS31316[],2,FALSE)</f>
        <v>0</v>
      </c>
      <c r="S2050" s="1" t="str">
        <f>VLOOKUP(SALIDAS111518[[#This Row],[CÓDIGO]],PRODUCTOS31316[],3,FALSE)</f>
        <v>CARCASA TABLET BMV</v>
      </c>
      <c r="T2050" s="2">
        <v>1</v>
      </c>
      <c r="U2050" s="2"/>
      <c r="V2050" s="2"/>
      <c r="W2050" s="2"/>
      <c r="X2050" s="2"/>
      <c r="Y2050" s="7"/>
      <c r="Z2050" s="2"/>
      <c r="AA2050" s="1"/>
      <c r="AC2050" s="2"/>
      <c r="AE2050" s="1"/>
      <c r="AG2050" s="2"/>
    </row>
    <row r="2051" spans="12:33" ht="49.95" customHeight="1" x14ac:dyDescent="0.3">
      <c r="L2051" s="2"/>
      <c r="M2051" s="2"/>
      <c r="N2051" s="2">
        <v>8514</v>
      </c>
      <c r="O2051" s="375" t="s">
        <v>3485</v>
      </c>
      <c r="P2051" s="16">
        <v>46175</v>
      </c>
      <c r="Q2051" s="374" t="s">
        <v>397</v>
      </c>
      <c r="R2051" s="2">
        <f>VLOOKUP(SALIDAS111518[[#This Row],[CÓDIGO]],PRODUCTOS31316[],2,FALSE)</f>
        <v>509013</v>
      </c>
      <c r="S2051" s="1" t="str">
        <f>VLOOKUP(SALIDAS111518[[#This Row],[CÓDIGO]],PRODUCTOS31316[],3,FALSE)</f>
        <v>CAMISA SANITARIA PARA PROBE RECTAL</v>
      </c>
      <c r="T2051" s="2">
        <v>1</v>
      </c>
      <c r="U2051" s="2"/>
      <c r="V2051" s="2"/>
      <c r="W2051" s="2"/>
      <c r="X2051" s="2"/>
      <c r="Y2051" s="7"/>
      <c r="Z2051" s="2"/>
      <c r="AA2051" s="1"/>
      <c r="AC2051" s="2"/>
      <c r="AE2051" s="1"/>
      <c r="AG2051" s="2"/>
    </row>
    <row r="2052" spans="12:33" ht="49.95" customHeight="1" x14ac:dyDescent="0.3">
      <c r="L2052" s="2"/>
      <c r="M2052" s="2"/>
      <c r="N2052" s="2">
        <v>8514</v>
      </c>
      <c r="O2052" s="375" t="s">
        <v>3485</v>
      </c>
      <c r="P2052" s="16">
        <v>46175</v>
      </c>
      <c r="Q2052" s="374" t="s">
        <v>3095</v>
      </c>
      <c r="R2052" s="2">
        <f>VLOOKUP(SALIDAS111518[[#This Row],[CÓDIGO]],PRODUCTOS31316[],2,FALSE)</f>
        <v>0</v>
      </c>
      <c r="S2052" s="1" t="str">
        <f>VLOOKUP(SALIDAS111518[[#This Row],[CÓDIGO]],PRODUCTOS31316[],3,FALSE)</f>
        <v>GORRA MAS CAMPO</v>
      </c>
      <c r="T2052" s="2">
        <v>1</v>
      </c>
      <c r="U2052" s="2"/>
      <c r="V2052" s="2"/>
      <c r="W2052" s="2"/>
      <c r="X2052" s="2"/>
      <c r="Y2052" s="7"/>
      <c r="Z2052" s="2"/>
      <c r="AA2052" s="1"/>
      <c r="AC2052" s="2"/>
      <c r="AE2052" s="1"/>
      <c r="AG2052" s="2"/>
    </row>
    <row r="2053" spans="12:33" ht="49.95" customHeight="1" x14ac:dyDescent="0.3">
      <c r="L2053" s="374" t="s">
        <v>3520</v>
      </c>
      <c r="M2053" s="374" t="s">
        <v>5213</v>
      </c>
      <c r="N2053" s="374" t="s">
        <v>5380</v>
      </c>
      <c r="O2053" s="374" t="s">
        <v>3789</v>
      </c>
      <c r="P2053" s="378">
        <v>46174</v>
      </c>
      <c r="Q2053" s="374" t="s">
        <v>2253</v>
      </c>
      <c r="R2053" s="2">
        <f>VLOOKUP(SALIDAS111518[[#This Row],[CÓDIGO]],PRODUCTOS31316[],2,FALSE)</f>
        <v>26218</v>
      </c>
      <c r="S2053" s="1" t="str">
        <f>VLOOKUP(SALIDAS111518[[#This Row],[CÓDIGO]],PRODUCTOS31316[],3,FALSE)</f>
        <v>OPTIXCELL 250 ML</v>
      </c>
      <c r="T2053" s="2">
        <v>2</v>
      </c>
      <c r="U2053" s="2">
        <v>921</v>
      </c>
      <c r="V2053" s="2"/>
      <c r="W2053" s="2"/>
      <c r="X2053" s="2"/>
      <c r="Y2053" s="7"/>
      <c r="Z2053" s="2"/>
      <c r="AA2053" s="1"/>
      <c r="AC2053" s="2"/>
      <c r="AE2053" s="1"/>
      <c r="AG2053" s="2"/>
    </row>
    <row r="2054" spans="12:33" ht="49.95" customHeight="1" x14ac:dyDescent="0.3">
      <c r="L2054" s="2"/>
      <c r="M2054" s="2"/>
      <c r="N2054" s="2">
        <v>8521</v>
      </c>
      <c r="O2054" s="374" t="s">
        <v>3789</v>
      </c>
      <c r="P2054" s="378">
        <v>46174</v>
      </c>
      <c r="Q2054" s="374" t="s">
        <v>2409</v>
      </c>
      <c r="R2054" s="2">
        <f>VLOOKUP(SALIDAS111518[[#This Row],[CÓDIGO]],PRODUCTOS31316[],2,FALSE)</f>
        <v>6986</v>
      </c>
      <c r="S2054" s="1" t="str">
        <f>VLOOKUP(SALIDAS111518[[#This Row],[CÓDIGO]],PRODUCTOS31316[],3,FALSE)</f>
        <v>CINTA ESCROTAL METÁLICA</v>
      </c>
      <c r="T2054" s="2">
        <v>3</v>
      </c>
      <c r="U2054" s="376" t="s">
        <v>5379</v>
      </c>
      <c r="V2054" s="2"/>
      <c r="W2054" s="2"/>
      <c r="X2054" s="2"/>
      <c r="Y2054" s="7"/>
      <c r="Z2054" s="2"/>
      <c r="AA2054" s="1"/>
      <c r="AC2054" s="2"/>
      <c r="AE2054" s="1"/>
      <c r="AG2054" s="2"/>
    </row>
    <row r="2055" spans="12:33" ht="49.95" customHeight="1" x14ac:dyDescent="0.3">
      <c r="L2055" s="2"/>
      <c r="M2055" s="2"/>
      <c r="N2055" s="2">
        <v>8521</v>
      </c>
      <c r="O2055" s="374" t="s">
        <v>3789</v>
      </c>
      <c r="P2055" s="378">
        <v>46174</v>
      </c>
      <c r="Q2055" s="374" t="s">
        <v>104</v>
      </c>
      <c r="R2055" s="2">
        <f>VLOOKUP(SALIDAS111518[[#This Row],[CÓDIGO]],PRODUCTOS31316[],2,FALSE)</f>
        <v>0</v>
      </c>
      <c r="S2055" s="1" t="str">
        <f>VLOOKUP(SALIDAS111518[[#This Row],[CÓDIGO]],PRODUCTOS31316[],3,FALSE)</f>
        <v>ISPERM CHIPS (500 TESTS PER BOX) PAQ. X 50 UND</v>
      </c>
      <c r="T2055" s="2">
        <v>30</v>
      </c>
      <c r="U2055" s="2"/>
      <c r="V2055" s="2"/>
      <c r="W2055" s="2"/>
      <c r="X2055" s="2"/>
      <c r="Y2055" s="7"/>
      <c r="Z2055" s="2"/>
      <c r="AA2055" s="1"/>
      <c r="AC2055" s="2"/>
      <c r="AE2055" s="1"/>
      <c r="AG2055" s="2"/>
    </row>
    <row r="2056" spans="12:33" ht="49.95" customHeight="1" x14ac:dyDescent="0.3">
      <c r="L2056" s="2"/>
      <c r="M2056" s="2"/>
      <c r="N2056" s="2">
        <v>8521</v>
      </c>
      <c r="O2056" s="374" t="s">
        <v>3789</v>
      </c>
      <c r="P2056" s="378">
        <v>46174</v>
      </c>
      <c r="Q2056" s="374" t="s">
        <v>679</v>
      </c>
      <c r="R2056" s="2" t="str">
        <f>VLOOKUP(SALIDAS111518[[#This Row],[CÓDIGO]],PRODUCTOS31316[],2,FALSE)</f>
        <v>P31205</v>
      </c>
      <c r="S2056" s="1" t="str">
        <f>VLOOKUP(SALIDAS111518[[#This Row],[CÓDIGO]],PRODUCTOS31316[],3,FALSE)</f>
        <v>PIPETA PASTEUR 3 ML</v>
      </c>
      <c r="T2056" s="2">
        <v>13</v>
      </c>
      <c r="U2056" s="2"/>
      <c r="V2056" s="2"/>
      <c r="W2056" s="2"/>
      <c r="X2056" s="2"/>
      <c r="Y2056" s="7"/>
      <c r="Z2056" s="2"/>
      <c r="AA2056" s="1"/>
      <c r="AC2056" s="2"/>
      <c r="AE2056" s="1"/>
      <c r="AG2056" s="2"/>
    </row>
    <row r="2057" spans="12:33" ht="49.95" customHeight="1" x14ac:dyDescent="0.3">
      <c r="L2057" s="2"/>
      <c r="M2057" s="2"/>
      <c r="N2057" s="2">
        <v>8521</v>
      </c>
      <c r="O2057" s="374" t="s">
        <v>3789</v>
      </c>
      <c r="P2057" s="378">
        <v>46174</v>
      </c>
      <c r="Q2057" s="374" t="s">
        <v>2232</v>
      </c>
      <c r="R2057" s="2">
        <f>VLOOKUP(SALIDAS111518[[#This Row],[CÓDIGO]],PRODUCTOS31316[],2,FALSE)</f>
        <v>0</v>
      </c>
      <c r="S2057" s="1" t="str">
        <f>VLOOKUP(SALIDAS111518[[#This Row],[CÓDIGO]],PRODUCTOS31316[],3,FALSE)</f>
        <v>CONO RECOLECTOR</v>
      </c>
      <c r="T2057" s="2">
        <v>12</v>
      </c>
      <c r="U2057" s="2"/>
      <c r="V2057" s="2"/>
      <c r="W2057" s="2"/>
      <c r="X2057" s="2"/>
      <c r="Y2057" s="7"/>
      <c r="Z2057" s="2"/>
      <c r="AA2057" s="1"/>
      <c r="AC2057" s="2"/>
      <c r="AE2057" s="1"/>
      <c r="AG2057" s="2"/>
    </row>
    <row r="2058" spans="12:33" ht="49.95" customHeight="1" x14ac:dyDescent="0.3">
      <c r="L2058" s="2"/>
      <c r="M2058" s="2"/>
      <c r="N2058" s="2">
        <v>8521</v>
      </c>
      <c r="O2058" s="374" t="s">
        <v>3789</v>
      </c>
      <c r="P2058" s="378">
        <v>46174</v>
      </c>
      <c r="Q2058" s="374" t="s">
        <v>3241</v>
      </c>
      <c r="R2058" s="2" t="str">
        <f>VLOOKUP(SALIDAS111518[[#This Row],[CÓDIGO]],PRODUCTOS31316[],2,FALSE)</f>
        <v>1111-3810</v>
      </c>
      <c r="S2058" s="1" t="str">
        <f>VLOOKUP(SALIDAS111518[[#This Row],[CÓDIGO]],PRODUCTOS31316[],3,FALSE)</f>
        <v>RACK DE PUNTAS 10 UL ESTERIL/ VEN 2030-01-31</v>
      </c>
      <c r="T2058" s="2">
        <v>1</v>
      </c>
      <c r="U2058" s="2"/>
      <c r="V2058" s="2"/>
      <c r="W2058" s="2"/>
      <c r="X2058" s="104"/>
      <c r="Y2058" s="7"/>
      <c r="Z2058" s="2"/>
      <c r="AA2058" s="1"/>
      <c r="AC2058" s="2"/>
      <c r="AE2058" s="1"/>
      <c r="AG2058" s="2"/>
    </row>
    <row r="2059" spans="12:33" ht="49.95" customHeight="1" x14ac:dyDescent="0.3">
      <c r="L2059" s="2"/>
      <c r="M2059" s="2"/>
      <c r="N2059" s="2">
        <v>8521</v>
      </c>
      <c r="O2059" s="374" t="s">
        <v>3789</v>
      </c>
      <c r="P2059" s="378">
        <v>46174</v>
      </c>
      <c r="Q2059" s="374" t="s">
        <v>3168</v>
      </c>
      <c r="R2059" s="2" t="str">
        <f>VLOOKUP(SALIDAS111518[[#This Row],[CÓDIGO]],PRODUCTOS31316[],2,FALSE)</f>
        <v>MCTB015</v>
      </c>
      <c r="S2059" s="1" t="str">
        <f>VLOOKUP(SALIDAS111518[[#This Row],[CÓDIGO]],PRODUCTOS31316[],3,FALSE)</f>
        <v>TUBO CONICO DE 1,5ml PRE ESTERILIZADO LIBRE DE Rnasa y Dnasa No pirogenico No DNA Humano Tapa a Presion</v>
      </c>
      <c r="T2059" s="2">
        <v>2</v>
      </c>
      <c r="U2059" s="2"/>
      <c r="V2059" s="2"/>
      <c r="W2059" s="2"/>
      <c r="X2059" s="2"/>
      <c r="Y2059" s="7"/>
      <c r="Z2059" s="2"/>
      <c r="AA2059" s="1"/>
      <c r="AC2059" s="2"/>
      <c r="AE2059" s="1"/>
      <c r="AG2059" s="2"/>
    </row>
    <row r="2060" spans="12:33" ht="49.95" customHeight="1" x14ac:dyDescent="0.3">
      <c r="L2060" s="2"/>
      <c r="M2060" s="2"/>
      <c r="N2060" s="2">
        <v>8521</v>
      </c>
      <c r="O2060" s="374" t="s">
        <v>3789</v>
      </c>
      <c r="P2060" s="378">
        <v>46174</v>
      </c>
      <c r="Q2060" s="374" t="s">
        <v>1631</v>
      </c>
      <c r="R2060" s="2" t="str">
        <f>VLOOKUP(SALIDAS111518[[#This Row],[CÓDIGO]],PRODUCTOS31316[],2,FALSE)</f>
        <v>7101-CRAL</v>
      </c>
      <c r="S2060" s="1" t="str">
        <f>VLOOKUP(SALIDAS111518[[#This Row],[CÓDIGO]],PRODUCTOS31316[],3,FALSE)</f>
        <v>LAMINA PORTA OBJETOS LISA EN VIDRIO 26X76MM, BORDE ESMERILADO</v>
      </c>
      <c r="T2060" s="2">
        <v>1</v>
      </c>
      <c r="U2060" s="2"/>
      <c r="V2060" s="2"/>
      <c r="W2060" s="2"/>
      <c r="X2060" s="2"/>
      <c r="Y2060" s="7"/>
      <c r="Z2060" s="2"/>
      <c r="AA2060" s="1"/>
      <c r="AC2060" s="2"/>
      <c r="AE2060" s="1"/>
      <c r="AG2060" s="2"/>
    </row>
    <row r="2061" spans="12:33" ht="49.95" customHeight="1" x14ac:dyDescent="0.3">
      <c r="L2061" s="2"/>
      <c r="M2061" s="2"/>
      <c r="N2061" s="2">
        <v>8521</v>
      </c>
      <c r="O2061" s="374" t="s">
        <v>3789</v>
      </c>
      <c r="P2061" s="378">
        <v>46174</v>
      </c>
      <c r="Q2061" s="374" t="s">
        <v>881</v>
      </c>
      <c r="R2061" s="2">
        <f>VLOOKUP(SALIDAS111518[[#This Row],[CÓDIGO]],PRODUCTOS31316[],2,FALSE)</f>
        <v>1095350001</v>
      </c>
      <c r="S2061" s="1" t="str">
        <f>VLOOKUP(SALIDAS111518[[#This Row],[CÓDIGO]],PRODUCTOS31316[],3,FALSE)</f>
        <v>TIRAS INDICADORAS DEL PH PH 0 - 14 INDICADOR UNIVERSAL NO DESTIÑEN 100 STRIPS</v>
      </c>
      <c r="T2061" s="2">
        <v>5</v>
      </c>
      <c r="U2061" s="2"/>
      <c r="V2061" s="2"/>
      <c r="W2061" s="2"/>
      <c r="X2061" s="2"/>
      <c r="Y2061" s="7"/>
      <c r="Z2061" s="2"/>
      <c r="AA2061" s="1"/>
      <c r="AC2061" s="2"/>
      <c r="AE2061" s="1"/>
      <c r="AG2061" s="2"/>
    </row>
    <row r="2062" spans="12:33" ht="49.95" customHeight="1" x14ac:dyDescent="0.3">
      <c r="L2062" s="374" t="s">
        <v>3520</v>
      </c>
      <c r="M2062" s="374" t="s">
        <v>5213</v>
      </c>
      <c r="N2062" s="354" t="s">
        <v>5502</v>
      </c>
      <c r="O2062" s="410" t="s">
        <v>3136</v>
      </c>
      <c r="P2062" s="346">
        <v>46162</v>
      </c>
      <c r="Q2062" s="374" t="s">
        <v>47</v>
      </c>
      <c r="R2062" s="2">
        <f>VLOOKUP(SALIDAS111518[[#This Row],[CÓDIGO]],PRODUCTOS31316[],2,FALSE)</f>
        <v>1135</v>
      </c>
      <c r="S2062" s="1" t="str">
        <f>VLOOKUP(SALIDAS111518[[#This Row],[CÓDIGO]],PRODUCTOS31316[],3,FALSE)</f>
        <v>TRILADYL</v>
      </c>
      <c r="T2062" s="2">
        <v>1</v>
      </c>
      <c r="U2062" s="2">
        <v>923</v>
      </c>
      <c r="V2062" s="2"/>
      <c r="W2062" s="2"/>
      <c r="X2062" s="2"/>
      <c r="Y2062" s="7"/>
      <c r="Z2062" s="2"/>
      <c r="AA2062" s="1"/>
      <c r="AC2062" s="2"/>
      <c r="AE2062" s="1"/>
      <c r="AG2062" s="2"/>
    </row>
    <row r="2063" spans="12:33" ht="49.95" customHeight="1" x14ac:dyDescent="0.3">
      <c r="L2063" s="2"/>
      <c r="M2063" s="2"/>
      <c r="N2063" s="2">
        <v>8463</v>
      </c>
      <c r="O2063" s="374" t="s">
        <v>3136</v>
      </c>
      <c r="P2063" s="16">
        <v>46162</v>
      </c>
      <c r="Q2063" s="374" t="s">
        <v>1779</v>
      </c>
      <c r="R2063" s="2">
        <f>VLOOKUP(SALIDAS111518[[#This Row],[CÓDIGO]],PRODUCTOS31316[],2,FALSE)</f>
        <v>5563</v>
      </c>
      <c r="S2063" s="1" t="str">
        <f>VLOOKUP(SALIDAS111518[[#This Row],[CÓDIGO]],PRODUCTOS31316[],3,FALSE)</f>
        <v>CAMISA SANITARIA ROLLO X 80</v>
      </c>
      <c r="T2063" s="2">
        <v>7</v>
      </c>
      <c r="U2063" s="2"/>
      <c r="V2063" s="2"/>
      <c r="W2063" s="2"/>
      <c r="X2063" s="2"/>
      <c r="Y2063" s="7"/>
      <c r="Z2063" s="2"/>
      <c r="AA2063" s="1"/>
      <c r="AC2063" s="2"/>
      <c r="AE2063" s="1"/>
      <c r="AG2063" s="2"/>
    </row>
    <row r="2064" spans="12:33" ht="49.95" customHeight="1" x14ac:dyDescent="0.3">
      <c r="L2064" s="374" t="s">
        <v>3521</v>
      </c>
      <c r="M2064" s="374" t="s">
        <v>4922</v>
      </c>
      <c r="N2064" s="375" t="s">
        <v>5353</v>
      </c>
      <c r="O2064" s="375" t="s">
        <v>5352</v>
      </c>
      <c r="P2064" s="16">
        <v>46052</v>
      </c>
      <c r="Q2064" s="374" t="s">
        <v>3376</v>
      </c>
      <c r="R2064" s="2">
        <f>VLOOKUP(SALIDAS111518[[#This Row],[CÓDIGO]],PRODUCTOS31316[],2,FALSE)</f>
        <v>0</v>
      </c>
      <c r="S2064" s="1" t="str">
        <f>VLOOKUP(SALIDAS111518[[#This Row],[CÓDIGO]],PRODUCTOS31316[],3,FALSE)</f>
        <v>TERMO DE 380 ML MAS CAMPO</v>
      </c>
      <c r="T2064" s="2">
        <v>3</v>
      </c>
      <c r="U2064" s="375" t="s">
        <v>5354</v>
      </c>
      <c r="V2064" s="2"/>
      <c r="W2064" s="2"/>
      <c r="X2064" s="2"/>
      <c r="Y2064" s="7"/>
      <c r="Z2064" s="2"/>
      <c r="AA2064" s="1"/>
      <c r="AC2064" s="2"/>
      <c r="AE2064" s="1"/>
      <c r="AG2064" s="2"/>
    </row>
    <row r="2065" spans="12:33" ht="49.95" customHeight="1" x14ac:dyDescent="0.3">
      <c r="L2065" s="2"/>
      <c r="M2065" s="374" t="s">
        <v>5213</v>
      </c>
      <c r="N2065" s="377" t="s">
        <v>5351</v>
      </c>
      <c r="O2065" s="374" t="s">
        <v>2372</v>
      </c>
      <c r="P2065" s="16"/>
      <c r="Q2065" s="374" t="s">
        <v>648</v>
      </c>
      <c r="R2065" s="2" t="str">
        <f>VLOOKUP(SALIDAS111518[[#This Row],[CÓDIGO]],PRODUCTOS31316[],2,FALSE)</f>
        <v>S5</v>
      </c>
      <c r="S2065" s="1" t="str">
        <f>VLOOKUP(SALIDAS111518[[#This Row],[CÓDIGO]],PRODUCTOS31316[],3,FALSE)</f>
        <v>SONDA S5 UNIDAD PRINCIPAL CON SONDA LINEAL RECTAL</v>
      </c>
      <c r="T2065" s="2">
        <v>1</v>
      </c>
      <c r="U2065" s="2">
        <v>929</v>
      </c>
      <c r="V2065" s="2"/>
      <c r="W2065" s="2"/>
      <c r="X2065" s="2"/>
      <c r="Y2065" s="7"/>
      <c r="Z2065" s="2"/>
      <c r="AA2065" s="1"/>
      <c r="AC2065" s="2"/>
      <c r="AE2065" s="1"/>
      <c r="AG2065" s="2"/>
    </row>
    <row r="2066" spans="12:33" ht="49.95" customHeight="1" x14ac:dyDescent="0.3">
      <c r="L2066" s="374" t="s">
        <v>3520</v>
      </c>
      <c r="M2066" s="374" t="s">
        <v>5213</v>
      </c>
      <c r="N2066" s="2">
        <v>8503</v>
      </c>
      <c r="O2066" s="374" t="s">
        <v>3063</v>
      </c>
      <c r="P2066" s="16">
        <v>46096</v>
      </c>
      <c r="Q2066" s="374" t="s">
        <v>648</v>
      </c>
      <c r="R2066" s="2" t="str">
        <f>VLOOKUP(SALIDAS111518[[#This Row],[CÓDIGO]],PRODUCTOS31316[],2,FALSE)</f>
        <v>S5</v>
      </c>
      <c r="S2066" s="1" t="str">
        <f>VLOOKUP(SALIDAS111518[[#This Row],[CÓDIGO]],PRODUCTOS31316[],3,FALSE)</f>
        <v>SONDA S5 UNIDAD PRINCIPAL CON SONDA LINEAL RECTAL</v>
      </c>
      <c r="T2066" s="2">
        <v>1</v>
      </c>
      <c r="U2066" s="2">
        <v>930</v>
      </c>
      <c r="V2066" s="2"/>
      <c r="W2066" s="374" t="s">
        <v>2823</v>
      </c>
      <c r="X2066" s="2"/>
      <c r="Y2066" s="7"/>
      <c r="Z2066" s="2"/>
      <c r="AA2066" s="1"/>
      <c r="AC2066" s="2"/>
      <c r="AE2066" s="1"/>
      <c r="AG2066" s="2"/>
    </row>
    <row r="2067" spans="12:33" ht="49.95" customHeight="1" x14ac:dyDescent="0.3">
      <c r="L2067" s="2"/>
      <c r="M2067" s="2"/>
      <c r="N2067" s="2">
        <v>8503</v>
      </c>
      <c r="O2067" s="374" t="s">
        <v>3063</v>
      </c>
      <c r="P2067" s="16">
        <v>46096</v>
      </c>
      <c r="Q2067" s="374" t="s">
        <v>3077</v>
      </c>
      <c r="R2067" s="2">
        <f>VLOOKUP(SALIDAS111518[[#This Row],[CÓDIGO]],PRODUCTOS31316[],2,FALSE)</f>
        <v>0</v>
      </c>
      <c r="S2067" s="1" t="str">
        <f>VLOOKUP(SALIDAS111518[[#This Row],[CÓDIGO]],PRODUCTOS31316[],3,FALSE)</f>
        <v>TABLET GALAXY TAB A 9+ MARCA SANSUNG</v>
      </c>
      <c r="T2067" s="2">
        <v>1</v>
      </c>
      <c r="U2067" s="2"/>
      <c r="V2067" s="2"/>
      <c r="W2067" s="2"/>
      <c r="X2067" s="2"/>
      <c r="Y2067" s="7"/>
      <c r="Z2067" s="2"/>
      <c r="AA2067" s="1"/>
      <c r="AC2067" s="2"/>
      <c r="AE2067" s="1"/>
      <c r="AG2067" s="2"/>
    </row>
    <row r="2068" spans="12:33" ht="49.95" customHeight="1" x14ac:dyDescent="0.3">
      <c r="L2068" s="2"/>
      <c r="M2068" s="2"/>
      <c r="N2068" s="2">
        <v>8503</v>
      </c>
      <c r="O2068" s="374" t="s">
        <v>3063</v>
      </c>
      <c r="P2068" s="16">
        <v>46096</v>
      </c>
      <c r="Q2068" s="374" t="s">
        <v>3286</v>
      </c>
      <c r="R2068" s="2">
        <f>VLOOKUP(SALIDAS111518[[#This Row],[CÓDIGO]],PRODUCTOS31316[],2,FALSE)</f>
        <v>0</v>
      </c>
      <c r="S2068" s="1" t="str">
        <f>VLOOKUP(SALIDAS111518[[#This Row],[CÓDIGO]],PRODUCTOS31316[],3,FALSE)</f>
        <v>CARCASA TABLET BMV</v>
      </c>
      <c r="T2068" s="2">
        <v>1</v>
      </c>
      <c r="U2068" s="2"/>
      <c r="V2068" s="2"/>
      <c r="W2068" s="2"/>
      <c r="X2068" s="2"/>
      <c r="Y2068" s="7"/>
      <c r="Z2068" s="2"/>
      <c r="AA2068" s="1"/>
      <c r="AC2068" s="2"/>
      <c r="AE2068" s="1"/>
      <c r="AG2068" s="2"/>
    </row>
    <row r="2069" spans="12:33" ht="49.95" customHeight="1" x14ac:dyDescent="0.3">
      <c r="L2069" s="2"/>
      <c r="M2069" s="2"/>
      <c r="N2069" s="2">
        <v>8503</v>
      </c>
      <c r="O2069" s="374" t="s">
        <v>3063</v>
      </c>
      <c r="P2069" s="16">
        <v>46096</v>
      </c>
      <c r="Q2069" s="374" t="s">
        <v>3095</v>
      </c>
      <c r="R2069" s="2">
        <f>VLOOKUP(SALIDAS111518[[#This Row],[CÓDIGO]],PRODUCTOS31316[],2,FALSE)</f>
        <v>0</v>
      </c>
      <c r="S2069" s="1" t="str">
        <f>VLOOKUP(SALIDAS111518[[#This Row],[CÓDIGO]],PRODUCTOS31316[],3,FALSE)</f>
        <v>GORRA MAS CAMPO</v>
      </c>
      <c r="T2069" s="2">
        <v>1</v>
      </c>
      <c r="U2069" s="2"/>
      <c r="V2069" s="2"/>
      <c r="W2069" s="2"/>
      <c r="X2069" s="2"/>
      <c r="Y2069" s="7"/>
      <c r="Z2069" s="2"/>
      <c r="AA2069" s="1"/>
      <c r="AC2069" s="2"/>
      <c r="AE2069" s="1"/>
      <c r="AG2069" s="2"/>
    </row>
    <row r="2070" spans="12:33" ht="49.95" customHeight="1" x14ac:dyDescent="0.3">
      <c r="L2070" s="374" t="s">
        <v>3520</v>
      </c>
      <c r="M2070" s="374" t="s">
        <v>5213</v>
      </c>
      <c r="N2070" s="375" t="s">
        <v>5358</v>
      </c>
      <c r="O2070" s="375" t="s">
        <v>3383</v>
      </c>
      <c r="P2070" s="16">
        <v>46176</v>
      </c>
      <c r="Q2070" s="374" t="s">
        <v>3469</v>
      </c>
      <c r="R2070" s="2" t="str">
        <f>VLOOKUP(SALIDAS111518[[#This Row],[CÓDIGO]],PRODUCTOS31316[],2,FALSE)</f>
        <v>BOT.30.0003</v>
      </c>
      <c r="S2070" s="1" t="str">
        <f>VLOOKUP(SALIDAS111518[[#This Row],[CÓDIGO]],PRODUCTOS31316[],3,FALSE)</f>
        <v>BOTU SEMEN SPECIAL 8,5 G</v>
      </c>
      <c r="T2070" s="2">
        <v>7</v>
      </c>
      <c r="U2070" s="375" t="s">
        <v>5393</v>
      </c>
      <c r="V2070" s="2"/>
      <c r="W2070" s="374" t="s">
        <v>2823</v>
      </c>
      <c r="X2070" s="2"/>
      <c r="Y2070" s="7"/>
      <c r="Z2070" s="2"/>
      <c r="AA2070" s="1"/>
      <c r="AC2070" s="2"/>
      <c r="AE2070" s="1"/>
      <c r="AG2070" s="2"/>
    </row>
    <row r="2071" spans="12:33" ht="49.95" customHeight="1" x14ac:dyDescent="0.3">
      <c r="L2071" s="374"/>
      <c r="M2071" s="374"/>
      <c r="N2071" s="374">
        <v>8491</v>
      </c>
      <c r="O2071" s="375" t="s">
        <v>3383</v>
      </c>
      <c r="P2071" s="16">
        <v>46176</v>
      </c>
      <c r="Q2071" s="374" t="s">
        <v>5116</v>
      </c>
      <c r="R2071" s="2">
        <f>VLOOKUP(SALIDAS111518[[#This Row],[CÓDIGO]],PRODUCTOS31316[],2,FALSE)</f>
        <v>0</v>
      </c>
      <c r="S2071" s="1" t="str">
        <f>VLOOKUP(SALIDAS111518[[#This Row],[CÓDIGO]],PRODUCTOS31316[],3,FALSE)</f>
        <v xml:space="preserve">BOTHUSEMEN GOLD (Caseina + Colesterol)  Sobre x 8,5 g </v>
      </c>
      <c r="T2071" s="2">
        <v>7</v>
      </c>
      <c r="U2071" s="2"/>
      <c r="V2071" s="2"/>
      <c r="W2071" s="374"/>
      <c r="X2071" s="2"/>
      <c r="Y2071" s="7"/>
      <c r="Z2071" s="2"/>
      <c r="AA2071" s="1"/>
      <c r="AC2071" s="2"/>
      <c r="AE2071" s="1"/>
      <c r="AG2071" s="2"/>
    </row>
    <row r="2072" spans="12:33" ht="49.95" customHeight="1" x14ac:dyDescent="0.3">
      <c r="L2072" s="374"/>
      <c r="M2072" s="374"/>
      <c r="N2072" s="374">
        <v>8491</v>
      </c>
      <c r="O2072" s="375" t="s">
        <v>3383</v>
      </c>
      <c r="P2072" s="16">
        <v>46176</v>
      </c>
      <c r="Q2072" s="374" t="s">
        <v>5117</v>
      </c>
      <c r="R2072" s="2">
        <f>VLOOKUP(SALIDAS111518[[#This Row],[CÓDIGO]],PRODUCTOS31316[],2,FALSE)</f>
        <v>0</v>
      </c>
      <c r="S2072" s="1" t="str">
        <f>VLOOKUP(SALIDAS111518[[#This Row],[CÓDIGO]],PRODUCTOS31316[],3,FALSE)</f>
        <v>BOTU FLEX/ BOTUPHARMA</v>
      </c>
      <c r="T2072" s="2">
        <v>1</v>
      </c>
      <c r="U2072" s="2"/>
      <c r="V2072" s="2"/>
      <c r="W2072" s="374"/>
      <c r="X2072" s="2"/>
      <c r="Y2072" s="7"/>
      <c r="Z2072" s="2"/>
      <c r="AA2072" s="1"/>
      <c r="AC2072" s="2"/>
      <c r="AE2072" s="1"/>
      <c r="AG2072" s="2"/>
    </row>
    <row r="2073" spans="12:33" ht="49.95" customHeight="1" x14ac:dyDescent="0.3">
      <c r="L2073" s="374"/>
      <c r="M2073" s="374"/>
      <c r="N2073" s="374">
        <v>8491</v>
      </c>
      <c r="O2073" s="375" t="s">
        <v>3383</v>
      </c>
      <c r="P2073" s="16">
        <v>46176</v>
      </c>
      <c r="Q2073" s="374" t="s">
        <v>5118</v>
      </c>
      <c r="R2073" s="2">
        <f>VLOOKUP(SALIDAS111518[[#This Row],[CÓDIGO]],PRODUCTOS31316[],2,FALSE)</f>
        <v>0</v>
      </c>
      <c r="S2073" s="1" t="str">
        <f>VLOOKUP(SALIDAS111518[[#This Row],[CÓDIGO]],PRODUCTOS31316[],3,FALSE)</f>
        <v>Botupharma- Botumix Garahnao Plus Fco x 1,5 Lt</v>
      </c>
      <c r="T2073" s="2">
        <v>1</v>
      </c>
      <c r="U2073" s="2"/>
      <c r="V2073" s="2"/>
      <c r="W2073" s="374"/>
      <c r="X2073" s="2"/>
      <c r="Y2073" s="7"/>
      <c r="Z2073" s="2"/>
      <c r="AA2073" s="1"/>
      <c r="AC2073" s="2"/>
      <c r="AE2073" s="1"/>
      <c r="AG2073" s="2"/>
    </row>
    <row r="2074" spans="12:33" ht="49.95" customHeight="1" x14ac:dyDescent="0.3">
      <c r="L2074" s="2"/>
      <c r="M2074" s="2"/>
      <c r="N2074" s="374">
        <v>8491</v>
      </c>
      <c r="O2074" s="375" t="s">
        <v>3383</v>
      </c>
      <c r="P2074" s="16">
        <v>46176</v>
      </c>
      <c r="Q2074" s="374" t="s">
        <v>651</v>
      </c>
      <c r="R2074" s="2">
        <f>VLOOKUP(SALIDAS111518[[#This Row],[CÓDIGO]],PRODUCTOS31316[],2,FALSE)</f>
        <v>18367</v>
      </c>
      <c r="S2074" s="1" t="str">
        <f>VLOOKUP(SALIDAS111518[[#This Row],[CÓDIGO]],PRODUCTOS31316[],3,FALSE)</f>
        <v>PISTOLA DE INSEMINACIÓN UNIVERSAL (AUTOMATIC LOCK)</v>
      </c>
      <c r="T2074" s="2">
        <v>1</v>
      </c>
      <c r="U2074" s="2"/>
      <c r="V2074" s="2"/>
      <c r="W2074" s="2"/>
      <c r="X2074" s="2"/>
      <c r="Y2074" s="7"/>
      <c r="Z2074" s="2"/>
      <c r="AA2074" s="1"/>
      <c r="AC2074" s="2"/>
      <c r="AE2074" s="1"/>
      <c r="AG2074" s="2"/>
    </row>
    <row r="2075" spans="12:33" ht="49.95" customHeight="1" x14ac:dyDescent="0.3">
      <c r="L2075" s="2"/>
      <c r="M2075" s="2"/>
      <c r="N2075" s="374">
        <v>8491</v>
      </c>
      <c r="O2075" s="375" t="s">
        <v>3383</v>
      </c>
      <c r="P2075" s="16">
        <v>46176</v>
      </c>
      <c r="Q2075" s="374" t="s">
        <v>15</v>
      </c>
      <c r="R2075" s="2" t="str">
        <f>VLOOKUP(SALIDAS111518[[#This Row],[CÓDIGO]],PRODUCTOS31316[],2,FALSE)</f>
        <v>BTE-025PT/ 504002</v>
      </c>
      <c r="S2075" s="1" t="str">
        <f>VLOOKUP(SALIDAS111518[[#This Row],[CÓDIGO]],PRODUCTOS31316[],3,FALSE)</f>
        <v>FUNDAS PARA TRANSFERENCIA DE EMBRIONES</v>
      </c>
      <c r="T2075" s="2">
        <v>12</v>
      </c>
      <c r="U2075" s="2"/>
      <c r="V2075" s="2"/>
      <c r="W2075" s="2"/>
      <c r="X2075" s="2"/>
      <c r="Y2075" s="7"/>
      <c r="Z2075" s="2"/>
      <c r="AA2075" s="1"/>
      <c r="AC2075" s="2"/>
      <c r="AE2075" s="1"/>
      <c r="AG2075" s="2"/>
    </row>
    <row r="2076" spans="12:33" ht="49.95" customHeight="1" x14ac:dyDescent="0.3">
      <c r="L2076" s="2"/>
      <c r="M2076" s="2"/>
      <c r="N2076" s="374">
        <v>8491</v>
      </c>
      <c r="O2076" s="375" t="s">
        <v>3383</v>
      </c>
      <c r="P2076" s="16">
        <v>46176</v>
      </c>
      <c r="Q2076" s="374" t="s">
        <v>1779</v>
      </c>
      <c r="R2076" s="2">
        <f>VLOOKUP(SALIDAS111518[[#This Row],[CÓDIGO]],PRODUCTOS31316[],2,FALSE)</f>
        <v>5563</v>
      </c>
      <c r="S2076" s="1" t="str">
        <f>VLOOKUP(SALIDAS111518[[#This Row],[CÓDIGO]],PRODUCTOS31316[],3,FALSE)</f>
        <v>CAMISA SANITARIA ROLLO X 80</v>
      </c>
      <c r="T2076" s="2">
        <v>2</v>
      </c>
      <c r="U2076" s="2"/>
      <c r="V2076" s="2"/>
      <c r="W2076" s="2"/>
      <c r="X2076" s="2"/>
      <c r="Y2076" s="7"/>
      <c r="Z2076" s="2"/>
      <c r="AA2076" s="1"/>
      <c r="AC2076" s="2"/>
      <c r="AE2076" s="1"/>
      <c r="AG2076" s="2"/>
    </row>
    <row r="2077" spans="12:33" ht="49.95" customHeight="1" x14ac:dyDescent="0.3">
      <c r="L2077" s="374" t="s">
        <v>3520</v>
      </c>
      <c r="M2077" s="374" t="s">
        <v>5213</v>
      </c>
      <c r="N2077" s="375" t="s">
        <v>4798</v>
      </c>
      <c r="O2077" s="375" t="s">
        <v>5356</v>
      </c>
      <c r="P2077" s="16">
        <v>46176</v>
      </c>
      <c r="Q2077" s="374" t="s">
        <v>36</v>
      </c>
      <c r="R2077" s="2">
        <f>VLOOKUP(SALIDAS111518[[#This Row],[CÓDIGO]],PRODUCTOS31316[],2,FALSE)</f>
        <v>1</v>
      </c>
      <c r="S2077" s="1" t="str">
        <f>VLOOKUP(SALIDAS111518[[#This Row],[CÓDIGO]],PRODUCTOS31316[],3,FALSE)</f>
        <v xml:space="preserve">PARCHE ESTROTECT </v>
      </c>
      <c r="T2077" s="2">
        <v>50</v>
      </c>
      <c r="U2077" s="2"/>
      <c r="V2077" s="2"/>
      <c r="W2077" s="2"/>
      <c r="X2077" s="2"/>
      <c r="Y2077" s="7"/>
      <c r="Z2077" s="2"/>
      <c r="AA2077" s="1"/>
      <c r="AC2077" s="2"/>
      <c r="AE2077" s="1"/>
      <c r="AG2077" s="2"/>
    </row>
    <row r="2078" spans="12:33" ht="49.95" customHeight="1" x14ac:dyDescent="0.3">
      <c r="L2078" s="2"/>
      <c r="M2078" s="2"/>
      <c r="N2078" s="377" t="s">
        <v>5355</v>
      </c>
      <c r="O2078" s="375" t="s">
        <v>3217</v>
      </c>
      <c r="P2078" s="16">
        <v>46176</v>
      </c>
      <c r="Q2078" s="382" t="s">
        <v>2252</v>
      </c>
      <c r="R2078" s="2">
        <f>VLOOKUP(SALIDAS111518[[#This Row],[CÓDIGO]],PRODUCTOS31316[],2,FALSE)</f>
        <v>24857</v>
      </c>
      <c r="S2078" s="1" t="str">
        <f>VLOOKUP(SALIDAS111518[[#This Row],[CÓDIGO]],PRODUCTOS31316[],3,FALSE)</f>
        <v>PISTOLA DE TE 0,5 / MARCA IMV</v>
      </c>
      <c r="T2078" s="2">
        <v>1</v>
      </c>
      <c r="U2078" s="31" t="s">
        <v>5545</v>
      </c>
      <c r="V2078" s="2"/>
      <c r="W2078" s="374" t="s">
        <v>2823</v>
      </c>
      <c r="X2078" s="2"/>
      <c r="Y2078" s="7"/>
      <c r="Z2078" s="2"/>
      <c r="AA2078" s="1"/>
      <c r="AC2078" s="2"/>
      <c r="AE2078" s="1"/>
      <c r="AG2078" s="2"/>
    </row>
    <row r="2079" spans="12:33" ht="49.95" customHeight="1" x14ac:dyDescent="0.3">
      <c r="L2079" s="374" t="s">
        <v>3520</v>
      </c>
      <c r="M2079" s="374" t="s">
        <v>5213</v>
      </c>
      <c r="N2079" s="374" t="s">
        <v>5350</v>
      </c>
      <c r="O2079" s="374" t="s">
        <v>5349</v>
      </c>
      <c r="P2079" s="16">
        <v>46176</v>
      </c>
      <c r="Q2079" s="374" t="s">
        <v>969</v>
      </c>
      <c r="R2079" s="2">
        <f>VLOOKUP(SALIDAS111518[[#This Row],[CÓDIGO]],PRODUCTOS31316[],2,FALSE)</f>
        <v>13316</v>
      </c>
      <c r="S2079" s="1" t="str">
        <f>VLOOKUP(SALIDAS111518[[#This Row],[CÓDIGO]],PRODUCTOS31316[],3,FALSE)</f>
        <v>AGUJA PARA ASPIRACIÓN 20G</v>
      </c>
      <c r="T2079" s="2">
        <v>25</v>
      </c>
      <c r="U2079" s="2">
        <v>931</v>
      </c>
      <c r="V2079" s="2"/>
      <c r="W2079" s="2"/>
      <c r="X2079" s="2"/>
      <c r="Y2079" s="7"/>
      <c r="Z2079" s="2"/>
      <c r="AA2079" s="1"/>
      <c r="AC2079" s="2"/>
      <c r="AE2079" s="1"/>
      <c r="AG2079" s="2"/>
    </row>
    <row r="2080" spans="12:33" ht="49.95" customHeight="1" x14ac:dyDescent="0.3">
      <c r="L2080" s="2"/>
      <c r="M2080" s="2"/>
      <c r="N2080" s="2">
        <v>8504</v>
      </c>
      <c r="O2080" s="374" t="s">
        <v>5349</v>
      </c>
      <c r="P2080" s="16">
        <v>46176</v>
      </c>
      <c r="Q2080" s="374" t="s">
        <v>33</v>
      </c>
      <c r="R2080" s="2" t="str">
        <f>VLOOKUP(SALIDAS111518[[#This Row],[CÓDIGO]],PRODUCTOS31316[],2,FALSE)</f>
        <v>LA-120 /506003</v>
      </c>
      <c r="S2080" s="1" t="str">
        <f>VLOOKUP(SALIDAS111518[[#This Row],[CÓDIGO]],PRODUCTOS31316[],3,FALSE)</f>
        <v>LíNEA PARA OPU 1,2 METROS</v>
      </c>
      <c r="T2080" s="2">
        <v>2</v>
      </c>
      <c r="U2080" s="2"/>
      <c r="V2080" s="2"/>
      <c r="W2080" s="2"/>
      <c r="X2080" s="2"/>
      <c r="Y2080" s="7"/>
      <c r="Z2080" s="2"/>
      <c r="AA2080" s="1"/>
      <c r="AC2080" s="2"/>
      <c r="AE2080" s="1"/>
      <c r="AG2080" s="2"/>
    </row>
    <row r="2081" spans="12:33" ht="49.95" customHeight="1" x14ac:dyDescent="0.3">
      <c r="L2081" s="2"/>
      <c r="M2081" s="2"/>
      <c r="N2081" s="377" t="s">
        <v>5348</v>
      </c>
      <c r="O2081" s="374" t="s">
        <v>3423</v>
      </c>
      <c r="P2081" s="16">
        <v>46176</v>
      </c>
      <c r="Q2081" s="374" t="s">
        <v>913</v>
      </c>
      <c r="R2081" s="2" t="str">
        <f>VLOOKUP(SALIDAS111518[[#This Row],[CÓDIGO]],PRODUCTOS31316[],2,FALSE)</f>
        <v>HC-R069</v>
      </c>
      <c r="S2081" s="1" t="str">
        <f>VLOOKUP(SALIDAS111518[[#This Row],[CÓDIGO]],PRODUCTOS31316[],3,FALSE)</f>
        <v>MICROSCOPIO CON PLATINA Y PANTALLA 7"</v>
      </c>
      <c r="T2081" s="2">
        <v>1</v>
      </c>
      <c r="U2081" s="2">
        <v>932</v>
      </c>
      <c r="V2081" s="2"/>
      <c r="W2081" s="2"/>
      <c r="X2081" s="2"/>
      <c r="Y2081" s="7"/>
      <c r="Z2081" s="2"/>
      <c r="AA2081" s="1"/>
      <c r="AC2081" s="2"/>
      <c r="AE2081" s="1"/>
      <c r="AG2081" s="2"/>
    </row>
    <row r="2082" spans="12:33" ht="49.95" customHeight="1" x14ac:dyDescent="0.3">
      <c r="L2082" s="374" t="s">
        <v>3520</v>
      </c>
      <c r="M2082" s="374" t="s">
        <v>5213</v>
      </c>
      <c r="N2082" s="374" t="s">
        <v>5347</v>
      </c>
      <c r="O2082" s="374" t="s">
        <v>2856</v>
      </c>
      <c r="P2082" s="16">
        <v>46176</v>
      </c>
      <c r="Q2082" s="374" t="s">
        <v>4634</v>
      </c>
      <c r="R2082" s="2">
        <f>VLOOKUP(SALIDAS111518[[#This Row],[CÓDIGO]],PRODUCTOS31316[],2,FALSE)</f>
        <v>0</v>
      </c>
      <c r="S2082" s="1" t="str">
        <f>VLOOKUP(SALIDAS111518[[#This Row],[CÓDIGO]],PRODUCTOS31316[],3,FALSE)</f>
        <v xml:space="preserve">PRUEBA DE PREÑEZ TEMPRANA EN RUMIANTES </v>
      </c>
      <c r="T2082" s="2">
        <v>25</v>
      </c>
      <c r="U2082" s="2">
        <v>933</v>
      </c>
      <c r="V2082" s="2"/>
      <c r="W2082" s="2"/>
      <c r="X2082" s="2"/>
      <c r="Y2082" s="7"/>
      <c r="Z2082" s="2"/>
      <c r="AA2082" s="1"/>
      <c r="AC2082" s="2"/>
      <c r="AE2082" s="1"/>
      <c r="AG2082" s="2"/>
    </row>
    <row r="2083" spans="12:33" ht="49.95" customHeight="1" x14ac:dyDescent="0.3">
      <c r="L2083" s="374" t="s">
        <v>3520</v>
      </c>
      <c r="M2083" s="374" t="s">
        <v>5213</v>
      </c>
      <c r="N2083" s="374" t="s">
        <v>5346</v>
      </c>
      <c r="O2083" s="374" t="s">
        <v>2781</v>
      </c>
      <c r="P2083" s="16">
        <v>46176</v>
      </c>
      <c r="Q2083" s="374" t="s">
        <v>63</v>
      </c>
      <c r="R2083" s="2">
        <f>VLOOKUP(SALIDAS111518[[#This Row],[CÓDIGO]],PRODUCTOS31316[],2,FALSE)</f>
        <v>25458</v>
      </c>
      <c r="S2083" s="1" t="str">
        <f>VLOOKUP(SALIDAS111518[[#This Row],[CÓDIGO]],PRODUCTOS31316[],3,FALSE)</f>
        <v>FILTROS PARA OPU 100 UL</v>
      </c>
      <c r="T2083" s="2">
        <v>1</v>
      </c>
      <c r="U2083" s="2">
        <v>934</v>
      </c>
      <c r="V2083" s="2"/>
      <c r="W2083" s="2"/>
      <c r="X2083" s="2"/>
      <c r="Y2083" s="7"/>
      <c r="Z2083" s="2"/>
      <c r="AA2083" s="1"/>
      <c r="AC2083" s="2"/>
      <c r="AE2083" s="1"/>
      <c r="AG2083" s="2"/>
    </row>
    <row r="2084" spans="12:33" ht="49.95" customHeight="1" x14ac:dyDescent="0.3">
      <c r="L2084" s="374" t="s">
        <v>3520</v>
      </c>
      <c r="M2084" s="374" t="s">
        <v>5213</v>
      </c>
      <c r="N2084" s="374" t="s">
        <v>5345</v>
      </c>
      <c r="O2084" s="382" t="s">
        <v>2803</v>
      </c>
      <c r="P2084" s="16">
        <v>46176</v>
      </c>
      <c r="Q2084" s="374" t="s">
        <v>3375</v>
      </c>
      <c r="R2084" s="2" t="str">
        <f>VLOOKUP(SALIDAS111518[[#This Row],[CÓDIGO]],PRODUCTOS31316[],2,FALSE)</f>
        <v>13500/0250</v>
      </c>
      <c r="S2084" s="1" t="str">
        <f>VLOOKUP(SALIDAS111518[[#This Row],[CÓDIGO]],PRODUCTOS31316[],3,FALSE)</f>
        <v>TRILADYL 250 ML</v>
      </c>
      <c r="T2084" s="2">
        <v>3</v>
      </c>
      <c r="U2084" s="2">
        <v>936</v>
      </c>
      <c r="V2084" s="2"/>
      <c r="W2084" s="2"/>
      <c r="X2084" s="2"/>
      <c r="Y2084" s="7"/>
      <c r="Z2084" s="2"/>
      <c r="AA2084" s="1"/>
      <c r="AC2084" s="2"/>
      <c r="AE2084" s="1"/>
      <c r="AG2084" s="2"/>
    </row>
    <row r="2085" spans="12:33" ht="49.95" customHeight="1" x14ac:dyDescent="0.3">
      <c r="L2085" s="2"/>
      <c r="M2085" s="2"/>
      <c r="N2085" s="2">
        <v>8507</v>
      </c>
      <c r="O2085" s="374" t="s">
        <v>2803</v>
      </c>
      <c r="P2085" s="16">
        <v>46176</v>
      </c>
      <c r="Q2085" s="374" t="s">
        <v>1006</v>
      </c>
      <c r="R2085" s="2" t="str">
        <f>VLOOKUP(SALIDAS111518[[#This Row],[CÓDIGO]],PRODUCTOS31316[],2,FALSE)</f>
        <v>44-0200</v>
      </c>
      <c r="S2085" s="1" t="str">
        <f>VLOOKUP(SALIDAS111518[[#This Row],[CÓDIGO]],PRODUCTOS31316[],3,FALSE)</f>
        <v>POLVO SELLADOR DE PAJILLAS COLOR BLANCO, 750GR</v>
      </c>
      <c r="T2085" s="2">
        <v>1</v>
      </c>
      <c r="U2085" s="2"/>
      <c r="V2085" s="2"/>
      <c r="W2085" s="2"/>
      <c r="X2085" s="2"/>
      <c r="Y2085" s="7"/>
      <c r="Z2085" s="2"/>
      <c r="AA2085" s="1"/>
      <c r="AC2085" s="2"/>
      <c r="AE2085" s="1"/>
      <c r="AG2085" s="2"/>
    </row>
    <row r="2086" spans="12:33" ht="49.95" customHeight="1" x14ac:dyDescent="0.3">
      <c r="L2086" s="2"/>
      <c r="M2086" s="2"/>
      <c r="N2086" s="2">
        <v>8507</v>
      </c>
      <c r="O2086" s="374" t="s">
        <v>2803</v>
      </c>
      <c r="P2086" s="16">
        <v>46176</v>
      </c>
      <c r="Q2086" s="374" t="s">
        <v>2232</v>
      </c>
      <c r="R2086" s="2">
        <f>VLOOKUP(SALIDAS111518[[#This Row],[CÓDIGO]],PRODUCTOS31316[],2,FALSE)</f>
        <v>0</v>
      </c>
      <c r="S2086" s="1" t="str">
        <f>VLOOKUP(SALIDAS111518[[#This Row],[CÓDIGO]],PRODUCTOS31316[],3,FALSE)</f>
        <v>CONO RECOLECTOR</v>
      </c>
      <c r="T2086" s="2">
        <v>2</v>
      </c>
      <c r="U2086" s="2"/>
      <c r="V2086" s="2"/>
      <c r="W2086" s="2"/>
      <c r="X2086" s="2"/>
      <c r="Y2086" s="7"/>
      <c r="Z2086" s="2"/>
      <c r="AA2086" s="1"/>
      <c r="AC2086" s="2"/>
      <c r="AE2086" s="1"/>
      <c r="AG2086" s="2"/>
    </row>
    <row r="2087" spans="12:33" ht="49.95" customHeight="1" x14ac:dyDescent="0.3">
      <c r="L2087" s="2"/>
      <c r="M2087" s="2"/>
      <c r="N2087" s="2">
        <v>8507</v>
      </c>
      <c r="O2087" s="374" t="s">
        <v>2803</v>
      </c>
      <c r="P2087" s="16">
        <v>46176</v>
      </c>
      <c r="Q2087" s="374" t="s">
        <v>333</v>
      </c>
      <c r="R2087" s="2" t="str">
        <f>VLOOKUP(SALIDAS111518[[#This Row],[CÓDIGO]],PRODUCTOS31316[],2,FALSE)</f>
        <v>CTB15</v>
      </c>
      <c r="S2087" s="1" t="str">
        <f>VLOOKUP(SALIDAS111518[[#This Row],[CÓDIGO]],PRODUCTOS31316[],3,FALSE)</f>
        <v>TUBO CÓNICO DE 15 ML, TAPA ROSCA ESTÉRIL  RCF MAX: 10000xg, 
graduados, PCR puro. VENCE: 03/04/2028</v>
      </c>
      <c r="T2087" s="2">
        <v>2</v>
      </c>
      <c r="U2087" s="2"/>
      <c r="V2087" s="2"/>
      <c r="W2087" s="2"/>
      <c r="X2087" s="2"/>
      <c r="Y2087" s="7"/>
      <c r="Z2087" s="2"/>
      <c r="AA2087" s="1"/>
      <c r="AC2087" s="2"/>
      <c r="AE2087" s="1"/>
      <c r="AG2087" s="2"/>
    </row>
    <row r="2088" spans="12:33" ht="49.95" customHeight="1" x14ac:dyDescent="0.3">
      <c r="L2088" s="2"/>
      <c r="M2088" s="2"/>
      <c r="N2088" s="2">
        <v>8507</v>
      </c>
      <c r="O2088" s="374" t="s">
        <v>2803</v>
      </c>
      <c r="P2088" s="16">
        <v>46176</v>
      </c>
      <c r="Q2088" s="374" t="s">
        <v>341</v>
      </c>
      <c r="R2088" s="2" t="str">
        <f>VLOOKUP(SALIDAS111518[[#This Row],[CÓDIGO]],PRODUCTOS31316[],2,FALSE)</f>
        <v>CTB50</v>
      </c>
      <c r="S2088" s="1" t="str">
        <f>VLOOKUP(SALIDAS111518[[#This Row],[CÓDIGO]],PRODUCTOS31316[],3,FALSE)</f>
        <v>TUBO CÓNICO DE 50 mL, TAPA ROSCA, PRE ESTERILIZADO. RCF MAX: 10000xg, graduados, PCR puro.</v>
      </c>
      <c r="T2088" s="2">
        <v>2</v>
      </c>
      <c r="U2088" s="2"/>
      <c r="V2088" s="2"/>
      <c r="W2088" s="2"/>
      <c r="X2088" s="2"/>
      <c r="Y2088" s="7"/>
      <c r="Z2088" s="2"/>
      <c r="AA2088" s="1"/>
      <c r="AC2088" s="2"/>
      <c r="AE2088" s="1"/>
      <c r="AG2088" s="2"/>
    </row>
    <row r="2089" spans="12:33" ht="49.95" customHeight="1" x14ac:dyDescent="0.3">
      <c r="L2089" s="2"/>
      <c r="M2089" s="2"/>
      <c r="N2089" s="2">
        <v>8507</v>
      </c>
      <c r="O2089" s="374" t="s">
        <v>2803</v>
      </c>
      <c r="P2089" s="16">
        <v>46176</v>
      </c>
      <c r="Q2089" s="374" t="s">
        <v>1631</v>
      </c>
      <c r="R2089" s="2" t="str">
        <f>VLOOKUP(SALIDAS111518[[#This Row],[CÓDIGO]],PRODUCTOS31316[],2,FALSE)</f>
        <v>7101-CRAL</v>
      </c>
      <c r="S2089" s="1" t="str">
        <f>VLOOKUP(SALIDAS111518[[#This Row],[CÓDIGO]],PRODUCTOS31316[],3,FALSE)</f>
        <v>LAMINA PORTA OBJETOS LISA EN VIDRIO 26X76MM, BORDE ESMERILADO</v>
      </c>
      <c r="T2089" s="2">
        <v>5</v>
      </c>
      <c r="U2089" s="2"/>
      <c r="V2089" s="2"/>
      <c r="W2089" s="2"/>
      <c r="X2089" s="2"/>
      <c r="Y2089" s="7"/>
      <c r="Z2089" s="2"/>
      <c r="AA2089" s="1"/>
      <c r="AC2089" s="2"/>
      <c r="AE2089" s="1"/>
      <c r="AG2089" s="2"/>
    </row>
    <row r="2090" spans="12:33" ht="49.95" customHeight="1" x14ac:dyDescent="0.3">
      <c r="L2090" s="2"/>
      <c r="M2090" s="2"/>
      <c r="N2090" s="2">
        <v>8507</v>
      </c>
      <c r="O2090" s="374" t="s">
        <v>2803</v>
      </c>
      <c r="P2090" s="16">
        <v>46176</v>
      </c>
      <c r="Q2090" s="374" t="s">
        <v>1637</v>
      </c>
      <c r="R2090" s="2" t="str">
        <f>VLOOKUP(SALIDAS111518[[#This Row],[CÓDIGO]],PRODUCTOS31316[],2,FALSE)</f>
        <v>P22X22</v>
      </c>
      <c r="S2090" s="1" t="str">
        <f>VLOOKUP(SALIDAS111518[[#This Row],[CÓDIGO]],PRODUCTOS31316[],3,FALSE)</f>
        <v>LAMINA CUBRE OBJETO EN VIDRIO 22X22</v>
      </c>
      <c r="T2090" s="2">
        <v>5</v>
      </c>
      <c r="U2090" s="2"/>
      <c r="V2090" s="2"/>
      <c r="W2090" s="2"/>
      <c r="X2090" s="2"/>
      <c r="Y2090" s="7"/>
      <c r="Z2090" s="2"/>
      <c r="AA2090" s="1"/>
      <c r="AC2090" s="2"/>
      <c r="AE2090" s="1"/>
      <c r="AG2090" s="2"/>
    </row>
    <row r="2091" spans="12:33" ht="49.95" customHeight="1" x14ac:dyDescent="0.3">
      <c r="L2091" s="2"/>
      <c r="M2091" s="2"/>
      <c r="N2091" s="2">
        <v>8507</v>
      </c>
      <c r="O2091" s="374" t="s">
        <v>2803</v>
      </c>
      <c r="P2091" s="16">
        <v>46176</v>
      </c>
      <c r="Q2091" s="374" t="s">
        <v>2254</v>
      </c>
      <c r="R2091" s="2">
        <f>VLOOKUP(SALIDAS111518[[#This Row],[CÓDIGO]],PRODUCTOS31316[],2,FALSE)</f>
        <v>6935</v>
      </c>
      <c r="S2091" s="1" t="str">
        <f>VLOOKUP(SALIDAS111518[[#This Row],[CÓDIGO]],PRODUCTOS31316[],3,FALSE)</f>
        <v>CUBETA PLÁSTICA MEDIANA PARA 0,50 P/25</v>
      </c>
      <c r="T2091" s="2">
        <v>1</v>
      </c>
      <c r="U2091" s="2"/>
      <c r="V2091" s="2"/>
      <c r="W2091" s="2"/>
      <c r="X2091" s="2"/>
      <c r="Y2091" s="7"/>
      <c r="Z2091" s="2"/>
      <c r="AA2091" s="1"/>
      <c r="AC2091" s="2"/>
      <c r="AE2091" s="1"/>
      <c r="AG2091" s="2"/>
    </row>
    <row r="2092" spans="12:33" ht="49.95" customHeight="1" x14ac:dyDescent="0.3">
      <c r="L2092" s="2"/>
      <c r="M2092" s="2"/>
      <c r="N2092" s="2">
        <v>8507</v>
      </c>
      <c r="O2092" s="374" t="s">
        <v>2803</v>
      </c>
      <c r="P2092" s="16">
        <v>46176</v>
      </c>
      <c r="Q2092" s="374" t="s">
        <v>2995</v>
      </c>
      <c r="R2092" s="2">
        <f>VLOOKUP(SALIDAS111518[[#This Row],[CÓDIGO]],PRODUCTOS31316[],2,FALSE)</f>
        <v>7008</v>
      </c>
      <c r="S2092" s="1" t="str">
        <f>VLOOKUP(SALIDAS111518[[#This Row],[CÓDIGO]],PRODUCTOS31316[],3,FALSE)</f>
        <v>SUJETADOR 15 PAJILLAS 0,5</v>
      </c>
      <c r="T2092" s="2">
        <v>1</v>
      </c>
      <c r="U2092" s="2"/>
      <c r="V2092" s="2"/>
      <c r="W2092" s="2"/>
      <c r="X2092" s="2"/>
      <c r="Y2092" s="7"/>
      <c r="Z2092" s="2"/>
      <c r="AA2092" s="1"/>
      <c r="AC2092" s="2"/>
      <c r="AE2092" s="1"/>
      <c r="AG2092" s="2"/>
    </row>
    <row r="2093" spans="12:33" ht="49.95" customHeight="1" x14ac:dyDescent="0.3">
      <c r="L2093" s="2"/>
      <c r="M2093" s="2"/>
      <c r="N2093" s="2">
        <v>8507</v>
      </c>
      <c r="O2093" s="374" t="s">
        <v>2803</v>
      </c>
      <c r="P2093" s="16">
        <v>46176</v>
      </c>
      <c r="Q2093" s="374" t="s">
        <v>3248</v>
      </c>
      <c r="R2093" s="2">
        <f>VLOOKUP(SALIDAS111518[[#This Row],[CÓDIGO]],PRODUCTOS31316[],2,FALSE)</f>
        <v>200167</v>
      </c>
      <c r="S2093" s="1" t="str">
        <f>VLOOKUP(SALIDAS111518[[#This Row],[CÓDIGO]],PRODUCTOS31316[],3,FALSE)</f>
        <v>BOQUILLA DE LLENADO CON SUCCIÓN 15 PIN 0.5 ML</v>
      </c>
      <c r="T2093" s="2">
        <v>1</v>
      </c>
      <c r="U2093" s="2"/>
      <c r="V2093" s="2"/>
      <c r="W2093" s="2"/>
      <c r="X2093" s="2"/>
      <c r="Y2093" s="7"/>
      <c r="Z2093" s="2"/>
      <c r="AA2093" s="1"/>
      <c r="AC2093" s="2"/>
      <c r="AE2093" s="1"/>
      <c r="AG2093" s="2"/>
    </row>
    <row r="2094" spans="12:33" ht="49.95" customHeight="1" x14ac:dyDescent="0.3">
      <c r="L2094" s="2"/>
      <c r="M2094" s="2"/>
      <c r="N2094" s="2">
        <v>8507</v>
      </c>
      <c r="O2094" s="374" t="s">
        <v>2803</v>
      </c>
      <c r="P2094" s="16">
        <v>46176</v>
      </c>
      <c r="Q2094" s="374" t="s">
        <v>2992</v>
      </c>
      <c r="R2094" s="2">
        <f>VLOOKUP(SALIDAS111518[[#This Row],[CÓDIGO]],PRODUCTOS31316[],2,FALSE)</f>
        <v>7116</v>
      </c>
      <c r="S2094" s="1" t="str">
        <f>VLOOKUP(SALIDAS111518[[#This Row],[CÓDIGO]],PRODUCTOS31316[],3,FALSE)</f>
        <v>SOPORTE PORTA CUBETAS/  METALICO</v>
      </c>
      <c r="T2094" s="2">
        <v>1</v>
      </c>
      <c r="U2094" s="2"/>
      <c r="V2094" s="2"/>
      <c r="W2094" s="2"/>
      <c r="X2094" s="2"/>
      <c r="Y2094" s="7"/>
      <c r="Z2094" s="2"/>
      <c r="AA2094" s="1"/>
      <c r="AC2094" s="2"/>
      <c r="AE2094" s="1"/>
      <c r="AG2094" s="2"/>
    </row>
    <row r="2095" spans="12:33" ht="49.95" customHeight="1" x14ac:dyDescent="0.3">
      <c r="L2095" s="2"/>
      <c r="M2095" s="2"/>
      <c r="N2095" s="2">
        <v>8507</v>
      </c>
      <c r="O2095" s="374" t="s">
        <v>2803</v>
      </c>
      <c r="P2095" s="16">
        <v>46176</v>
      </c>
      <c r="Q2095" s="374" t="s">
        <v>3398</v>
      </c>
      <c r="R2095" s="2">
        <f>VLOOKUP(SALIDAS111518[[#This Row],[CÓDIGO]],PRODUCTOS31316[],2,FALSE)</f>
        <v>13408</v>
      </c>
      <c r="S2095" s="1" t="str">
        <f>VLOOKUP(SALIDAS111518[[#This Row],[CÓDIGO]],PRODUCTOS31316[],3,FALSE)</f>
        <v>PAJILLAS TRANSPARENTES 0,50 MINITUBE</v>
      </c>
      <c r="T2095" s="2">
        <v>2</v>
      </c>
      <c r="U2095" s="2"/>
      <c r="V2095" s="2"/>
      <c r="W2095" s="2"/>
      <c r="X2095" s="2"/>
      <c r="Y2095" s="7"/>
      <c r="Z2095" s="2"/>
      <c r="AA2095" s="1"/>
      <c r="AC2095" s="2"/>
      <c r="AE2095" s="1"/>
      <c r="AG2095" s="2"/>
    </row>
    <row r="2096" spans="12:33" ht="49.95" customHeight="1" x14ac:dyDescent="0.3">
      <c r="L2096" s="2"/>
      <c r="M2096" s="2"/>
      <c r="N2096" s="2">
        <v>8507</v>
      </c>
      <c r="O2096" s="374" t="s">
        <v>2803</v>
      </c>
      <c r="P2096" s="16">
        <v>46176</v>
      </c>
      <c r="Q2096" s="374" t="s">
        <v>3397</v>
      </c>
      <c r="R2096" s="2">
        <f>VLOOKUP(SALIDAS111518[[#This Row],[CÓDIGO]],PRODUCTOS31316[],2,FALSE)</f>
        <v>13407</v>
      </c>
      <c r="S2096" s="1" t="str">
        <f>VLOOKUP(SALIDAS111518[[#This Row],[CÓDIGO]],PRODUCTOS31316[],3,FALSE)</f>
        <v>PAJILLAS TRANSPARENTES 0,25 MINITUBE</v>
      </c>
      <c r="T2096" s="2">
        <v>1</v>
      </c>
      <c r="U2096" s="2"/>
      <c r="V2096" s="2"/>
      <c r="W2096" s="2"/>
      <c r="X2096" s="2"/>
      <c r="Y2096" s="7"/>
      <c r="Z2096" s="2"/>
      <c r="AA2096" s="1"/>
      <c r="AC2096" s="2"/>
      <c r="AE2096" s="1"/>
      <c r="AG2096" s="2"/>
    </row>
    <row r="2097" spans="12:33" ht="49.95" customHeight="1" x14ac:dyDescent="0.3">
      <c r="L2097" s="2"/>
      <c r="M2097" s="2"/>
      <c r="N2097" s="2">
        <v>8507</v>
      </c>
      <c r="O2097" s="374" t="s">
        <v>2803</v>
      </c>
      <c r="P2097" s="16">
        <v>46176</v>
      </c>
      <c r="Q2097" s="374" t="s">
        <v>104</v>
      </c>
      <c r="R2097" s="2">
        <f>VLOOKUP(SALIDAS111518[[#This Row],[CÓDIGO]],PRODUCTOS31316[],2,FALSE)</f>
        <v>0</v>
      </c>
      <c r="S2097" s="1" t="str">
        <f>VLOOKUP(SALIDAS111518[[#This Row],[CÓDIGO]],PRODUCTOS31316[],3,FALSE)</f>
        <v>ISPERM CHIPS (500 TESTS PER BOX) PAQ. X 50 UND</v>
      </c>
      <c r="T2097" s="2">
        <v>1</v>
      </c>
      <c r="U2097" s="2"/>
      <c r="V2097" s="2"/>
      <c r="W2097" s="2"/>
      <c r="X2097" s="2"/>
      <c r="Y2097" s="7"/>
      <c r="Z2097" s="2"/>
      <c r="AA2097" s="1"/>
      <c r="AC2097" s="2"/>
      <c r="AE2097" s="1"/>
      <c r="AG2097" s="2"/>
    </row>
    <row r="2098" spans="12:33" ht="49.95" customHeight="1" x14ac:dyDescent="0.3">
      <c r="L2098" s="374" t="s">
        <v>3521</v>
      </c>
      <c r="M2098" s="374" t="s">
        <v>5213</v>
      </c>
      <c r="N2098" s="374" t="s">
        <v>5344</v>
      </c>
      <c r="O2098" s="375" t="s">
        <v>4898</v>
      </c>
      <c r="P2098" s="16">
        <v>46176</v>
      </c>
      <c r="Q2098" s="374" t="s">
        <v>648</v>
      </c>
      <c r="R2098" s="2" t="str">
        <f>VLOOKUP(SALIDAS111518[[#This Row],[CÓDIGO]],PRODUCTOS31316[],2,FALSE)</f>
        <v>S5</v>
      </c>
      <c r="S2098" s="1" t="str">
        <f>VLOOKUP(SALIDAS111518[[#This Row],[CÓDIGO]],PRODUCTOS31316[],3,FALSE)</f>
        <v>SONDA S5 UNIDAD PRINCIPAL CON SONDA LINEAL RECTAL</v>
      </c>
      <c r="T2098" s="2">
        <v>1</v>
      </c>
      <c r="U2098" s="2">
        <v>937</v>
      </c>
      <c r="V2098" s="2"/>
      <c r="W2098" s="374" t="s">
        <v>3412</v>
      </c>
      <c r="X2098" s="2"/>
      <c r="Y2098" s="7"/>
      <c r="Z2098" s="2"/>
      <c r="AA2098" s="1"/>
      <c r="AC2098" s="2"/>
      <c r="AE2098" s="1"/>
      <c r="AG2098" s="2"/>
    </row>
    <row r="2099" spans="12:33" ht="49.95" customHeight="1" x14ac:dyDescent="0.3">
      <c r="L2099" s="2"/>
      <c r="M2099" s="2"/>
      <c r="N2099" s="2">
        <v>8508</v>
      </c>
      <c r="O2099" s="375" t="s">
        <v>4898</v>
      </c>
      <c r="P2099" s="16">
        <v>46176</v>
      </c>
      <c r="Q2099" s="374" t="s">
        <v>5114</v>
      </c>
      <c r="R2099" s="2">
        <f>VLOOKUP(SALIDAS111518[[#This Row],[CÓDIGO]],PRODUCTOS31316[],2,FALSE)</f>
        <v>0</v>
      </c>
      <c r="S2099" s="1" t="str">
        <f>VLOOKUP(SALIDAS111518[[#This Row],[CÓDIGO]],PRODUCTOS31316[],3,FALSE)</f>
        <v>TABLET SANSUNG GALAXY TAB A11+ MARCA: SANSUNG COLOR SEGUN DISPONIBILIDAD</v>
      </c>
      <c r="T2099" s="2">
        <v>1</v>
      </c>
      <c r="U2099" s="2"/>
      <c r="V2099" s="2"/>
      <c r="W2099" s="2"/>
      <c r="X2099" s="132"/>
      <c r="Y2099" s="7"/>
      <c r="Z2099" s="2"/>
      <c r="AA2099" s="1"/>
      <c r="AC2099" s="2"/>
      <c r="AE2099" s="1"/>
      <c r="AG2099" s="2"/>
    </row>
    <row r="2100" spans="12:33" ht="49.95" customHeight="1" x14ac:dyDescent="0.3">
      <c r="L2100" s="2"/>
      <c r="M2100" s="2"/>
      <c r="N2100" s="2">
        <v>8508</v>
      </c>
      <c r="O2100" s="375" t="s">
        <v>4898</v>
      </c>
      <c r="P2100" s="16">
        <v>46176</v>
      </c>
      <c r="Q2100" s="374" t="s">
        <v>3286</v>
      </c>
      <c r="R2100" s="2">
        <f>VLOOKUP(SALIDAS111518[[#This Row],[CÓDIGO]],PRODUCTOS31316[],2,FALSE)</f>
        <v>0</v>
      </c>
      <c r="S2100" s="1" t="str">
        <f>VLOOKUP(SALIDAS111518[[#This Row],[CÓDIGO]],PRODUCTOS31316[],3,FALSE)</f>
        <v>CARCASA TABLET BMV</v>
      </c>
      <c r="T2100" s="2">
        <v>1</v>
      </c>
      <c r="U2100" s="2"/>
      <c r="V2100" s="2"/>
      <c r="W2100" s="2"/>
      <c r="X2100" s="2"/>
      <c r="Y2100" s="7"/>
      <c r="Z2100" s="2"/>
      <c r="AA2100" s="1"/>
      <c r="AC2100" s="2"/>
      <c r="AE2100" s="1"/>
      <c r="AG2100" s="2"/>
    </row>
    <row r="2101" spans="12:33" ht="49.95" customHeight="1" x14ac:dyDescent="0.3">
      <c r="L2101" s="374" t="s">
        <v>3521</v>
      </c>
      <c r="M2101" s="374" t="s">
        <v>5213</v>
      </c>
      <c r="N2101" s="374" t="s">
        <v>5153</v>
      </c>
      <c r="O2101" s="374" t="s">
        <v>5032</v>
      </c>
      <c r="P2101" s="378" t="s">
        <v>5332</v>
      </c>
      <c r="Q2101" s="374" t="s">
        <v>3346</v>
      </c>
      <c r="R2101" s="2" t="str">
        <f>VLOOKUP(SALIDAS111518[[#This Row],[CÓDIGO]],PRODUCTOS31316[],2,FALSE)</f>
        <v>S7PRO</v>
      </c>
      <c r="S2101" s="1" t="str">
        <f>VLOOKUP(SALIDAS111518[[#This Row],[CÓDIGO]],PRODUCTOS31316[],3,FALSE)</f>
        <v>ECÓGRAFO S7 PRO VET CON SONDA LINEAL RECTAL</v>
      </c>
      <c r="T2101" s="2">
        <v>1</v>
      </c>
      <c r="U2101" s="2">
        <v>938</v>
      </c>
      <c r="V2101" s="2"/>
      <c r="W2101" s="374" t="s">
        <v>3412</v>
      </c>
      <c r="X2101" s="2"/>
      <c r="Y2101" s="7"/>
      <c r="Z2101" s="2"/>
      <c r="AA2101" s="1"/>
      <c r="AC2101" s="2"/>
      <c r="AE2101" s="1"/>
      <c r="AG2101" s="2"/>
    </row>
    <row r="2102" spans="12:33" ht="49.95" customHeight="1" x14ac:dyDescent="0.3">
      <c r="L2102" s="2"/>
      <c r="M2102" s="2"/>
      <c r="N2102" s="2">
        <v>8509</v>
      </c>
      <c r="O2102" s="374" t="s">
        <v>5032</v>
      </c>
      <c r="P2102" s="378" t="s">
        <v>5332</v>
      </c>
      <c r="Q2102" s="374" t="s">
        <v>5114</v>
      </c>
      <c r="R2102" s="2">
        <f>VLOOKUP(SALIDAS111518[[#This Row],[CÓDIGO]],PRODUCTOS31316[],2,FALSE)</f>
        <v>0</v>
      </c>
      <c r="S2102" s="1" t="str">
        <f>VLOOKUP(SALIDAS111518[[#This Row],[CÓDIGO]],PRODUCTOS31316[],3,FALSE)</f>
        <v>TABLET SANSUNG GALAXY TAB A11+ MARCA: SANSUNG COLOR SEGUN DISPONIBILIDAD</v>
      </c>
      <c r="T2102" s="2">
        <v>1</v>
      </c>
      <c r="U2102" s="2"/>
      <c r="V2102" s="2"/>
      <c r="W2102" s="2"/>
      <c r="X2102" s="2"/>
      <c r="Y2102" s="7"/>
      <c r="Z2102" s="2"/>
      <c r="AA2102" s="1"/>
      <c r="AC2102" s="2"/>
      <c r="AE2102" s="1"/>
      <c r="AG2102" s="2"/>
    </row>
    <row r="2103" spans="12:33" ht="49.95" customHeight="1" x14ac:dyDescent="0.3">
      <c r="L2103" s="2"/>
      <c r="M2103" s="2"/>
      <c r="N2103" s="2">
        <v>8509</v>
      </c>
      <c r="O2103" s="374" t="s">
        <v>5032</v>
      </c>
      <c r="P2103" s="378" t="s">
        <v>5332</v>
      </c>
      <c r="Q2103" s="374" t="s">
        <v>3286</v>
      </c>
      <c r="R2103" s="2">
        <f>VLOOKUP(SALIDAS111518[[#This Row],[CÓDIGO]],PRODUCTOS31316[],2,FALSE)</f>
        <v>0</v>
      </c>
      <c r="S2103" s="1" t="str">
        <f>VLOOKUP(SALIDAS111518[[#This Row],[CÓDIGO]],PRODUCTOS31316[],3,FALSE)</f>
        <v>CARCASA TABLET BMV</v>
      </c>
      <c r="T2103" s="2">
        <v>1</v>
      </c>
      <c r="U2103" s="2"/>
      <c r="V2103" s="2"/>
      <c r="W2103" s="2"/>
      <c r="X2103" s="2"/>
      <c r="Y2103" s="7"/>
      <c r="Z2103" s="2"/>
      <c r="AA2103" s="1"/>
      <c r="AC2103" s="2"/>
      <c r="AE2103" s="1"/>
      <c r="AG2103" s="2"/>
    </row>
    <row r="2104" spans="12:33" ht="49.95" customHeight="1" x14ac:dyDescent="0.3">
      <c r="L2104" s="374"/>
      <c r="M2104" s="374"/>
      <c r="N2104" s="2">
        <v>8509</v>
      </c>
      <c r="O2104" s="374" t="s">
        <v>5032</v>
      </c>
      <c r="P2104" s="378" t="s">
        <v>5332</v>
      </c>
      <c r="Q2104" s="374" t="s">
        <v>3095</v>
      </c>
      <c r="R2104" s="2">
        <f>VLOOKUP(SALIDAS111518[[#This Row],[CÓDIGO]],PRODUCTOS31316[],2,FALSE)</f>
        <v>0</v>
      </c>
      <c r="S2104" s="1" t="str">
        <f>VLOOKUP(SALIDAS111518[[#This Row],[CÓDIGO]],PRODUCTOS31316[],3,FALSE)</f>
        <v>GORRA MAS CAMPO</v>
      </c>
      <c r="T2104" s="2">
        <v>1</v>
      </c>
      <c r="U2104" s="2"/>
      <c r="V2104" s="2"/>
      <c r="W2104" s="2"/>
      <c r="X2104" s="2"/>
      <c r="Y2104" s="7"/>
      <c r="Z2104" s="2"/>
      <c r="AA2104" s="1"/>
      <c r="AC2104" s="2"/>
      <c r="AE2104" s="1"/>
      <c r="AG2104" s="2"/>
    </row>
    <row r="2105" spans="12:33" ht="49.95" customHeight="1" x14ac:dyDescent="0.3">
      <c r="L2105" s="374" t="s">
        <v>3520</v>
      </c>
      <c r="M2105" s="374" t="s">
        <v>5213</v>
      </c>
      <c r="N2105" s="374" t="s">
        <v>5343</v>
      </c>
      <c r="O2105" s="374" t="s">
        <v>2700</v>
      </c>
      <c r="P2105" s="378" t="s">
        <v>5332</v>
      </c>
      <c r="Q2105" s="374" t="s">
        <v>3702</v>
      </c>
      <c r="R2105" s="2">
        <f>VLOOKUP(SALIDAS111518[[#This Row],[CÓDIGO]],PRODUCTOS31316[],2,FALSE)</f>
        <v>5710</v>
      </c>
      <c r="S2105" s="1" t="str">
        <f>VLOOKUP(SALIDAS111518[[#This Row],[CÓDIGO]],PRODUCTOS31316[],3,FALSE)</f>
        <v>PAJUELA VERDE 0.50/ PAQ. X 2000 MARCA IMV</v>
      </c>
      <c r="T2105" s="2">
        <v>1</v>
      </c>
      <c r="U2105" s="2">
        <v>939</v>
      </c>
      <c r="V2105" s="2"/>
      <c r="W2105" s="374" t="s">
        <v>3412</v>
      </c>
      <c r="X2105" s="2"/>
      <c r="Y2105" s="7"/>
      <c r="Z2105" s="2"/>
      <c r="AA2105" s="1"/>
      <c r="AC2105" s="2"/>
      <c r="AE2105" s="1"/>
      <c r="AG2105" s="2"/>
    </row>
    <row r="2106" spans="12:33" ht="49.95" customHeight="1" x14ac:dyDescent="0.3">
      <c r="L2106" s="2"/>
      <c r="M2106" s="2"/>
      <c r="N2106" s="2">
        <v>8510</v>
      </c>
      <c r="O2106" s="374" t="s">
        <v>2700</v>
      </c>
      <c r="P2106" s="378" t="s">
        <v>5332</v>
      </c>
      <c r="Q2106" s="374" t="s">
        <v>3398</v>
      </c>
      <c r="R2106" s="2">
        <f>VLOOKUP(SALIDAS111518[[#This Row],[CÓDIGO]],PRODUCTOS31316[],2,FALSE)</f>
        <v>13408</v>
      </c>
      <c r="S2106" s="1" t="str">
        <f>VLOOKUP(SALIDAS111518[[#This Row],[CÓDIGO]],PRODUCTOS31316[],3,FALSE)</f>
        <v>PAJILLAS TRANSPARENTES 0,50 MINITUBE</v>
      </c>
      <c r="T2106" s="2">
        <v>1</v>
      </c>
      <c r="U2106" s="2"/>
      <c r="V2106" s="2"/>
      <c r="W2106" s="2"/>
      <c r="X2106" s="2"/>
      <c r="Y2106" s="7"/>
      <c r="Z2106" s="2"/>
      <c r="AA2106" s="1"/>
      <c r="AC2106" s="2"/>
      <c r="AE2106" s="1"/>
      <c r="AG2106" s="2"/>
    </row>
    <row r="2107" spans="12:33" ht="49.95" customHeight="1" x14ac:dyDescent="0.3">
      <c r="L2107" s="374" t="s">
        <v>3521</v>
      </c>
      <c r="M2107" s="374" t="s">
        <v>5213</v>
      </c>
      <c r="N2107" s="375" t="s">
        <v>5363</v>
      </c>
      <c r="O2107" s="375" t="s">
        <v>4893</v>
      </c>
      <c r="P2107" s="16">
        <v>46172</v>
      </c>
      <c r="Q2107" s="374" t="s">
        <v>648</v>
      </c>
      <c r="R2107" s="2" t="str">
        <f>VLOOKUP(SALIDAS111518[[#This Row],[CÓDIGO]],PRODUCTOS31316[],2,FALSE)</f>
        <v>S5</v>
      </c>
      <c r="S2107" s="1" t="str">
        <f>VLOOKUP(SALIDAS111518[[#This Row],[CÓDIGO]],PRODUCTOS31316[],3,FALSE)</f>
        <v>SONDA S5 UNIDAD PRINCIPAL CON SONDA LINEAL RECTAL</v>
      </c>
      <c r="T2107" s="2">
        <v>1</v>
      </c>
      <c r="U2107" s="215" t="s">
        <v>5365</v>
      </c>
      <c r="V2107" s="2"/>
      <c r="W2107" s="374" t="s">
        <v>3412</v>
      </c>
      <c r="X2107" s="2"/>
      <c r="Y2107" s="7"/>
      <c r="Z2107" s="2"/>
      <c r="AA2107" s="1"/>
      <c r="AC2107" s="2"/>
      <c r="AE2107" s="1"/>
      <c r="AG2107" s="2"/>
    </row>
    <row r="2108" spans="12:33" ht="49.95" customHeight="1" x14ac:dyDescent="0.3">
      <c r="L2108" s="2"/>
      <c r="M2108" s="2"/>
      <c r="N2108" s="2">
        <v>8511</v>
      </c>
      <c r="O2108" s="375" t="s">
        <v>4893</v>
      </c>
      <c r="P2108" s="16">
        <v>46172</v>
      </c>
      <c r="Q2108" s="374" t="s">
        <v>5114</v>
      </c>
      <c r="R2108" s="2">
        <f>VLOOKUP(SALIDAS111518[[#This Row],[CÓDIGO]],PRODUCTOS31316[],2,FALSE)</f>
        <v>0</v>
      </c>
      <c r="S2108" s="1" t="str">
        <f>VLOOKUP(SALIDAS111518[[#This Row],[CÓDIGO]],PRODUCTOS31316[],3,FALSE)</f>
        <v>TABLET SANSUNG GALAXY TAB A11+ MARCA: SANSUNG COLOR SEGUN DISPONIBILIDAD</v>
      </c>
      <c r="T2108" s="2">
        <v>1</v>
      </c>
      <c r="U2108" s="2"/>
      <c r="V2108" s="2"/>
      <c r="W2108" s="2"/>
      <c r="X2108" s="2"/>
      <c r="Y2108" s="7"/>
      <c r="Z2108" s="2"/>
      <c r="AA2108" s="1"/>
      <c r="AC2108" s="2"/>
      <c r="AE2108" s="1"/>
      <c r="AG2108" s="2"/>
    </row>
    <row r="2109" spans="12:33" ht="49.95" customHeight="1" x14ac:dyDescent="0.3">
      <c r="L2109" s="2"/>
      <c r="M2109" s="2"/>
      <c r="N2109" s="2">
        <v>8511</v>
      </c>
      <c r="O2109" s="375" t="s">
        <v>4893</v>
      </c>
      <c r="P2109" s="16">
        <v>46172</v>
      </c>
      <c r="Q2109" s="374" t="s">
        <v>3286</v>
      </c>
      <c r="R2109" s="2">
        <f>VLOOKUP(SALIDAS111518[[#This Row],[CÓDIGO]],PRODUCTOS31316[],2,FALSE)</f>
        <v>0</v>
      </c>
      <c r="S2109" s="1" t="str">
        <f>VLOOKUP(SALIDAS111518[[#This Row],[CÓDIGO]],PRODUCTOS31316[],3,FALSE)</f>
        <v>CARCASA TABLET BMV</v>
      </c>
      <c r="T2109" s="2">
        <v>1</v>
      </c>
      <c r="U2109" s="2"/>
      <c r="V2109" s="2"/>
      <c r="W2109" s="2"/>
      <c r="X2109" s="2"/>
      <c r="Y2109" s="7"/>
      <c r="Z2109" s="2"/>
      <c r="AA2109" s="1"/>
      <c r="AC2109" s="2"/>
      <c r="AE2109" s="1"/>
      <c r="AG2109" s="2"/>
    </row>
    <row r="2110" spans="12:33" ht="49.95" customHeight="1" x14ac:dyDescent="0.3">
      <c r="L2110" s="374" t="s">
        <v>3521</v>
      </c>
      <c r="M2110" s="374" t="s">
        <v>5213</v>
      </c>
      <c r="N2110" s="374" t="s">
        <v>5342</v>
      </c>
      <c r="O2110" s="375" t="s">
        <v>4779</v>
      </c>
      <c r="P2110" s="378" t="s">
        <v>5332</v>
      </c>
      <c r="Q2110" s="374" t="s">
        <v>3354</v>
      </c>
      <c r="R2110" s="2" t="str">
        <f>VLOOKUP(SALIDAS111518[[#This Row],[CÓDIGO]],PRODUCTOS31316[],2,FALSE)</f>
        <v>MX5C</v>
      </c>
      <c r="S2110" s="1" t="str">
        <f>VLOOKUP(SALIDAS111518[[#This Row],[CÓDIGO]],PRODUCTOS31316[],3,FALSE)</f>
        <v>ECOGRAFO MX5C CON SONDA LINEAL RECTAL/DOPLLER COLOR</v>
      </c>
      <c r="T2110" s="2">
        <v>1</v>
      </c>
      <c r="U2110" s="2">
        <v>941</v>
      </c>
      <c r="V2110" s="2"/>
      <c r="W2110" s="374" t="s">
        <v>3412</v>
      </c>
      <c r="X2110" s="2"/>
      <c r="Y2110" s="7"/>
      <c r="Z2110" s="2"/>
      <c r="AA2110" s="1"/>
      <c r="AC2110" s="2"/>
      <c r="AE2110" s="1"/>
      <c r="AG2110" s="2"/>
    </row>
    <row r="2111" spans="12:33" ht="49.95" customHeight="1" x14ac:dyDescent="0.3">
      <c r="L2111" s="2"/>
      <c r="M2111" s="2"/>
      <c r="N2111" s="2">
        <v>8512</v>
      </c>
      <c r="O2111" s="375" t="s">
        <v>4779</v>
      </c>
      <c r="P2111" s="378" t="s">
        <v>5332</v>
      </c>
      <c r="Q2111" s="374" t="s">
        <v>3791</v>
      </c>
      <c r="R2111" s="2">
        <f>VLOOKUP(SALIDAS111518[[#This Row],[CÓDIGO]],PRODUCTOS31316[],2,FALSE)</f>
        <v>6936520864546</v>
      </c>
      <c r="S2111" s="1" t="str">
        <f>VLOOKUP(SALIDAS111518[[#This Row],[CÓDIGO]],PRODUCTOS31316[],3,FALSE)</f>
        <v>TABLET 11" HONOR PAD X8A 128 GB</v>
      </c>
      <c r="T2111" s="2">
        <v>1</v>
      </c>
      <c r="U2111" s="2"/>
      <c r="V2111" s="2"/>
      <c r="W2111" s="2"/>
      <c r="X2111" s="2"/>
      <c r="Y2111" s="7"/>
      <c r="Z2111" s="2"/>
      <c r="AA2111" s="1"/>
      <c r="AC2111" s="2"/>
      <c r="AE2111" s="1"/>
      <c r="AG2111" s="2"/>
    </row>
    <row r="2112" spans="12:33" ht="49.95" customHeight="1" x14ac:dyDescent="0.3">
      <c r="L2112" s="2"/>
      <c r="M2112" s="2"/>
      <c r="N2112" s="2">
        <v>8512</v>
      </c>
      <c r="O2112" s="375" t="s">
        <v>4779</v>
      </c>
      <c r="P2112" s="378" t="s">
        <v>5332</v>
      </c>
      <c r="Q2112" s="374" t="s">
        <v>3286</v>
      </c>
      <c r="R2112" s="2">
        <f>VLOOKUP(SALIDAS111518[[#This Row],[CÓDIGO]],PRODUCTOS31316[],2,FALSE)</f>
        <v>0</v>
      </c>
      <c r="S2112" s="1" t="str">
        <f>VLOOKUP(SALIDAS111518[[#This Row],[CÓDIGO]],PRODUCTOS31316[],3,FALSE)</f>
        <v>CARCASA TABLET BMV</v>
      </c>
      <c r="T2112" s="2">
        <v>1</v>
      </c>
      <c r="U2112" s="2"/>
      <c r="V2112" s="2"/>
      <c r="W2112" s="2"/>
      <c r="X2112" s="2"/>
      <c r="Y2112" s="7"/>
      <c r="Z2112" s="2"/>
      <c r="AA2112" s="1"/>
      <c r="AC2112" s="2"/>
      <c r="AE2112" s="1"/>
      <c r="AG2112" s="2"/>
    </row>
    <row r="2113" spans="12:33" ht="49.95" customHeight="1" x14ac:dyDescent="0.3">
      <c r="L2113" s="2"/>
      <c r="M2113" s="2"/>
      <c r="N2113" s="2">
        <v>8512</v>
      </c>
      <c r="O2113" s="375" t="s">
        <v>4779</v>
      </c>
      <c r="P2113" s="378" t="s">
        <v>5332</v>
      </c>
      <c r="Q2113" s="374" t="s">
        <v>3095</v>
      </c>
      <c r="R2113" s="2">
        <f>VLOOKUP(SALIDAS111518[[#This Row],[CÓDIGO]],PRODUCTOS31316[],2,FALSE)</f>
        <v>0</v>
      </c>
      <c r="S2113" s="1" t="str">
        <f>VLOOKUP(SALIDAS111518[[#This Row],[CÓDIGO]],PRODUCTOS31316[],3,FALSE)</f>
        <v>GORRA MAS CAMPO</v>
      </c>
      <c r="T2113" s="2">
        <v>1</v>
      </c>
      <c r="U2113" s="2"/>
      <c r="V2113" s="2"/>
      <c r="W2113" s="2"/>
      <c r="X2113" s="2"/>
      <c r="Y2113" s="7"/>
      <c r="Z2113" s="2"/>
      <c r="AA2113" s="1"/>
      <c r="AC2113" s="2"/>
      <c r="AE2113" s="1"/>
      <c r="AG2113" s="2"/>
    </row>
    <row r="2114" spans="12:33" ht="49.95" customHeight="1" x14ac:dyDescent="0.3">
      <c r="L2114" s="2"/>
      <c r="M2114" s="2"/>
      <c r="N2114" s="2">
        <v>8512</v>
      </c>
      <c r="O2114" s="375" t="s">
        <v>4779</v>
      </c>
      <c r="P2114" s="378" t="s">
        <v>5332</v>
      </c>
      <c r="Q2114" s="374" t="s">
        <v>2755</v>
      </c>
      <c r="R2114" s="2" t="str">
        <f>VLOOKUP(SALIDAS111518[[#This Row],[CÓDIGO]],PRODUCTOS31316[],2,FALSE)</f>
        <v>MSLDO05</v>
      </c>
      <c r="S2114" s="1" t="str">
        <f>VLOOKUP(SALIDAS111518[[#This Row],[CÓDIGO]],PRODUCTOS31316[],3,FALSE)</f>
        <v>TERMO DE RECOLECCIÓN DE SEMEN/ USO VETERINARIO</v>
      </c>
      <c r="T2114" s="2">
        <v>1</v>
      </c>
      <c r="U2114" s="2"/>
      <c r="V2114" s="2"/>
      <c r="W2114" s="2"/>
      <c r="X2114" s="2"/>
      <c r="Y2114" s="7"/>
      <c r="Z2114" s="2"/>
      <c r="AA2114" s="1"/>
      <c r="AC2114" s="2"/>
      <c r="AE2114" s="1"/>
      <c r="AG2114" s="2"/>
    </row>
    <row r="2115" spans="12:33" ht="49.95" customHeight="1" x14ac:dyDescent="0.3">
      <c r="L2115" s="374" t="s">
        <v>3521</v>
      </c>
      <c r="M2115" s="374" t="s">
        <v>5213</v>
      </c>
      <c r="N2115" s="374" t="s">
        <v>5341</v>
      </c>
      <c r="O2115" s="374" t="s">
        <v>5340</v>
      </c>
      <c r="P2115" s="378" t="s">
        <v>5332</v>
      </c>
      <c r="Q2115" s="374" t="s">
        <v>648</v>
      </c>
      <c r="R2115" s="2" t="str">
        <f>VLOOKUP(SALIDAS111518[[#This Row],[CÓDIGO]],PRODUCTOS31316[],2,FALSE)</f>
        <v>S5</v>
      </c>
      <c r="S2115" s="1" t="str">
        <f>VLOOKUP(SALIDAS111518[[#This Row],[CÓDIGO]],PRODUCTOS31316[],3,FALSE)</f>
        <v>SONDA S5 UNIDAD PRINCIPAL CON SONDA LINEAL RECTAL</v>
      </c>
      <c r="T2115" s="2">
        <v>1</v>
      </c>
      <c r="U2115" s="2">
        <v>942</v>
      </c>
      <c r="V2115" s="2"/>
      <c r="W2115" s="374" t="s">
        <v>3412</v>
      </c>
      <c r="X2115" s="2"/>
      <c r="Y2115" s="7"/>
      <c r="Z2115" s="2"/>
      <c r="AA2115" s="1"/>
      <c r="AC2115" s="2"/>
      <c r="AE2115" s="1"/>
      <c r="AG2115" s="2"/>
    </row>
    <row r="2116" spans="12:33" ht="49.95" customHeight="1" x14ac:dyDescent="0.3">
      <c r="L2116" s="2"/>
      <c r="M2116" s="2"/>
      <c r="N2116" s="2">
        <v>8519</v>
      </c>
      <c r="O2116" s="374" t="s">
        <v>5340</v>
      </c>
      <c r="P2116" s="378" t="s">
        <v>5332</v>
      </c>
      <c r="Q2116" s="374" t="s">
        <v>5114</v>
      </c>
      <c r="R2116" s="2">
        <f>VLOOKUP(SALIDAS111518[[#This Row],[CÓDIGO]],PRODUCTOS31316[],2,FALSE)</f>
        <v>0</v>
      </c>
      <c r="S2116" s="1" t="str">
        <f>VLOOKUP(SALIDAS111518[[#This Row],[CÓDIGO]],PRODUCTOS31316[],3,FALSE)</f>
        <v>TABLET SANSUNG GALAXY TAB A11+ MARCA: SANSUNG COLOR SEGUN DISPONIBILIDAD</v>
      </c>
      <c r="T2116" s="2">
        <v>2</v>
      </c>
      <c r="U2116" s="2"/>
      <c r="V2116" s="2"/>
      <c r="W2116" s="2"/>
      <c r="X2116" s="104"/>
      <c r="Y2116" s="7"/>
      <c r="Z2116" s="2"/>
      <c r="AA2116" s="1"/>
      <c r="AC2116" s="2"/>
      <c r="AE2116" s="1"/>
      <c r="AG2116" s="2"/>
    </row>
    <row r="2117" spans="12:33" ht="49.95" customHeight="1" x14ac:dyDescent="0.3">
      <c r="L2117" s="2"/>
      <c r="M2117" s="2"/>
      <c r="N2117" s="2">
        <v>8519</v>
      </c>
      <c r="O2117" s="374" t="s">
        <v>5340</v>
      </c>
      <c r="P2117" s="378" t="s">
        <v>5332</v>
      </c>
      <c r="Q2117" s="374" t="s">
        <v>3286</v>
      </c>
      <c r="R2117" s="2">
        <f>VLOOKUP(SALIDAS111518[[#This Row],[CÓDIGO]],PRODUCTOS31316[],2,FALSE)</f>
        <v>0</v>
      </c>
      <c r="S2117" s="1" t="str">
        <f>VLOOKUP(SALIDAS111518[[#This Row],[CÓDIGO]],PRODUCTOS31316[],3,FALSE)</f>
        <v>CARCASA TABLET BMV</v>
      </c>
      <c r="T2117" s="2">
        <v>2</v>
      </c>
      <c r="U2117" s="2"/>
      <c r="V2117" s="2"/>
      <c r="W2117" s="2"/>
      <c r="X2117" s="2"/>
      <c r="Y2117" s="7"/>
      <c r="Z2117" s="2"/>
      <c r="AA2117" s="1"/>
      <c r="AC2117" s="2"/>
      <c r="AE2117" s="1"/>
      <c r="AG2117" s="2"/>
    </row>
    <row r="2118" spans="12:33" ht="49.95" customHeight="1" x14ac:dyDescent="0.3">
      <c r="L2118" s="2"/>
      <c r="M2118" s="2"/>
      <c r="N2118" s="2">
        <v>8519</v>
      </c>
      <c r="O2118" s="374" t="s">
        <v>5340</v>
      </c>
      <c r="P2118" s="378" t="s">
        <v>5332</v>
      </c>
      <c r="Q2118" s="374" t="s">
        <v>3211</v>
      </c>
      <c r="R2118" s="2" t="str">
        <f>VLOOKUP(SALIDAS111518[[#This Row],[CÓDIGO]],PRODUCTOS31316[],2,FALSE)</f>
        <v>S7</v>
      </c>
      <c r="S2118" s="1" t="str">
        <f>VLOOKUP(SALIDAS111518[[#This Row],[CÓDIGO]],PRODUCTOS31316[],3,FALSE)</f>
        <v>SONDA S7 PLUS DOPPLER COLOR</v>
      </c>
      <c r="T2118" s="2">
        <v>1</v>
      </c>
      <c r="U2118" s="2"/>
      <c r="V2118" s="2"/>
      <c r="W2118" s="2"/>
      <c r="X2118" s="2"/>
      <c r="Y2118" s="7"/>
      <c r="Z2118" s="2"/>
      <c r="AA2118" s="1"/>
      <c r="AC2118" s="2"/>
      <c r="AE2118" s="1"/>
      <c r="AG2118" s="2"/>
    </row>
    <row r="2119" spans="12:33" ht="49.95" customHeight="1" x14ac:dyDescent="0.3">
      <c r="L2119" s="2"/>
      <c r="M2119" s="2"/>
      <c r="N2119" s="2">
        <v>8519</v>
      </c>
      <c r="O2119" s="374" t="s">
        <v>5340</v>
      </c>
      <c r="P2119" s="378" t="s">
        <v>5332</v>
      </c>
      <c r="Q2119" s="374" t="s">
        <v>3213</v>
      </c>
      <c r="R2119" s="2" t="str">
        <f>VLOOKUP(SALIDAS111518[[#This Row],[CÓDIGO]],PRODUCTOS31316[],2,FALSE)</f>
        <v>SONDA S7</v>
      </c>
      <c r="S2119" s="1" t="str">
        <f>VLOOKUP(SALIDAS111518[[#This Row],[CÓDIGO]],PRODUCTOS31316[],3,FALSE)</f>
        <v>SONDA ADICIONAL S7 PLUS</v>
      </c>
      <c r="T2119" s="2">
        <v>1</v>
      </c>
      <c r="U2119" s="2"/>
      <c r="V2119" s="2"/>
      <c r="W2119" s="2"/>
      <c r="X2119" s="2"/>
      <c r="Y2119" s="7"/>
      <c r="Z2119" s="2"/>
      <c r="AA2119" s="1"/>
      <c r="AC2119" s="2"/>
      <c r="AE2119" s="1"/>
      <c r="AG2119" s="2"/>
    </row>
    <row r="2120" spans="12:33" ht="49.95" customHeight="1" x14ac:dyDescent="0.3">
      <c r="L2120" s="2"/>
      <c r="M2120" s="2"/>
      <c r="N2120" s="2">
        <v>8519</v>
      </c>
      <c r="O2120" s="374" t="s">
        <v>5340</v>
      </c>
      <c r="P2120" s="378" t="s">
        <v>5332</v>
      </c>
      <c r="Q2120" s="374" t="s">
        <v>3095</v>
      </c>
      <c r="R2120" s="2">
        <f>VLOOKUP(SALIDAS111518[[#This Row],[CÓDIGO]],PRODUCTOS31316[],2,FALSE)</f>
        <v>0</v>
      </c>
      <c r="S2120" s="1" t="str">
        <f>VLOOKUP(SALIDAS111518[[#This Row],[CÓDIGO]],PRODUCTOS31316[],3,FALSE)</f>
        <v>GORRA MAS CAMPO</v>
      </c>
      <c r="T2120" s="2">
        <v>1</v>
      </c>
      <c r="U2120" s="2"/>
      <c r="V2120" s="2"/>
      <c r="W2120" s="2"/>
      <c r="X2120" s="2"/>
      <c r="Y2120" s="7"/>
      <c r="Z2120" s="2"/>
      <c r="AA2120" s="1"/>
      <c r="AC2120" s="2"/>
      <c r="AE2120" s="1"/>
      <c r="AG2120" s="2"/>
    </row>
    <row r="2121" spans="12:33" ht="49.95" customHeight="1" x14ac:dyDescent="0.3">
      <c r="L2121" s="374" t="s">
        <v>3520</v>
      </c>
      <c r="M2121" s="374" t="s">
        <v>5213</v>
      </c>
      <c r="N2121" s="374" t="s">
        <v>5339</v>
      </c>
      <c r="O2121" s="374" t="s">
        <v>3380</v>
      </c>
      <c r="P2121" s="378" t="s">
        <v>5332</v>
      </c>
      <c r="Q2121" s="374" t="s">
        <v>3202</v>
      </c>
      <c r="R2121" s="2">
        <f>VLOOKUP(SALIDAS111518[[#This Row],[CÓDIGO]],PRODUCTOS31316[],2,FALSE)</f>
        <v>0</v>
      </c>
      <c r="S2121" s="1" t="str">
        <f>VLOOKUP(SALIDAS111518[[#This Row],[CÓDIGO]],PRODUCTOS31316[],3,FALSE)</f>
        <v>CABLE REPUESTO ECOGRAFO S5</v>
      </c>
      <c r="T2121" s="2">
        <v>1</v>
      </c>
      <c r="U2121" s="2">
        <v>943</v>
      </c>
      <c r="V2121" s="2"/>
      <c r="W2121" s="2"/>
      <c r="X2121" s="2"/>
      <c r="Y2121" s="7"/>
      <c r="Z2121" s="2"/>
      <c r="AA2121" s="1"/>
      <c r="AC2121" s="2"/>
      <c r="AE2121" s="1"/>
      <c r="AG2121" s="2"/>
    </row>
    <row r="2122" spans="12:33" ht="49.95" customHeight="1" x14ac:dyDescent="0.3">
      <c r="L2122" s="374" t="s">
        <v>3521</v>
      </c>
      <c r="M2122" s="374" t="s">
        <v>5213</v>
      </c>
      <c r="N2122" s="374" t="s">
        <v>5338</v>
      </c>
      <c r="O2122" s="374" t="s">
        <v>4249</v>
      </c>
      <c r="P2122" s="378" t="s">
        <v>5332</v>
      </c>
      <c r="Q2122" s="374" t="s">
        <v>2755</v>
      </c>
      <c r="R2122" s="2" t="str">
        <f>VLOOKUP(SALIDAS111518[[#This Row],[CÓDIGO]],PRODUCTOS31316[],2,FALSE)</f>
        <v>MSLDO05</v>
      </c>
      <c r="S2122" s="1" t="str">
        <f>VLOOKUP(SALIDAS111518[[#This Row],[CÓDIGO]],PRODUCTOS31316[],3,FALSE)</f>
        <v>TERMO DE RECOLECCIÓN DE SEMEN/ USO VETERINARIO</v>
      </c>
      <c r="T2122" s="2">
        <v>1</v>
      </c>
      <c r="U2122" s="2">
        <v>944</v>
      </c>
      <c r="V2122" s="2"/>
      <c r="W2122" s="374" t="s">
        <v>2823</v>
      </c>
      <c r="X2122" s="2"/>
      <c r="Y2122" s="7"/>
      <c r="Z2122" s="2"/>
      <c r="AA2122" s="1"/>
      <c r="AC2122" s="2"/>
      <c r="AE2122" s="1"/>
      <c r="AG2122" s="2"/>
    </row>
    <row r="2123" spans="12:33" ht="49.95" customHeight="1" x14ac:dyDescent="0.3">
      <c r="L2123" s="374" t="s">
        <v>3520</v>
      </c>
      <c r="M2123" s="374" t="s">
        <v>5213</v>
      </c>
      <c r="N2123" s="374" t="s">
        <v>5337</v>
      </c>
      <c r="O2123" s="374" t="s">
        <v>2429</v>
      </c>
      <c r="P2123" s="378" t="s">
        <v>5332</v>
      </c>
      <c r="Q2123" s="374" t="s">
        <v>2755</v>
      </c>
      <c r="R2123" s="2" t="str">
        <f>VLOOKUP(SALIDAS111518[[#This Row],[CÓDIGO]],PRODUCTOS31316[],2,FALSE)</f>
        <v>MSLDO05</v>
      </c>
      <c r="S2123" s="1" t="str">
        <f>VLOOKUP(SALIDAS111518[[#This Row],[CÓDIGO]],PRODUCTOS31316[],3,FALSE)</f>
        <v>TERMO DE RECOLECCIÓN DE SEMEN/ USO VETERINARIO</v>
      </c>
      <c r="T2123" s="2">
        <v>1</v>
      </c>
      <c r="U2123" s="2">
        <v>945</v>
      </c>
      <c r="V2123" s="2"/>
      <c r="W2123" s="2"/>
      <c r="X2123" s="2"/>
      <c r="Y2123" s="7"/>
      <c r="Z2123" s="2"/>
      <c r="AA2123" s="1"/>
      <c r="AC2123" s="2"/>
      <c r="AE2123" s="1"/>
      <c r="AG2123" s="2"/>
    </row>
    <row r="2124" spans="12:33" ht="49.95" customHeight="1" x14ac:dyDescent="0.3">
      <c r="L2124" s="374" t="s">
        <v>3520</v>
      </c>
      <c r="M2124" s="374" t="s">
        <v>5213</v>
      </c>
      <c r="N2124" s="374" t="s">
        <v>5336</v>
      </c>
      <c r="O2124" s="374" t="s">
        <v>2215</v>
      </c>
      <c r="P2124" s="378" t="s">
        <v>5332</v>
      </c>
      <c r="Q2124" s="374" t="s">
        <v>63</v>
      </c>
      <c r="R2124" s="2">
        <f>VLOOKUP(SALIDAS111518[[#This Row],[CÓDIGO]],PRODUCTOS31316[],2,FALSE)</f>
        <v>25458</v>
      </c>
      <c r="S2124" s="1" t="str">
        <f>VLOOKUP(SALIDAS111518[[#This Row],[CÓDIGO]],PRODUCTOS31316[],3,FALSE)</f>
        <v>FILTROS PARA OPU 100 UL</v>
      </c>
      <c r="T2124" s="2">
        <v>1</v>
      </c>
      <c r="U2124" s="2">
        <v>946</v>
      </c>
      <c r="V2124" s="2"/>
      <c r="W2124" s="2"/>
      <c r="X2124" s="2"/>
      <c r="Y2124" s="7"/>
      <c r="Z2124" s="2"/>
      <c r="AA2124" s="1"/>
      <c r="AC2124" s="2"/>
      <c r="AE2124" s="1"/>
      <c r="AG2124" s="2"/>
    </row>
    <row r="2125" spans="12:33" ht="49.95" customHeight="1" x14ac:dyDescent="0.3">
      <c r="L2125" s="374" t="s">
        <v>3520</v>
      </c>
      <c r="M2125" s="374" t="s">
        <v>5213</v>
      </c>
      <c r="N2125" s="374" t="s">
        <v>5335</v>
      </c>
      <c r="O2125" s="374" t="s">
        <v>5334</v>
      </c>
      <c r="P2125" s="378" t="s">
        <v>5332</v>
      </c>
      <c r="Q2125" s="374" t="s">
        <v>104</v>
      </c>
      <c r="R2125" s="2">
        <f>VLOOKUP(SALIDAS111518[[#This Row],[CÓDIGO]],PRODUCTOS31316[],2,FALSE)</f>
        <v>0</v>
      </c>
      <c r="S2125" s="1" t="str">
        <f>VLOOKUP(SALIDAS111518[[#This Row],[CÓDIGO]],PRODUCTOS31316[],3,FALSE)</f>
        <v>ISPERM CHIPS (500 TESTS PER BOX) PAQ. X 50 UND</v>
      </c>
      <c r="T2125" s="2">
        <v>1</v>
      </c>
      <c r="U2125" s="2">
        <v>947</v>
      </c>
      <c r="V2125" s="2"/>
      <c r="W2125" s="2"/>
      <c r="X2125" s="2"/>
      <c r="Y2125" s="7"/>
      <c r="Z2125" s="2"/>
      <c r="AA2125" s="1"/>
      <c r="AC2125" s="2"/>
      <c r="AE2125" s="1"/>
      <c r="AG2125" s="2"/>
    </row>
    <row r="2126" spans="12:33" ht="49.95" customHeight="1" x14ac:dyDescent="0.3">
      <c r="L2126" s="374" t="s">
        <v>3520</v>
      </c>
      <c r="M2126" s="374" t="s">
        <v>5213</v>
      </c>
      <c r="N2126" s="15">
        <v>15379</v>
      </c>
      <c r="O2126" s="374" t="s">
        <v>5334</v>
      </c>
      <c r="P2126" s="378" t="s">
        <v>5332</v>
      </c>
      <c r="Q2126" s="374" t="s">
        <v>648</v>
      </c>
      <c r="R2126" s="2" t="str">
        <f>VLOOKUP(SALIDAS111518[[#This Row],[CÓDIGO]],PRODUCTOS31316[],2,FALSE)</f>
        <v>S5</v>
      </c>
      <c r="S2126" s="1" t="str">
        <f>VLOOKUP(SALIDAS111518[[#This Row],[CÓDIGO]],PRODUCTOS31316[],3,FALSE)</f>
        <v>SONDA S5 UNIDAD PRINCIPAL CON SONDA LINEAL RECTAL</v>
      </c>
      <c r="T2126" s="2">
        <v>1</v>
      </c>
      <c r="U2126" s="2">
        <v>949</v>
      </c>
      <c r="V2126" s="2"/>
      <c r="W2126" s="2"/>
      <c r="X2126" s="2"/>
      <c r="Y2126" s="7"/>
      <c r="Z2126" s="2"/>
      <c r="AA2126" s="1"/>
      <c r="AC2126" s="2"/>
      <c r="AE2126" s="1"/>
      <c r="AG2126" s="2"/>
    </row>
    <row r="2127" spans="12:33" ht="49.95" customHeight="1" x14ac:dyDescent="0.3">
      <c r="L2127" s="2"/>
      <c r="M2127" s="2"/>
      <c r="N2127" s="2"/>
      <c r="O2127" s="374" t="s">
        <v>5334</v>
      </c>
      <c r="P2127" s="378" t="s">
        <v>5332</v>
      </c>
      <c r="Q2127" s="374" t="s">
        <v>5114</v>
      </c>
      <c r="R2127" s="2">
        <f>VLOOKUP(SALIDAS111518[[#This Row],[CÓDIGO]],PRODUCTOS31316[],2,FALSE)</f>
        <v>0</v>
      </c>
      <c r="S2127" s="1" t="str">
        <f>VLOOKUP(SALIDAS111518[[#This Row],[CÓDIGO]],PRODUCTOS31316[],3,FALSE)</f>
        <v>TABLET SANSUNG GALAXY TAB A11+ MARCA: SANSUNG COLOR SEGUN DISPONIBILIDAD</v>
      </c>
      <c r="T2127" s="2">
        <v>1</v>
      </c>
      <c r="U2127" s="2"/>
      <c r="V2127" s="2"/>
      <c r="W2127" s="2"/>
      <c r="X2127" s="2"/>
      <c r="Y2127" s="7"/>
      <c r="Z2127" s="2"/>
      <c r="AA2127" s="1"/>
      <c r="AC2127" s="2"/>
      <c r="AE2127" s="1"/>
      <c r="AG2127" s="2"/>
    </row>
    <row r="2128" spans="12:33" ht="49.95" customHeight="1" x14ac:dyDescent="0.3">
      <c r="L2128" s="2"/>
      <c r="M2128" s="2"/>
      <c r="N2128" s="2"/>
      <c r="O2128" s="374" t="s">
        <v>5334</v>
      </c>
      <c r="P2128" s="378" t="s">
        <v>5332</v>
      </c>
      <c r="Q2128" s="374" t="s">
        <v>3286</v>
      </c>
      <c r="R2128" s="2">
        <f>VLOOKUP(SALIDAS111518[[#This Row],[CÓDIGO]],PRODUCTOS31316[],2,FALSE)</f>
        <v>0</v>
      </c>
      <c r="S2128" s="1" t="str">
        <f>VLOOKUP(SALIDAS111518[[#This Row],[CÓDIGO]],PRODUCTOS31316[],3,FALSE)</f>
        <v>CARCASA TABLET BMV</v>
      </c>
      <c r="T2128" s="2">
        <v>1</v>
      </c>
      <c r="U2128" s="2"/>
      <c r="V2128" s="2"/>
      <c r="W2128" s="2"/>
      <c r="X2128" s="2"/>
      <c r="Y2128" s="7"/>
      <c r="Z2128" s="2"/>
      <c r="AA2128" s="1"/>
      <c r="AC2128" s="2"/>
      <c r="AE2128" s="1"/>
      <c r="AG2128" s="2"/>
    </row>
    <row r="2129" spans="12:33" ht="49.95" customHeight="1" x14ac:dyDescent="0.3">
      <c r="L2129" s="2"/>
      <c r="M2129" s="2"/>
      <c r="N2129" s="2"/>
      <c r="O2129" s="374" t="s">
        <v>5334</v>
      </c>
      <c r="P2129" s="378" t="s">
        <v>5332</v>
      </c>
      <c r="Q2129" s="374" t="s">
        <v>3095</v>
      </c>
      <c r="R2129" s="2">
        <f>VLOOKUP(SALIDAS111518[[#This Row],[CÓDIGO]],PRODUCTOS31316[],2,FALSE)</f>
        <v>0</v>
      </c>
      <c r="S2129" s="1" t="str">
        <f>VLOOKUP(SALIDAS111518[[#This Row],[CÓDIGO]],PRODUCTOS31316[],3,FALSE)</f>
        <v>GORRA MAS CAMPO</v>
      </c>
      <c r="T2129" s="2">
        <v>1</v>
      </c>
      <c r="U2129" s="2"/>
      <c r="V2129" s="2"/>
      <c r="W2129" s="2"/>
      <c r="X2129" s="2"/>
      <c r="Y2129" s="7"/>
      <c r="Z2129" s="2"/>
      <c r="AA2129" s="1"/>
      <c r="AC2129" s="2"/>
      <c r="AE2129" s="1"/>
      <c r="AG2129" s="2"/>
    </row>
    <row r="2130" spans="12:33" ht="49.95" customHeight="1" x14ac:dyDescent="0.3">
      <c r="L2130" s="2"/>
      <c r="M2130" s="374" t="s">
        <v>5213</v>
      </c>
      <c r="N2130" s="374" t="s">
        <v>2203</v>
      </c>
      <c r="O2130" s="374" t="s">
        <v>2372</v>
      </c>
      <c r="P2130" s="378" t="s">
        <v>5332</v>
      </c>
      <c r="Q2130" s="374" t="s">
        <v>4653</v>
      </c>
      <c r="R2130" s="2">
        <f>VLOOKUP(SALIDAS111518[[#This Row],[CÓDIGO]],PRODUCTOS31316[],2,FALSE)</f>
        <v>38210000</v>
      </c>
      <c r="S2130" s="1" t="str">
        <f>VLOOKUP(SALIDAS111518[[#This Row],[CÓDIGO]],PRODUCTOS31316[],3,FALSE)</f>
        <v>DILUYENTE DE SEMEN PORCINO ELIXIR 1 LITRO</v>
      </c>
      <c r="T2130" s="2">
        <v>10</v>
      </c>
      <c r="U2130" s="2">
        <v>950</v>
      </c>
      <c r="V2130" s="2"/>
      <c r="W2130" s="2"/>
      <c r="X2130" s="2"/>
      <c r="Y2130" s="7"/>
      <c r="Z2130" s="2"/>
      <c r="AA2130" s="1"/>
      <c r="AC2130" s="2"/>
      <c r="AE2130" s="1"/>
      <c r="AG2130" s="2"/>
    </row>
    <row r="2131" spans="12:33" ht="49.95" customHeight="1" x14ac:dyDescent="0.3">
      <c r="L2131" s="374" t="s">
        <v>3520</v>
      </c>
      <c r="M2131" s="374" t="s">
        <v>5213</v>
      </c>
      <c r="N2131" s="374" t="s">
        <v>5333</v>
      </c>
      <c r="O2131" s="375" t="s">
        <v>2715</v>
      </c>
      <c r="P2131" s="378" t="s">
        <v>5332</v>
      </c>
      <c r="Q2131" s="374" t="s">
        <v>104</v>
      </c>
      <c r="R2131" s="2">
        <f>VLOOKUP(SALIDAS111518[[#This Row],[CÓDIGO]],PRODUCTOS31316[],2,FALSE)</f>
        <v>0</v>
      </c>
      <c r="S2131" s="1" t="str">
        <f>VLOOKUP(SALIDAS111518[[#This Row],[CÓDIGO]],PRODUCTOS31316[],3,FALSE)</f>
        <v>ISPERM CHIPS (500 TESTS PER BOX) PAQ. X 50 UND</v>
      </c>
      <c r="T2131" s="2">
        <v>1</v>
      </c>
      <c r="U2131" s="2">
        <v>951</v>
      </c>
      <c r="V2131" s="2"/>
      <c r="W2131" s="2"/>
      <c r="X2131" s="2"/>
      <c r="Y2131" s="7"/>
      <c r="Z2131" s="2"/>
      <c r="AA2131" s="1"/>
      <c r="AC2131" s="2"/>
      <c r="AE2131" s="1"/>
      <c r="AG2131" s="2"/>
    </row>
    <row r="2132" spans="12:33" ht="49.95" customHeight="1" x14ac:dyDescent="0.3">
      <c r="L2132" s="374" t="s">
        <v>3521</v>
      </c>
      <c r="M2132" s="374" t="s">
        <v>5213</v>
      </c>
      <c r="N2132" s="374" t="s">
        <v>5331</v>
      </c>
      <c r="O2132" s="374" t="s">
        <v>2719</v>
      </c>
      <c r="P2132" s="16">
        <v>46182</v>
      </c>
      <c r="Q2132" s="374" t="s">
        <v>438</v>
      </c>
      <c r="R2132" s="2">
        <f>VLOOKUP(SALIDAS111518[[#This Row],[CÓDIGO]],PRODUCTOS31316[],2,FALSE)</f>
        <v>18421</v>
      </c>
      <c r="S2132" s="1" t="str">
        <f>VLOOKUP(SALIDAS111518[[#This Row],[CÓDIGO]],PRODUCTOS31316[],3,FALSE)</f>
        <v xml:space="preserve">PISTOLA DE TRANSFERENCIA DE EMBRIONES 0,25 / BLOQUEO AUTOMÁTICO </v>
      </c>
      <c r="T2132" s="2">
        <v>2</v>
      </c>
      <c r="U2132" s="2">
        <v>952</v>
      </c>
      <c r="V2132" s="2"/>
      <c r="W2132" s="374" t="s">
        <v>2823</v>
      </c>
      <c r="X2132" s="2"/>
      <c r="Y2132" s="7"/>
      <c r="Z2132" s="2"/>
      <c r="AA2132" s="1"/>
      <c r="AC2132" s="2"/>
      <c r="AE2132" s="1"/>
      <c r="AG2132" s="2"/>
    </row>
    <row r="2133" spans="12:33" ht="49.95" customHeight="1" x14ac:dyDescent="0.3">
      <c r="L2133" s="374" t="s">
        <v>3521</v>
      </c>
      <c r="M2133" s="374" t="s">
        <v>5213</v>
      </c>
      <c r="N2133" s="374" t="s">
        <v>5330</v>
      </c>
      <c r="O2133" s="374" t="s">
        <v>5329</v>
      </c>
      <c r="P2133" s="16">
        <v>46182</v>
      </c>
      <c r="Q2133" s="374" t="s">
        <v>2755</v>
      </c>
      <c r="R2133" s="2" t="str">
        <f>VLOOKUP(SALIDAS111518[[#This Row],[CÓDIGO]],PRODUCTOS31316[],2,FALSE)</f>
        <v>MSLDO05</v>
      </c>
      <c r="S2133" s="1" t="str">
        <f>VLOOKUP(SALIDAS111518[[#This Row],[CÓDIGO]],PRODUCTOS31316[],3,FALSE)</f>
        <v>TERMO DE RECOLECCIÓN DE SEMEN/ USO VETERINARIO</v>
      </c>
      <c r="T2133" s="2">
        <v>1</v>
      </c>
      <c r="U2133" s="2">
        <v>953</v>
      </c>
      <c r="V2133" s="2"/>
      <c r="W2133" s="374" t="s">
        <v>3412</v>
      </c>
      <c r="X2133" s="2"/>
      <c r="Y2133" s="7"/>
      <c r="Z2133" s="2"/>
      <c r="AA2133" s="1"/>
      <c r="AC2133" s="2"/>
      <c r="AE2133" s="1"/>
      <c r="AG2133" s="2"/>
    </row>
    <row r="2134" spans="12:33" ht="49.95" customHeight="1" x14ac:dyDescent="0.3">
      <c r="L2134" s="374" t="s">
        <v>3520</v>
      </c>
      <c r="M2134" s="374" t="s">
        <v>5213</v>
      </c>
      <c r="N2134" s="374" t="s">
        <v>5328</v>
      </c>
      <c r="O2134" s="375" t="s">
        <v>2705</v>
      </c>
      <c r="P2134" s="16">
        <v>46182</v>
      </c>
      <c r="Q2134" s="374" t="s">
        <v>210</v>
      </c>
      <c r="R2134" s="2">
        <f>VLOOKUP(SALIDAS111518[[#This Row],[CÓDIGO]],PRODUCTOS31316[],2,FALSE)</f>
        <v>101257</v>
      </c>
      <c r="S2134" s="1" t="str">
        <f>VLOOKUP(SALIDAS111518[[#This Row],[CÓDIGO]],PRODUCTOS31316[],3,FALSE)</f>
        <v>MANGA DESECHABLE SUPER SENSITIVA</v>
      </c>
      <c r="T2134" s="2">
        <v>6</v>
      </c>
      <c r="U2134" s="374" t="s">
        <v>5327</v>
      </c>
      <c r="V2134" s="2"/>
      <c r="W2134" s="2"/>
      <c r="X2134" s="2"/>
      <c r="Y2134" s="7"/>
      <c r="Z2134" s="2"/>
      <c r="AA2134" s="1"/>
      <c r="AC2134" s="2"/>
      <c r="AE2134" s="1"/>
      <c r="AG2134" s="2"/>
    </row>
    <row r="2135" spans="12:33" ht="49.95" customHeight="1" x14ac:dyDescent="0.3">
      <c r="L2135" s="374" t="s">
        <v>3520</v>
      </c>
      <c r="M2135" s="374" t="s">
        <v>5213</v>
      </c>
      <c r="N2135" s="374" t="s">
        <v>5326</v>
      </c>
      <c r="O2135" s="375" t="s">
        <v>3074</v>
      </c>
      <c r="P2135" s="16">
        <v>46182</v>
      </c>
      <c r="Q2135" s="374" t="s">
        <v>4653</v>
      </c>
      <c r="R2135" s="2">
        <f>VLOOKUP(SALIDAS111518[[#This Row],[CÓDIGO]],PRODUCTOS31316[],2,FALSE)</f>
        <v>38210000</v>
      </c>
      <c r="S2135" s="1" t="str">
        <f>VLOOKUP(SALIDAS111518[[#This Row],[CÓDIGO]],PRODUCTOS31316[],3,FALSE)</f>
        <v>DILUYENTE DE SEMEN PORCINO ELIXIR 1 LITRO</v>
      </c>
      <c r="T2135" s="2">
        <v>20</v>
      </c>
      <c r="U2135" s="2">
        <v>955</v>
      </c>
      <c r="V2135" s="2"/>
      <c r="W2135" s="2"/>
      <c r="X2135" s="105"/>
      <c r="Y2135" s="7"/>
      <c r="Z2135" s="2"/>
      <c r="AA2135" s="1"/>
      <c r="AC2135" s="2"/>
      <c r="AE2135" s="1"/>
      <c r="AG2135" s="2"/>
    </row>
    <row r="2136" spans="12:33" ht="49.95" customHeight="1" x14ac:dyDescent="0.3">
      <c r="L2136" s="374" t="s">
        <v>3520</v>
      </c>
      <c r="M2136" s="374" t="s">
        <v>5213</v>
      </c>
      <c r="N2136" s="374" t="s">
        <v>5325</v>
      </c>
      <c r="O2136" s="380" t="s">
        <v>3789</v>
      </c>
      <c r="P2136" s="16">
        <v>46182</v>
      </c>
      <c r="Q2136" s="374" t="s">
        <v>2387</v>
      </c>
      <c r="R2136" s="2" t="str">
        <f>VLOOKUP(SALIDAS111518[[#This Row],[CÓDIGO]],PRODUCTOS31316[],2,FALSE)</f>
        <v>25-60U</v>
      </c>
      <c r="S2136" s="1" t="str">
        <f>VLOOKUP(SALIDAS111518[[#This Row],[CÓDIGO]],PRODUCTOS31316[],3,FALSE)</f>
        <v>TROBE VERTICAL DE 60MM PARA ELECTRO PULSATOR</v>
      </c>
      <c r="T2136" s="2">
        <v>1</v>
      </c>
      <c r="U2136" s="2">
        <v>956</v>
      </c>
      <c r="V2136" s="2"/>
      <c r="W2136" s="2"/>
      <c r="X2136" s="104"/>
      <c r="Y2136" s="7"/>
      <c r="Z2136" s="2"/>
      <c r="AA2136" s="1"/>
      <c r="AC2136" s="2"/>
      <c r="AE2136" s="1"/>
      <c r="AG2136" s="2"/>
    </row>
    <row r="2137" spans="12:33" ht="49.95" customHeight="1" x14ac:dyDescent="0.3">
      <c r="L2137" s="374" t="s">
        <v>3520</v>
      </c>
      <c r="M2137" s="374" t="s">
        <v>5213</v>
      </c>
      <c r="N2137" s="374" t="s">
        <v>5324</v>
      </c>
      <c r="O2137" s="374" t="s">
        <v>3049</v>
      </c>
      <c r="P2137" s="16">
        <v>46182</v>
      </c>
      <c r="Q2137" s="374" t="s">
        <v>2755</v>
      </c>
      <c r="R2137" s="2" t="str">
        <f>VLOOKUP(SALIDAS111518[[#This Row],[CÓDIGO]],PRODUCTOS31316[],2,FALSE)</f>
        <v>MSLDO05</v>
      </c>
      <c r="S2137" s="1" t="str">
        <f>VLOOKUP(SALIDAS111518[[#This Row],[CÓDIGO]],PRODUCTOS31316[],3,FALSE)</f>
        <v>TERMO DE RECOLECCIÓN DE SEMEN/ USO VETERINARIO</v>
      </c>
      <c r="T2137" s="2">
        <v>1</v>
      </c>
      <c r="U2137" s="2">
        <v>957</v>
      </c>
      <c r="V2137" s="2"/>
      <c r="W2137" s="2"/>
      <c r="X2137" s="104"/>
      <c r="Y2137" s="7"/>
      <c r="Z2137" s="2"/>
      <c r="AA2137" s="1"/>
      <c r="AC2137" s="2"/>
      <c r="AE2137" s="1"/>
      <c r="AG2137" s="2"/>
    </row>
    <row r="2138" spans="12:33" ht="49.95" customHeight="1" x14ac:dyDescent="0.3">
      <c r="L2138" s="2"/>
      <c r="M2138" s="2"/>
      <c r="N2138" s="2">
        <v>8529</v>
      </c>
      <c r="O2138" s="374" t="s">
        <v>3049</v>
      </c>
      <c r="P2138" s="16">
        <v>46182</v>
      </c>
      <c r="Q2138" s="374" t="s">
        <v>15</v>
      </c>
      <c r="R2138" s="2" t="str">
        <f>VLOOKUP(SALIDAS111518[[#This Row],[CÓDIGO]],PRODUCTOS31316[],2,FALSE)</f>
        <v>BTE-025PT/ 504002</v>
      </c>
      <c r="S2138" s="1" t="str">
        <f>VLOOKUP(SALIDAS111518[[#This Row],[CÓDIGO]],PRODUCTOS31316[],3,FALSE)</f>
        <v>FUNDAS PARA TRANSFERENCIA DE EMBRIONES</v>
      </c>
      <c r="T2138" s="2">
        <v>3</v>
      </c>
      <c r="U2138" s="2"/>
      <c r="V2138" s="2"/>
      <c r="W2138" s="2"/>
      <c r="X2138" s="2"/>
      <c r="Y2138" s="7"/>
      <c r="Z2138" s="2"/>
      <c r="AA2138" s="1"/>
      <c r="AC2138" s="2"/>
      <c r="AE2138" s="1"/>
      <c r="AG2138" s="2"/>
    </row>
    <row r="2139" spans="12:33" ht="49.95" customHeight="1" x14ac:dyDescent="0.3">
      <c r="L2139" s="374" t="s">
        <v>3520</v>
      </c>
      <c r="M2139" s="374" t="s">
        <v>5213</v>
      </c>
      <c r="N2139" s="374" t="s">
        <v>5323</v>
      </c>
      <c r="O2139" s="375" t="s">
        <v>3333</v>
      </c>
      <c r="P2139" s="16">
        <v>46182</v>
      </c>
      <c r="Q2139" s="374" t="s">
        <v>4140</v>
      </c>
      <c r="R2139" s="2">
        <f>VLOOKUP(SALIDAS111518[[#This Row],[CÓDIGO]],PRODUCTOS31316[],2,FALSE)</f>
        <v>5575</v>
      </c>
      <c r="S2139" s="1" t="str">
        <f>VLOOKUP(SALIDAS111518[[#This Row],[CÓDIGO]],PRODUCTOS31316[],3,FALSE)</f>
        <v>PAJUELA AMARILLA 0.25/ PAQUETE X 2000</v>
      </c>
      <c r="T2139" s="2">
        <v>1</v>
      </c>
      <c r="U2139" s="2">
        <v>958</v>
      </c>
      <c r="V2139" s="2"/>
      <c r="W2139" s="2"/>
      <c r="X2139" s="2"/>
      <c r="Y2139" s="7"/>
      <c r="Z2139" s="2"/>
      <c r="AA2139" s="1"/>
      <c r="AC2139" s="2"/>
      <c r="AE2139" s="1"/>
      <c r="AG2139" s="2"/>
    </row>
    <row r="2140" spans="12:33" ht="49.95" customHeight="1" x14ac:dyDescent="0.3">
      <c r="L2140" s="374" t="s">
        <v>3520</v>
      </c>
      <c r="M2140" s="374" t="s">
        <v>5213</v>
      </c>
      <c r="N2140" s="374" t="s">
        <v>5322</v>
      </c>
      <c r="O2140" s="375" t="s">
        <v>4195</v>
      </c>
      <c r="P2140" s="16">
        <v>46182</v>
      </c>
      <c r="Q2140" s="374" t="s">
        <v>2364</v>
      </c>
      <c r="R2140" s="2">
        <f>VLOOKUP(SALIDAS111518[[#This Row],[CÓDIGO]],PRODUCTOS31316[],2,FALSE)</f>
        <v>0</v>
      </c>
      <c r="S2140" s="1" t="str">
        <f>VLOOKUP(SALIDAS111518[[#This Row],[CÓDIGO]],PRODUCTOS31316[],3,FALSE)</f>
        <v>CORTAPAJILLAS WTA</v>
      </c>
      <c r="T2140" s="2">
        <v>1</v>
      </c>
      <c r="U2140" s="2">
        <v>959</v>
      </c>
      <c r="V2140" s="2"/>
      <c r="W2140" s="2"/>
      <c r="X2140" s="2"/>
      <c r="Y2140" s="7"/>
      <c r="Z2140" s="2"/>
      <c r="AA2140" s="1"/>
      <c r="AC2140" s="2"/>
      <c r="AE2140" s="1"/>
      <c r="AG2140" s="2"/>
    </row>
    <row r="2141" spans="12:33" ht="49.95" customHeight="1" x14ac:dyDescent="0.3">
      <c r="L2141" s="374" t="s">
        <v>3520</v>
      </c>
      <c r="M2141" s="374" t="s">
        <v>5213</v>
      </c>
      <c r="N2141" s="374" t="s">
        <v>5321</v>
      </c>
      <c r="O2141" s="375" t="s">
        <v>2383</v>
      </c>
      <c r="P2141" s="16">
        <v>46182</v>
      </c>
      <c r="Q2141" s="374" t="s">
        <v>104</v>
      </c>
      <c r="R2141" s="2">
        <f>VLOOKUP(SALIDAS111518[[#This Row],[CÓDIGO]],PRODUCTOS31316[],2,FALSE)</f>
        <v>0</v>
      </c>
      <c r="S2141" s="1" t="str">
        <f>VLOOKUP(SALIDAS111518[[#This Row],[CÓDIGO]],PRODUCTOS31316[],3,FALSE)</f>
        <v>ISPERM CHIPS (500 TESTS PER BOX) PAQ. X 50 UND</v>
      </c>
      <c r="T2141" s="2">
        <v>2</v>
      </c>
      <c r="U2141" s="2">
        <v>961</v>
      </c>
      <c r="V2141" s="2"/>
      <c r="W2141" s="2"/>
      <c r="X2141" s="2"/>
      <c r="Y2141" s="7"/>
      <c r="Z2141" s="2"/>
      <c r="AA2141" s="1"/>
      <c r="AC2141" s="2"/>
      <c r="AE2141" s="1"/>
      <c r="AG2141" s="2"/>
    </row>
    <row r="2142" spans="12:33" ht="49.95" customHeight="1" x14ac:dyDescent="0.3">
      <c r="L2142" s="2"/>
      <c r="M2142" s="2"/>
      <c r="N2142" s="2">
        <v>8532</v>
      </c>
      <c r="O2142" s="375" t="s">
        <v>2383</v>
      </c>
      <c r="P2142" s="16">
        <v>46182</v>
      </c>
      <c r="Q2142" s="374" t="s">
        <v>2232</v>
      </c>
      <c r="R2142" s="2">
        <f>VLOOKUP(SALIDAS111518[[#This Row],[CÓDIGO]],PRODUCTOS31316[],2,FALSE)</f>
        <v>0</v>
      </c>
      <c r="S2142" s="1" t="str">
        <f>VLOOKUP(SALIDAS111518[[#This Row],[CÓDIGO]],PRODUCTOS31316[],3,FALSE)</f>
        <v>CONO RECOLECTOR</v>
      </c>
      <c r="T2142" s="2">
        <v>1</v>
      </c>
      <c r="U2142" s="2"/>
      <c r="V2142" s="2"/>
      <c r="W2142" s="2"/>
      <c r="X2142" s="2"/>
      <c r="Y2142" s="7"/>
      <c r="Z2142" s="2"/>
      <c r="AA2142" s="1"/>
      <c r="AC2142" s="2"/>
      <c r="AE2142" s="1"/>
      <c r="AG2142" s="2"/>
    </row>
    <row r="2143" spans="12:33" ht="49.95" customHeight="1" x14ac:dyDescent="0.3">
      <c r="L2143" s="2"/>
      <c r="M2143" s="2"/>
      <c r="N2143" s="2">
        <v>8532</v>
      </c>
      <c r="O2143" s="375" t="s">
        <v>2383</v>
      </c>
      <c r="P2143" s="16">
        <v>46182</v>
      </c>
      <c r="Q2143" s="374" t="s">
        <v>881</v>
      </c>
      <c r="R2143" s="2">
        <f>VLOOKUP(SALIDAS111518[[#This Row],[CÓDIGO]],PRODUCTOS31316[],2,FALSE)</f>
        <v>1095350001</v>
      </c>
      <c r="S2143" s="1" t="str">
        <f>VLOOKUP(SALIDAS111518[[#This Row],[CÓDIGO]],PRODUCTOS31316[],3,FALSE)</f>
        <v>TIRAS INDICADORAS DEL PH PH 0 - 14 INDICADOR UNIVERSAL NO DESTIÑEN 100 STRIPS</v>
      </c>
      <c r="T2143" s="2">
        <v>1</v>
      </c>
      <c r="U2143" s="2"/>
      <c r="V2143" s="2"/>
      <c r="W2143" s="2"/>
      <c r="X2143" s="2"/>
      <c r="Y2143" s="7"/>
      <c r="Z2143" s="2"/>
      <c r="AA2143" s="1"/>
      <c r="AC2143" s="2"/>
      <c r="AE2143" s="1"/>
      <c r="AG2143" s="2"/>
    </row>
    <row r="2144" spans="12:33" ht="49.95" customHeight="1" x14ac:dyDescent="0.3">
      <c r="L2144" s="2"/>
      <c r="M2144" s="2"/>
      <c r="N2144" s="2">
        <v>8532</v>
      </c>
      <c r="O2144" s="375" t="s">
        <v>2383</v>
      </c>
      <c r="P2144" s="16">
        <v>46182</v>
      </c>
      <c r="Q2144" s="374" t="s">
        <v>658</v>
      </c>
      <c r="R2144" s="2">
        <f>VLOOKUP(SALIDAS111518[[#This Row],[CÓDIGO]],PRODUCTOS31316[],2,FALSE)</f>
        <v>0</v>
      </c>
      <c r="S2144" s="1" t="str">
        <f>VLOOKUP(SALIDAS111518[[#This Row],[CÓDIGO]],PRODUCTOS31316[],3,FALSE)</f>
        <v>CATETER TALADRO TRANSPARENTE 18"</v>
      </c>
      <c r="T2144" s="2">
        <v>3</v>
      </c>
      <c r="U2144" s="2"/>
      <c r="V2144" s="2"/>
      <c r="W2144" s="2"/>
      <c r="X2144" s="105"/>
      <c r="Y2144" s="7"/>
      <c r="Z2144" s="2"/>
      <c r="AA2144" s="1"/>
      <c r="AC2144" s="2"/>
      <c r="AE2144" s="1"/>
      <c r="AG2144" s="2"/>
    </row>
    <row r="2145" spans="12:33" ht="49.95" customHeight="1" x14ac:dyDescent="0.3">
      <c r="L2145" s="374" t="s">
        <v>3521</v>
      </c>
      <c r="M2145" s="374" t="s">
        <v>5213</v>
      </c>
      <c r="N2145" s="374" t="s">
        <v>5320</v>
      </c>
      <c r="O2145" s="375" t="s">
        <v>5319</v>
      </c>
      <c r="P2145" s="16">
        <v>46182</v>
      </c>
      <c r="Q2145" s="374" t="s">
        <v>3211</v>
      </c>
      <c r="R2145" s="2" t="str">
        <f>VLOOKUP(SALIDAS111518[[#This Row],[CÓDIGO]],PRODUCTOS31316[],2,FALSE)</f>
        <v>S7</v>
      </c>
      <c r="S2145" s="1" t="str">
        <f>VLOOKUP(SALIDAS111518[[#This Row],[CÓDIGO]],PRODUCTOS31316[],3,FALSE)</f>
        <v>SONDA S7 PLUS DOPPLER COLOR</v>
      </c>
      <c r="T2145" s="2">
        <v>1</v>
      </c>
      <c r="U2145" s="2">
        <v>962</v>
      </c>
      <c r="V2145" s="2"/>
      <c r="W2145" s="2"/>
      <c r="X2145" s="105"/>
      <c r="Y2145" s="7"/>
      <c r="Z2145" s="2"/>
      <c r="AA2145" s="1"/>
      <c r="AC2145" s="2"/>
      <c r="AE2145" s="1"/>
      <c r="AG2145" s="2"/>
    </row>
    <row r="2146" spans="12:33" ht="49.95" customHeight="1" x14ac:dyDescent="0.3">
      <c r="L2146" s="2"/>
      <c r="M2146" s="2"/>
      <c r="N2146" s="2">
        <v>8533</v>
      </c>
      <c r="O2146" s="375" t="s">
        <v>5319</v>
      </c>
      <c r="P2146" s="16">
        <v>46182</v>
      </c>
      <c r="Q2146" s="374" t="s">
        <v>5114</v>
      </c>
      <c r="R2146" s="2">
        <f>VLOOKUP(SALIDAS111518[[#This Row],[CÓDIGO]],PRODUCTOS31316[],2,FALSE)</f>
        <v>0</v>
      </c>
      <c r="S2146" s="1" t="str">
        <f>VLOOKUP(SALIDAS111518[[#This Row],[CÓDIGO]],PRODUCTOS31316[],3,FALSE)</f>
        <v>TABLET SANSUNG GALAXY TAB A11+ MARCA: SANSUNG COLOR SEGUN DISPONIBILIDAD</v>
      </c>
      <c r="T2146" s="2">
        <v>1</v>
      </c>
      <c r="U2146" s="2"/>
      <c r="V2146" s="2"/>
      <c r="W2146" s="2"/>
      <c r="X2146" s="2"/>
      <c r="Y2146" s="7"/>
      <c r="Z2146" s="2"/>
      <c r="AA2146" s="1"/>
      <c r="AC2146" s="2"/>
      <c r="AE2146" s="1"/>
      <c r="AG2146" s="2"/>
    </row>
    <row r="2147" spans="12:33" ht="49.95" customHeight="1" x14ac:dyDescent="0.3">
      <c r="L2147" s="2"/>
      <c r="M2147" s="2"/>
      <c r="N2147" s="2">
        <v>8533</v>
      </c>
      <c r="O2147" s="375" t="s">
        <v>5319</v>
      </c>
      <c r="P2147" s="16">
        <v>46182</v>
      </c>
      <c r="Q2147" s="374" t="s">
        <v>3286</v>
      </c>
      <c r="R2147" s="2">
        <f>VLOOKUP(SALIDAS111518[[#This Row],[CÓDIGO]],PRODUCTOS31316[],2,FALSE)</f>
        <v>0</v>
      </c>
      <c r="S2147" s="1" t="str">
        <f>VLOOKUP(SALIDAS111518[[#This Row],[CÓDIGO]],PRODUCTOS31316[],3,FALSE)</f>
        <v>CARCASA TABLET BMV</v>
      </c>
      <c r="T2147" s="2">
        <v>1</v>
      </c>
      <c r="U2147" s="2"/>
      <c r="V2147" s="2"/>
      <c r="W2147" s="2"/>
      <c r="X2147" s="2"/>
      <c r="Y2147" s="7"/>
      <c r="Z2147" s="2"/>
      <c r="AA2147" s="1"/>
      <c r="AC2147" s="2"/>
      <c r="AE2147" s="1"/>
      <c r="AG2147" s="2"/>
    </row>
    <row r="2148" spans="12:33" ht="49.95" customHeight="1" x14ac:dyDescent="0.3">
      <c r="L2148" s="2"/>
      <c r="M2148" s="2"/>
      <c r="N2148" s="2">
        <v>8533</v>
      </c>
      <c r="O2148" s="375" t="s">
        <v>5319</v>
      </c>
      <c r="P2148" s="16">
        <v>46182</v>
      </c>
      <c r="Q2148" s="374" t="s">
        <v>3095</v>
      </c>
      <c r="R2148" s="2">
        <f>VLOOKUP(SALIDAS111518[[#This Row],[CÓDIGO]],PRODUCTOS31316[],2,FALSE)</f>
        <v>0</v>
      </c>
      <c r="S2148" s="1" t="str">
        <f>VLOOKUP(SALIDAS111518[[#This Row],[CÓDIGO]],PRODUCTOS31316[],3,FALSE)</f>
        <v>GORRA MAS CAMPO</v>
      </c>
      <c r="T2148" s="2">
        <v>1</v>
      </c>
      <c r="U2148" s="2"/>
      <c r="V2148" s="2"/>
      <c r="W2148" s="2"/>
      <c r="X2148" s="2"/>
      <c r="Y2148" s="7"/>
      <c r="Z2148" s="2"/>
      <c r="AA2148" s="1"/>
      <c r="AC2148" s="2"/>
      <c r="AE2148" s="1"/>
      <c r="AG2148" s="2"/>
    </row>
    <row r="2149" spans="12:33" ht="49.95" customHeight="1" x14ac:dyDescent="0.3">
      <c r="L2149" s="374" t="s">
        <v>3520</v>
      </c>
      <c r="M2149" s="374" t="s">
        <v>5213</v>
      </c>
      <c r="N2149" s="374" t="s">
        <v>5317</v>
      </c>
      <c r="O2149" s="374" t="s">
        <v>3067</v>
      </c>
      <c r="P2149" s="16">
        <v>46183</v>
      </c>
      <c r="Q2149" s="374" t="s">
        <v>360</v>
      </c>
      <c r="R2149" s="2">
        <f>VLOOKUP(SALIDAS111518[[#This Row],[CÓDIGO]],PRODUCTOS31316[],2,FALSE)</f>
        <v>505006</v>
      </c>
      <c r="S2149" s="1" t="str">
        <f>VLOOKUP(SALIDAS111518[[#This Row],[CÓDIGO]],PRODUCTOS31316[],3,FALSE)</f>
        <v>LACRADOR REDONDO AMARILLO</v>
      </c>
      <c r="T2149" s="2">
        <v>3</v>
      </c>
      <c r="U2149" s="2">
        <v>964</v>
      </c>
      <c r="V2149" s="2"/>
      <c r="W2149" s="2"/>
      <c r="X2149" s="2"/>
      <c r="Y2149" s="7"/>
      <c r="Z2149" s="2"/>
      <c r="AA2149" s="1"/>
      <c r="AC2149" s="2"/>
      <c r="AE2149" s="1"/>
      <c r="AG2149" s="2"/>
    </row>
    <row r="2150" spans="12:33" ht="49.95" customHeight="1" x14ac:dyDescent="0.3">
      <c r="L2150" s="374" t="s">
        <v>3521</v>
      </c>
      <c r="M2150" s="374" t="s">
        <v>5213</v>
      </c>
      <c r="N2150" s="374" t="s">
        <v>5316</v>
      </c>
      <c r="O2150" s="374" t="s">
        <v>5315</v>
      </c>
      <c r="P2150" s="16">
        <v>46183</v>
      </c>
      <c r="Q2150" s="374" t="s">
        <v>4140</v>
      </c>
      <c r="R2150" s="2">
        <f>VLOOKUP(SALIDAS111518[[#This Row],[CÓDIGO]],PRODUCTOS31316[],2,FALSE)</f>
        <v>5575</v>
      </c>
      <c r="S2150" s="1" t="str">
        <f>VLOOKUP(SALIDAS111518[[#This Row],[CÓDIGO]],PRODUCTOS31316[],3,FALSE)</f>
        <v>PAJUELA AMARILLA 0.25/ PAQUETE X 2000</v>
      </c>
      <c r="T2150" s="2">
        <v>1</v>
      </c>
      <c r="U2150" s="2">
        <v>965</v>
      </c>
      <c r="V2150" s="2"/>
      <c r="W2150" s="2"/>
      <c r="X2150" s="2"/>
      <c r="Y2150" s="7"/>
      <c r="Z2150" s="2"/>
      <c r="AA2150" s="1"/>
      <c r="AC2150" s="2"/>
      <c r="AE2150" s="1"/>
      <c r="AG2150" s="2"/>
    </row>
    <row r="2151" spans="12:33" ht="49.95" customHeight="1" x14ac:dyDescent="0.3">
      <c r="L2151" s="2"/>
      <c r="M2151" s="2"/>
      <c r="N2151" s="2">
        <v>8536</v>
      </c>
      <c r="O2151" s="374" t="s">
        <v>5315</v>
      </c>
      <c r="P2151" s="16">
        <v>46183</v>
      </c>
      <c r="Q2151" s="374" t="s">
        <v>360</v>
      </c>
      <c r="R2151" s="2">
        <f>VLOOKUP(SALIDAS111518[[#This Row],[CÓDIGO]],PRODUCTOS31316[],2,FALSE)</f>
        <v>505006</v>
      </c>
      <c r="S2151" s="1" t="str">
        <f>VLOOKUP(SALIDAS111518[[#This Row],[CÓDIGO]],PRODUCTOS31316[],3,FALSE)</f>
        <v>LACRADOR REDONDO AMARILLO</v>
      </c>
      <c r="T2151" s="2">
        <v>2</v>
      </c>
      <c r="U2151" s="2"/>
      <c r="V2151" s="2"/>
      <c r="W2151" s="2"/>
      <c r="X2151" s="2"/>
      <c r="Y2151" s="7"/>
      <c r="Z2151" s="2"/>
      <c r="AA2151" s="1"/>
      <c r="AC2151" s="2"/>
      <c r="AE2151" s="1"/>
      <c r="AG2151" s="2"/>
    </row>
    <row r="2152" spans="12:33" ht="49.95" customHeight="1" x14ac:dyDescent="0.3">
      <c r="L2152" s="374" t="s">
        <v>3521</v>
      </c>
      <c r="M2152" s="374" t="s">
        <v>5213</v>
      </c>
      <c r="N2152" s="374" t="s">
        <v>5314</v>
      </c>
      <c r="O2152" s="374" t="s">
        <v>4967</v>
      </c>
      <c r="P2152" s="16">
        <v>46183</v>
      </c>
      <c r="Q2152" s="374" t="s">
        <v>3354</v>
      </c>
      <c r="R2152" s="2" t="str">
        <f>VLOOKUP(SALIDAS111518[[#This Row],[CÓDIGO]],PRODUCTOS31316[],2,FALSE)</f>
        <v>MX5C</v>
      </c>
      <c r="S2152" s="1" t="str">
        <f>VLOOKUP(SALIDAS111518[[#This Row],[CÓDIGO]],PRODUCTOS31316[],3,FALSE)</f>
        <v>ECOGRAFO MX5C CON SONDA LINEAL RECTAL/DOPLLER COLOR</v>
      </c>
      <c r="T2152" s="2">
        <v>1</v>
      </c>
      <c r="U2152" s="374" t="s">
        <v>5512</v>
      </c>
      <c r="V2152" s="2"/>
      <c r="W2152" s="374" t="s">
        <v>3412</v>
      </c>
      <c r="X2152" s="2"/>
      <c r="Y2152" s="7"/>
      <c r="Z2152" s="2"/>
      <c r="AA2152" s="1"/>
      <c r="AC2152" s="2"/>
      <c r="AE2152" s="1"/>
      <c r="AG2152" s="2"/>
    </row>
    <row r="2153" spans="12:33" ht="49.95" customHeight="1" x14ac:dyDescent="0.3">
      <c r="L2153" s="2"/>
      <c r="M2153" s="2"/>
      <c r="N2153" s="2">
        <v>8537</v>
      </c>
      <c r="O2153" s="374" t="s">
        <v>4967</v>
      </c>
      <c r="P2153" s="16">
        <v>46183</v>
      </c>
      <c r="Q2153" s="374" t="s">
        <v>5114</v>
      </c>
      <c r="R2153" s="2">
        <f>VLOOKUP(SALIDAS111518[[#This Row],[CÓDIGO]],PRODUCTOS31316[],2,FALSE)</f>
        <v>0</v>
      </c>
      <c r="S2153" s="1" t="str">
        <f>VLOOKUP(SALIDAS111518[[#This Row],[CÓDIGO]],PRODUCTOS31316[],3,FALSE)</f>
        <v>TABLET SANSUNG GALAXY TAB A11+ MARCA: SANSUNG COLOR SEGUN DISPONIBILIDAD</v>
      </c>
      <c r="T2153" s="2">
        <v>1</v>
      </c>
      <c r="U2153" s="2"/>
      <c r="V2153" s="2"/>
      <c r="W2153" s="2"/>
      <c r="X2153" s="2"/>
      <c r="Y2153" s="7"/>
      <c r="Z2153" s="2"/>
      <c r="AA2153" s="1"/>
      <c r="AC2153" s="2"/>
      <c r="AE2153" s="1"/>
      <c r="AG2153" s="2"/>
    </row>
    <row r="2154" spans="12:33" ht="49.95" customHeight="1" x14ac:dyDescent="0.3">
      <c r="L2154" s="2"/>
      <c r="M2154" s="2"/>
      <c r="N2154" s="2">
        <v>8537</v>
      </c>
      <c r="O2154" s="374" t="s">
        <v>4967</v>
      </c>
      <c r="P2154" s="16">
        <v>46183</v>
      </c>
      <c r="Q2154" s="374" t="s">
        <v>3286</v>
      </c>
      <c r="R2154" s="2">
        <f>VLOOKUP(SALIDAS111518[[#This Row],[CÓDIGO]],PRODUCTOS31316[],2,FALSE)</f>
        <v>0</v>
      </c>
      <c r="S2154" s="1" t="str">
        <f>VLOOKUP(SALIDAS111518[[#This Row],[CÓDIGO]],PRODUCTOS31316[],3,FALSE)</f>
        <v>CARCASA TABLET BMV</v>
      </c>
      <c r="T2154" s="2">
        <v>1</v>
      </c>
      <c r="U2154" s="2"/>
      <c r="V2154" s="2"/>
      <c r="W2154" s="2"/>
      <c r="X2154" s="2"/>
      <c r="Y2154" s="7"/>
      <c r="Z2154" s="2"/>
      <c r="AA2154" s="1"/>
      <c r="AC2154" s="2"/>
      <c r="AE2154" s="1"/>
      <c r="AG2154" s="2"/>
    </row>
    <row r="2155" spans="12:33" ht="49.95" customHeight="1" x14ac:dyDescent="0.3">
      <c r="L2155" s="2"/>
      <c r="M2155" s="2"/>
      <c r="N2155" s="2">
        <v>8537</v>
      </c>
      <c r="O2155" s="374" t="s">
        <v>4967</v>
      </c>
      <c r="P2155" s="16">
        <v>46183</v>
      </c>
      <c r="Q2155" s="374" t="s">
        <v>3095</v>
      </c>
      <c r="R2155" s="2">
        <f>VLOOKUP(SALIDAS111518[[#This Row],[CÓDIGO]],PRODUCTOS31316[],2,FALSE)</f>
        <v>0</v>
      </c>
      <c r="S2155" s="1" t="str">
        <f>VLOOKUP(SALIDAS111518[[#This Row],[CÓDIGO]],PRODUCTOS31316[],3,FALSE)</f>
        <v>GORRA MAS CAMPO</v>
      </c>
      <c r="T2155" s="2">
        <v>1</v>
      </c>
      <c r="U2155" s="2"/>
      <c r="V2155" s="2"/>
      <c r="W2155" s="2"/>
      <c r="X2155" s="2"/>
      <c r="Y2155" s="7"/>
      <c r="Z2155" s="2"/>
      <c r="AA2155" s="1"/>
      <c r="AC2155" s="2"/>
      <c r="AE2155" s="1"/>
      <c r="AG2155" s="2"/>
    </row>
    <row r="2156" spans="12:33" ht="49.95" customHeight="1" x14ac:dyDescent="0.3">
      <c r="L2156" s="374" t="s">
        <v>3520</v>
      </c>
      <c r="M2156" s="374" t="s">
        <v>5213</v>
      </c>
      <c r="N2156" s="375" t="s">
        <v>5312</v>
      </c>
      <c r="O2156" s="374" t="s">
        <v>5313</v>
      </c>
      <c r="P2156" s="16">
        <v>46183</v>
      </c>
      <c r="Q2156" s="374" t="s">
        <v>153</v>
      </c>
      <c r="R2156" s="2">
        <f>VLOOKUP(SALIDAS111518[[#This Row],[CÓDIGO]],PRODUCTOS31316[],2,FALSE)</f>
        <v>1132</v>
      </c>
      <c r="S2156" s="1" t="str">
        <f>VLOOKUP(SALIDAS111518[[#This Row],[CÓDIGO]],PRODUCTOS31316[],3,FALSE)</f>
        <v>PISTOLA QUICKLOCK CLASIC</v>
      </c>
      <c r="T2156" s="2">
        <v>1</v>
      </c>
      <c r="U2156" s="2">
        <v>967</v>
      </c>
      <c r="V2156" s="2"/>
      <c r="W2156" s="2"/>
      <c r="X2156" s="2"/>
      <c r="Y2156" s="7"/>
      <c r="Z2156" s="2"/>
      <c r="AA2156" s="1"/>
      <c r="AC2156" s="2"/>
      <c r="AE2156" s="1"/>
      <c r="AG2156" s="2"/>
    </row>
    <row r="2157" spans="12:33" ht="49.95" customHeight="1" x14ac:dyDescent="0.3">
      <c r="L2157" s="2"/>
      <c r="M2157" s="2"/>
      <c r="N2157" s="2">
        <v>8538</v>
      </c>
      <c r="O2157" s="374" t="s">
        <v>5313</v>
      </c>
      <c r="P2157" s="16">
        <v>46183</v>
      </c>
      <c r="Q2157" s="374" t="s">
        <v>369</v>
      </c>
      <c r="R2157" s="2">
        <f>VLOOKUP(SALIDAS111518[[#This Row],[CÓDIGO]],PRODUCTOS31316[],2,FALSE)</f>
        <v>0</v>
      </c>
      <c r="S2157" s="1" t="str">
        <f>VLOOKUP(SALIDAS111518[[#This Row],[CÓDIGO]],PRODUCTOS31316[],3,FALSE)</f>
        <v>FUNDA UNIVERSAL PARA I.A. RANURADA</v>
      </c>
      <c r="T2157" s="2">
        <v>1</v>
      </c>
      <c r="U2157" s="2"/>
      <c r="V2157" s="2"/>
      <c r="W2157" s="2"/>
      <c r="X2157" s="2"/>
      <c r="Y2157" s="7"/>
      <c r="Z2157" s="2"/>
      <c r="AA2157" s="1"/>
      <c r="AC2157" s="2"/>
      <c r="AE2157" s="1"/>
      <c r="AG2157" s="2"/>
    </row>
    <row r="2158" spans="12:33" ht="49.95" customHeight="1" x14ac:dyDescent="0.3">
      <c r="L2158" s="2"/>
      <c r="M2158" s="2"/>
      <c r="N2158" s="2">
        <v>8538</v>
      </c>
      <c r="O2158" s="374" t="s">
        <v>5313</v>
      </c>
      <c r="P2158" s="16">
        <v>46183</v>
      </c>
      <c r="Q2158" s="374" t="s">
        <v>658</v>
      </c>
      <c r="R2158" s="2">
        <f>VLOOKUP(SALIDAS111518[[#This Row],[CÓDIGO]],PRODUCTOS31316[],2,FALSE)</f>
        <v>0</v>
      </c>
      <c r="S2158" s="1" t="str">
        <f>VLOOKUP(SALIDAS111518[[#This Row],[CÓDIGO]],PRODUCTOS31316[],3,FALSE)</f>
        <v>CATETER TALADRO TRANSPARENTE 18"</v>
      </c>
      <c r="T2158" s="2">
        <v>1</v>
      </c>
      <c r="U2158" s="2"/>
      <c r="V2158" s="2"/>
      <c r="W2158" s="2"/>
      <c r="X2158" s="2"/>
      <c r="Y2158" s="7"/>
      <c r="Z2158" s="2"/>
      <c r="AA2158" s="1"/>
      <c r="AC2158" s="2"/>
      <c r="AE2158" s="1"/>
      <c r="AG2158" s="2"/>
    </row>
    <row r="2159" spans="12:33" ht="49.95" customHeight="1" x14ac:dyDescent="0.3">
      <c r="L2159" s="2"/>
      <c r="M2159" s="2"/>
      <c r="N2159" s="2">
        <v>8538</v>
      </c>
      <c r="O2159" s="374" t="s">
        <v>5313</v>
      </c>
      <c r="P2159" s="16">
        <v>46183</v>
      </c>
      <c r="Q2159" s="374" t="s">
        <v>1779</v>
      </c>
      <c r="R2159" s="2">
        <f>VLOOKUP(SALIDAS111518[[#This Row],[CÓDIGO]],PRODUCTOS31316[],2,FALSE)</f>
        <v>5563</v>
      </c>
      <c r="S2159" s="1" t="str">
        <f>VLOOKUP(SALIDAS111518[[#This Row],[CÓDIGO]],PRODUCTOS31316[],3,FALSE)</f>
        <v>CAMISA SANITARIA ROLLO X 80</v>
      </c>
      <c r="T2159" s="2">
        <v>1</v>
      </c>
      <c r="U2159" s="2"/>
      <c r="V2159" s="2"/>
      <c r="W2159" s="2"/>
      <c r="X2159" s="2"/>
      <c r="Y2159" s="7"/>
      <c r="Z2159" s="2"/>
      <c r="AA2159" s="1"/>
      <c r="AC2159" s="2"/>
      <c r="AE2159" s="1"/>
      <c r="AG2159" s="2"/>
    </row>
    <row r="2160" spans="12:33" ht="49.95" customHeight="1" x14ac:dyDescent="0.3">
      <c r="L2160" s="2"/>
      <c r="M2160" s="2"/>
      <c r="N2160" s="2">
        <v>8538</v>
      </c>
      <c r="O2160" s="374" t="s">
        <v>5313</v>
      </c>
      <c r="P2160" s="16">
        <v>46183</v>
      </c>
      <c r="Q2160" s="374" t="s">
        <v>210</v>
      </c>
      <c r="R2160" s="2">
        <f>VLOOKUP(SALIDAS111518[[#This Row],[CÓDIGO]],PRODUCTOS31316[],2,FALSE)</f>
        <v>101257</v>
      </c>
      <c r="S2160" s="1" t="str">
        <f>VLOOKUP(SALIDAS111518[[#This Row],[CÓDIGO]],PRODUCTOS31316[],3,FALSE)</f>
        <v>MANGA DESECHABLE SUPER SENSITIVA</v>
      </c>
      <c r="T2160" s="2">
        <v>1</v>
      </c>
      <c r="U2160" s="2"/>
      <c r="V2160" s="2"/>
      <c r="W2160" s="2"/>
      <c r="X2160" s="2"/>
      <c r="Y2160" s="7"/>
      <c r="Z2160" s="2"/>
      <c r="AA2160" s="1"/>
      <c r="AC2160" s="2"/>
      <c r="AE2160" s="1"/>
      <c r="AG2160" s="2"/>
    </row>
    <row r="2161" spans="12:33" ht="49.95" customHeight="1" x14ac:dyDescent="0.3">
      <c r="L2161" s="374" t="s">
        <v>3520</v>
      </c>
      <c r="M2161" s="374" t="s">
        <v>5213</v>
      </c>
      <c r="N2161" s="374" t="s">
        <v>5310</v>
      </c>
      <c r="O2161" s="374" t="s">
        <v>94</v>
      </c>
      <c r="P2161" s="16">
        <v>46183</v>
      </c>
      <c r="Q2161" s="374" t="s">
        <v>2246</v>
      </c>
      <c r="R2161" s="2" t="str">
        <f>VLOOKUP(SALIDAS111518[[#This Row],[CÓDIGO]],PRODUCTOS31316[],2,FALSE)</f>
        <v>00051076-02</v>
      </c>
      <c r="S2161" s="1" t="str">
        <f>VLOOKUP(SALIDAS111518[[#This Row],[CÓDIGO]],PRODUCTOS31316[],3,FALSE)</f>
        <v>LIDOCAÍNA  HCL 2 % X 100 ML/ 2025-12-16</v>
      </c>
      <c r="T2161" s="2">
        <v>23</v>
      </c>
      <c r="U2161" s="374" t="s">
        <v>5311</v>
      </c>
      <c r="V2161" s="2"/>
      <c r="W2161" s="2"/>
      <c r="X2161" s="2"/>
      <c r="Y2161" s="7"/>
      <c r="Z2161" s="2"/>
      <c r="AA2161" s="1"/>
      <c r="AC2161" s="2"/>
      <c r="AE2161" s="1"/>
      <c r="AG2161" s="2"/>
    </row>
    <row r="2162" spans="12:33" ht="49.95" customHeight="1" x14ac:dyDescent="0.3">
      <c r="L2162" s="2"/>
      <c r="M2162" s="2"/>
      <c r="N2162" s="2">
        <v>8541</v>
      </c>
      <c r="O2162" s="374" t="s">
        <v>94</v>
      </c>
      <c r="P2162" s="16">
        <v>46183</v>
      </c>
      <c r="Q2162" s="374" t="s">
        <v>366</v>
      </c>
      <c r="R2162" s="2">
        <f>VLOOKUP(SALIDAS111518[[#This Row],[CÓDIGO]],PRODUCTOS31316[],2,FALSE)</f>
        <v>505003</v>
      </c>
      <c r="S2162" s="1" t="str">
        <f>VLOOKUP(SALIDAS111518[[#This Row],[CÓDIGO]],PRODUCTOS31316[],3,FALSE)</f>
        <v>LACRADOR REDONDO BLANCO</v>
      </c>
      <c r="T2162" s="2">
        <v>3</v>
      </c>
      <c r="U2162" s="2"/>
      <c r="V2162" s="2"/>
      <c r="W2162" s="2"/>
      <c r="X2162" s="2"/>
      <c r="Y2162" s="7"/>
      <c r="Z2162" s="2"/>
      <c r="AA2162" s="1"/>
      <c r="AC2162" s="2"/>
      <c r="AE2162" s="1"/>
      <c r="AG2162" s="2"/>
    </row>
    <row r="2163" spans="12:33" ht="49.95" customHeight="1" x14ac:dyDescent="0.3">
      <c r="L2163" s="2"/>
      <c r="M2163" s="2"/>
      <c r="N2163" s="2">
        <v>8541</v>
      </c>
      <c r="O2163" s="374" t="s">
        <v>94</v>
      </c>
      <c r="P2163" s="16">
        <v>46183</v>
      </c>
      <c r="Q2163" s="374" t="s">
        <v>3397</v>
      </c>
      <c r="R2163" s="2">
        <f>VLOOKUP(SALIDAS111518[[#This Row],[CÓDIGO]],PRODUCTOS31316[],2,FALSE)</f>
        <v>13407</v>
      </c>
      <c r="S2163" s="1" t="str">
        <f>VLOOKUP(SALIDAS111518[[#This Row],[CÓDIGO]],PRODUCTOS31316[],3,FALSE)</f>
        <v>PAJILLAS TRANSPARENTES 0,25 MINITUBE</v>
      </c>
      <c r="T2163" s="2">
        <v>1</v>
      </c>
      <c r="U2163" s="2"/>
      <c r="V2163" s="2"/>
      <c r="W2163" s="2"/>
      <c r="X2163" s="2"/>
      <c r="Y2163" s="7"/>
      <c r="Z2163" s="2"/>
      <c r="AA2163" s="1"/>
      <c r="AC2163" s="2"/>
      <c r="AE2163" s="1"/>
      <c r="AG2163" s="2"/>
    </row>
    <row r="2164" spans="12:33" ht="49.95" customHeight="1" x14ac:dyDescent="0.3">
      <c r="L2164" s="2"/>
      <c r="M2164" s="2"/>
      <c r="N2164" s="2">
        <v>8541</v>
      </c>
      <c r="O2164" s="374" t="s">
        <v>94</v>
      </c>
      <c r="P2164" s="16">
        <v>46183</v>
      </c>
      <c r="Q2164" s="374" t="s">
        <v>5121</v>
      </c>
      <c r="R2164" s="2">
        <f>VLOOKUP(SALIDAS111518[[#This Row],[CÓDIGO]],PRODUCTOS31316[],2,FALSE)</f>
        <v>0</v>
      </c>
      <c r="S2164" s="1" t="str">
        <f>VLOOKUP(SALIDAS111518[[#This Row],[CÓDIGO]],PRODUCTOS31316[],3,FALSE)</f>
        <v>PAJILLAS AMARILLAS DE 0.5 PAQ. X 2000 UND MARCA IMV</v>
      </c>
      <c r="T2164" s="2">
        <v>1</v>
      </c>
      <c r="U2164" s="2"/>
      <c r="V2164" s="2"/>
      <c r="W2164" s="2"/>
      <c r="X2164" s="2"/>
      <c r="Y2164" s="7"/>
      <c r="Z2164" s="2"/>
      <c r="AA2164" s="1"/>
      <c r="AC2164" s="2"/>
      <c r="AE2164" s="1"/>
      <c r="AG2164" s="2"/>
    </row>
    <row r="2165" spans="12:33" ht="49.95" customHeight="1" x14ac:dyDescent="0.3">
      <c r="L2165" s="2"/>
      <c r="M2165" s="2"/>
      <c r="N2165" s="2">
        <v>8541</v>
      </c>
      <c r="O2165" s="374" t="s">
        <v>94</v>
      </c>
      <c r="P2165" s="16">
        <v>46183</v>
      </c>
      <c r="Q2165" s="374" t="s">
        <v>748</v>
      </c>
      <c r="R2165" s="2" t="str">
        <f>VLOOKUP(SALIDAS111518[[#This Row],[CÓDIGO]],PRODUCTOS31316[],2,FALSE)</f>
        <v>TY</v>
      </c>
      <c r="S2165" s="1" t="str">
        <f>VLOOKUP(SALIDAS111518[[#This Row],[CÓDIGO]],PRODUCTOS31316[],3,FALSE)</f>
        <v>TABS AMARILLOS</v>
      </c>
      <c r="T2165" s="2">
        <v>1</v>
      </c>
      <c r="U2165" s="2"/>
      <c r="V2165" s="2"/>
      <c r="W2165" s="2"/>
      <c r="X2165" s="2"/>
      <c r="Y2165" s="7"/>
      <c r="Z2165" s="2"/>
      <c r="AA2165" s="1"/>
      <c r="AC2165" s="2"/>
      <c r="AE2165" s="1"/>
      <c r="AG2165" s="2"/>
    </row>
    <row r="2166" spans="12:33" ht="49.95" customHeight="1" x14ac:dyDescent="0.3">
      <c r="L2166" s="2"/>
      <c r="M2166" s="2"/>
      <c r="N2166" s="2">
        <v>8541</v>
      </c>
      <c r="O2166" s="374" t="s">
        <v>94</v>
      </c>
      <c r="P2166" s="16">
        <v>46183</v>
      </c>
      <c r="Q2166" s="374" t="s">
        <v>5098</v>
      </c>
      <c r="R2166" s="2">
        <f>VLOOKUP(SALIDAS111518[[#This Row],[CÓDIGO]],PRODUCTOS31316[],2,FALSE)</f>
        <v>0</v>
      </c>
      <c r="S2166" s="1" t="str">
        <f>VLOOKUP(SALIDAS111518[[#This Row],[CÓDIGO]],PRODUCTOS31316[],3,FALSE)</f>
        <v>FUNDA DE TRANSFERENCIA DE EMBRIONES 0.25 PUNTA PLÁSTICA MARCA TED</v>
      </c>
      <c r="T2166" s="2">
        <v>140</v>
      </c>
      <c r="U2166" s="2"/>
      <c r="V2166" s="2"/>
      <c r="W2166" s="2"/>
      <c r="X2166" s="2"/>
      <c r="Y2166" s="7"/>
      <c r="Z2166"/>
      <c r="AA2166"/>
      <c r="AB2166"/>
      <c r="AC2166"/>
      <c r="AD2166"/>
      <c r="AE2166"/>
      <c r="AG2166" s="2"/>
    </row>
    <row r="2167" spans="12:33" ht="49.95" customHeight="1" x14ac:dyDescent="0.3">
      <c r="L2167" s="374" t="s">
        <v>3520</v>
      </c>
      <c r="M2167" s="374" t="s">
        <v>5213</v>
      </c>
      <c r="N2167" s="374" t="s">
        <v>5308</v>
      </c>
      <c r="O2167" s="374" t="s">
        <v>94</v>
      </c>
      <c r="P2167" s="16">
        <v>46183</v>
      </c>
      <c r="Q2167" s="374" t="s">
        <v>1779</v>
      </c>
      <c r="R2167" s="2">
        <f>VLOOKUP(SALIDAS111518[[#This Row],[CÓDIGO]],PRODUCTOS31316[],2,FALSE)</f>
        <v>5563</v>
      </c>
      <c r="S2167" s="1" t="str">
        <f>VLOOKUP(SALIDAS111518[[#This Row],[CÓDIGO]],PRODUCTOS31316[],3,FALSE)</f>
        <v>CAMISA SANITARIA ROLLO X 80</v>
      </c>
      <c r="T2167" s="2">
        <v>10</v>
      </c>
      <c r="U2167" s="374" t="s">
        <v>5309</v>
      </c>
      <c r="V2167" s="2"/>
      <c r="W2167" s="2"/>
      <c r="X2167" s="2"/>
      <c r="Y2167" s="7"/>
      <c r="Z2167"/>
      <c r="AA2167"/>
      <c r="AB2167"/>
      <c r="AC2167"/>
      <c r="AD2167"/>
      <c r="AE2167"/>
      <c r="AG2167" s="2"/>
    </row>
    <row r="2168" spans="12:33" ht="49.95" customHeight="1" x14ac:dyDescent="0.3">
      <c r="L2168" s="2"/>
      <c r="M2168" s="2"/>
      <c r="N2168" s="2">
        <v>8541</v>
      </c>
      <c r="O2168" s="374" t="s">
        <v>94</v>
      </c>
      <c r="P2168" s="16">
        <v>46183</v>
      </c>
      <c r="Q2168" s="374" t="s">
        <v>360</v>
      </c>
      <c r="R2168" s="2">
        <f>VLOOKUP(SALIDAS111518[[#This Row],[CÓDIGO]],PRODUCTOS31316[],2,FALSE)</f>
        <v>505006</v>
      </c>
      <c r="S2168" s="1" t="str">
        <f>VLOOKUP(SALIDAS111518[[#This Row],[CÓDIGO]],PRODUCTOS31316[],3,FALSE)</f>
        <v>LACRADOR REDONDO AMARILLO</v>
      </c>
      <c r="T2168" s="2">
        <v>1</v>
      </c>
      <c r="U2168" s="2"/>
      <c r="V2168" s="2"/>
      <c r="W2168" s="2"/>
      <c r="X2168" s="2"/>
      <c r="Y2168" s="7"/>
      <c r="Z2168"/>
      <c r="AA2168"/>
      <c r="AB2168"/>
      <c r="AC2168"/>
      <c r="AD2168"/>
      <c r="AE2168"/>
      <c r="AG2168" s="2"/>
    </row>
    <row r="2169" spans="12:33" ht="49.95" customHeight="1" x14ac:dyDescent="0.3">
      <c r="L2169" s="2"/>
      <c r="M2169" s="2"/>
      <c r="N2169" s="2">
        <v>8541</v>
      </c>
      <c r="O2169" s="374" t="s">
        <v>94</v>
      </c>
      <c r="P2169" s="16">
        <v>46183</v>
      </c>
      <c r="Q2169" s="374" t="s">
        <v>2809</v>
      </c>
      <c r="R2169" s="2">
        <f>VLOOKUP(SALIDAS111518[[#This Row],[CÓDIGO]],PRODUCTOS31316[],2,FALSE)</f>
        <v>5565</v>
      </c>
      <c r="S2169" s="1" t="str">
        <f>VLOOKUP(SALIDAS111518[[#This Row],[CÓDIGO]],PRODUCTOS31316[],3,FALSE)</f>
        <v>PAJILLAS TRANSPARENTES 0,25</v>
      </c>
      <c r="T2169" s="2">
        <v>1</v>
      </c>
      <c r="U2169" s="2"/>
      <c r="V2169" s="2"/>
      <c r="W2169" s="2"/>
      <c r="X2169" s="2"/>
      <c r="Y2169" s="7"/>
      <c r="Z2169"/>
      <c r="AA2169"/>
      <c r="AB2169"/>
      <c r="AC2169"/>
      <c r="AD2169"/>
      <c r="AE2169"/>
      <c r="AG2169" s="2"/>
    </row>
    <row r="2170" spans="12:33" ht="49.95" customHeight="1" x14ac:dyDescent="0.3">
      <c r="L2170" s="374" t="s">
        <v>3520</v>
      </c>
      <c r="M2170" s="374" t="s">
        <v>5213</v>
      </c>
      <c r="N2170" s="374" t="s">
        <v>5307</v>
      </c>
      <c r="O2170" s="374" t="s">
        <v>94</v>
      </c>
      <c r="P2170" s="16">
        <v>46183</v>
      </c>
      <c r="Q2170" s="374" t="s">
        <v>1779</v>
      </c>
      <c r="R2170" s="2">
        <f>VLOOKUP(SALIDAS111518[[#This Row],[CÓDIGO]],PRODUCTOS31316[],2,FALSE)</f>
        <v>5563</v>
      </c>
      <c r="S2170" s="1" t="str">
        <f>VLOOKUP(SALIDAS111518[[#This Row],[CÓDIGO]],PRODUCTOS31316[],3,FALSE)</f>
        <v>CAMISA SANITARIA ROLLO X 80</v>
      </c>
      <c r="T2170" s="2">
        <v>11</v>
      </c>
      <c r="U2170" s="374" t="s">
        <v>5306</v>
      </c>
      <c r="V2170" s="2"/>
      <c r="W2170" s="2"/>
      <c r="X2170" s="2"/>
      <c r="Y2170" s="7"/>
      <c r="Z2170"/>
      <c r="AA2170"/>
      <c r="AB2170"/>
      <c r="AC2170"/>
      <c r="AD2170"/>
      <c r="AE2170"/>
      <c r="AG2170" s="2"/>
    </row>
    <row r="2171" spans="12:33" ht="49.95" customHeight="1" x14ac:dyDescent="0.3">
      <c r="L2171" s="2"/>
      <c r="M2171" s="2"/>
      <c r="N2171" s="2">
        <v>8541</v>
      </c>
      <c r="O2171" s="374" t="s">
        <v>94</v>
      </c>
      <c r="P2171" s="16">
        <v>46183</v>
      </c>
      <c r="Q2171" s="374" t="s">
        <v>3397</v>
      </c>
      <c r="R2171" s="2">
        <f>VLOOKUP(SALIDAS111518[[#This Row],[CÓDIGO]],PRODUCTOS31316[],2,FALSE)</f>
        <v>13407</v>
      </c>
      <c r="S2171" s="1" t="str">
        <f>VLOOKUP(SALIDAS111518[[#This Row],[CÓDIGO]],PRODUCTOS31316[],3,FALSE)</f>
        <v>PAJILLAS TRANSPARENTES 0,25 MINITUBE</v>
      </c>
      <c r="T2171" s="2">
        <v>1</v>
      </c>
      <c r="U2171" s="2"/>
      <c r="V2171" s="2"/>
      <c r="W2171" s="2"/>
      <c r="X2171" s="2"/>
      <c r="Y2171" s="7"/>
      <c r="Z2171"/>
      <c r="AA2171"/>
      <c r="AB2171"/>
      <c r="AC2171"/>
      <c r="AD2171"/>
      <c r="AE2171"/>
      <c r="AG2171" s="2"/>
    </row>
    <row r="2172" spans="12:33" ht="49.95" customHeight="1" x14ac:dyDescent="0.3">
      <c r="L2172" s="2"/>
      <c r="M2172" s="2"/>
      <c r="N2172" s="2">
        <v>8541</v>
      </c>
      <c r="O2172" s="374" t="s">
        <v>94</v>
      </c>
      <c r="P2172" s="16">
        <v>46183</v>
      </c>
      <c r="Q2172" s="374" t="s">
        <v>5122</v>
      </c>
      <c r="R2172" s="2">
        <f>VLOOKUP(SALIDAS111518[[#This Row],[CÓDIGO]],PRODUCTOS31316[],2,FALSE)</f>
        <v>0</v>
      </c>
      <c r="S2172" s="1" t="str">
        <f>VLOOKUP(SALIDAS111518[[#This Row],[CÓDIGO]],PRODUCTOS31316[],3,FALSE)</f>
        <v>PAJILLAS AMARILLAS DE 0.25 PAQ. 2000 UND/ MARCA: MINITUBE</v>
      </c>
      <c r="T2172" s="2">
        <v>1</v>
      </c>
      <c r="U2172" s="2"/>
      <c r="V2172" s="2"/>
      <c r="W2172" s="2"/>
      <c r="X2172" s="2"/>
      <c r="Y2172" s="7"/>
      <c r="Z2172"/>
      <c r="AA2172"/>
      <c r="AB2172"/>
      <c r="AC2172"/>
      <c r="AD2172"/>
      <c r="AE2172"/>
      <c r="AG2172" s="2"/>
    </row>
    <row r="2173" spans="12:33" ht="49.95" customHeight="1" x14ac:dyDescent="0.3">
      <c r="L2173" s="2"/>
      <c r="M2173" s="2"/>
      <c r="N2173" s="2">
        <v>8541</v>
      </c>
      <c r="O2173" s="374" t="s">
        <v>94</v>
      </c>
      <c r="P2173" s="16">
        <v>46183</v>
      </c>
      <c r="Q2173" s="374" t="s">
        <v>5098</v>
      </c>
      <c r="R2173" s="2">
        <f>VLOOKUP(SALIDAS111518[[#This Row],[CÓDIGO]],PRODUCTOS31316[],2,FALSE)</f>
        <v>0</v>
      </c>
      <c r="S2173" s="1" t="str">
        <f>VLOOKUP(SALIDAS111518[[#This Row],[CÓDIGO]],PRODUCTOS31316[],3,FALSE)</f>
        <v>FUNDA DE TRANSFERENCIA DE EMBRIONES 0.25 PUNTA PLÁSTICA MARCA TED</v>
      </c>
      <c r="T2173" s="2">
        <v>318</v>
      </c>
      <c r="U2173" s="2"/>
      <c r="V2173" s="2"/>
      <c r="W2173" s="2"/>
      <c r="X2173" s="2"/>
      <c r="Y2173" s="7"/>
      <c r="Z2173"/>
      <c r="AA2173"/>
      <c r="AB2173"/>
      <c r="AC2173"/>
      <c r="AD2173"/>
      <c r="AE2173"/>
      <c r="AG2173" s="2"/>
    </row>
    <row r="2174" spans="12:33" ht="49.95" customHeight="1" thickBot="1" x14ac:dyDescent="0.35">
      <c r="L2174" s="374" t="s">
        <v>3520</v>
      </c>
      <c r="M2174" s="374" t="s">
        <v>4922</v>
      </c>
      <c r="N2174" s="374" t="s">
        <v>5405</v>
      </c>
      <c r="O2174" s="375" t="s">
        <v>3120</v>
      </c>
      <c r="P2174" s="16">
        <v>46168</v>
      </c>
      <c r="Q2174" s="374" t="s">
        <v>47</v>
      </c>
      <c r="R2174" s="2">
        <f>VLOOKUP(SALIDAS111518[[#This Row],[CÓDIGO]],PRODUCTOS31316[],2,FALSE)</f>
        <v>1135</v>
      </c>
      <c r="S2174" s="1" t="str">
        <f>VLOOKUP(SALIDAS111518[[#This Row],[CÓDIGO]],PRODUCTOS31316[],3,FALSE)</f>
        <v>TRILADYL</v>
      </c>
      <c r="T2174" s="2">
        <v>1</v>
      </c>
      <c r="U2174" s="2">
        <v>971</v>
      </c>
      <c r="V2174" s="2"/>
      <c r="W2174" s="2"/>
      <c r="X2174" s="2"/>
      <c r="Y2174" s="7"/>
      <c r="Z2174" s="144"/>
      <c r="AA2174" s="145"/>
      <c r="AB2174" s="143"/>
      <c r="AC2174" s="144" t="s">
        <v>3115</v>
      </c>
      <c r="AD2174" s="143"/>
      <c r="AE2174" s="144" t="s">
        <v>3116</v>
      </c>
      <c r="AG2174" s="2"/>
    </row>
    <row r="2175" spans="12:33" ht="49.95" customHeight="1" thickBot="1" x14ac:dyDescent="0.35">
      <c r="L2175" s="374" t="s">
        <v>3520</v>
      </c>
      <c r="M2175" s="374" t="s">
        <v>5213</v>
      </c>
      <c r="N2175" s="2">
        <v>8542</v>
      </c>
      <c r="O2175" s="374" t="s">
        <v>1816</v>
      </c>
      <c r="P2175" s="16">
        <v>46184</v>
      </c>
      <c r="Q2175" s="374" t="s">
        <v>47</v>
      </c>
      <c r="R2175" s="2">
        <f>VLOOKUP(SALIDAS111518[[#This Row],[CÓDIGO]],PRODUCTOS31316[],2,FALSE)</f>
        <v>1135</v>
      </c>
      <c r="S2175" s="1" t="str">
        <f>VLOOKUP(SALIDAS111518[[#This Row],[CÓDIGO]],PRODUCTOS31316[],3,FALSE)</f>
        <v>TRILADYL</v>
      </c>
      <c r="T2175" s="2">
        <v>1</v>
      </c>
      <c r="U2175" s="2">
        <v>973</v>
      </c>
      <c r="V2175" s="2"/>
      <c r="W2175" s="2"/>
      <c r="X2175" s="2"/>
      <c r="Y2175" s="7"/>
      <c r="Z2175" s="144"/>
      <c r="AA2175" s="146"/>
      <c r="AB2175" s="143"/>
      <c r="AC2175" s="144" t="s">
        <v>3115</v>
      </c>
      <c r="AD2175" s="143"/>
      <c r="AE2175" s="144" t="s">
        <v>3117</v>
      </c>
      <c r="AG2175" s="2"/>
    </row>
    <row r="2176" spans="12:33" ht="49.95" customHeight="1" x14ac:dyDescent="0.3">
      <c r="L2176" s="2"/>
      <c r="M2176" s="2"/>
      <c r="N2176" s="2">
        <v>8542</v>
      </c>
      <c r="O2176" s="374" t="s">
        <v>1816</v>
      </c>
      <c r="P2176" s="16">
        <v>46184</v>
      </c>
      <c r="Q2176" s="374" t="s">
        <v>3365</v>
      </c>
      <c r="R2176" s="2">
        <f>VLOOKUP(SALIDAS111518[[#This Row],[CÓDIGO]],PRODUCTOS31316[],2,FALSE)</f>
        <v>0</v>
      </c>
      <c r="S2176" s="1" t="str">
        <f>VLOOKUP(SALIDAS111518[[#This Row],[CÓDIGO]],PRODUCTOS31316[],3,FALSE)</f>
        <v>MANGA DE PROTECCIÓN PALPACIÓN MAS CAMPO</v>
      </c>
      <c r="T2176" s="2">
        <v>2</v>
      </c>
      <c r="U2176" s="2"/>
      <c r="V2176" s="2"/>
      <c r="W2176" s="2"/>
      <c r="X2176" s="2"/>
      <c r="Y2176" s="7"/>
      <c r="Z2176"/>
      <c r="AA2176"/>
      <c r="AB2176"/>
      <c r="AC2176"/>
      <c r="AD2176"/>
      <c r="AE2176"/>
      <c r="AG2176" s="2"/>
    </row>
    <row r="2177" spans="12:33" ht="49.95" customHeight="1" x14ac:dyDescent="0.3">
      <c r="L2177" s="374" t="s">
        <v>3520</v>
      </c>
      <c r="M2177" s="374" t="s">
        <v>5213</v>
      </c>
      <c r="N2177" s="374" t="s">
        <v>5305</v>
      </c>
      <c r="O2177" s="374" t="s">
        <v>2450</v>
      </c>
      <c r="P2177" s="16">
        <v>46184</v>
      </c>
      <c r="Q2177" s="374" t="s">
        <v>3355</v>
      </c>
      <c r="R2177" s="2">
        <f>VLOOKUP(SALIDAS111518[[#This Row],[CÓDIGO]],PRODUCTOS31316[],2,FALSE)</f>
        <v>140681</v>
      </c>
      <c r="S2177" s="1" t="str">
        <f>VLOOKUP(SALIDAS111518[[#This Row],[CÓDIGO]],PRODUCTOS31316[],3,FALSE)</f>
        <v>CAJA DE PETRI DESECHABLE ESTERIL 60x15MM.</v>
      </c>
      <c r="T2177" s="2">
        <v>10</v>
      </c>
      <c r="U2177" s="2">
        <v>974</v>
      </c>
      <c r="V2177" s="2"/>
      <c r="W2177" s="2"/>
      <c r="X2177" s="51"/>
      <c r="Y2177" s="7"/>
      <c r="Z2177"/>
      <c r="AA2177"/>
      <c r="AB2177"/>
      <c r="AC2177"/>
      <c r="AD2177"/>
      <c r="AE2177"/>
      <c r="AG2177" s="2"/>
    </row>
    <row r="2178" spans="12:33" ht="49.95" customHeight="1" x14ac:dyDescent="0.3">
      <c r="L2178" s="2"/>
      <c r="M2178" s="2"/>
      <c r="N2178" s="2">
        <v>8544</v>
      </c>
      <c r="O2178" s="374" t="s">
        <v>2450</v>
      </c>
      <c r="P2178" s="16">
        <v>46184</v>
      </c>
      <c r="Q2178" s="374" t="s">
        <v>70</v>
      </c>
      <c r="R2178" s="2">
        <f>VLOOKUP(SALIDAS111518[[#This Row],[CÓDIGO]],PRODUCTOS31316[],2,FALSE)</f>
        <v>25458</v>
      </c>
      <c r="S2178" s="1" t="str">
        <f>VLOOKUP(SALIDAS111518[[#This Row],[CÓDIGO]],PRODUCTOS31316[],3,FALSE)</f>
        <v>FILTROS PARA OPU 100 UL</v>
      </c>
      <c r="T2178" s="2">
        <v>10</v>
      </c>
      <c r="U2178" s="2"/>
      <c r="V2178" s="2"/>
      <c r="W2178" s="2"/>
      <c r="X2178" s="2"/>
      <c r="Y2178" s="7"/>
      <c r="Z2178"/>
      <c r="AA2178"/>
      <c r="AB2178"/>
      <c r="AC2178"/>
      <c r="AD2178"/>
      <c r="AE2178"/>
      <c r="AG2178" s="2"/>
    </row>
    <row r="2179" spans="12:33" ht="49.95" customHeight="1" x14ac:dyDescent="0.3">
      <c r="L2179" s="2"/>
      <c r="M2179" s="2"/>
      <c r="N2179" s="2">
        <v>8544</v>
      </c>
      <c r="O2179" s="374" t="s">
        <v>2450</v>
      </c>
      <c r="P2179" s="16">
        <v>46184</v>
      </c>
      <c r="Q2179" s="374" t="s">
        <v>167</v>
      </c>
      <c r="R2179" s="2" t="str">
        <f>VLOOKUP(SALIDAS111518[[#This Row],[CÓDIGO]],PRODUCTOS31316[],2,FALSE)</f>
        <v>50050-1</v>
      </c>
      <c r="S2179" s="1" t="str">
        <f>VLOOKUP(SALIDAS111518[[#This Row],[CÓDIGO]],PRODUCTOS31316[],3,FALSE)</f>
        <v>TUBO CONICO PLUG, AUTOCLAVABLE ESTERIL  TAPA ROSCA DE 50 ML</v>
      </c>
      <c r="T2179" s="2">
        <v>1</v>
      </c>
      <c r="U2179" s="2"/>
      <c r="V2179" s="2"/>
      <c r="W2179" s="2"/>
      <c r="X2179" s="2"/>
      <c r="Y2179" s="7"/>
      <c r="Z2179"/>
      <c r="AA2179"/>
      <c r="AB2179"/>
      <c r="AC2179"/>
      <c r="AD2179"/>
      <c r="AE2179"/>
      <c r="AG2179" s="2"/>
    </row>
    <row r="2180" spans="12:33" ht="49.95" customHeight="1" x14ac:dyDescent="0.3">
      <c r="L2180" s="2"/>
      <c r="M2180" s="2"/>
      <c r="N2180" s="2">
        <v>8544</v>
      </c>
      <c r="O2180" s="374" t="s">
        <v>2450</v>
      </c>
      <c r="P2180" s="16">
        <v>46184</v>
      </c>
      <c r="Q2180" s="374" t="s">
        <v>168</v>
      </c>
      <c r="R2180" s="2">
        <f>VLOOKUP(SALIDAS111518[[#This Row],[CÓDIGO]],PRODUCTOS31316[],2,FALSE)</f>
        <v>4840</v>
      </c>
      <c r="S2180" s="1" t="str">
        <f>VLOOKUP(SALIDAS111518[[#This Row],[CÓDIGO]],PRODUCTOS31316[],3,FALSE)</f>
        <v>PUNTAS BLANCAS UNIVERSALES, PLÁSTICAS, LIBRES DE DNASAS, RNASA Y PIROGENOS, RANGO DE 0.1 A 10UL. (CORTAS).</v>
      </c>
      <c r="T2180" s="2">
        <v>1</v>
      </c>
      <c r="U2180" s="2"/>
      <c r="V2180" s="2"/>
      <c r="W2180" s="2"/>
      <c r="X2180" s="2"/>
      <c r="Y2180" s="7"/>
      <c r="Z2180"/>
      <c r="AA2180"/>
      <c r="AB2180"/>
      <c r="AC2180"/>
      <c r="AD2180"/>
      <c r="AE2180"/>
      <c r="AG2180" s="2"/>
    </row>
    <row r="2181" spans="12:33" ht="49.95" customHeight="1" x14ac:dyDescent="0.3">
      <c r="L2181" s="2"/>
      <c r="M2181" s="2"/>
      <c r="N2181" s="2">
        <v>8544</v>
      </c>
      <c r="O2181" s="374" t="s">
        <v>2450</v>
      </c>
      <c r="P2181" s="16">
        <v>46184</v>
      </c>
      <c r="Q2181" s="374" t="s">
        <v>602</v>
      </c>
      <c r="R2181" s="2">
        <f>VLOOKUP(SALIDAS111518[[#This Row],[CÓDIGO]],PRODUCTOS31316[],2,FALSE)</f>
        <v>4845</v>
      </c>
      <c r="S2181" s="1" t="str">
        <f>VLOOKUP(SALIDAS111518[[#This Row],[CÓDIGO]],PRODUCTOS31316[],3,FALSE)</f>
        <v>PUNTAS AMARILLAS, UNIVERSALES. PLASTICAS, NO ESTERIL. LIBRES DE RNASE, DNASE Y PYROGENOS. RANGO DE 1-200UL. BOLSA X1000UDS.</v>
      </c>
      <c r="T2181" s="2">
        <v>1</v>
      </c>
      <c r="U2181" s="2"/>
      <c r="V2181" s="2"/>
      <c r="W2181" s="2"/>
      <c r="X2181" s="2"/>
      <c r="Y2181" s="7"/>
      <c r="Z2181"/>
      <c r="AA2181"/>
      <c r="AB2181"/>
      <c r="AC2181"/>
      <c r="AD2181"/>
      <c r="AE2181"/>
      <c r="AG2181" s="2"/>
    </row>
    <row r="2182" spans="12:33" ht="49.95" customHeight="1" x14ac:dyDescent="0.3">
      <c r="L2182" s="374" t="s">
        <v>3520</v>
      </c>
      <c r="M2182" s="374" t="s">
        <v>5213</v>
      </c>
      <c r="N2182" s="374" t="s">
        <v>5304</v>
      </c>
      <c r="O2182" s="374" t="s">
        <v>1816</v>
      </c>
      <c r="P2182" s="16">
        <v>46184</v>
      </c>
      <c r="Q2182" s="374" t="s">
        <v>5098</v>
      </c>
      <c r="R2182" s="2">
        <f>VLOOKUP(SALIDAS111518[[#This Row],[CÓDIGO]],PRODUCTOS31316[],2,FALSE)</f>
        <v>0</v>
      </c>
      <c r="S2182" s="1" t="str">
        <f>VLOOKUP(SALIDAS111518[[#This Row],[CÓDIGO]],PRODUCTOS31316[],3,FALSE)</f>
        <v>FUNDA DE TRANSFERENCIA DE EMBRIONES 0.25 PUNTA PLÁSTICA MARCA TED</v>
      </c>
      <c r="T2182" s="2">
        <v>8</v>
      </c>
      <c r="U2182" s="2">
        <v>975</v>
      </c>
      <c r="V2182" s="2"/>
      <c r="W2182" s="2"/>
      <c r="X2182" s="2"/>
      <c r="Y2182" s="7"/>
      <c r="Z2182"/>
      <c r="AA2182"/>
      <c r="AB2182"/>
      <c r="AC2182"/>
      <c r="AD2182"/>
      <c r="AE2182"/>
      <c r="AG2182" s="2"/>
    </row>
    <row r="2183" spans="12:33" ht="49.95" customHeight="1" x14ac:dyDescent="0.3">
      <c r="L2183" s="2"/>
      <c r="M2183" s="2"/>
      <c r="N2183" s="2">
        <v>8592</v>
      </c>
      <c r="O2183" s="374" t="s">
        <v>1816</v>
      </c>
      <c r="P2183" s="16">
        <v>46184</v>
      </c>
      <c r="Q2183" s="374" t="s">
        <v>1779</v>
      </c>
      <c r="R2183" s="2">
        <f>VLOOKUP(SALIDAS111518[[#This Row],[CÓDIGO]],PRODUCTOS31316[],2,FALSE)</f>
        <v>5563</v>
      </c>
      <c r="S2183" s="1" t="str">
        <f>VLOOKUP(SALIDAS111518[[#This Row],[CÓDIGO]],PRODUCTOS31316[],3,FALSE)</f>
        <v>CAMISA SANITARIA ROLLO X 80</v>
      </c>
      <c r="T2183" s="2">
        <v>1</v>
      </c>
      <c r="U2183" s="2"/>
      <c r="V2183" s="2"/>
      <c r="W2183" s="2"/>
      <c r="X2183" s="2"/>
      <c r="Y2183" s="7"/>
      <c r="Z2183"/>
      <c r="AA2183"/>
      <c r="AB2183"/>
      <c r="AC2183"/>
      <c r="AD2183"/>
      <c r="AE2183"/>
      <c r="AG2183" s="2"/>
    </row>
    <row r="2184" spans="12:33" ht="49.95" customHeight="1" x14ac:dyDescent="0.3">
      <c r="L2184" s="2"/>
      <c r="M2184" s="2"/>
      <c r="N2184" s="2">
        <v>8592</v>
      </c>
      <c r="O2184" s="374" t="s">
        <v>1816</v>
      </c>
      <c r="P2184" s="16">
        <v>46184</v>
      </c>
      <c r="Q2184" s="374" t="s">
        <v>333</v>
      </c>
      <c r="R2184" s="2" t="str">
        <f>VLOOKUP(SALIDAS111518[[#This Row],[CÓDIGO]],PRODUCTOS31316[],2,FALSE)</f>
        <v>CTB15</v>
      </c>
      <c r="S2184" s="1" t="str">
        <f>VLOOKUP(SALIDAS111518[[#This Row],[CÓDIGO]],PRODUCTOS31316[],3,FALSE)</f>
        <v>TUBO CÓNICO DE 15 ML, TAPA ROSCA ESTÉRIL  RCF MAX: 10000xg, 
graduados, PCR puro. VENCE: 03/04/2028</v>
      </c>
      <c r="T2184" s="2">
        <v>1</v>
      </c>
      <c r="U2184" s="2"/>
      <c r="V2184" s="2"/>
      <c r="W2184" s="2"/>
      <c r="X2184" s="2"/>
      <c r="Y2184" s="7"/>
      <c r="Z2184"/>
      <c r="AA2184"/>
      <c r="AB2184"/>
      <c r="AC2184"/>
      <c r="AD2184"/>
      <c r="AE2184"/>
      <c r="AG2184" s="2"/>
    </row>
    <row r="2185" spans="12:33" ht="49.95" customHeight="1" x14ac:dyDescent="0.3">
      <c r="L2185" s="2"/>
      <c r="M2185" s="2"/>
      <c r="N2185" s="2">
        <v>8592</v>
      </c>
      <c r="O2185" s="374" t="s">
        <v>1816</v>
      </c>
      <c r="P2185" s="16">
        <v>46184</v>
      </c>
      <c r="Q2185" s="374" t="s">
        <v>341</v>
      </c>
      <c r="R2185" s="2" t="str">
        <f>VLOOKUP(SALIDAS111518[[#This Row],[CÓDIGO]],PRODUCTOS31316[],2,FALSE)</f>
        <v>CTB50</v>
      </c>
      <c r="S2185" s="1" t="str">
        <f>VLOOKUP(SALIDAS111518[[#This Row],[CÓDIGO]],PRODUCTOS31316[],3,FALSE)</f>
        <v>TUBO CÓNICO DE 50 mL, TAPA ROSCA, PRE ESTERILIZADO. RCF MAX: 10000xg, graduados, PCR puro.</v>
      </c>
      <c r="T2185" s="2">
        <v>1</v>
      </c>
      <c r="U2185" s="2"/>
      <c r="V2185" s="2"/>
      <c r="W2185" s="2"/>
      <c r="X2185" s="2"/>
      <c r="Y2185" s="7"/>
      <c r="Z2185"/>
      <c r="AA2185"/>
      <c r="AB2185"/>
      <c r="AC2185"/>
      <c r="AD2185"/>
      <c r="AE2185"/>
      <c r="AG2185" s="2"/>
    </row>
    <row r="2186" spans="12:33" ht="49.95" customHeight="1" x14ac:dyDescent="0.3">
      <c r="L2186" s="2"/>
      <c r="M2186" s="2"/>
      <c r="N2186" s="2">
        <v>8592</v>
      </c>
      <c r="O2186" s="374" t="s">
        <v>1816</v>
      </c>
      <c r="P2186" s="16">
        <v>46184</v>
      </c>
      <c r="Q2186" s="374" t="s">
        <v>752</v>
      </c>
      <c r="R2186" s="2">
        <f>VLOOKUP(SALIDAS111518[[#This Row],[CÓDIGO]],PRODUCTOS31316[],2,FALSE)</f>
        <v>0</v>
      </c>
      <c r="S2186" s="1" t="str">
        <f>VLOOKUP(SALIDAS111518[[#This Row],[CÓDIGO]],PRODUCTOS31316[],3,FALSE)</f>
        <v>TABS BLANCOS</v>
      </c>
      <c r="T2186" s="2">
        <v>1</v>
      </c>
      <c r="U2186" s="2"/>
      <c r="V2186" s="2"/>
      <c r="W2186" s="2"/>
      <c r="X2186" s="2"/>
      <c r="Y2186" s="7"/>
      <c r="Z2186"/>
      <c r="AA2186"/>
      <c r="AB2186"/>
      <c r="AC2186"/>
      <c r="AD2186"/>
      <c r="AE2186"/>
      <c r="AG2186" s="2"/>
    </row>
    <row r="2187" spans="12:33" ht="49.95" customHeight="1" x14ac:dyDescent="0.3">
      <c r="L2187" s="374" t="s">
        <v>3520</v>
      </c>
      <c r="M2187" s="374" t="s">
        <v>5213</v>
      </c>
      <c r="N2187" s="374" t="s">
        <v>5303</v>
      </c>
      <c r="O2187" s="374" t="s">
        <v>2299</v>
      </c>
      <c r="P2187" s="16">
        <v>46184</v>
      </c>
      <c r="Q2187" s="374" t="s">
        <v>333</v>
      </c>
      <c r="R2187" s="2" t="str">
        <f>VLOOKUP(SALIDAS111518[[#This Row],[CÓDIGO]],PRODUCTOS31316[],2,FALSE)</f>
        <v>CTB15</v>
      </c>
      <c r="S2187" s="1" t="str">
        <f>VLOOKUP(SALIDAS111518[[#This Row],[CÓDIGO]],PRODUCTOS31316[],3,FALSE)</f>
        <v>TUBO CÓNICO DE 15 ML, TAPA ROSCA ESTÉRIL  RCF MAX: 10000xg, 
graduados, PCR puro. VENCE: 03/04/2028</v>
      </c>
      <c r="T2187" s="2">
        <v>4</v>
      </c>
      <c r="U2187" s="2">
        <v>976</v>
      </c>
      <c r="V2187" s="2"/>
      <c r="W2187" s="2"/>
      <c r="X2187" s="2"/>
      <c r="Y2187" s="7"/>
      <c r="Z2187"/>
      <c r="AA2187"/>
      <c r="AB2187"/>
      <c r="AC2187"/>
      <c r="AD2187"/>
      <c r="AE2187"/>
      <c r="AG2187" s="2"/>
    </row>
    <row r="2188" spans="12:33" ht="49.95" customHeight="1" x14ac:dyDescent="0.3">
      <c r="L2188" s="2"/>
      <c r="M2188" s="2"/>
      <c r="N2188" s="2">
        <v>8545</v>
      </c>
      <c r="O2188" s="374" t="s">
        <v>2299</v>
      </c>
      <c r="P2188" s="16">
        <v>46184</v>
      </c>
      <c r="Q2188" s="374" t="s">
        <v>63</v>
      </c>
      <c r="R2188" s="2">
        <f>VLOOKUP(SALIDAS111518[[#This Row],[CÓDIGO]],PRODUCTOS31316[],2,FALSE)</f>
        <v>25458</v>
      </c>
      <c r="S2188" s="1" t="str">
        <f>VLOOKUP(SALIDAS111518[[#This Row],[CÓDIGO]],PRODUCTOS31316[],3,FALSE)</f>
        <v>FILTROS PARA OPU 100 UL</v>
      </c>
      <c r="T2188" s="2">
        <v>3</v>
      </c>
      <c r="U2188" s="2"/>
      <c r="V2188" s="2"/>
      <c r="W2188" s="2"/>
      <c r="X2188" s="2"/>
      <c r="Y2188" s="7"/>
      <c r="Z2188"/>
      <c r="AA2188"/>
      <c r="AB2188"/>
      <c r="AC2188"/>
      <c r="AD2188"/>
      <c r="AE2188"/>
      <c r="AG2188" s="2"/>
    </row>
    <row r="2189" spans="12:33" ht="49.95" customHeight="1" x14ac:dyDescent="0.3">
      <c r="L2189" s="2"/>
      <c r="M2189" s="2"/>
      <c r="N2189" s="2">
        <v>8545</v>
      </c>
      <c r="O2189" s="374" t="s">
        <v>2299</v>
      </c>
      <c r="P2189" s="16">
        <v>46184</v>
      </c>
      <c r="Q2189" s="374" t="s">
        <v>366</v>
      </c>
      <c r="R2189" s="2">
        <f>VLOOKUP(SALIDAS111518[[#This Row],[CÓDIGO]],PRODUCTOS31316[],2,FALSE)</f>
        <v>505003</v>
      </c>
      <c r="S2189" s="1" t="str">
        <f>VLOOKUP(SALIDAS111518[[#This Row],[CÓDIGO]],PRODUCTOS31316[],3,FALSE)</f>
        <v>LACRADOR REDONDO BLANCO</v>
      </c>
      <c r="T2189" s="2">
        <v>2</v>
      </c>
      <c r="U2189" s="2"/>
      <c r="V2189" s="2"/>
      <c r="W2189" s="2"/>
      <c r="X2189" s="2"/>
      <c r="Y2189" s="7"/>
      <c r="Z2189"/>
      <c r="AA2189"/>
      <c r="AB2189"/>
      <c r="AC2189"/>
      <c r="AD2189"/>
      <c r="AE2189"/>
      <c r="AG2189" s="2"/>
    </row>
    <row r="2190" spans="12:33" ht="49.95" customHeight="1" x14ac:dyDescent="0.3">
      <c r="L2190" s="2"/>
      <c r="M2190" s="2"/>
      <c r="N2190" s="2">
        <v>8545</v>
      </c>
      <c r="O2190" s="374" t="s">
        <v>2299</v>
      </c>
      <c r="P2190" s="16">
        <v>46184</v>
      </c>
      <c r="Q2190" s="374" t="s">
        <v>2306</v>
      </c>
      <c r="R2190" s="2">
        <f>VLOOKUP(SALIDAS111518[[#This Row],[CÓDIGO]],PRODUCTOS31316[],2,FALSE)</f>
        <v>0</v>
      </c>
      <c r="S2190" s="1" t="str">
        <f>VLOOKUP(SALIDAS111518[[#This Row],[CÓDIGO]],PRODUCTOS31316[],3,FALSE)</f>
        <v>ESCALERILLAS METÁLICAS DE 10 MM</v>
      </c>
      <c r="T2190" s="2">
        <v>1</v>
      </c>
      <c r="U2190" s="2"/>
      <c r="V2190" s="2"/>
      <c r="W2190" s="2"/>
      <c r="X2190" s="2"/>
      <c r="Y2190" s="7"/>
      <c r="Z2190"/>
      <c r="AA2190"/>
      <c r="AB2190"/>
      <c r="AC2190"/>
      <c r="AD2190"/>
      <c r="AE2190"/>
      <c r="AG2190" s="2"/>
    </row>
    <row r="2191" spans="12:33" ht="49.95" customHeight="1" x14ac:dyDescent="0.3">
      <c r="L2191" s="2"/>
      <c r="M2191" s="2"/>
      <c r="N2191" s="2">
        <v>8545</v>
      </c>
      <c r="O2191" s="374" t="s">
        <v>2299</v>
      </c>
      <c r="P2191" s="16">
        <v>46184</v>
      </c>
      <c r="Q2191" s="374" t="s">
        <v>455</v>
      </c>
      <c r="R2191" s="2">
        <f>VLOOKUP(SALIDAS111518[[#This Row],[CÓDIGO]],PRODUCTOS31316[],2,FALSE)</f>
        <v>0</v>
      </c>
      <c r="S2191" s="1" t="str">
        <f>VLOOKUP(SALIDAS111518[[#This Row],[CÓDIGO]],PRODUCTOS31316[],3,FALSE)</f>
        <v>ESCALERILLAS PARA GOBLETS DE 13 MM</v>
      </c>
      <c r="T2191" s="2">
        <v>1</v>
      </c>
      <c r="U2191" s="2"/>
      <c r="V2191" s="2"/>
      <c r="W2191" s="2"/>
      <c r="X2191" s="123"/>
      <c r="Y2191" s="7"/>
      <c r="Z2191"/>
      <c r="AA2191"/>
      <c r="AB2191"/>
      <c r="AC2191"/>
      <c r="AD2191"/>
      <c r="AE2191"/>
      <c r="AG2191" s="2"/>
    </row>
    <row r="2192" spans="12:33" ht="49.95" customHeight="1" x14ac:dyDescent="0.3">
      <c r="L2192" s="2"/>
      <c r="M2192" s="2"/>
      <c r="N2192" s="2">
        <v>8545</v>
      </c>
      <c r="O2192" s="374" t="s">
        <v>2299</v>
      </c>
      <c r="P2192" s="16">
        <v>46184</v>
      </c>
      <c r="Q2192" s="374" t="s">
        <v>1681</v>
      </c>
      <c r="R2192" s="2">
        <f>VLOOKUP(SALIDAS111518[[#This Row],[CÓDIGO]],PRODUCTOS31316[],2,FALSE)</f>
        <v>347430</v>
      </c>
      <c r="S2192" s="1" t="str">
        <f>VLOOKUP(SALIDAS111518[[#This Row],[CÓDIGO]],PRODUCTOS31316[],3,FALSE)</f>
        <v>GOBLETS BLANCOS DE 10 MM</v>
      </c>
      <c r="T2192" s="2">
        <v>1</v>
      </c>
      <c r="U2192" s="2"/>
      <c r="V2192" s="2"/>
      <c r="W2192" s="2"/>
      <c r="X2192" s="2"/>
      <c r="Y2192" s="7"/>
      <c r="Z2192"/>
      <c r="AA2192"/>
      <c r="AB2192"/>
      <c r="AC2192"/>
      <c r="AD2192"/>
      <c r="AE2192"/>
      <c r="AG2192" s="2"/>
    </row>
    <row r="2193" spans="12:33" ht="49.95" customHeight="1" x14ac:dyDescent="0.3">
      <c r="L2193" s="2"/>
      <c r="M2193" s="2"/>
      <c r="N2193" s="2">
        <v>8545</v>
      </c>
      <c r="O2193" s="374" t="s">
        <v>2299</v>
      </c>
      <c r="P2193" s="16">
        <v>46184</v>
      </c>
      <c r="Q2193" s="374" t="s">
        <v>748</v>
      </c>
      <c r="R2193" s="2" t="str">
        <f>VLOOKUP(SALIDAS111518[[#This Row],[CÓDIGO]],PRODUCTOS31316[],2,FALSE)</f>
        <v>TY</v>
      </c>
      <c r="S2193" s="1" t="str">
        <f>VLOOKUP(SALIDAS111518[[#This Row],[CÓDIGO]],PRODUCTOS31316[],3,FALSE)</f>
        <v>TABS AMARILLOS</v>
      </c>
      <c r="T2193" s="2">
        <v>1</v>
      </c>
      <c r="U2193" s="2"/>
      <c r="V2193" s="2"/>
      <c r="W2193" s="2"/>
      <c r="X2193" s="2"/>
      <c r="Y2193" s="7"/>
      <c r="Z2193"/>
      <c r="AA2193"/>
      <c r="AB2193"/>
      <c r="AC2193"/>
      <c r="AD2193"/>
      <c r="AE2193"/>
      <c r="AG2193" s="2"/>
    </row>
    <row r="2194" spans="12:33" ht="49.95" customHeight="1" x14ac:dyDescent="0.3">
      <c r="L2194" s="374" t="s">
        <v>3521</v>
      </c>
      <c r="M2194" s="374" t="s">
        <v>5213</v>
      </c>
      <c r="N2194" s="374" t="s">
        <v>5302</v>
      </c>
      <c r="O2194" s="374" t="s">
        <v>4899</v>
      </c>
      <c r="P2194" s="16">
        <v>46184</v>
      </c>
      <c r="Q2194" s="374" t="s">
        <v>3599</v>
      </c>
      <c r="R2194" s="2">
        <f>VLOOKUP(SALIDAS111518[[#This Row],[CÓDIGO]],PRODUCTOS31316[],2,FALSE)</f>
        <v>0</v>
      </c>
      <c r="S2194" s="1" t="str">
        <f>VLOOKUP(SALIDAS111518[[#This Row],[CÓDIGO]],PRODUCTOS31316[],3,FALSE)</f>
        <v>ECOGRAFO AIRSCAN PRO CON SONDA LINEAL RECTAL</v>
      </c>
      <c r="T2194" s="2">
        <v>1</v>
      </c>
      <c r="U2194" s="2">
        <v>977</v>
      </c>
      <c r="V2194" s="2"/>
      <c r="W2194" s="374" t="s">
        <v>3412</v>
      </c>
      <c r="X2194" s="2"/>
      <c r="Y2194" s="7"/>
      <c r="Z2194"/>
      <c r="AA2194"/>
      <c r="AB2194"/>
      <c r="AC2194"/>
      <c r="AD2194"/>
      <c r="AE2194"/>
      <c r="AG2194" s="2"/>
    </row>
    <row r="2195" spans="12:33" ht="49.95" customHeight="1" x14ac:dyDescent="0.3">
      <c r="L2195" s="2"/>
      <c r="M2195" s="2"/>
      <c r="N2195" s="2">
        <v>8543</v>
      </c>
      <c r="O2195" s="374" t="s">
        <v>4899</v>
      </c>
      <c r="P2195" s="16">
        <v>46184</v>
      </c>
      <c r="Q2195" s="374" t="s">
        <v>3095</v>
      </c>
      <c r="R2195" s="2">
        <f>VLOOKUP(SALIDAS111518[[#This Row],[CÓDIGO]],PRODUCTOS31316[],2,FALSE)</f>
        <v>0</v>
      </c>
      <c r="S2195" s="1" t="str">
        <f>VLOOKUP(SALIDAS111518[[#This Row],[CÓDIGO]],PRODUCTOS31316[],3,FALSE)</f>
        <v>GORRA MAS CAMPO</v>
      </c>
      <c r="T2195" s="2">
        <v>1</v>
      </c>
      <c r="U2195" s="2"/>
      <c r="V2195" s="2"/>
      <c r="W2195" s="2"/>
      <c r="X2195" s="2"/>
      <c r="Y2195" s="7"/>
      <c r="Z2195"/>
      <c r="AA2195"/>
      <c r="AB2195"/>
      <c r="AC2195"/>
      <c r="AD2195"/>
      <c r="AE2195"/>
      <c r="AG2195" s="2"/>
    </row>
    <row r="2196" spans="12:33" ht="49.95" customHeight="1" x14ac:dyDescent="0.3">
      <c r="L2196" s="374" t="s">
        <v>3520</v>
      </c>
      <c r="M2196" s="374" t="s">
        <v>5213</v>
      </c>
      <c r="N2196" s="374" t="s">
        <v>5301</v>
      </c>
      <c r="O2196" s="375" t="s">
        <v>4705</v>
      </c>
      <c r="P2196" s="16">
        <v>46184</v>
      </c>
      <c r="Q2196" s="374" t="s">
        <v>104</v>
      </c>
      <c r="R2196" s="2">
        <f>VLOOKUP(SALIDAS111518[[#This Row],[CÓDIGO]],PRODUCTOS31316[],2,FALSE)</f>
        <v>0</v>
      </c>
      <c r="S2196" s="1" t="str">
        <f>VLOOKUP(SALIDAS111518[[#This Row],[CÓDIGO]],PRODUCTOS31316[],3,FALSE)</f>
        <v>ISPERM CHIPS (500 TESTS PER BOX) PAQ. X 50 UND</v>
      </c>
      <c r="T2196" s="2">
        <v>2</v>
      </c>
      <c r="U2196" s="375" t="s">
        <v>5300</v>
      </c>
      <c r="V2196" s="2"/>
      <c r="W2196" s="2"/>
      <c r="X2196" s="2"/>
      <c r="Y2196" s="7"/>
      <c r="Z2196"/>
      <c r="AA2196"/>
      <c r="AB2196"/>
      <c r="AC2196"/>
      <c r="AD2196"/>
      <c r="AE2196"/>
      <c r="AG2196" s="2"/>
    </row>
    <row r="2197" spans="12:33" ht="49.95" customHeight="1" x14ac:dyDescent="0.3">
      <c r="L2197" s="374" t="s">
        <v>3521</v>
      </c>
      <c r="M2197" s="374" t="s">
        <v>5213</v>
      </c>
      <c r="N2197" s="374" t="s">
        <v>5299</v>
      </c>
      <c r="O2197" s="375" t="s">
        <v>4176</v>
      </c>
      <c r="P2197" s="16">
        <v>46184</v>
      </c>
      <c r="Q2197" s="374" t="s">
        <v>581</v>
      </c>
      <c r="R2197" s="2">
        <f>VLOOKUP(SALIDAS111518[[#This Row],[CÓDIGO]],PRODUCTOS31316[],2,FALSE)</f>
        <v>11571</v>
      </c>
      <c r="S2197" s="1" t="str">
        <f>VLOOKUP(SALIDAS111518[[#This Row],[CÓDIGO]],PRODUCTOS31316[],3,FALSE)</f>
        <v>PINZA COGEPAJILLA</v>
      </c>
      <c r="T2197" s="2">
        <v>1</v>
      </c>
      <c r="U2197" s="2">
        <v>979</v>
      </c>
      <c r="V2197" s="2"/>
      <c r="W2197" s="2"/>
      <c r="X2197" s="2"/>
      <c r="Y2197" s="7"/>
      <c r="Z2197"/>
      <c r="AA2197"/>
      <c r="AB2197"/>
      <c r="AC2197"/>
      <c r="AD2197"/>
      <c r="AE2197"/>
      <c r="AG2197" s="2"/>
    </row>
    <row r="2198" spans="12:33" ht="49.95" customHeight="1" x14ac:dyDescent="0.3">
      <c r="L2198" s="2"/>
      <c r="M2198" s="2"/>
      <c r="N2198" s="2">
        <v>8547</v>
      </c>
      <c r="O2198" s="375" t="s">
        <v>4176</v>
      </c>
      <c r="P2198" s="16">
        <v>46184</v>
      </c>
      <c r="Q2198" s="374" t="s">
        <v>153</v>
      </c>
      <c r="R2198" s="2">
        <f>VLOOKUP(SALIDAS111518[[#This Row],[CÓDIGO]],PRODUCTOS31316[],2,FALSE)</f>
        <v>1132</v>
      </c>
      <c r="S2198" s="1" t="str">
        <f>VLOOKUP(SALIDAS111518[[#This Row],[CÓDIGO]],PRODUCTOS31316[],3,FALSE)</f>
        <v>PISTOLA QUICKLOCK CLASIC</v>
      </c>
      <c r="T2198" s="2">
        <v>1</v>
      </c>
      <c r="U2198" s="2"/>
      <c r="V2198" s="2"/>
      <c r="W2198" s="2"/>
      <c r="X2198" s="2"/>
      <c r="Y2198" s="7"/>
      <c r="Z2198"/>
      <c r="AA2198"/>
      <c r="AB2198"/>
      <c r="AC2198"/>
      <c r="AD2198"/>
      <c r="AE2198"/>
      <c r="AG2198" s="2"/>
    </row>
    <row r="2199" spans="12:33" ht="49.95" customHeight="1" x14ac:dyDescent="0.3">
      <c r="L2199" s="2"/>
      <c r="M2199" s="2"/>
      <c r="N2199" s="2">
        <v>8547</v>
      </c>
      <c r="O2199" s="375" t="s">
        <v>4176</v>
      </c>
      <c r="P2199" s="16">
        <v>46184</v>
      </c>
      <c r="Q2199" s="374" t="s">
        <v>2364</v>
      </c>
      <c r="R2199" s="2">
        <f>VLOOKUP(SALIDAS111518[[#This Row],[CÓDIGO]],PRODUCTOS31316[],2,FALSE)</f>
        <v>0</v>
      </c>
      <c r="S2199" s="1" t="str">
        <f>VLOOKUP(SALIDAS111518[[#This Row],[CÓDIGO]],PRODUCTOS31316[],3,FALSE)</f>
        <v>CORTAPAJILLAS WTA</v>
      </c>
      <c r="T2199" s="2">
        <v>1</v>
      </c>
      <c r="U2199" s="2"/>
      <c r="V2199" s="2"/>
      <c r="W2199" s="2"/>
      <c r="X2199" s="2"/>
      <c r="Y2199" s="7"/>
      <c r="Z2199"/>
      <c r="AA2199"/>
      <c r="AB2199"/>
      <c r="AC2199"/>
      <c r="AD2199"/>
      <c r="AE2199"/>
      <c r="AG2199" s="2"/>
    </row>
    <row r="2200" spans="12:33" ht="49.95" customHeight="1" x14ac:dyDescent="0.3">
      <c r="L2200" s="2"/>
      <c r="M2200" s="2"/>
      <c r="N2200" s="2">
        <v>8547</v>
      </c>
      <c r="O2200" s="375" t="s">
        <v>4176</v>
      </c>
      <c r="P2200" s="16">
        <v>46184</v>
      </c>
      <c r="Q2200" s="374" t="s">
        <v>369</v>
      </c>
      <c r="R2200" s="2">
        <f>VLOOKUP(SALIDAS111518[[#This Row],[CÓDIGO]],PRODUCTOS31316[],2,FALSE)</f>
        <v>0</v>
      </c>
      <c r="S2200" s="1" t="str">
        <f>VLOOKUP(SALIDAS111518[[#This Row],[CÓDIGO]],PRODUCTOS31316[],3,FALSE)</f>
        <v>FUNDA UNIVERSAL PARA I.A. RANURADA</v>
      </c>
      <c r="T2200" s="2">
        <v>1</v>
      </c>
      <c r="U2200" s="2"/>
      <c r="V2200" s="2"/>
      <c r="W2200" s="2"/>
      <c r="X2200" s="123"/>
      <c r="Y2200" s="7"/>
      <c r="Z2200"/>
      <c r="AA2200"/>
      <c r="AB2200"/>
      <c r="AC2200"/>
      <c r="AD2200"/>
      <c r="AE2200"/>
      <c r="AG2200" s="2"/>
    </row>
    <row r="2201" spans="12:33" ht="49.95" customHeight="1" x14ac:dyDescent="0.3">
      <c r="L2201" s="2"/>
      <c r="M2201" s="2"/>
      <c r="N2201" s="2">
        <v>8547</v>
      </c>
      <c r="O2201" s="375" t="s">
        <v>4176</v>
      </c>
      <c r="P2201" s="16">
        <v>46184</v>
      </c>
      <c r="Q2201" s="374" t="s">
        <v>3319</v>
      </c>
      <c r="R2201" s="2">
        <f>VLOOKUP(SALIDAS111518[[#This Row],[CÓDIGO]],PRODUCTOS31316[],2,FALSE)</f>
        <v>9013002</v>
      </c>
      <c r="S2201" s="1" t="str">
        <f>VLOOKUP(SALIDAS111518[[#This Row],[CÓDIGO]],PRODUCTOS31316[],3,FALSE)</f>
        <v>TERMO DESCONGELADOR DE SEMEN Y EMBRIONES DSE-480 CON BATERÍA BLUE/GRAY</v>
      </c>
      <c r="T2201" s="2">
        <v>1</v>
      </c>
      <c r="U2201" s="2"/>
      <c r="V2201" s="2"/>
      <c r="W2201" s="2"/>
      <c r="X2201" s="2"/>
      <c r="Y2201" s="7"/>
      <c r="Z2201"/>
      <c r="AA2201"/>
      <c r="AB2201"/>
      <c r="AC2201"/>
      <c r="AD2201"/>
      <c r="AE2201"/>
      <c r="AG2201" s="2"/>
    </row>
    <row r="2202" spans="12:33" ht="49.95" customHeight="1" x14ac:dyDescent="0.3">
      <c r="L2202" s="2"/>
      <c r="M2202" s="2"/>
      <c r="N2202" s="2">
        <v>8547</v>
      </c>
      <c r="O2202" s="375" t="s">
        <v>4176</v>
      </c>
      <c r="P2202" s="16">
        <v>46184</v>
      </c>
      <c r="Q2202" s="374" t="s">
        <v>3065</v>
      </c>
      <c r="R2202" s="2">
        <f>VLOOKUP(SALIDAS111518[[#This Row],[CÓDIGO]],PRODUCTOS31316[],2,FALSE)</f>
        <v>20597559</v>
      </c>
      <c r="S2202" s="1" t="str">
        <f>VLOOKUP(SALIDAS111518[[#This Row],[CÓDIGO]],PRODUCTOS31316[],3,FALSE)</f>
        <v>TERMO NITRÓGENO ET- 20</v>
      </c>
      <c r="T2202" s="2">
        <v>1</v>
      </c>
      <c r="U2202" s="2"/>
      <c r="V2202" s="2"/>
      <c r="W2202" s="2"/>
      <c r="X2202" s="2"/>
      <c r="Y2202" s="7"/>
      <c r="Z2202"/>
      <c r="AA2202"/>
      <c r="AB2202"/>
      <c r="AC2202"/>
      <c r="AD2202"/>
      <c r="AE2202"/>
      <c r="AG2202" s="2"/>
    </row>
    <row r="2203" spans="12:33" ht="49.95" customHeight="1" x14ac:dyDescent="0.3">
      <c r="L2203" s="374" t="s">
        <v>3520</v>
      </c>
      <c r="M2203" s="374" t="s">
        <v>5213</v>
      </c>
      <c r="N2203" s="374" t="s">
        <v>5298</v>
      </c>
      <c r="O2203" s="374" t="s">
        <v>2358</v>
      </c>
      <c r="P2203" s="16">
        <v>46184</v>
      </c>
      <c r="Q2203" s="374" t="s">
        <v>27</v>
      </c>
      <c r="R2203" s="2" t="str">
        <f>VLOOKUP(SALIDAS111518[[#This Row],[CÓDIGO]],PRODUCTOS31316[],2,FALSE)</f>
        <v>INO-025/ 508001</v>
      </c>
      <c r="S2203" s="1" t="str">
        <f>VLOOKUP(SALIDAS111518[[#This Row],[CÓDIGO]],PRODUCTOS31316[],3,FALSE)</f>
        <v>PISTOLA DE TRANSFERENCIA DE EMBRIONES</v>
      </c>
      <c r="T2203" s="2">
        <v>1</v>
      </c>
      <c r="U2203" s="2">
        <v>980</v>
      </c>
      <c r="V2203" s="2"/>
      <c r="W2203" s="2"/>
      <c r="X2203" s="2"/>
      <c r="Y2203" s="7"/>
      <c r="Z2203"/>
      <c r="AA2203"/>
      <c r="AB2203"/>
      <c r="AC2203"/>
      <c r="AD2203"/>
      <c r="AE2203"/>
      <c r="AG2203" s="2"/>
    </row>
    <row r="2204" spans="12:33" ht="49.95" customHeight="1" x14ac:dyDescent="0.3">
      <c r="L2204" s="374" t="s">
        <v>3520</v>
      </c>
      <c r="M2204" s="374" t="s">
        <v>5213</v>
      </c>
      <c r="N2204" s="374" t="s">
        <v>5297</v>
      </c>
      <c r="O2204" s="374" t="s">
        <v>2294</v>
      </c>
      <c r="P2204" s="16">
        <v>46184</v>
      </c>
      <c r="Q2204" s="374" t="s">
        <v>5098</v>
      </c>
      <c r="R2204" s="2">
        <f>VLOOKUP(SALIDAS111518[[#This Row],[CÓDIGO]],PRODUCTOS31316[],2,FALSE)</f>
        <v>0</v>
      </c>
      <c r="S2204" s="1" t="str">
        <f>VLOOKUP(SALIDAS111518[[#This Row],[CÓDIGO]],PRODUCTOS31316[],3,FALSE)</f>
        <v>FUNDA DE TRANSFERENCIA DE EMBRIONES 0.25 PUNTA PLÁSTICA MARCA TED</v>
      </c>
      <c r="T2204" s="2">
        <v>20</v>
      </c>
      <c r="U2204" s="2">
        <v>981</v>
      </c>
      <c r="V2204" s="2"/>
      <c r="W2204" s="2"/>
      <c r="X2204" s="2"/>
      <c r="Y2204" s="7"/>
      <c r="Z2204"/>
      <c r="AA2204"/>
      <c r="AB2204"/>
      <c r="AC2204"/>
      <c r="AD2204"/>
      <c r="AE2204"/>
      <c r="AG2204" s="2"/>
    </row>
    <row r="2205" spans="12:33" ht="49.95" customHeight="1" x14ac:dyDescent="0.3">
      <c r="L2205" s="2"/>
      <c r="M2205" s="2"/>
      <c r="N2205" s="2">
        <v>8549</v>
      </c>
      <c r="O2205" s="374" t="s">
        <v>2294</v>
      </c>
      <c r="P2205" s="16">
        <v>46184</v>
      </c>
      <c r="Q2205" s="374" t="s">
        <v>1779</v>
      </c>
      <c r="R2205" s="2">
        <f>VLOOKUP(SALIDAS111518[[#This Row],[CÓDIGO]],PRODUCTOS31316[],2,FALSE)</f>
        <v>5563</v>
      </c>
      <c r="S2205" s="1" t="str">
        <f>VLOOKUP(SALIDAS111518[[#This Row],[CÓDIGO]],PRODUCTOS31316[],3,FALSE)</f>
        <v>CAMISA SANITARIA ROLLO X 80</v>
      </c>
      <c r="T2205" s="2">
        <v>1</v>
      </c>
      <c r="U2205" s="2"/>
      <c r="V2205" s="2"/>
      <c r="W2205" s="2"/>
      <c r="X2205" s="2"/>
      <c r="Y2205" s="7"/>
      <c r="Z2205"/>
      <c r="AA2205"/>
      <c r="AB2205"/>
      <c r="AC2205"/>
      <c r="AD2205"/>
      <c r="AE2205"/>
      <c r="AG2205" s="2"/>
    </row>
    <row r="2206" spans="12:33" ht="49.95" customHeight="1" x14ac:dyDescent="0.3">
      <c r="L2206" s="374" t="s">
        <v>3520</v>
      </c>
      <c r="M2206" s="374" t="s">
        <v>5213</v>
      </c>
      <c r="N2206" s="375" t="s">
        <v>5296</v>
      </c>
      <c r="O2206" s="375" t="s">
        <v>2392</v>
      </c>
      <c r="P2206" s="16">
        <v>46184</v>
      </c>
      <c r="Q2206" s="374" t="s">
        <v>3355</v>
      </c>
      <c r="R2206" s="2">
        <f>VLOOKUP(SALIDAS111518[[#This Row],[CÓDIGO]],PRODUCTOS31316[],2,FALSE)</f>
        <v>140681</v>
      </c>
      <c r="S2206" s="1" t="str">
        <f>VLOOKUP(SALIDAS111518[[#This Row],[CÓDIGO]],PRODUCTOS31316[],3,FALSE)</f>
        <v>CAJA DE PETRI DESECHABLE ESTERIL 60x15MM.</v>
      </c>
      <c r="T2206" s="2">
        <v>20</v>
      </c>
      <c r="U2206" s="2">
        <v>982</v>
      </c>
      <c r="V2206" s="2"/>
      <c r="W2206" s="2"/>
      <c r="X2206" s="2"/>
      <c r="Y2206" s="7"/>
      <c r="Z2206"/>
      <c r="AA2206"/>
      <c r="AB2206"/>
      <c r="AC2206"/>
      <c r="AD2206"/>
      <c r="AE2206"/>
      <c r="AG2206" s="2"/>
    </row>
    <row r="2207" spans="12:33" ht="49.95" customHeight="1" x14ac:dyDescent="0.3">
      <c r="L2207" s="2"/>
      <c r="M2207" s="2"/>
      <c r="N2207" s="2">
        <v>8851</v>
      </c>
      <c r="O2207" s="375" t="s">
        <v>2392</v>
      </c>
      <c r="P2207" s="16">
        <v>46184</v>
      </c>
      <c r="Q2207" s="374" t="s">
        <v>33</v>
      </c>
      <c r="R2207" s="2" t="str">
        <f>VLOOKUP(SALIDAS111518[[#This Row],[CÓDIGO]],PRODUCTOS31316[],2,FALSE)</f>
        <v>LA-120 /506003</v>
      </c>
      <c r="S2207" s="1" t="str">
        <f>VLOOKUP(SALIDAS111518[[#This Row],[CÓDIGO]],PRODUCTOS31316[],3,FALSE)</f>
        <v>LíNEA PARA OPU 1,2 METROS</v>
      </c>
      <c r="T2207" s="2">
        <v>5</v>
      </c>
      <c r="U2207" s="2"/>
      <c r="V2207" s="2"/>
      <c r="W2207" s="2"/>
      <c r="X2207" s="2"/>
      <c r="Y2207" s="7"/>
      <c r="Z2207"/>
      <c r="AA2207"/>
      <c r="AB2207"/>
      <c r="AC2207"/>
      <c r="AD2207"/>
      <c r="AE2207"/>
      <c r="AG2207" s="2"/>
    </row>
    <row r="2208" spans="12:33" ht="49.95" customHeight="1" x14ac:dyDescent="0.3">
      <c r="L2208" s="374" t="s">
        <v>3520</v>
      </c>
      <c r="M2208" s="374" t="s">
        <v>5213</v>
      </c>
      <c r="N2208" s="374" t="s">
        <v>5295</v>
      </c>
      <c r="O2208" s="374" t="s">
        <v>2706</v>
      </c>
      <c r="P2208" s="16">
        <v>46184</v>
      </c>
      <c r="Q2208" s="374" t="s">
        <v>272</v>
      </c>
      <c r="R2208" s="2">
        <f>VLOOKUP(SALIDAS111518[[#This Row],[CÓDIGO]],PRODUCTOS31316[],2,FALSE)</f>
        <v>627161</v>
      </c>
      <c r="S2208" s="1" t="str">
        <f>VLOOKUP(SALIDAS111518[[#This Row],[CÓDIGO]],PRODUCTOS31316[],3,FALSE)</f>
        <v xml:space="preserve">CAJA PETRI 35X10 ESTERIL </v>
      </c>
      <c r="T2208" s="2">
        <v>25</v>
      </c>
      <c r="U2208" s="2">
        <v>983</v>
      </c>
      <c r="V2208" s="2"/>
      <c r="W2208" s="2"/>
      <c r="X2208" s="2"/>
      <c r="Y2208" s="7"/>
      <c r="Z2208"/>
      <c r="AA2208"/>
      <c r="AB2208"/>
      <c r="AC2208"/>
      <c r="AD2208"/>
      <c r="AE2208"/>
      <c r="AG2208" s="2"/>
    </row>
    <row r="2209" spans="12:33" ht="49.95" customHeight="1" x14ac:dyDescent="0.3">
      <c r="L2209" s="2"/>
      <c r="M2209" s="2"/>
      <c r="N2209" s="2">
        <v>8552</v>
      </c>
      <c r="O2209" s="374" t="s">
        <v>2706</v>
      </c>
      <c r="P2209" s="16">
        <v>46184</v>
      </c>
      <c r="Q2209" s="374" t="s">
        <v>247</v>
      </c>
      <c r="R2209" s="2">
        <f>VLOOKUP(SALIDAS111518[[#This Row],[CÓDIGO]],PRODUCTOS31316[],2,FALSE)</f>
        <v>352054</v>
      </c>
      <c r="S2209" s="1" t="str">
        <f>VLOOKUP(SALIDAS111518[[#This Row],[CÓDIGO]],PRODUCTOS31316[],3,FALSE)</f>
        <v>TUBO DE FONDO REDONDO DE 5ML 12X75MM , POLIESTIRENO</v>
      </c>
      <c r="T2209" s="2">
        <v>2</v>
      </c>
      <c r="U2209" s="2"/>
      <c r="V2209" s="2"/>
      <c r="W2209" s="2"/>
      <c r="X2209" s="2"/>
      <c r="Y2209" s="7"/>
      <c r="Z2209"/>
      <c r="AA2209"/>
      <c r="AB2209"/>
      <c r="AC2209"/>
      <c r="AD2209"/>
      <c r="AE2209"/>
      <c r="AG2209" s="2"/>
    </row>
    <row r="2210" spans="12:33" ht="49.95" customHeight="1" x14ac:dyDescent="0.3">
      <c r="L2210" s="2"/>
      <c r="M2210" s="2"/>
      <c r="N2210" s="2">
        <v>8552</v>
      </c>
      <c r="O2210" s="374" t="s">
        <v>2706</v>
      </c>
      <c r="P2210" s="16">
        <v>46184</v>
      </c>
      <c r="Q2210" s="374" t="s">
        <v>602</v>
      </c>
      <c r="R2210" s="2">
        <f>VLOOKUP(SALIDAS111518[[#This Row],[CÓDIGO]],PRODUCTOS31316[],2,FALSE)</f>
        <v>4845</v>
      </c>
      <c r="S2210" s="1" t="str">
        <f>VLOOKUP(SALIDAS111518[[#This Row],[CÓDIGO]],PRODUCTOS31316[],3,FALSE)</f>
        <v>PUNTAS AMARILLAS, UNIVERSALES. PLASTICAS, NO ESTERIL. LIBRES DE RNASE, DNASE Y PYROGENOS. RANGO DE 1-200UL. BOLSA X1000UDS.</v>
      </c>
      <c r="T2210" s="2">
        <v>2</v>
      </c>
      <c r="U2210" s="2"/>
      <c r="V2210" s="2"/>
      <c r="W2210" s="2"/>
      <c r="X2210" s="2"/>
      <c r="Y2210" s="7"/>
      <c r="Z2210"/>
      <c r="AA2210"/>
      <c r="AB2210"/>
      <c r="AC2210"/>
      <c r="AD2210"/>
      <c r="AE2210"/>
      <c r="AG2210" s="2"/>
    </row>
    <row r="2211" spans="12:33" ht="49.95" customHeight="1" x14ac:dyDescent="0.3">
      <c r="L2211" s="2"/>
      <c r="M2211" s="2"/>
      <c r="N2211" s="2">
        <v>8552</v>
      </c>
      <c r="O2211" s="374" t="s">
        <v>2706</v>
      </c>
      <c r="P2211" s="16">
        <v>46184</v>
      </c>
      <c r="Q2211" s="374" t="s">
        <v>3165</v>
      </c>
      <c r="R2211" s="2">
        <f>VLOOKUP(SALIDAS111518[[#This Row],[CÓDIGO]],PRODUCTOS31316[],2,FALSE)</f>
        <v>30943</v>
      </c>
      <c r="S2211" s="1" t="str">
        <f>VLOOKUP(SALIDAS111518[[#This Row],[CÓDIGO]],PRODUCTOS31316[],3,FALSE)</f>
        <v xml:space="preserve">CAJA PETRI DESECHABLE ESTERIL 90X 15 </v>
      </c>
      <c r="T2211" s="2">
        <v>10</v>
      </c>
      <c r="U2211" s="2"/>
      <c r="V2211" s="2"/>
      <c r="W2211" s="2"/>
      <c r="X2211" s="2"/>
      <c r="Y2211" s="7"/>
      <c r="Z2211" s="2"/>
      <c r="AA2211" s="1"/>
      <c r="AC2211" s="2"/>
      <c r="AE2211" s="1"/>
      <c r="AG2211" s="2"/>
    </row>
    <row r="2212" spans="12:33" ht="49.95" customHeight="1" x14ac:dyDescent="0.3">
      <c r="L2212" s="2"/>
      <c r="M2212" s="2"/>
      <c r="N2212" s="2">
        <v>8552</v>
      </c>
      <c r="O2212" s="374" t="s">
        <v>2706</v>
      </c>
      <c r="P2212" s="16">
        <v>46184</v>
      </c>
      <c r="Q2212" s="374" t="s">
        <v>3397</v>
      </c>
      <c r="R2212" s="2">
        <f>VLOOKUP(SALIDAS111518[[#This Row],[CÓDIGO]],PRODUCTOS31316[],2,FALSE)</f>
        <v>13407</v>
      </c>
      <c r="S2212" s="1" t="str">
        <f>VLOOKUP(SALIDAS111518[[#This Row],[CÓDIGO]],PRODUCTOS31316[],3,FALSE)</f>
        <v>PAJILLAS TRANSPARENTES 0,25 MINITUBE</v>
      </c>
      <c r="T2212" s="2">
        <v>1</v>
      </c>
      <c r="U2212" s="2"/>
      <c r="V2212" s="2"/>
      <c r="W2212" s="2"/>
      <c r="X2212" s="2"/>
      <c r="Y2212" s="7"/>
      <c r="Z2212" s="2"/>
      <c r="AA2212" s="1"/>
      <c r="AC2212" s="2"/>
      <c r="AE2212" s="1"/>
      <c r="AG2212" s="2"/>
    </row>
    <row r="2213" spans="12:33" ht="49.95" customHeight="1" x14ac:dyDescent="0.3">
      <c r="L2213" s="374" t="s">
        <v>3520</v>
      </c>
      <c r="M2213" s="374" t="s">
        <v>5213</v>
      </c>
      <c r="N2213" s="374" t="s">
        <v>5294</v>
      </c>
      <c r="O2213" s="375" t="s">
        <v>2725</v>
      </c>
      <c r="P2213" s="16">
        <v>46184</v>
      </c>
      <c r="Q2213" s="374" t="s">
        <v>1779</v>
      </c>
      <c r="R2213" s="2">
        <f>VLOOKUP(SALIDAS111518[[#This Row],[CÓDIGO]],PRODUCTOS31316[],2,FALSE)</f>
        <v>5563</v>
      </c>
      <c r="S2213" s="1" t="str">
        <f>VLOOKUP(SALIDAS111518[[#This Row],[CÓDIGO]],PRODUCTOS31316[],3,FALSE)</f>
        <v>CAMISA SANITARIA ROLLO X 80</v>
      </c>
      <c r="T2213" s="2">
        <v>5</v>
      </c>
      <c r="U2213" s="2">
        <v>984</v>
      </c>
      <c r="V2213" s="2"/>
      <c r="W2213" s="2"/>
      <c r="X2213" s="2"/>
      <c r="Y2213" s="7"/>
      <c r="Z2213" s="2"/>
      <c r="AA2213" s="1"/>
      <c r="AC2213" s="2"/>
      <c r="AE2213" s="1"/>
      <c r="AG2213" s="2"/>
    </row>
    <row r="2214" spans="12:33" ht="49.95" customHeight="1" x14ac:dyDescent="0.3">
      <c r="L2214" s="2"/>
      <c r="M2214" s="2"/>
      <c r="N2214" s="2">
        <v>8553</v>
      </c>
      <c r="O2214" s="375" t="s">
        <v>2725</v>
      </c>
      <c r="P2214" s="16">
        <v>46184</v>
      </c>
      <c r="Q2214" s="374" t="s">
        <v>360</v>
      </c>
      <c r="R2214" s="2">
        <f>VLOOKUP(SALIDAS111518[[#This Row],[CÓDIGO]],PRODUCTOS31316[],2,FALSE)</f>
        <v>505006</v>
      </c>
      <c r="S2214" s="1" t="str">
        <f>VLOOKUP(SALIDAS111518[[#This Row],[CÓDIGO]],PRODUCTOS31316[],3,FALSE)</f>
        <v>LACRADOR REDONDO AMARILLO</v>
      </c>
      <c r="T2214" s="2">
        <v>2</v>
      </c>
      <c r="U2214" s="2"/>
      <c r="V2214" s="2"/>
      <c r="W2214" s="2"/>
      <c r="X2214" s="2"/>
      <c r="Y2214" s="7"/>
      <c r="Z2214" s="2"/>
      <c r="AA2214" s="1"/>
      <c r="AC2214" s="2"/>
      <c r="AE2214" s="1"/>
      <c r="AG2214" s="2"/>
    </row>
    <row r="2215" spans="12:33" ht="49.95" customHeight="1" x14ac:dyDescent="0.3">
      <c r="L2215" s="2"/>
      <c r="M2215" s="2"/>
      <c r="N2215" s="2">
        <v>8553</v>
      </c>
      <c r="O2215" s="375" t="s">
        <v>2725</v>
      </c>
      <c r="P2215" s="16">
        <v>46184</v>
      </c>
      <c r="Q2215" s="374" t="s">
        <v>58</v>
      </c>
      <c r="R2215" s="2" t="str">
        <f>VLOOKUP(SALIDAS111518[[#This Row],[CÓDIGO]],PRODUCTOS31316[],2,FALSE)</f>
        <v>TNB-0001-16</v>
      </c>
      <c r="S2215" s="1" t="str">
        <f>VLOOKUP(SALIDAS111518[[#This Row],[CÓDIGO]],PRODUCTOS31316[],3,FALSE)</f>
        <v>CAMISA SANITARIA PARA OPU ASPIRACIÓN FOLICULAR</v>
      </c>
      <c r="T2215" s="2">
        <v>5</v>
      </c>
      <c r="U2215" s="2"/>
      <c r="V2215" s="2"/>
      <c r="W2215" s="2"/>
      <c r="X2215" s="2"/>
      <c r="Y2215" s="7"/>
      <c r="Z2215" s="2"/>
      <c r="AA2215" s="1"/>
      <c r="AC2215" s="2"/>
      <c r="AE2215" s="1"/>
      <c r="AG2215" s="2"/>
    </row>
    <row r="2216" spans="12:33" ht="49.95" customHeight="1" x14ac:dyDescent="0.3">
      <c r="L2216" s="374" t="s">
        <v>3521</v>
      </c>
      <c r="M2216" s="374" t="s">
        <v>5213</v>
      </c>
      <c r="N2216" s="374" t="s">
        <v>5293</v>
      </c>
      <c r="O2216" s="374" t="s">
        <v>5292</v>
      </c>
      <c r="P2216" s="16">
        <v>46184</v>
      </c>
      <c r="Q2216" s="374" t="s">
        <v>3181</v>
      </c>
      <c r="R2216" s="2">
        <f>VLOOKUP(SALIDAS111518[[#This Row],[CÓDIGO]],PRODUCTOS31316[],2,FALSE)</f>
        <v>7416</v>
      </c>
      <c r="S2216" s="1" t="str">
        <f>VLOOKUP(SALIDAS111518[[#This Row],[CÓDIGO]],PRODUCTOS31316[],3,FALSE)</f>
        <v>CAJA PLÁSTICA DE 22" DE TRANSPORTE</v>
      </c>
      <c r="T2216" s="2">
        <v>1</v>
      </c>
      <c r="U2216" s="2">
        <v>985</v>
      </c>
      <c r="V2216" s="2"/>
      <c r="W2216" s="2"/>
      <c r="X2216" s="2"/>
      <c r="Y2216" s="7"/>
      <c r="Z2216" s="2"/>
      <c r="AA2216" s="1"/>
      <c r="AC2216" s="2"/>
      <c r="AE2216" s="1"/>
      <c r="AG2216" s="2"/>
    </row>
    <row r="2217" spans="12:33" ht="49.95" customHeight="1" x14ac:dyDescent="0.3">
      <c r="L2217" s="2"/>
      <c r="M2217" s="2"/>
      <c r="N2217" s="2">
        <v>8554</v>
      </c>
      <c r="O2217" s="374" t="s">
        <v>5292</v>
      </c>
      <c r="P2217" s="16">
        <v>46184</v>
      </c>
      <c r="Q2217" s="374" t="s">
        <v>153</v>
      </c>
      <c r="R2217" s="2">
        <f>VLOOKUP(SALIDAS111518[[#This Row],[CÓDIGO]],PRODUCTOS31316[],2,FALSE)</f>
        <v>1132</v>
      </c>
      <c r="S2217" s="1" t="str">
        <f>VLOOKUP(SALIDAS111518[[#This Row],[CÓDIGO]],PRODUCTOS31316[],3,FALSE)</f>
        <v>PISTOLA QUICKLOCK CLASIC</v>
      </c>
      <c r="T2217" s="2">
        <v>1</v>
      </c>
      <c r="U2217" s="2"/>
      <c r="V2217" s="2"/>
      <c r="W2217" s="2"/>
      <c r="X2217" s="2"/>
      <c r="Y2217" s="7"/>
      <c r="Z2217" s="2"/>
      <c r="AA2217" s="1"/>
      <c r="AC2217" s="2"/>
      <c r="AE2217" s="1"/>
      <c r="AG2217" s="2"/>
    </row>
    <row r="2218" spans="12:33" ht="49.95" customHeight="1" x14ac:dyDescent="0.3">
      <c r="L2218" s="2"/>
      <c r="M2218" s="2"/>
      <c r="N2218" s="2">
        <v>8554</v>
      </c>
      <c r="O2218" s="374" t="s">
        <v>5292</v>
      </c>
      <c r="P2218" s="16">
        <v>46184</v>
      </c>
      <c r="Q2218" s="374" t="s">
        <v>369</v>
      </c>
      <c r="R2218" s="2">
        <f>VLOOKUP(SALIDAS111518[[#This Row],[CÓDIGO]],PRODUCTOS31316[],2,FALSE)</f>
        <v>0</v>
      </c>
      <c r="S2218" s="1" t="str">
        <f>VLOOKUP(SALIDAS111518[[#This Row],[CÓDIGO]],PRODUCTOS31316[],3,FALSE)</f>
        <v>FUNDA UNIVERSAL PARA I.A. RANURADA</v>
      </c>
      <c r="T2218" s="2">
        <v>1</v>
      </c>
      <c r="U2218" s="2"/>
      <c r="V2218" s="2"/>
      <c r="W2218" s="2"/>
      <c r="X2218" s="2"/>
      <c r="Y2218" s="7"/>
      <c r="Z2218" s="2"/>
      <c r="AA2218" s="1"/>
      <c r="AC2218" s="2"/>
      <c r="AE2218" s="1"/>
      <c r="AG2218" s="2"/>
    </row>
    <row r="2219" spans="12:33" ht="49.95" customHeight="1" x14ac:dyDescent="0.3">
      <c r="L2219" s="2"/>
      <c r="M2219" s="2"/>
      <c r="N2219" s="2">
        <v>8554</v>
      </c>
      <c r="O2219" s="374" t="s">
        <v>5292</v>
      </c>
      <c r="P2219" s="16">
        <v>46184</v>
      </c>
      <c r="Q2219" s="374" t="s">
        <v>658</v>
      </c>
      <c r="R2219" s="2">
        <f>VLOOKUP(SALIDAS111518[[#This Row],[CÓDIGO]],PRODUCTOS31316[],2,FALSE)</f>
        <v>0</v>
      </c>
      <c r="S2219" s="1" t="str">
        <f>VLOOKUP(SALIDAS111518[[#This Row],[CÓDIGO]],PRODUCTOS31316[],3,FALSE)</f>
        <v>CATETER TALADRO TRANSPARENTE 18"</v>
      </c>
      <c r="T2219" s="2">
        <v>1</v>
      </c>
      <c r="U2219" s="2"/>
      <c r="V2219" s="2"/>
      <c r="W2219" s="2"/>
      <c r="X2219" s="2"/>
      <c r="Y2219" s="7"/>
      <c r="Z2219" s="2"/>
      <c r="AA2219" s="1"/>
      <c r="AC2219" s="2"/>
      <c r="AE2219" s="1"/>
      <c r="AG2219" s="2"/>
    </row>
    <row r="2220" spans="12:33" ht="49.95" customHeight="1" x14ac:dyDescent="0.3">
      <c r="L2220" s="2"/>
      <c r="M2220" s="2"/>
      <c r="N2220" s="2">
        <v>8554</v>
      </c>
      <c r="O2220" s="374" t="s">
        <v>5292</v>
      </c>
      <c r="P2220" s="16">
        <v>46184</v>
      </c>
      <c r="Q2220" s="374" t="s">
        <v>236</v>
      </c>
      <c r="R2220" s="2">
        <f>VLOOKUP(SALIDAS111518[[#This Row],[CÓDIGO]],PRODUCTOS31316[],2,FALSE)</f>
        <v>0</v>
      </c>
      <c r="S2220" s="1" t="str">
        <f>VLOOKUP(SALIDAS111518[[#This Row],[CÓDIGO]],PRODUCTOS31316[],3,FALSE)</f>
        <v>TERMO METÁLICO DESCONGELADOR</v>
      </c>
      <c r="T2220" s="2">
        <v>1</v>
      </c>
      <c r="U2220" s="2"/>
      <c r="V2220" s="2"/>
      <c r="W2220" s="2"/>
      <c r="X2220" s="2"/>
      <c r="Y2220" s="7"/>
      <c r="Z2220" s="2"/>
      <c r="AA2220" s="1"/>
      <c r="AC2220" s="2"/>
      <c r="AE2220" s="1"/>
      <c r="AG2220" s="2"/>
    </row>
    <row r="2221" spans="12:33" ht="49.95" customHeight="1" x14ac:dyDescent="0.3">
      <c r="L2221" s="2"/>
      <c r="M2221" s="2"/>
      <c r="N2221" s="2">
        <v>8554</v>
      </c>
      <c r="O2221" s="374" t="s">
        <v>5292</v>
      </c>
      <c r="P2221" s="16">
        <v>46184</v>
      </c>
      <c r="Q2221" s="374" t="s">
        <v>210</v>
      </c>
      <c r="R2221" s="2">
        <f>VLOOKUP(SALIDAS111518[[#This Row],[CÓDIGO]],PRODUCTOS31316[],2,FALSE)</f>
        <v>101257</v>
      </c>
      <c r="S2221" s="1" t="str">
        <f>VLOOKUP(SALIDAS111518[[#This Row],[CÓDIGO]],PRODUCTOS31316[],3,FALSE)</f>
        <v>MANGA DESECHABLE SUPER SENSITIVA</v>
      </c>
      <c r="T2221" s="2">
        <v>1</v>
      </c>
      <c r="U2221" s="2"/>
      <c r="V2221" s="2"/>
      <c r="W2221" s="2"/>
      <c r="X2221" s="2"/>
      <c r="Y2221" s="7"/>
      <c r="Z2221" s="2"/>
      <c r="AA2221" s="1"/>
      <c r="AC2221" s="2"/>
      <c r="AE2221" s="1"/>
      <c r="AG2221" s="2"/>
    </row>
    <row r="2222" spans="12:33" ht="49.95" customHeight="1" x14ac:dyDescent="0.3">
      <c r="L2222" s="2"/>
      <c r="M2222" s="2"/>
      <c r="N2222" s="2">
        <v>8554</v>
      </c>
      <c r="O2222" s="374" t="s">
        <v>5292</v>
      </c>
      <c r="P2222" s="16">
        <v>46184</v>
      </c>
      <c r="Q2222" s="374" t="s">
        <v>581</v>
      </c>
      <c r="R2222" s="2">
        <f>VLOOKUP(SALIDAS111518[[#This Row],[CÓDIGO]],PRODUCTOS31316[],2,FALSE)</f>
        <v>11571</v>
      </c>
      <c r="S2222" s="1" t="str">
        <f>VLOOKUP(SALIDAS111518[[#This Row],[CÓDIGO]],PRODUCTOS31316[],3,FALSE)</f>
        <v>PINZA COGEPAJILLA</v>
      </c>
      <c r="T2222" s="2">
        <v>1</v>
      </c>
      <c r="U2222" s="2"/>
      <c r="V2222" s="2"/>
      <c r="W2222" s="2"/>
      <c r="X2222" s="2"/>
      <c r="Y2222" s="7"/>
      <c r="Z2222" s="2"/>
      <c r="AA2222" s="1"/>
      <c r="AC2222" s="2"/>
      <c r="AE2222" s="1"/>
      <c r="AG2222" s="2"/>
    </row>
    <row r="2223" spans="12:33" ht="49.95" customHeight="1" x14ac:dyDescent="0.3">
      <c r="L2223" s="2"/>
      <c r="M2223" s="2"/>
      <c r="N2223" s="2">
        <v>8554</v>
      </c>
      <c r="O2223" s="374" t="s">
        <v>5292</v>
      </c>
      <c r="P2223" s="16">
        <v>46184</v>
      </c>
      <c r="Q2223" s="374" t="s">
        <v>2382</v>
      </c>
      <c r="R2223" s="2">
        <f>VLOOKUP(SALIDAS111518[[#This Row],[CÓDIGO]],PRODUCTOS31316[],2,FALSE)</f>
        <v>1</v>
      </c>
      <c r="S2223" s="1" t="str">
        <f>VLOOKUP(SALIDAS111518[[#This Row],[CÓDIGO]],PRODUCTOS31316[],3,FALSE)</f>
        <v>TERMO DE TRANSPORTE 1 LITRO</v>
      </c>
      <c r="T2223" s="2">
        <v>1</v>
      </c>
      <c r="U2223" s="2"/>
      <c r="V2223" s="2"/>
      <c r="W2223" s="2"/>
      <c r="X2223" s="2"/>
      <c r="Y2223" s="7"/>
      <c r="Z2223" s="2"/>
      <c r="AA2223" s="1"/>
      <c r="AC2223" s="2"/>
      <c r="AE2223" s="1"/>
      <c r="AG2223" s="2"/>
    </row>
    <row r="2224" spans="12:33" ht="49.95" customHeight="1" x14ac:dyDescent="0.3">
      <c r="L2224" s="2"/>
      <c r="M2224" s="2"/>
      <c r="N2224" s="2">
        <v>8554</v>
      </c>
      <c r="O2224" s="374" t="s">
        <v>5292</v>
      </c>
      <c r="P2224" s="16">
        <v>46184</v>
      </c>
      <c r="Q2224" s="374" t="s">
        <v>2364</v>
      </c>
      <c r="R2224" s="2">
        <f>VLOOKUP(SALIDAS111518[[#This Row],[CÓDIGO]],PRODUCTOS31316[],2,FALSE)</f>
        <v>0</v>
      </c>
      <c r="S2224" s="1" t="str">
        <f>VLOOKUP(SALIDAS111518[[#This Row],[CÓDIGO]],PRODUCTOS31316[],3,FALSE)</f>
        <v>CORTAPAJILLAS WTA</v>
      </c>
      <c r="T2224" s="2">
        <v>1</v>
      </c>
      <c r="U2224" s="2"/>
      <c r="V2224" s="2"/>
      <c r="W2224" s="2"/>
      <c r="X2224" s="2"/>
      <c r="Y2224" s="7"/>
      <c r="Z2224" s="2"/>
      <c r="AA2224" s="1"/>
      <c r="AC2224" s="2"/>
      <c r="AE2224" s="1"/>
      <c r="AG2224" s="2"/>
    </row>
    <row r="2225" spans="12:33" ht="49.95" customHeight="1" x14ac:dyDescent="0.3">
      <c r="L2225" s="374" t="s">
        <v>3521</v>
      </c>
      <c r="M2225" s="374" t="s">
        <v>5213</v>
      </c>
      <c r="N2225" s="374" t="s">
        <v>5291</v>
      </c>
      <c r="O2225" s="375" t="s">
        <v>2379</v>
      </c>
      <c r="P2225" s="16">
        <v>46184</v>
      </c>
      <c r="Q2225" s="374" t="s">
        <v>3599</v>
      </c>
      <c r="R2225" s="2">
        <f>VLOOKUP(SALIDAS111518[[#This Row],[CÓDIGO]],PRODUCTOS31316[],2,FALSE)</f>
        <v>0</v>
      </c>
      <c r="S2225" s="1" t="str">
        <f>VLOOKUP(SALIDAS111518[[#This Row],[CÓDIGO]],PRODUCTOS31316[],3,FALSE)</f>
        <v>ECOGRAFO AIRSCAN PRO CON SONDA LINEAL RECTAL</v>
      </c>
      <c r="T2225" s="2">
        <v>1</v>
      </c>
      <c r="U2225" s="2">
        <v>986</v>
      </c>
      <c r="V2225" s="2"/>
      <c r="W2225" s="2"/>
      <c r="X2225" s="2"/>
      <c r="Y2225" s="7"/>
      <c r="Z2225" s="2"/>
      <c r="AA2225" s="1"/>
      <c r="AC2225" s="2"/>
      <c r="AE2225" s="1"/>
      <c r="AG2225" s="2"/>
    </row>
    <row r="2226" spans="12:33" ht="49.95" customHeight="1" x14ac:dyDescent="0.3">
      <c r="L2226" s="2"/>
      <c r="M2226" s="2"/>
      <c r="N2226" s="2">
        <v>8555</v>
      </c>
      <c r="O2226" s="375" t="s">
        <v>2379</v>
      </c>
      <c r="P2226" s="16">
        <v>46184</v>
      </c>
      <c r="Q2226" s="374" t="s">
        <v>3791</v>
      </c>
      <c r="R2226" s="2">
        <f>VLOOKUP(SALIDAS111518[[#This Row],[CÓDIGO]],PRODUCTOS31316[],2,FALSE)</f>
        <v>6936520864546</v>
      </c>
      <c r="S2226" s="1" t="str">
        <f>VLOOKUP(SALIDAS111518[[#This Row],[CÓDIGO]],PRODUCTOS31316[],3,FALSE)</f>
        <v>TABLET 11" HONOR PAD X8A 128 GB</v>
      </c>
      <c r="T2226" s="2">
        <v>1</v>
      </c>
      <c r="U2226" s="2"/>
      <c r="V2226" s="2"/>
      <c r="W2226" s="2"/>
      <c r="X2226" s="2"/>
      <c r="Y2226" s="7"/>
      <c r="Z2226" s="2"/>
      <c r="AA2226" s="1"/>
      <c r="AC2226" s="2"/>
      <c r="AE2226" s="1"/>
      <c r="AG2226" s="2"/>
    </row>
    <row r="2227" spans="12:33" ht="49.95" customHeight="1" x14ac:dyDescent="0.3">
      <c r="L2227" s="2"/>
      <c r="M2227" s="2"/>
      <c r="N2227" s="2">
        <v>8555</v>
      </c>
      <c r="O2227" s="375" t="s">
        <v>2379</v>
      </c>
      <c r="P2227" s="16">
        <v>46184</v>
      </c>
      <c r="Q2227" s="374" t="s">
        <v>3286</v>
      </c>
      <c r="R2227" s="2">
        <f>VLOOKUP(SALIDAS111518[[#This Row],[CÓDIGO]],PRODUCTOS31316[],2,FALSE)</f>
        <v>0</v>
      </c>
      <c r="S2227" s="1" t="str">
        <f>VLOOKUP(SALIDAS111518[[#This Row],[CÓDIGO]],PRODUCTOS31316[],3,FALSE)</f>
        <v>CARCASA TABLET BMV</v>
      </c>
      <c r="T2227" s="2">
        <v>1</v>
      </c>
      <c r="U2227" s="2"/>
      <c r="V2227" s="2"/>
      <c r="W2227" s="2"/>
      <c r="X2227" s="2"/>
      <c r="Y2227" s="7"/>
      <c r="Z2227" s="2"/>
      <c r="AA2227" s="1"/>
      <c r="AC2227" s="2"/>
      <c r="AE2227" s="1"/>
      <c r="AG2227" s="2"/>
    </row>
    <row r="2228" spans="12:33" ht="49.95" customHeight="1" x14ac:dyDescent="0.3">
      <c r="L2228" s="2"/>
      <c r="M2228" s="2"/>
      <c r="N2228" s="2">
        <v>8555</v>
      </c>
      <c r="O2228" s="375" t="s">
        <v>2379</v>
      </c>
      <c r="P2228" s="16">
        <v>46184</v>
      </c>
      <c r="Q2228" s="374" t="s">
        <v>3202</v>
      </c>
      <c r="R2228" s="2">
        <f>VLOOKUP(SALIDAS111518[[#This Row],[CÓDIGO]],PRODUCTOS31316[],2,FALSE)</f>
        <v>0</v>
      </c>
      <c r="S2228" s="1" t="str">
        <f>VLOOKUP(SALIDAS111518[[#This Row],[CÓDIGO]],PRODUCTOS31316[],3,FALSE)</f>
        <v>CABLE REPUESTO ECOGRAFO S5</v>
      </c>
      <c r="T2228" s="2">
        <v>2</v>
      </c>
      <c r="U2228" s="2"/>
      <c r="V2228" s="2"/>
      <c r="W2228" s="2"/>
      <c r="X2228" s="2"/>
      <c r="Y2228" s="7"/>
      <c r="Z2228" s="2"/>
      <c r="AA2228" s="1"/>
      <c r="AC2228" s="2"/>
      <c r="AE2228" s="1"/>
      <c r="AG2228" s="2"/>
    </row>
    <row r="2229" spans="12:33" ht="49.95" customHeight="1" x14ac:dyDescent="0.3">
      <c r="L2229" s="374" t="s">
        <v>3521</v>
      </c>
      <c r="M2229" s="374" t="s">
        <v>5213</v>
      </c>
      <c r="N2229" s="375" t="s">
        <v>5289</v>
      </c>
      <c r="O2229" s="374" t="s">
        <v>5290</v>
      </c>
      <c r="P2229" s="16">
        <v>46184</v>
      </c>
      <c r="Q2229" s="374" t="s">
        <v>3211</v>
      </c>
      <c r="R2229" s="2" t="str">
        <f>VLOOKUP(SALIDAS111518[[#This Row],[CÓDIGO]],PRODUCTOS31316[],2,FALSE)</f>
        <v>S7</v>
      </c>
      <c r="S2229" s="1" t="str">
        <f>VLOOKUP(SALIDAS111518[[#This Row],[CÓDIGO]],PRODUCTOS31316[],3,FALSE)</f>
        <v>SONDA S7 PLUS DOPPLER COLOR</v>
      </c>
      <c r="T2229" s="2">
        <v>1</v>
      </c>
      <c r="U2229" s="2">
        <v>987</v>
      </c>
      <c r="V2229" s="2"/>
      <c r="W2229" s="374" t="s">
        <v>2823</v>
      </c>
      <c r="X2229" s="2"/>
      <c r="Y2229" s="7"/>
      <c r="Z2229" s="2"/>
      <c r="AA2229" s="1"/>
      <c r="AC2229" s="2"/>
      <c r="AE2229" s="1"/>
      <c r="AG2229" s="2"/>
    </row>
    <row r="2230" spans="12:33" ht="49.95" customHeight="1" x14ac:dyDescent="0.3">
      <c r="L2230" s="2"/>
      <c r="M2230" s="2"/>
      <c r="N2230" s="2">
        <v>8556</v>
      </c>
      <c r="O2230" s="374" t="s">
        <v>5290</v>
      </c>
      <c r="P2230" s="16">
        <v>46184</v>
      </c>
      <c r="Q2230" s="374" t="s">
        <v>5114</v>
      </c>
      <c r="R2230" s="2">
        <f>VLOOKUP(SALIDAS111518[[#This Row],[CÓDIGO]],PRODUCTOS31316[],2,FALSE)</f>
        <v>0</v>
      </c>
      <c r="S2230" s="1" t="str">
        <f>VLOOKUP(SALIDAS111518[[#This Row],[CÓDIGO]],PRODUCTOS31316[],3,FALSE)</f>
        <v>TABLET SANSUNG GALAXY TAB A11+ MARCA: SANSUNG COLOR SEGUN DISPONIBILIDAD</v>
      </c>
      <c r="T2230" s="2">
        <v>1</v>
      </c>
      <c r="U2230" s="2"/>
      <c r="V2230" s="2"/>
      <c r="W2230" s="2"/>
      <c r="X2230" s="2"/>
      <c r="Y2230" s="7"/>
      <c r="Z2230" s="2"/>
      <c r="AA2230" s="1"/>
      <c r="AC2230" s="2"/>
      <c r="AE2230" s="1"/>
      <c r="AG2230" s="2"/>
    </row>
    <row r="2231" spans="12:33" ht="49.95" customHeight="1" x14ac:dyDescent="0.3">
      <c r="L2231" s="2"/>
      <c r="M2231" s="2"/>
      <c r="N2231" s="2">
        <v>8556</v>
      </c>
      <c r="O2231" s="374" t="s">
        <v>5290</v>
      </c>
      <c r="P2231" s="16">
        <v>46184</v>
      </c>
      <c r="Q2231" s="374" t="s">
        <v>3286</v>
      </c>
      <c r="R2231" s="2">
        <f>VLOOKUP(SALIDAS111518[[#This Row],[CÓDIGO]],PRODUCTOS31316[],2,FALSE)</f>
        <v>0</v>
      </c>
      <c r="S2231" s="1" t="str">
        <f>VLOOKUP(SALIDAS111518[[#This Row],[CÓDIGO]],PRODUCTOS31316[],3,FALSE)</f>
        <v>CARCASA TABLET BMV</v>
      </c>
      <c r="T2231" s="2">
        <v>1</v>
      </c>
      <c r="U2231" s="2"/>
      <c r="V2231" s="2"/>
      <c r="W2231" s="2"/>
      <c r="X2231" s="2"/>
      <c r="Y2231" s="7"/>
      <c r="Z2231" s="2"/>
      <c r="AA2231" s="1"/>
      <c r="AC2231" s="2"/>
      <c r="AE2231" s="1"/>
      <c r="AG2231" s="2"/>
    </row>
    <row r="2232" spans="12:33" ht="49.95" customHeight="1" x14ac:dyDescent="0.3">
      <c r="L2232" s="2"/>
      <c r="M2232" s="2"/>
      <c r="N2232" s="2">
        <v>8556</v>
      </c>
      <c r="O2232" s="374" t="s">
        <v>5290</v>
      </c>
      <c r="P2232" s="16">
        <v>46184</v>
      </c>
      <c r="Q2232" s="374" t="s">
        <v>2755</v>
      </c>
      <c r="R2232" s="2" t="str">
        <f>VLOOKUP(SALIDAS111518[[#This Row],[CÓDIGO]],PRODUCTOS31316[],2,FALSE)</f>
        <v>MSLDO05</v>
      </c>
      <c r="S2232" s="1" t="str">
        <f>VLOOKUP(SALIDAS111518[[#This Row],[CÓDIGO]],PRODUCTOS31316[],3,FALSE)</f>
        <v>TERMO DE RECOLECCIÓN DE SEMEN/ USO VETERINARIO</v>
      </c>
      <c r="T2232" s="2">
        <v>1</v>
      </c>
      <c r="U2232" s="2"/>
      <c r="V2232" s="2"/>
      <c r="W2232" s="2"/>
      <c r="X2232" s="2"/>
      <c r="Y2232" s="7"/>
      <c r="Z2232" s="2"/>
      <c r="AA2232" s="1"/>
      <c r="AC2232" s="2"/>
      <c r="AE2232" s="1"/>
      <c r="AG2232" s="2"/>
    </row>
    <row r="2233" spans="12:33" ht="49.95" customHeight="1" x14ac:dyDescent="0.3">
      <c r="L2233" s="2"/>
      <c r="M2233" s="2"/>
      <c r="N2233" s="2">
        <v>8556</v>
      </c>
      <c r="O2233" s="374" t="s">
        <v>5290</v>
      </c>
      <c r="P2233" s="16">
        <v>46184</v>
      </c>
      <c r="Q2233" s="374" t="s">
        <v>3095</v>
      </c>
      <c r="R2233" s="2">
        <f>VLOOKUP(SALIDAS111518[[#This Row],[CÓDIGO]],PRODUCTOS31316[],2,FALSE)</f>
        <v>0</v>
      </c>
      <c r="S2233" s="1" t="str">
        <f>VLOOKUP(SALIDAS111518[[#This Row],[CÓDIGO]],PRODUCTOS31316[],3,FALSE)</f>
        <v>GORRA MAS CAMPO</v>
      </c>
      <c r="T2233" s="2">
        <v>1</v>
      </c>
      <c r="U2233" s="2"/>
      <c r="V2233" s="2"/>
      <c r="W2233" s="2"/>
      <c r="X2233" s="2"/>
      <c r="Y2233" s="7"/>
      <c r="Z2233" s="2"/>
      <c r="AA2233" s="1"/>
      <c r="AC2233" s="2"/>
      <c r="AE2233" s="1"/>
      <c r="AG2233" s="2"/>
    </row>
    <row r="2234" spans="12:33" ht="49.95" customHeight="1" x14ac:dyDescent="0.3">
      <c r="L2234" s="374" t="s">
        <v>3520</v>
      </c>
      <c r="M2234" s="374" t="s">
        <v>5213</v>
      </c>
      <c r="N2234" s="374" t="s">
        <v>5288</v>
      </c>
      <c r="O2234" s="375" t="s">
        <v>2702</v>
      </c>
      <c r="P2234" s="16">
        <v>46185</v>
      </c>
      <c r="Q2234" s="374" t="s">
        <v>3355</v>
      </c>
      <c r="R2234" s="2">
        <f>VLOOKUP(SALIDAS111518[[#This Row],[CÓDIGO]],PRODUCTOS31316[],2,FALSE)</f>
        <v>140681</v>
      </c>
      <c r="S2234" s="1" t="str">
        <f>VLOOKUP(SALIDAS111518[[#This Row],[CÓDIGO]],PRODUCTOS31316[],3,FALSE)</f>
        <v>CAJA DE PETRI DESECHABLE ESTERIL 60x15MM.</v>
      </c>
      <c r="T2234" s="2">
        <v>10</v>
      </c>
      <c r="U2234" s="2">
        <v>988</v>
      </c>
      <c r="V2234" s="2"/>
      <c r="W2234" s="2"/>
      <c r="X2234" s="2"/>
      <c r="Y2234" s="7"/>
      <c r="Z2234" s="2"/>
      <c r="AA2234" s="1"/>
      <c r="AC2234" s="2"/>
      <c r="AE2234" s="1"/>
      <c r="AG2234" s="2"/>
    </row>
    <row r="2235" spans="12:33" ht="49.95" customHeight="1" x14ac:dyDescent="0.3">
      <c r="L2235" s="374" t="s">
        <v>3521</v>
      </c>
      <c r="M2235" s="374" t="s">
        <v>5213</v>
      </c>
      <c r="N2235" s="2"/>
      <c r="O2235" s="374" t="s">
        <v>5287</v>
      </c>
      <c r="P2235" s="16"/>
      <c r="Q2235" s="374" t="s">
        <v>4254</v>
      </c>
      <c r="R2235" s="2">
        <f>VLOOKUP(SALIDAS111518[[#This Row],[CÓDIGO]],PRODUCTOS31316[],2,FALSE)</f>
        <v>0</v>
      </c>
      <c r="S2235" s="1" t="str">
        <f>VLOOKUP(SALIDAS111518[[#This Row],[CÓDIGO]],PRODUCTOS31316[],3,FALSE)</f>
        <v>TUBO 0.50 PARA PISTOLA DE INSEMINACIÓN CON CÁMARA BMV</v>
      </c>
      <c r="T2235" s="2">
        <v>2</v>
      </c>
      <c r="U2235" s="2">
        <v>990</v>
      </c>
      <c r="V2235" s="2"/>
      <c r="W2235" s="2"/>
      <c r="X2235" s="2"/>
      <c r="Y2235" s="7"/>
      <c r="Z2235" s="2"/>
      <c r="AA2235" s="1"/>
      <c r="AC2235" s="2"/>
      <c r="AE2235" s="1"/>
      <c r="AG2235" s="2"/>
    </row>
    <row r="2236" spans="12:33" ht="49.95" customHeight="1" x14ac:dyDescent="0.3">
      <c r="L2236" s="374" t="s">
        <v>3521</v>
      </c>
      <c r="M2236" s="374" t="s">
        <v>5213</v>
      </c>
      <c r="N2236" s="374" t="s">
        <v>5286</v>
      </c>
      <c r="O2236" s="374" t="s">
        <v>5285</v>
      </c>
      <c r="P2236" s="16">
        <v>46182</v>
      </c>
      <c r="Q2236" s="374" t="s">
        <v>104</v>
      </c>
      <c r="R2236" s="2">
        <f>VLOOKUP(SALIDAS111518[[#This Row],[CÓDIGO]],PRODUCTOS31316[],2,FALSE)</f>
        <v>0</v>
      </c>
      <c r="S2236" s="1" t="str">
        <f>VLOOKUP(SALIDAS111518[[#This Row],[CÓDIGO]],PRODUCTOS31316[],3,FALSE)</f>
        <v>ISPERM CHIPS (500 TESTS PER BOX) PAQ. X 50 UND</v>
      </c>
      <c r="T2236" s="2">
        <v>1</v>
      </c>
      <c r="U2236" s="374" t="s">
        <v>5318</v>
      </c>
      <c r="V2236" s="2"/>
      <c r="W2236" s="2"/>
      <c r="X2236" s="2"/>
      <c r="Y2236" s="7"/>
      <c r="Z2236" s="2"/>
      <c r="AA2236" s="1"/>
      <c r="AC2236" s="2"/>
      <c r="AE2236" s="1"/>
      <c r="AG2236" s="2"/>
    </row>
    <row r="2237" spans="12:33" ht="49.95" customHeight="1" x14ac:dyDescent="0.3">
      <c r="L2237" s="374" t="s">
        <v>3520</v>
      </c>
      <c r="M2237" s="374" t="s">
        <v>5213</v>
      </c>
      <c r="N2237" s="374" t="s">
        <v>5284</v>
      </c>
      <c r="O2237" s="397" t="s">
        <v>2988</v>
      </c>
      <c r="P2237" s="16">
        <v>46189</v>
      </c>
      <c r="Q2237" s="374" t="s">
        <v>36</v>
      </c>
      <c r="R2237" s="2">
        <f>VLOOKUP(SALIDAS111518[[#This Row],[CÓDIGO]],PRODUCTOS31316[],2,FALSE)</f>
        <v>1</v>
      </c>
      <c r="S2237" s="1" t="str">
        <f>VLOOKUP(SALIDAS111518[[#This Row],[CÓDIGO]],PRODUCTOS31316[],3,FALSE)</f>
        <v xml:space="preserve">PARCHE ESTROTECT </v>
      </c>
      <c r="T2237" s="2">
        <v>50</v>
      </c>
      <c r="U2237" s="2">
        <v>992</v>
      </c>
      <c r="V2237" s="2"/>
      <c r="W2237" s="2"/>
      <c r="X2237" s="2"/>
      <c r="Y2237" s="7"/>
      <c r="Z2237" s="2"/>
      <c r="AA2237" s="1"/>
      <c r="AC2237" s="2"/>
      <c r="AE2237" s="1"/>
      <c r="AG2237" s="2"/>
    </row>
    <row r="2238" spans="12:33" ht="49.95" customHeight="1" x14ac:dyDescent="0.3">
      <c r="L2238" s="374" t="s">
        <v>3520</v>
      </c>
      <c r="M2238" s="374" t="s">
        <v>5213</v>
      </c>
      <c r="N2238" s="374" t="s">
        <v>5283</v>
      </c>
      <c r="O2238" s="390" t="s">
        <v>2392</v>
      </c>
      <c r="P2238" s="16">
        <v>46189</v>
      </c>
      <c r="Q2238" s="374" t="s">
        <v>1127</v>
      </c>
      <c r="R2238" s="2">
        <f>VLOOKUP(SALIDAS111518[[#This Row],[CÓDIGO]],PRODUCTOS31316[],2,FALSE)</f>
        <v>10372</v>
      </c>
      <c r="S2238" s="1" t="str">
        <f>VLOOKUP(SALIDAS111518[[#This Row],[CÓDIGO]],PRODUCTOS31316[],3,FALSE)</f>
        <v>FILTRO DE BOMBA DE VACÍO</v>
      </c>
      <c r="T2238" s="2">
        <v>1</v>
      </c>
      <c r="U2238" s="2">
        <v>993</v>
      </c>
      <c r="V2238" s="2"/>
      <c r="W2238" s="2"/>
      <c r="X2238" s="2"/>
      <c r="Y2238" s="7"/>
      <c r="Z2238" s="2"/>
      <c r="AA2238" s="1"/>
      <c r="AC2238" s="2"/>
      <c r="AE2238" s="1"/>
      <c r="AG2238" s="2"/>
    </row>
    <row r="2239" spans="12:33" ht="49.95" customHeight="1" x14ac:dyDescent="0.3">
      <c r="L2239" s="374" t="s">
        <v>3520</v>
      </c>
      <c r="M2239" s="374" t="s">
        <v>5213</v>
      </c>
      <c r="N2239" s="374" t="s">
        <v>5282</v>
      </c>
      <c r="O2239" s="375" t="s">
        <v>3482</v>
      </c>
      <c r="P2239" s="16">
        <v>46189</v>
      </c>
      <c r="Q2239" s="374" t="s">
        <v>3308</v>
      </c>
      <c r="R2239" s="2">
        <f>VLOOKUP(SALIDAS111518[[#This Row],[CÓDIGO]],PRODUCTOS31316[],2,FALSE)</f>
        <v>50</v>
      </c>
      <c r="S2239" s="1" t="str">
        <f>VLOOKUP(SALIDAS111518[[#This Row],[CÓDIGO]],PRODUCTOS31316[],3,FALSE)</f>
        <v>MAXI FILTRO</v>
      </c>
      <c r="T2239" s="2">
        <v>5</v>
      </c>
      <c r="U2239" s="2">
        <v>994</v>
      </c>
      <c r="V2239" s="2"/>
      <c r="W2239" s="2"/>
      <c r="X2239" s="2"/>
      <c r="Y2239" s="7"/>
      <c r="Z2239" s="2"/>
      <c r="AA2239" s="1"/>
      <c r="AC2239" s="2"/>
      <c r="AE2239" s="1"/>
      <c r="AG2239" s="2"/>
    </row>
    <row r="2240" spans="12:33" ht="49.95" customHeight="1" x14ac:dyDescent="0.3">
      <c r="L2240" s="2"/>
      <c r="M2240" s="2"/>
      <c r="N2240" s="2">
        <v>8563</v>
      </c>
      <c r="O2240" s="375" t="s">
        <v>3482</v>
      </c>
      <c r="P2240" s="16">
        <v>46189</v>
      </c>
      <c r="Q2240" s="374" t="s">
        <v>3165</v>
      </c>
      <c r="R2240" s="2">
        <f>VLOOKUP(SALIDAS111518[[#This Row],[CÓDIGO]],PRODUCTOS31316[],2,FALSE)</f>
        <v>30943</v>
      </c>
      <c r="S2240" s="1" t="str">
        <f>VLOOKUP(SALIDAS111518[[#This Row],[CÓDIGO]],PRODUCTOS31316[],3,FALSE)</f>
        <v xml:space="preserve">CAJA PETRI DESECHABLE ESTERIL 90X 15 </v>
      </c>
      <c r="T2240" s="2">
        <v>1</v>
      </c>
      <c r="U2240" s="2"/>
      <c r="V2240" s="2"/>
      <c r="W2240" s="2"/>
      <c r="X2240" s="2"/>
      <c r="Y2240" s="7"/>
      <c r="Z2240" s="2"/>
      <c r="AA2240" s="1"/>
      <c r="AC2240" s="2"/>
      <c r="AE2240" s="1"/>
      <c r="AG2240" s="2"/>
    </row>
    <row r="2241" spans="12:33" ht="49.95" customHeight="1" x14ac:dyDescent="0.3">
      <c r="L2241" s="2"/>
      <c r="M2241" s="2"/>
      <c r="N2241" s="2">
        <v>8563</v>
      </c>
      <c r="O2241" s="375" t="s">
        <v>3482</v>
      </c>
      <c r="P2241" s="16">
        <v>46189</v>
      </c>
      <c r="Q2241" s="374" t="s">
        <v>3303</v>
      </c>
      <c r="R2241" s="2">
        <f>VLOOKUP(SALIDAS111518[[#This Row],[CÓDIGO]],PRODUCTOS31316[],2,FALSE)</f>
        <v>10</v>
      </c>
      <c r="S2241" s="1" t="str">
        <f>VLOOKUP(SALIDAS111518[[#This Row],[CÓDIGO]],PRODUCTOS31316[],3,FALSE)</f>
        <v>CAJA PETRI 4 POZOS / 3,026X3,026 CM</v>
      </c>
      <c r="T2241" s="2">
        <v>10</v>
      </c>
      <c r="U2241" s="2"/>
      <c r="V2241" s="2"/>
      <c r="W2241" s="2"/>
      <c r="X2241" s="2"/>
      <c r="Y2241" s="7"/>
      <c r="Z2241" s="2"/>
      <c r="AA2241" s="1"/>
      <c r="AC2241" s="2"/>
      <c r="AE2241" s="1"/>
      <c r="AG2241" s="2"/>
    </row>
    <row r="2242" spans="12:33" ht="49.95" customHeight="1" x14ac:dyDescent="0.3">
      <c r="L2242" s="2"/>
      <c r="M2242" s="2"/>
      <c r="N2242" s="2">
        <v>8563</v>
      </c>
      <c r="O2242" s="375" t="s">
        <v>3482</v>
      </c>
      <c r="P2242" s="16">
        <v>46189</v>
      </c>
      <c r="Q2242" s="374" t="s">
        <v>2829</v>
      </c>
      <c r="R2242" s="2">
        <f>VLOOKUP(SALIDAS111518[[#This Row],[CÓDIGO]],PRODUCTOS31316[],2,FALSE)</f>
        <v>5565</v>
      </c>
      <c r="S2242" s="1" t="str">
        <f>VLOOKUP(SALIDAS111518[[#This Row],[CÓDIGO]],PRODUCTOS31316[],3,FALSE)</f>
        <v>PAJILLAS TRANSPARENTES 0,25</v>
      </c>
      <c r="T2242" s="2">
        <v>2</v>
      </c>
      <c r="U2242" s="2"/>
      <c r="V2242" s="2"/>
      <c r="W2242" s="2"/>
      <c r="X2242" s="2"/>
      <c r="Y2242" s="7"/>
      <c r="Z2242" s="2"/>
      <c r="AA2242" s="1"/>
      <c r="AC2242" s="2"/>
      <c r="AE2242" s="1"/>
      <c r="AG2242" s="2"/>
    </row>
    <row r="2243" spans="12:33" ht="49.95" customHeight="1" x14ac:dyDescent="0.3">
      <c r="L2243" s="374" t="s">
        <v>3521</v>
      </c>
      <c r="M2243" s="374" t="s">
        <v>5213</v>
      </c>
      <c r="N2243" s="374" t="s">
        <v>5280</v>
      </c>
      <c r="O2243" s="374" t="s">
        <v>2722</v>
      </c>
      <c r="P2243" s="16">
        <v>46189</v>
      </c>
      <c r="Q2243" s="374" t="s">
        <v>3599</v>
      </c>
      <c r="R2243" s="2">
        <f>VLOOKUP(SALIDAS111518[[#This Row],[CÓDIGO]],PRODUCTOS31316[],2,FALSE)</f>
        <v>0</v>
      </c>
      <c r="S2243" s="1" t="str">
        <f>VLOOKUP(SALIDAS111518[[#This Row],[CÓDIGO]],PRODUCTOS31316[],3,FALSE)</f>
        <v>ECOGRAFO AIRSCAN PRO CON SONDA LINEAL RECTAL</v>
      </c>
      <c r="T2243" s="2">
        <v>1</v>
      </c>
      <c r="U2243" s="2">
        <v>995</v>
      </c>
      <c r="V2243" s="2"/>
      <c r="W2243" s="2"/>
      <c r="X2243" s="2"/>
      <c r="Y2243" s="7"/>
      <c r="Z2243" s="2"/>
      <c r="AA2243" s="1"/>
      <c r="AC2243" s="2"/>
      <c r="AE2243" s="1"/>
      <c r="AG2243" s="2"/>
    </row>
    <row r="2244" spans="12:33" ht="49.95" customHeight="1" x14ac:dyDescent="0.3">
      <c r="L2244" s="2"/>
      <c r="M2244" s="2"/>
      <c r="N2244" s="2">
        <v>8565</v>
      </c>
      <c r="O2244" s="374" t="s">
        <v>2722</v>
      </c>
      <c r="P2244" s="16">
        <v>46189</v>
      </c>
      <c r="Q2244" s="374" t="s">
        <v>3365</v>
      </c>
      <c r="R2244" s="2">
        <f>VLOOKUP(SALIDAS111518[[#This Row],[CÓDIGO]],PRODUCTOS31316[],2,FALSE)</f>
        <v>0</v>
      </c>
      <c r="S2244" s="1" t="str">
        <f>VLOOKUP(SALIDAS111518[[#This Row],[CÓDIGO]],PRODUCTOS31316[],3,FALSE)</f>
        <v>MANGA DE PROTECCIÓN PALPACIÓN MAS CAMPO</v>
      </c>
      <c r="T2244" s="2">
        <v>1</v>
      </c>
      <c r="U2244" s="2"/>
      <c r="V2244" s="2"/>
      <c r="W2244" s="2"/>
      <c r="X2244" s="2"/>
      <c r="Y2244" s="7"/>
      <c r="Z2244" s="2"/>
      <c r="AA2244" s="1"/>
      <c r="AC2244" s="2"/>
      <c r="AE2244" s="1"/>
      <c r="AG2244" s="2"/>
    </row>
    <row r="2245" spans="12:33" ht="49.95" customHeight="1" x14ac:dyDescent="0.3">
      <c r="L2245" s="374" t="s">
        <v>3521</v>
      </c>
      <c r="M2245" s="374" t="s">
        <v>5213</v>
      </c>
      <c r="N2245" s="374" t="s">
        <v>5281</v>
      </c>
      <c r="O2245" s="374" t="s">
        <v>2722</v>
      </c>
      <c r="P2245" s="16">
        <v>46189</v>
      </c>
      <c r="Q2245" s="374" t="s">
        <v>79</v>
      </c>
      <c r="R2245" s="2" t="str">
        <f>VLOOKUP(SALIDAS111518[[#This Row],[CÓDIGO]],PRODUCTOS31316[],2,FALSE)</f>
        <v>ABT ADAPT HOLDING</v>
      </c>
      <c r="S2245" s="1" t="str">
        <f>VLOOKUP(SALIDAS111518[[#This Row],[CÓDIGO]],PRODUCTOS31316[],3,FALSE)</f>
        <v>ABT ADAPT HOLDING CON HA 7 ML</v>
      </c>
      <c r="T2245" s="2">
        <v>3</v>
      </c>
      <c r="U2245" s="374" t="s">
        <v>5279</v>
      </c>
      <c r="V2245" s="2"/>
      <c r="W2245" s="2"/>
      <c r="X2245" s="2"/>
      <c r="Y2245" s="7"/>
      <c r="Z2245" s="2"/>
      <c r="AA2245" s="1"/>
      <c r="AC2245" s="2"/>
      <c r="AE2245" s="1"/>
      <c r="AG2245" s="2"/>
    </row>
    <row r="2246" spans="12:33" ht="49.95" customHeight="1" x14ac:dyDescent="0.3">
      <c r="L2246" s="2"/>
      <c r="M2246" s="2"/>
      <c r="N2246" s="2">
        <v>8565</v>
      </c>
      <c r="O2246" s="374" t="s">
        <v>2722</v>
      </c>
      <c r="P2246" s="16">
        <v>46189</v>
      </c>
      <c r="Q2246" s="374" t="s">
        <v>247</v>
      </c>
      <c r="R2246" s="2">
        <f>VLOOKUP(SALIDAS111518[[#This Row],[CÓDIGO]],PRODUCTOS31316[],2,FALSE)</f>
        <v>352054</v>
      </c>
      <c r="S2246" s="1" t="str">
        <f>VLOOKUP(SALIDAS111518[[#This Row],[CÓDIGO]],PRODUCTOS31316[],3,FALSE)</f>
        <v>TUBO DE FONDO REDONDO DE 5ML 12X75MM , POLIESTIRENO</v>
      </c>
      <c r="T2246" s="2">
        <v>1</v>
      </c>
      <c r="U2246" s="2"/>
      <c r="V2246" s="2"/>
      <c r="W2246" s="2"/>
      <c r="X2246" s="2"/>
      <c r="Y2246" s="7"/>
      <c r="Z2246" s="2"/>
      <c r="AA2246" s="1"/>
      <c r="AC2246" s="2"/>
      <c r="AE2246" s="1"/>
      <c r="AG2246" s="2"/>
    </row>
    <row r="2247" spans="12:33" ht="49.95" customHeight="1" x14ac:dyDescent="0.3">
      <c r="L2247" s="374" t="s">
        <v>3520</v>
      </c>
      <c r="M2247" s="374" t="s">
        <v>5213</v>
      </c>
      <c r="N2247" s="374" t="s">
        <v>5278</v>
      </c>
      <c r="O2247" s="374" t="s">
        <v>2204</v>
      </c>
      <c r="P2247" s="16">
        <v>46189</v>
      </c>
      <c r="Q2247" s="374" t="s">
        <v>3355</v>
      </c>
      <c r="R2247" s="2">
        <f>VLOOKUP(SALIDAS111518[[#This Row],[CÓDIGO]],PRODUCTOS31316[],2,FALSE)</f>
        <v>140681</v>
      </c>
      <c r="S2247" s="1" t="str">
        <f>VLOOKUP(SALIDAS111518[[#This Row],[CÓDIGO]],PRODUCTOS31316[],3,FALSE)</f>
        <v>CAJA DE PETRI DESECHABLE ESTERIL 60x15MM.</v>
      </c>
      <c r="T2247" s="2">
        <v>10</v>
      </c>
      <c r="U2247" s="2">
        <v>997</v>
      </c>
      <c r="V2247" s="2"/>
      <c r="W2247" s="2"/>
      <c r="X2247" s="2"/>
      <c r="Y2247" s="7"/>
      <c r="Z2247" s="2"/>
      <c r="AA2247" s="1"/>
      <c r="AC2247" s="2"/>
      <c r="AE2247" s="1"/>
      <c r="AG2247" s="2"/>
    </row>
    <row r="2248" spans="12:33" ht="49.95" customHeight="1" x14ac:dyDescent="0.3">
      <c r="L2248" s="2"/>
      <c r="M2248" s="2"/>
      <c r="N2248" s="2">
        <v>8567</v>
      </c>
      <c r="O2248" s="374" t="s">
        <v>2204</v>
      </c>
      <c r="P2248" s="16">
        <v>46189</v>
      </c>
      <c r="Q2248" s="374" t="s">
        <v>333</v>
      </c>
      <c r="R2248" s="2" t="str">
        <f>VLOOKUP(SALIDAS111518[[#This Row],[CÓDIGO]],PRODUCTOS31316[],2,FALSE)</f>
        <v>CTB15</v>
      </c>
      <c r="S2248" s="1" t="str">
        <f>VLOOKUP(SALIDAS111518[[#This Row],[CÓDIGO]],PRODUCTOS31316[],3,FALSE)</f>
        <v>TUBO CÓNICO DE 15 ML, TAPA ROSCA ESTÉRIL  RCF MAX: 10000xg, 
graduados, PCR puro. VENCE: 03/04/2028</v>
      </c>
      <c r="T2248" s="2">
        <v>7</v>
      </c>
      <c r="U2248" s="2"/>
      <c r="V2248" s="2"/>
      <c r="W2248" s="2"/>
      <c r="X2248" s="2"/>
      <c r="Y2248" s="7"/>
      <c r="Z2248" s="2"/>
      <c r="AA2248" s="1"/>
      <c r="AC2248" s="2"/>
      <c r="AE2248" s="1"/>
      <c r="AG2248" s="2"/>
    </row>
    <row r="2249" spans="12:33" ht="49.95" customHeight="1" x14ac:dyDescent="0.3">
      <c r="L2249" s="374" t="s">
        <v>3520</v>
      </c>
      <c r="M2249" s="374" t="s">
        <v>5213</v>
      </c>
      <c r="N2249" s="2">
        <v>15498</v>
      </c>
      <c r="O2249" s="374" t="s">
        <v>3021</v>
      </c>
      <c r="P2249" s="16">
        <v>46189</v>
      </c>
      <c r="Q2249" s="374" t="s">
        <v>36</v>
      </c>
      <c r="R2249" s="2">
        <f>VLOOKUP(SALIDAS111518[[#This Row],[CÓDIGO]],PRODUCTOS31316[],2,FALSE)</f>
        <v>1</v>
      </c>
      <c r="S2249" s="1" t="str">
        <f>VLOOKUP(SALIDAS111518[[#This Row],[CÓDIGO]],PRODUCTOS31316[],3,FALSE)</f>
        <v xml:space="preserve">PARCHE ESTROTECT </v>
      </c>
      <c r="T2249" s="2">
        <v>52</v>
      </c>
      <c r="U2249" s="2">
        <v>998</v>
      </c>
      <c r="V2249" s="2"/>
      <c r="W2249" s="374" t="s">
        <v>3412</v>
      </c>
      <c r="X2249" s="2"/>
      <c r="Y2249" s="7"/>
      <c r="Z2249" s="2"/>
      <c r="AA2249" s="1"/>
      <c r="AC2249" s="2"/>
      <c r="AE2249" s="1"/>
      <c r="AG2249" s="2"/>
    </row>
    <row r="2250" spans="12:33" ht="49.95" customHeight="1" x14ac:dyDescent="0.3">
      <c r="L2250" s="374" t="s">
        <v>3520</v>
      </c>
      <c r="M2250" s="374" t="s">
        <v>5213</v>
      </c>
      <c r="N2250" s="374" t="s">
        <v>5277</v>
      </c>
      <c r="O2250" s="375" t="s">
        <v>3535</v>
      </c>
      <c r="P2250" s="16">
        <v>46189</v>
      </c>
      <c r="Q2250" s="374" t="s">
        <v>3142</v>
      </c>
      <c r="R2250" s="2">
        <f>VLOOKUP(SALIDAS111518[[#This Row],[CÓDIGO]],PRODUCTOS31316[],2,FALSE)</f>
        <v>16301</v>
      </c>
      <c r="S2250" s="1" t="str">
        <f>VLOOKUP(SALIDAS111518[[#This Row],[CÓDIGO]],PRODUCTOS31316[],3,FALSE)</f>
        <v>PISTOLA DE TRANSFERENCIA DE EMBRIONES 0,25 DE MANGO DE ALUMINIO</v>
      </c>
      <c r="T2250" s="2">
        <v>1</v>
      </c>
      <c r="U2250" s="2">
        <v>999</v>
      </c>
      <c r="V2250" s="2"/>
      <c r="W2250" s="2"/>
      <c r="X2250" s="2"/>
      <c r="Y2250" s="7"/>
      <c r="Z2250" s="2"/>
      <c r="AA2250" s="1"/>
      <c r="AC2250" s="2"/>
      <c r="AE2250" s="1"/>
      <c r="AG2250" s="2"/>
    </row>
    <row r="2251" spans="12:33" ht="49.95" customHeight="1" x14ac:dyDescent="0.3">
      <c r="L2251" s="374" t="s">
        <v>3521</v>
      </c>
      <c r="M2251" s="374" t="s">
        <v>5213</v>
      </c>
      <c r="N2251" s="374" t="s">
        <v>5274</v>
      </c>
      <c r="O2251" s="374" t="s">
        <v>3299</v>
      </c>
      <c r="P2251" s="16">
        <v>46189</v>
      </c>
      <c r="Q2251" s="374" t="s">
        <v>443</v>
      </c>
      <c r="R2251" s="2">
        <f>VLOOKUP(SALIDAS111518[[#This Row],[CÓDIGO]],PRODUCTOS31316[],2,FALSE)</f>
        <v>23064</v>
      </c>
      <c r="S2251" s="1" t="str">
        <f>VLOOKUP(SALIDAS111518[[#This Row],[CÓDIGO]],PRODUCTOS31316[],3,FALSE)</f>
        <v>TERMO DESCONGELADOR DE SEMEN DE EMBRIONES AZUL</v>
      </c>
      <c r="T2251" s="2">
        <v>1</v>
      </c>
      <c r="U2251" s="2">
        <v>1000</v>
      </c>
      <c r="V2251" s="2"/>
      <c r="W2251" s="2"/>
      <c r="X2251" s="2"/>
      <c r="Y2251" s="7"/>
      <c r="Z2251" s="2"/>
      <c r="AA2251" s="1"/>
      <c r="AC2251" s="2"/>
      <c r="AE2251" s="1"/>
      <c r="AG2251" s="2"/>
    </row>
    <row r="2252" spans="12:33" ht="49.95" customHeight="1" x14ac:dyDescent="0.3">
      <c r="L2252" s="374" t="s">
        <v>3520</v>
      </c>
      <c r="M2252" s="374" t="s">
        <v>5213</v>
      </c>
      <c r="N2252" s="374" t="s">
        <v>5273</v>
      </c>
      <c r="O2252" s="374" t="s">
        <v>2730</v>
      </c>
      <c r="P2252" s="16">
        <v>46189</v>
      </c>
      <c r="Q2252" s="374" t="s">
        <v>36</v>
      </c>
      <c r="R2252" s="2">
        <f>VLOOKUP(SALIDAS111518[[#This Row],[CÓDIGO]],PRODUCTOS31316[],2,FALSE)</f>
        <v>1</v>
      </c>
      <c r="S2252" s="1" t="str">
        <f>VLOOKUP(SALIDAS111518[[#This Row],[CÓDIGO]],PRODUCTOS31316[],3,FALSE)</f>
        <v xml:space="preserve">PARCHE ESTROTECT </v>
      </c>
      <c r="T2252" s="2">
        <v>6</v>
      </c>
      <c r="U2252" s="2">
        <v>1001</v>
      </c>
      <c r="V2252" s="2"/>
      <c r="W2252" s="2"/>
      <c r="X2252" s="2"/>
      <c r="Y2252" s="7"/>
      <c r="Z2252" s="2"/>
      <c r="AA2252" s="1"/>
      <c r="AC2252" s="2"/>
      <c r="AE2252" s="1"/>
      <c r="AG2252" s="2"/>
    </row>
    <row r="2253" spans="12:33" ht="49.95" customHeight="1" x14ac:dyDescent="0.3">
      <c r="L2253" s="374" t="s">
        <v>3520</v>
      </c>
      <c r="M2253" s="374" t="s">
        <v>5213</v>
      </c>
      <c r="N2253" s="374" t="s">
        <v>5272</v>
      </c>
      <c r="O2253" s="374" t="s">
        <v>2796</v>
      </c>
      <c r="P2253" s="16">
        <v>46190</v>
      </c>
      <c r="Q2253" s="374" t="s">
        <v>1631</v>
      </c>
      <c r="R2253" s="2" t="str">
        <f>VLOOKUP(SALIDAS111518[[#This Row],[CÓDIGO]],PRODUCTOS31316[],2,FALSE)</f>
        <v>7101-CRAL</v>
      </c>
      <c r="S2253" s="1" t="str">
        <f>VLOOKUP(SALIDAS111518[[#This Row],[CÓDIGO]],PRODUCTOS31316[],3,FALSE)</f>
        <v>LAMINA PORTA OBJETOS LISA EN VIDRIO 26X76MM, BORDE ESMERILADO</v>
      </c>
      <c r="T2253" s="2">
        <v>4</v>
      </c>
      <c r="U2253" s="2">
        <v>1002</v>
      </c>
      <c r="V2253" s="2"/>
      <c r="W2253" s="374" t="s">
        <v>3412</v>
      </c>
      <c r="X2253" s="2"/>
      <c r="Y2253" s="7"/>
      <c r="Z2253" s="2"/>
      <c r="AA2253" s="1"/>
      <c r="AC2253" s="2"/>
      <c r="AE2253" s="1"/>
      <c r="AG2253" s="2"/>
    </row>
    <row r="2254" spans="12:33" ht="49.95" customHeight="1" x14ac:dyDescent="0.3">
      <c r="L2254" s="2"/>
      <c r="M2254" s="2"/>
      <c r="N2254" s="2">
        <v>8575</v>
      </c>
      <c r="O2254" s="374" t="s">
        <v>2796</v>
      </c>
      <c r="P2254" s="16">
        <v>46190</v>
      </c>
      <c r="Q2254" s="374" t="s">
        <v>1637</v>
      </c>
      <c r="R2254" s="2" t="str">
        <f>VLOOKUP(SALIDAS111518[[#This Row],[CÓDIGO]],PRODUCTOS31316[],2,FALSE)</f>
        <v>P22X22</v>
      </c>
      <c r="S2254" s="1" t="str">
        <f>VLOOKUP(SALIDAS111518[[#This Row],[CÓDIGO]],PRODUCTOS31316[],3,FALSE)</f>
        <v>LAMINA CUBRE OBJETO EN VIDRIO 22X22</v>
      </c>
      <c r="T2254" s="2">
        <v>4</v>
      </c>
      <c r="U2254" s="2"/>
      <c r="V2254" s="2"/>
      <c r="W2254" s="2"/>
      <c r="X2254" s="2"/>
      <c r="Y2254" s="7"/>
      <c r="Z2254" s="2"/>
      <c r="AA2254" s="1"/>
      <c r="AC2254" s="2"/>
      <c r="AE2254" s="1"/>
      <c r="AG2254" s="2"/>
    </row>
    <row r="2255" spans="12:33" ht="49.95" customHeight="1" x14ac:dyDescent="0.3">
      <c r="L2255" s="2"/>
      <c r="M2255" s="2"/>
      <c r="N2255" s="2">
        <v>8575</v>
      </c>
      <c r="O2255" s="374" t="s">
        <v>2796</v>
      </c>
      <c r="P2255" s="16">
        <v>46190</v>
      </c>
      <c r="Q2255" s="374" t="s">
        <v>3233</v>
      </c>
      <c r="R2255" s="2" t="str">
        <f>VLOOKUP(SALIDAS111518[[#This Row],[CÓDIGO]],PRODUCTOS31316[],2,FALSE)</f>
        <v>JA3022</v>
      </c>
      <c r="S2255" s="1" t="str">
        <f>VLOOKUP(SALIDAS111518[[#This Row],[CÓDIGO]],PRODUCTOS31316[],3,FALSE)</f>
        <v>PIPETA AUTOMÁTICA VOLUMEN DE 0.5A 10UL</v>
      </c>
      <c r="T2255" s="2">
        <v>1</v>
      </c>
      <c r="U2255" s="2"/>
      <c r="V2255" s="2"/>
      <c r="W2255" s="2"/>
      <c r="X2255" s="2"/>
      <c r="Y2255" s="7"/>
      <c r="Z2255" s="2"/>
      <c r="AA2255" s="1"/>
      <c r="AC2255" s="2"/>
      <c r="AE2255" s="1"/>
      <c r="AG2255" s="2"/>
    </row>
    <row r="2256" spans="12:33" ht="49.95" customHeight="1" x14ac:dyDescent="0.3">
      <c r="L2256" s="2"/>
      <c r="M2256" s="2"/>
      <c r="N2256" s="2">
        <v>8575</v>
      </c>
      <c r="O2256" s="374" t="s">
        <v>2796</v>
      </c>
      <c r="P2256" s="16">
        <v>46190</v>
      </c>
      <c r="Q2256" s="374" t="s">
        <v>3204</v>
      </c>
      <c r="R2256" s="2">
        <f>VLOOKUP(SALIDAS111518[[#This Row],[CÓDIGO]],PRODUCTOS31316[],2,FALSE)</f>
        <v>26647</v>
      </c>
      <c r="S2256" s="1" t="str">
        <f>VLOOKUP(SALIDAS111518[[#This Row],[CÓDIGO]],PRODUCTOS31316[],3,FALSE)</f>
        <v>LINER LISO BOVINO LATEX</v>
      </c>
      <c r="T2256" s="2">
        <v>1</v>
      </c>
      <c r="U2256" s="2"/>
      <c r="V2256" s="2"/>
      <c r="W2256" s="2"/>
      <c r="X2256" s="2"/>
      <c r="Y2256" s="7"/>
      <c r="Z2256" s="2"/>
      <c r="AA2256" s="1"/>
      <c r="AC2256" s="2"/>
      <c r="AE2256" s="1"/>
      <c r="AG2256" s="2"/>
    </row>
    <row r="2257" spans="12:33" ht="49.95" customHeight="1" x14ac:dyDescent="0.3">
      <c r="L2257" s="2"/>
      <c r="M2257" s="2"/>
      <c r="N2257" s="2">
        <v>8575</v>
      </c>
      <c r="O2257" s="374" t="s">
        <v>2796</v>
      </c>
      <c r="P2257" s="16">
        <v>46190</v>
      </c>
      <c r="Q2257" s="374" t="s">
        <v>382</v>
      </c>
      <c r="R2257" s="2">
        <f>VLOOKUP(SALIDAS111518[[#This Row],[CÓDIGO]],PRODUCTOS31316[],2,FALSE)</f>
        <v>605032</v>
      </c>
      <c r="S2257" s="1" t="str">
        <f>VLOOKUP(SALIDAS111518[[#This Row],[CÓDIGO]],PRODUCTOS31316[],3,FALSE)</f>
        <v>LUBRICANTE OB, NO ESPERMICIDA</v>
      </c>
      <c r="T2257" s="2">
        <v>3</v>
      </c>
      <c r="U2257" s="2"/>
      <c r="V2257" s="2"/>
      <c r="W2257" s="2"/>
      <c r="X2257" s="109"/>
      <c r="Y2257" s="7"/>
      <c r="Z2257" s="2"/>
      <c r="AA2257" s="1"/>
      <c r="AC2257" s="2"/>
      <c r="AE2257" s="1"/>
      <c r="AG2257" s="2"/>
    </row>
    <row r="2258" spans="12:33" ht="49.95" customHeight="1" x14ac:dyDescent="0.3">
      <c r="L2258" s="2"/>
      <c r="M2258" s="2"/>
      <c r="N2258" s="2">
        <v>8575</v>
      </c>
      <c r="O2258" s="374" t="s">
        <v>2796</v>
      </c>
      <c r="P2258" s="16">
        <v>46190</v>
      </c>
      <c r="Q2258" s="374" t="s">
        <v>3241</v>
      </c>
      <c r="R2258" s="2" t="str">
        <f>VLOOKUP(SALIDAS111518[[#This Row],[CÓDIGO]],PRODUCTOS31316[],2,FALSE)</f>
        <v>1111-3810</v>
      </c>
      <c r="S2258" s="1" t="str">
        <f>VLOOKUP(SALIDAS111518[[#This Row],[CÓDIGO]],PRODUCTOS31316[],3,FALSE)</f>
        <v>RACK DE PUNTAS 10 UL ESTERIL/ VEN 2030-01-31</v>
      </c>
      <c r="T2258" s="2">
        <v>1</v>
      </c>
      <c r="U2258" s="2"/>
      <c r="V2258" s="2"/>
      <c r="W2258" s="2"/>
      <c r="X2258" s="2"/>
      <c r="Y2258" s="7"/>
      <c r="Z2258" s="2"/>
      <c r="AA2258" s="1"/>
      <c r="AC2258" s="2"/>
      <c r="AE2258" s="1"/>
      <c r="AG2258" s="2"/>
    </row>
    <row r="2259" spans="12:33" ht="49.95" customHeight="1" x14ac:dyDescent="0.3">
      <c r="L2259" s="2"/>
      <c r="M2259" s="2"/>
      <c r="N2259" s="2">
        <v>8575</v>
      </c>
      <c r="O2259" s="374" t="s">
        <v>2796</v>
      </c>
      <c r="P2259" s="16">
        <v>46190</v>
      </c>
      <c r="Q2259" s="374" t="s">
        <v>3375</v>
      </c>
      <c r="R2259" s="2" t="str">
        <f>VLOOKUP(SALIDAS111518[[#This Row],[CÓDIGO]],PRODUCTOS31316[],2,FALSE)</f>
        <v>13500/0250</v>
      </c>
      <c r="S2259" s="1" t="str">
        <f>VLOOKUP(SALIDAS111518[[#This Row],[CÓDIGO]],PRODUCTOS31316[],3,FALSE)</f>
        <v>TRILADYL 250 ML</v>
      </c>
      <c r="T2259" s="2">
        <v>1</v>
      </c>
      <c r="U2259" s="2"/>
      <c r="V2259" s="2"/>
      <c r="W2259" s="2"/>
      <c r="X2259" s="2"/>
      <c r="Y2259" s="7"/>
      <c r="Z2259" s="2"/>
      <c r="AA2259" s="1"/>
      <c r="AC2259" s="2"/>
      <c r="AE2259" s="1"/>
      <c r="AG2259" s="2"/>
    </row>
    <row r="2260" spans="12:33" ht="49.95" customHeight="1" x14ac:dyDescent="0.3">
      <c r="L2260" s="374" t="s">
        <v>3520</v>
      </c>
      <c r="M2260" s="374" t="s">
        <v>5213</v>
      </c>
      <c r="N2260" s="374" t="s">
        <v>5270</v>
      </c>
      <c r="O2260" s="399" t="s">
        <v>3263</v>
      </c>
      <c r="P2260" s="16">
        <v>46189</v>
      </c>
      <c r="Q2260" s="374" t="s">
        <v>2401</v>
      </c>
      <c r="R2260" s="2">
        <f>VLOOKUP(SALIDAS111518[[#This Row],[CÓDIGO]],PRODUCTOS31316[],2,FALSE)</f>
        <v>5540</v>
      </c>
      <c r="S2260" s="1" t="str">
        <f>VLOOKUP(SALIDAS111518[[#This Row],[CÓDIGO]],PRODUCTOS31316[],3,FALSE)</f>
        <v xml:space="preserve">FUNDAS DE TRANSFERENCIA AZUL PUNTA METÁLICA 21"                 </v>
      </c>
      <c r="T2260" s="2">
        <v>20</v>
      </c>
      <c r="U2260" s="374" t="s">
        <v>5271</v>
      </c>
      <c r="V2260" s="2"/>
      <c r="W2260" s="2"/>
      <c r="X2260" s="2"/>
      <c r="Y2260" s="7"/>
      <c r="Z2260" s="2"/>
      <c r="AA2260" s="1"/>
      <c r="AC2260" s="2"/>
      <c r="AE2260" s="1"/>
      <c r="AG2260" s="2"/>
    </row>
    <row r="2261" spans="12:33" ht="49.95" customHeight="1" x14ac:dyDescent="0.3">
      <c r="L2261" s="374" t="s">
        <v>3520</v>
      </c>
      <c r="M2261" s="374" t="s">
        <v>5213</v>
      </c>
      <c r="N2261" s="374" t="s">
        <v>5269</v>
      </c>
      <c r="O2261" s="374" t="s">
        <v>5268</v>
      </c>
      <c r="P2261" s="16">
        <v>46190</v>
      </c>
      <c r="Q2261" s="374" t="s">
        <v>3202</v>
      </c>
      <c r="R2261" s="2">
        <f>VLOOKUP(SALIDAS111518[[#This Row],[CÓDIGO]],PRODUCTOS31316[],2,FALSE)</f>
        <v>0</v>
      </c>
      <c r="S2261" s="1" t="str">
        <f>VLOOKUP(SALIDAS111518[[#This Row],[CÓDIGO]],PRODUCTOS31316[],3,FALSE)</f>
        <v>CABLE REPUESTO ECOGRAFO S5</v>
      </c>
      <c r="T2261" s="2">
        <v>1</v>
      </c>
      <c r="U2261" s="2">
        <v>1005</v>
      </c>
      <c r="V2261" s="2"/>
      <c r="W2261" s="2"/>
      <c r="X2261" s="2"/>
      <c r="Y2261" s="7"/>
      <c r="Z2261" s="2"/>
      <c r="AA2261" s="1"/>
      <c r="AC2261" s="2"/>
      <c r="AE2261" s="1"/>
      <c r="AG2261" s="2"/>
    </row>
    <row r="2262" spans="12:33" ht="49.95" customHeight="1" x14ac:dyDescent="0.3">
      <c r="L2262" s="374" t="s">
        <v>3521</v>
      </c>
      <c r="M2262" s="374" t="s">
        <v>5213</v>
      </c>
      <c r="N2262" s="374" t="s">
        <v>5267</v>
      </c>
      <c r="O2262" s="374" t="s">
        <v>3416</v>
      </c>
      <c r="P2262" s="16">
        <v>46190</v>
      </c>
      <c r="Q2262" s="374" t="s">
        <v>913</v>
      </c>
      <c r="R2262" s="2" t="str">
        <f>VLOOKUP(SALIDAS111518[[#This Row],[CÓDIGO]],PRODUCTOS31316[],2,FALSE)</f>
        <v>HC-R069</v>
      </c>
      <c r="S2262" s="1" t="str">
        <f>VLOOKUP(SALIDAS111518[[#This Row],[CÓDIGO]],PRODUCTOS31316[],3,FALSE)</f>
        <v>MICROSCOPIO CON PLATINA Y PANTALLA 7"</v>
      </c>
      <c r="T2262" s="2">
        <v>1</v>
      </c>
      <c r="U2262" s="2">
        <v>1006</v>
      </c>
      <c r="V2262" s="2"/>
      <c r="W2262" s="374" t="s">
        <v>3194</v>
      </c>
      <c r="X2262" s="2"/>
      <c r="Y2262" s="7"/>
      <c r="Z2262" s="2"/>
      <c r="AA2262" s="1"/>
      <c r="AC2262" s="2"/>
      <c r="AE2262" s="1"/>
      <c r="AG2262" s="2"/>
    </row>
    <row r="2263" spans="12:33" ht="49.95" customHeight="1" x14ac:dyDescent="0.3">
      <c r="L2263" s="374" t="s">
        <v>3520</v>
      </c>
      <c r="M2263" s="374" t="s">
        <v>5213</v>
      </c>
      <c r="N2263" s="374" t="s">
        <v>5266</v>
      </c>
      <c r="O2263" s="374" t="s">
        <v>3150</v>
      </c>
      <c r="P2263" s="16">
        <v>46190</v>
      </c>
      <c r="Q2263" s="374" t="s">
        <v>5098</v>
      </c>
      <c r="R2263" s="2">
        <f>VLOOKUP(SALIDAS111518[[#This Row],[CÓDIGO]],PRODUCTOS31316[],2,FALSE)</f>
        <v>0</v>
      </c>
      <c r="S2263" s="1" t="str">
        <f>VLOOKUP(SALIDAS111518[[#This Row],[CÓDIGO]],PRODUCTOS31316[],3,FALSE)</f>
        <v>FUNDA DE TRANSFERENCIA DE EMBRIONES 0.25 PUNTA PLÁSTICA MARCA TED</v>
      </c>
      <c r="T2263" s="2">
        <v>46</v>
      </c>
      <c r="U2263" s="2">
        <v>1007</v>
      </c>
      <c r="V2263" s="2"/>
      <c r="W2263" s="2"/>
      <c r="X2263" s="109"/>
      <c r="Y2263" s="7"/>
      <c r="Z2263" s="2"/>
      <c r="AA2263" s="1"/>
      <c r="AC2263" s="2"/>
      <c r="AE2263" s="1"/>
      <c r="AG2263" s="2"/>
    </row>
    <row r="2264" spans="12:33" ht="49.95" customHeight="1" x14ac:dyDescent="0.3">
      <c r="L2264" s="2"/>
      <c r="M2264" s="2"/>
      <c r="N2264" s="2">
        <v>8578</v>
      </c>
      <c r="O2264" s="374" t="s">
        <v>3150</v>
      </c>
      <c r="P2264" s="16">
        <v>46190</v>
      </c>
      <c r="Q2264" s="374" t="s">
        <v>1779</v>
      </c>
      <c r="R2264" s="2">
        <f>VLOOKUP(SALIDAS111518[[#This Row],[CÓDIGO]],PRODUCTOS31316[],2,FALSE)</f>
        <v>5563</v>
      </c>
      <c r="S2264" s="1" t="str">
        <f>VLOOKUP(SALIDAS111518[[#This Row],[CÓDIGO]],PRODUCTOS31316[],3,FALSE)</f>
        <v>CAMISA SANITARIA ROLLO X 80</v>
      </c>
      <c r="T2264" s="2">
        <v>3</v>
      </c>
      <c r="U2264" s="2"/>
      <c r="V2264" s="2"/>
      <c r="W2264" s="2"/>
      <c r="X2264" s="2"/>
      <c r="Y2264" s="7"/>
      <c r="Z2264" s="2"/>
      <c r="AA2264" s="1"/>
      <c r="AC2264" s="2"/>
      <c r="AE2264" s="1"/>
      <c r="AG2264" s="2"/>
    </row>
    <row r="2265" spans="12:33" ht="49.95" customHeight="1" x14ac:dyDescent="0.3">
      <c r="L2265" s="2"/>
      <c r="M2265" s="2"/>
      <c r="N2265" s="2">
        <v>8578</v>
      </c>
      <c r="O2265" s="374" t="s">
        <v>3150</v>
      </c>
      <c r="P2265" s="16">
        <v>46190</v>
      </c>
      <c r="Q2265" s="374" t="s">
        <v>2246</v>
      </c>
      <c r="R2265" s="2" t="str">
        <f>VLOOKUP(SALIDAS111518[[#This Row],[CÓDIGO]],PRODUCTOS31316[],2,FALSE)</f>
        <v>00051076-02</v>
      </c>
      <c r="S2265" s="1" t="str">
        <f>VLOOKUP(SALIDAS111518[[#This Row],[CÓDIGO]],PRODUCTOS31316[],3,FALSE)</f>
        <v>LIDOCAÍNA  HCL 2 % X 100 ML/ 2025-12-16</v>
      </c>
      <c r="T2265" s="2">
        <v>10</v>
      </c>
      <c r="U2265" s="2"/>
      <c r="V2265" s="2"/>
      <c r="W2265" s="2"/>
      <c r="X2265" s="2"/>
      <c r="Y2265" s="7"/>
      <c r="Z2265" s="2"/>
      <c r="AA2265" s="1"/>
      <c r="AC2265" s="2"/>
      <c r="AE2265" s="1"/>
      <c r="AG2265" s="2"/>
    </row>
    <row r="2266" spans="12:33" ht="49.95" customHeight="1" x14ac:dyDescent="0.3">
      <c r="L2266" s="374" t="s">
        <v>3520</v>
      </c>
      <c r="M2266" s="374" t="s">
        <v>5213</v>
      </c>
      <c r="N2266" s="374" t="s">
        <v>5265</v>
      </c>
      <c r="O2266" s="374" t="s">
        <v>2826</v>
      </c>
      <c r="P2266" s="16">
        <v>46191</v>
      </c>
      <c r="Q2266" s="374" t="s">
        <v>36</v>
      </c>
      <c r="R2266" s="2">
        <f>VLOOKUP(SALIDAS111518[[#This Row],[CÓDIGO]],PRODUCTOS31316[],2,FALSE)</f>
        <v>1</v>
      </c>
      <c r="S2266" s="1" t="str">
        <f>VLOOKUP(SALIDAS111518[[#This Row],[CÓDIGO]],PRODUCTOS31316[],3,FALSE)</f>
        <v xml:space="preserve">PARCHE ESTROTECT </v>
      </c>
      <c r="T2266" s="2">
        <v>1</v>
      </c>
      <c r="U2266" s="2">
        <v>1008</v>
      </c>
      <c r="V2266" s="2"/>
      <c r="W2266" s="2"/>
      <c r="X2266" s="2"/>
      <c r="Y2266" s="7"/>
      <c r="Z2266" s="2"/>
      <c r="AA2266" s="1"/>
      <c r="AC2266" s="2"/>
      <c r="AE2266" s="1"/>
      <c r="AG2266" s="2"/>
    </row>
    <row r="2267" spans="12:33" ht="49.95" customHeight="1" x14ac:dyDescent="0.3">
      <c r="L2267" s="374" t="s">
        <v>3520</v>
      </c>
      <c r="M2267" s="374" t="s">
        <v>5213</v>
      </c>
      <c r="N2267" s="374" t="s">
        <v>5264</v>
      </c>
      <c r="O2267" s="374" t="s">
        <v>2714</v>
      </c>
      <c r="P2267" s="16">
        <v>46191</v>
      </c>
      <c r="Q2267" s="374" t="s">
        <v>47</v>
      </c>
      <c r="R2267" s="2">
        <f>VLOOKUP(SALIDAS111518[[#This Row],[CÓDIGO]],PRODUCTOS31316[],2,FALSE)</f>
        <v>1135</v>
      </c>
      <c r="S2267" s="1" t="str">
        <f>VLOOKUP(SALIDAS111518[[#This Row],[CÓDIGO]],PRODUCTOS31316[],3,FALSE)</f>
        <v>TRILADYL</v>
      </c>
      <c r="T2267" s="2">
        <v>1</v>
      </c>
      <c r="U2267" s="2">
        <v>1009</v>
      </c>
      <c r="V2267" s="2"/>
      <c r="W2267" s="2"/>
      <c r="X2267" s="2"/>
      <c r="Y2267" s="7"/>
      <c r="Z2267" s="2"/>
      <c r="AA2267" s="1"/>
      <c r="AC2267" s="2"/>
      <c r="AE2267" s="1"/>
      <c r="AG2267" s="2"/>
    </row>
    <row r="2268" spans="12:33" ht="49.95" customHeight="1" x14ac:dyDescent="0.3">
      <c r="L2268" s="2"/>
      <c r="M2268" s="2"/>
      <c r="N2268" s="2">
        <v>8580</v>
      </c>
      <c r="O2268" s="374" t="s">
        <v>2714</v>
      </c>
      <c r="P2268" s="16">
        <v>46191</v>
      </c>
      <c r="Q2268" s="374" t="s">
        <v>2295</v>
      </c>
      <c r="R2268" s="2" t="str">
        <f>VLOOKUP(SALIDAS111518[[#This Row],[CÓDIGO]],PRODUCTOS31316[],2,FALSE)</f>
        <v>B00992</v>
      </c>
      <c r="S2268" s="1" t="str">
        <f>VLOOKUP(SALIDAS111518[[#This Row],[CÓDIGO]],PRODUCTOS31316[],3,FALSE)</f>
        <v>BOLSA WHRIL-PAK 7 OZ</v>
      </c>
      <c r="T2268" s="2">
        <v>20</v>
      </c>
      <c r="U2268" s="2"/>
      <c r="V2268" s="2"/>
      <c r="W2268" s="2"/>
      <c r="X2268" s="2"/>
      <c r="Y2268" s="7"/>
      <c r="Z2268" s="2"/>
      <c r="AA2268" s="1"/>
      <c r="AC2268" s="2"/>
      <c r="AE2268" s="1"/>
      <c r="AG2268" s="2"/>
    </row>
    <row r="2269" spans="12:33" ht="49.95" customHeight="1" x14ac:dyDescent="0.3">
      <c r="L2269" s="2"/>
      <c r="M2269" s="2"/>
      <c r="N2269" s="2">
        <v>8580</v>
      </c>
      <c r="O2269" s="374" t="s">
        <v>2714</v>
      </c>
      <c r="P2269" s="16">
        <v>46191</v>
      </c>
      <c r="Q2269" s="374" t="s">
        <v>4402</v>
      </c>
      <c r="R2269" s="2">
        <f>VLOOKUP(SALIDAS111518[[#This Row],[CÓDIGO]],PRODUCTOS31316[],2,FALSE)</f>
        <v>0</v>
      </c>
      <c r="S2269" s="1" t="str">
        <f>VLOOKUP(SALIDAS111518[[#This Row],[CÓDIGO]],PRODUCTOS31316[],3,FALSE)</f>
        <v>PAJILLA TRANSPARENTE DE 0.5 IMV PAQ.X 200 UND</v>
      </c>
      <c r="T2269" s="2">
        <v>1</v>
      </c>
      <c r="U2269" s="2"/>
      <c r="V2269" s="2"/>
      <c r="W2269" s="2"/>
      <c r="X2269" s="2"/>
      <c r="Y2269" s="7"/>
      <c r="Z2269" s="2"/>
      <c r="AA2269" s="1"/>
      <c r="AC2269" s="2"/>
      <c r="AE2269" s="1"/>
      <c r="AG2269" s="2"/>
    </row>
    <row r="2270" spans="12:33" ht="49.95" customHeight="1" x14ac:dyDescent="0.3">
      <c r="L2270" s="374" t="s">
        <v>3521</v>
      </c>
      <c r="M2270" s="374" t="s">
        <v>5213</v>
      </c>
      <c r="N2270" s="374" t="s">
        <v>5276</v>
      </c>
      <c r="O2270" s="375" t="s">
        <v>5275</v>
      </c>
      <c r="P2270" s="16">
        <v>46191</v>
      </c>
      <c r="Q2270" s="413" t="s">
        <v>20</v>
      </c>
      <c r="R2270" s="2" t="str">
        <f>VLOOKUP(SALIDAS111518[[#This Row],[CÓDIGO]],PRODUCTOS31316[],2,FALSE)</f>
        <v>L60</v>
      </c>
      <c r="S2270" s="1" t="str">
        <f>VLOOKUP(SALIDAS111518[[#This Row],[CÓDIGO]],PRODUCTOS31316[],3,FALSE)</f>
        <v>ECOGRAFO POTATIL L60 CON SONDA LINEAL RECTAL</v>
      </c>
      <c r="T2270" s="2">
        <v>1</v>
      </c>
      <c r="U2270" s="2">
        <v>1011</v>
      </c>
      <c r="V2270" s="2"/>
      <c r="W2270" s="374" t="s">
        <v>3412</v>
      </c>
      <c r="X2270" s="2"/>
      <c r="Y2270" s="7"/>
      <c r="Z2270" s="2"/>
      <c r="AA2270" s="1"/>
      <c r="AC2270" s="2"/>
      <c r="AE2270" s="1"/>
      <c r="AG2270" s="2"/>
    </row>
    <row r="2271" spans="12:33" ht="49.95" customHeight="1" x14ac:dyDescent="0.3">
      <c r="L2271" s="2"/>
      <c r="M2271" s="2"/>
      <c r="N2271" s="2">
        <v>8579</v>
      </c>
      <c r="O2271" s="375" t="s">
        <v>5275</v>
      </c>
      <c r="P2271" s="16">
        <v>46191</v>
      </c>
      <c r="Q2271" s="374" t="s">
        <v>3095</v>
      </c>
      <c r="R2271" s="2">
        <f>VLOOKUP(SALIDAS111518[[#This Row],[CÓDIGO]],PRODUCTOS31316[],2,FALSE)</f>
        <v>0</v>
      </c>
      <c r="S2271" s="1" t="str">
        <f>VLOOKUP(SALIDAS111518[[#This Row],[CÓDIGO]],PRODUCTOS31316[],3,FALSE)</f>
        <v>GORRA MAS CAMPO</v>
      </c>
      <c r="T2271" s="2">
        <v>1</v>
      </c>
      <c r="U2271" s="2"/>
      <c r="V2271" s="2"/>
      <c r="W2271" s="2"/>
      <c r="X2271" s="2"/>
      <c r="Y2271" s="7"/>
      <c r="Z2271" s="2"/>
      <c r="AA2271" s="1"/>
      <c r="AC2271" s="2"/>
      <c r="AE2271" s="1"/>
      <c r="AG2271" s="2"/>
    </row>
    <row r="2272" spans="12:33" ht="49.95" customHeight="1" x14ac:dyDescent="0.3">
      <c r="L2272" s="374" t="s">
        <v>3521</v>
      </c>
      <c r="M2272" s="374" t="s">
        <v>5213</v>
      </c>
      <c r="N2272" s="374" t="s">
        <v>5263</v>
      </c>
      <c r="O2272" s="374" t="s">
        <v>2871</v>
      </c>
      <c r="P2272" s="16">
        <v>46191</v>
      </c>
      <c r="Q2272" s="374" t="s">
        <v>3700</v>
      </c>
      <c r="R2272" s="2">
        <f>VLOOKUP(SALIDAS111518[[#This Row],[CÓDIGO]],PRODUCTOS31316[],2,FALSE)</f>
        <v>5709</v>
      </c>
      <c r="S2272" s="1" t="str">
        <f>VLOOKUP(SALIDAS111518[[#This Row],[CÓDIGO]],PRODUCTOS31316[],3,FALSE)</f>
        <v>PAJUELA ROJA 0.50/ PAQ. X 2000 MARCA IMV</v>
      </c>
      <c r="T2272" s="2">
        <v>1</v>
      </c>
      <c r="U2272" s="2">
        <v>1012</v>
      </c>
      <c r="V2272" s="2"/>
      <c r="W2272" s="2"/>
      <c r="X2272" s="2"/>
      <c r="Y2272" s="7"/>
      <c r="Z2272" s="2"/>
      <c r="AA2272" s="1"/>
      <c r="AC2272" s="2"/>
      <c r="AE2272" s="1"/>
      <c r="AG2272" s="2"/>
    </row>
    <row r="2273" spans="12:33" ht="49.95" customHeight="1" x14ac:dyDescent="0.3">
      <c r="L2273" s="374" t="s">
        <v>3521</v>
      </c>
      <c r="M2273" s="374" t="s">
        <v>5213</v>
      </c>
      <c r="N2273" s="374" t="s">
        <v>5262</v>
      </c>
      <c r="O2273" s="374" t="s">
        <v>5261</v>
      </c>
      <c r="P2273" s="16">
        <v>46191</v>
      </c>
      <c r="Q2273" s="374" t="s">
        <v>2382</v>
      </c>
      <c r="R2273" s="2">
        <f>VLOOKUP(SALIDAS111518[[#This Row],[CÓDIGO]],PRODUCTOS31316[],2,FALSE)</f>
        <v>1</v>
      </c>
      <c r="S2273" s="1" t="str">
        <f>VLOOKUP(SALIDAS111518[[#This Row],[CÓDIGO]],PRODUCTOS31316[],3,FALSE)</f>
        <v>TERMO DE TRANSPORTE 1 LITRO</v>
      </c>
      <c r="T2273" s="2">
        <v>1</v>
      </c>
      <c r="U2273" s="2">
        <v>1013</v>
      </c>
      <c r="V2273" s="2"/>
      <c r="W2273" s="2"/>
      <c r="X2273" s="2"/>
      <c r="Y2273" s="7"/>
      <c r="Z2273" s="2"/>
      <c r="AA2273" s="1"/>
      <c r="AC2273" s="2"/>
      <c r="AE2273" s="1"/>
      <c r="AG2273" s="2"/>
    </row>
    <row r="2274" spans="12:33" ht="49.95" customHeight="1" x14ac:dyDescent="0.3">
      <c r="L2274" s="374" t="s">
        <v>3520</v>
      </c>
      <c r="M2274" s="374" t="s">
        <v>5213</v>
      </c>
      <c r="N2274" s="374" t="s">
        <v>5260</v>
      </c>
      <c r="O2274" s="374" t="s">
        <v>3072</v>
      </c>
      <c r="P2274" s="16">
        <v>46191</v>
      </c>
      <c r="Q2274" s="374" t="s">
        <v>3355</v>
      </c>
      <c r="R2274" s="2">
        <f>VLOOKUP(SALIDAS111518[[#This Row],[CÓDIGO]],PRODUCTOS31316[],2,FALSE)</f>
        <v>140681</v>
      </c>
      <c r="S2274" s="1" t="str">
        <f>VLOOKUP(SALIDAS111518[[#This Row],[CÓDIGO]],PRODUCTOS31316[],3,FALSE)</f>
        <v>CAJA DE PETRI DESECHABLE ESTERIL 60x15MM.</v>
      </c>
      <c r="T2274" s="2">
        <v>100</v>
      </c>
      <c r="U2274" s="2">
        <v>1014</v>
      </c>
      <c r="V2274" s="2"/>
      <c r="W2274" s="2"/>
      <c r="X2274" s="2"/>
      <c r="Y2274" s="7"/>
      <c r="Z2274" s="2"/>
      <c r="AA2274" s="1"/>
      <c r="AC2274" s="2"/>
      <c r="AE2274" s="1"/>
      <c r="AG2274" s="2"/>
    </row>
    <row r="2275" spans="12:33" ht="49.95" customHeight="1" x14ac:dyDescent="0.3">
      <c r="L2275" s="2"/>
      <c r="M2275" s="2"/>
      <c r="N2275" s="2">
        <v>8593</v>
      </c>
      <c r="O2275" s="374" t="s">
        <v>3072</v>
      </c>
      <c r="P2275" s="16">
        <v>46191</v>
      </c>
      <c r="Q2275" s="374" t="s">
        <v>333</v>
      </c>
      <c r="R2275" s="2" t="str">
        <f>VLOOKUP(SALIDAS111518[[#This Row],[CÓDIGO]],PRODUCTOS31316[],2,FALSE)</f>
        <v>CTB15</v>
      </c>
      <c r="S2275" s="1" t="str">
        <f>VLOOKUP(SALIDAS111518[[#This Row],[CÓDIGO]],PRODUCTOS31316[],3,FALSE)</f>
        <v>TUBO CÓNICO DE 15 ML, TAPA ROSCA ESTÉRIL  RCF MAX: 10000xg, 
graduados, PCR puro. VENCE: 03/04/2028</v>
      </c>
      <c r="T2275" s="2">
        <v>10</v>
      </c>
      <c r="U2275" s="2"/>
      <c r="V2275" s="2"/>
      <c r="W2275" s="2"/>
      <c r="X2275" s="2"/>
      <c r="Y2275" s="7"/>
      <c r="Z2275" s="2"/>
      <c r="AA2275" s="1"/>
      <c r="AC2275" s="2"/>
      <c r="AE2275" s="1"/>
      <c r="AG2275" s="2"/>
    </row>
    <row r="2276" spans="12:33" ht="49.95" customHeight="1" x14ac:dyDescent="0.3">
      <c r="L2276" s="374" t="s">
        <v>3520</v>
      </c>
      <c r="M2276" s="374" t="s">
        <v>5213</v>
      </c>
      <c r="N2276" s="374" t="s">
        <v>5259</v>
      </c>
      <c r="O2276" s="375" t="s">
        <v>4095</v>
      </c>
      <c r="P2276" s="16">
        <v>46191</v>
      </c>
      <c r="Q2276" s="374" t="s">
        <v>3355</v>
      </c>
      <c r="R2276" s="2">
        <f>VLOOKUP(SALIDAS111518[[#This Row],[CÓDIGO]],PRODUCTOS31316[],2,FALSE)</f>
        <v>140681</v>
      </c>
      <c r="S2276" s="1" t="str">
        <f>VLOOKUP(SALIDAS111518[[#This Row],[CÓDIGO]],PRODUCTOS31316[],3,FALSE)</f>
        <v>CAJA DE PETRI DESECHABLE ESTERIL 60x15MM.</v>
      </c>
      <c r="T2276" s="2">
        <v>5</v>
      </c>
      <c r="U2276" s="2">
        <v>1015</v>
      </c>
      <c r="V2276" s="2"/>
      <c r="W2276" s="2"/>
      <c r="X2276" s="2"/>
      <c r="Y2276" s="7"/>
      <c r="Z2276" s="2"/>
      <c r="AA2276" s="1"/>
      <c r="AC2276" s="2"/>
      <c r="AE2276" s="1"/>
      <c r="AG2276" s="2"/>
    </row>
    <row r="2277" spans="12:33" ht="49.95" customHeight="1" x14ac:dyDescent="0.3">
      <c r="L2277" s="2"/>
      <c r="M2277" s="2"/>
      <c r="N2277" s="2">
        <v>8583</v>
      </c>
      <c r="O2277" s="375" t="s">
        <v>4095</v>
      </c>
      <c r="P2277" s="16">
        <v>46191</v>
      </c>
      <c r="Q2277" s="374" t="s">
        <v>341</v>
      </c>
      <c r="R2277" s="2" t="str">
        <f>VLOOKUP(SALIDAS111518[[#This Row],[CÓDIGO]],PRODUCTOS31316[],2,FALSE)</f>
        <v>CTB50</v>
      </c>
      <c r="S2277" s="1" t="str">
        <f>VLOOKUP(SALIDAS111518[[#This Row],[CÓDIGO]],PRODUCTOS31316[],3,FALSE)</f>
        <v>TUBO CÓNICO DE 50 mL, TAPA ROSCA, PRE ESTERILIZADO. RCF MAX: 10000xg, graduados, PCR puro.</v>
      </c>
      <c r="T2277" s="2">
        <v>4</v>
      </c>
      <c r="U2277" s="2"/>
      <c r="V2277" s="2"/>
      <c r="W2277" s="2"/>
      <c r="X2277" s="2"/>
      <c r="Y2277" s="7"/>
      <c r="Z2277" s="2"/>
      <c r="AA2277" s="1"/>
      <c r="AC2277" s="2"/>
      <c r="AE2277" s="1"/>
      <c r="AG2277" s="2"/>
    </row>
    <row r="2278" spans="12:33" ht="49.95" customHeight="1" x14ac:dyDescent="0.3">
      <c r="L2278" s="374" t="s">
        <v>3520</v>
      </c>
      <c r="M2278" s="374" t="s">
        <v>5213</v>
      </c>
      <c r="N2278" s="2">
        <v>15527</v>
      </c>
      <c r="O2278" s="375" t="s">
        <v>2705</v>
      </c>
      <c r="P2278" s="16">
        <v>46191</v>
      </c>
      <c r="Q2278" s="374" t="s">
        <v>5122</v>
      </c>
      <c r="R2278" s="2">
        <f>VLOOKUP(SALIDAS111518[[#This Row],[CÓDIGO]],PRODUCTOS31316[],2,FALSE)</f>
        <v>0</v>
      </c>
      <c r="S2278" s="1" t="str">
        <f>VLOOKUP(SALIDAS111518[[#This Row],[CÓDIGO]],PRODUCTOS31316[],3,FALSE)</f>
        <v>PAJILLAS AMARILLAS DE 0.25 PAQ. 2000 UND/ MARCA: MINITUBE</v>
      </c>
      <c r="T2278" s="2">
        <v>1</v>
      </c>
      <c r="U2278" s="374" t="s">
        <v>5258</v>
      </c>
      <c r="V2278" s="2"/>
      <c r="W2278" s="2"/>
      <c r="X2278" s="2"/>
      <c r="Y2278" s="7"/>
      <c r="Z2278" s="2"/>
      <c r="AA2278" s="1"/>
      <c r="AC2278" s="2"/>
      <c r="AE2278" s="1"/>
      <c r="AG2278" s="2"/>
    </row>
    <row r="2279" spans="12:33" ht="49.95" customHeight="1" x14ac:dyDescent="0.3">
      <c r="L2279" s="374" t="s">
        <v>3520</v>
      </c>
      <c r="M2279" s="374" t="s">
        <v>5213</v>
      </c>
      <c r="N2279" s="374" t="s">
        <v>5257</v>
      </c>
      <c r="O2279" s="374" t="s">
        <v>2267</v>
      </c>
      <c r="P2279" s="16">
        <v>46192</v>
      </c>
      <c r="Q2279" s="374" t="s">
        <v>336</v>
      </c>
      <c r="R2279" s="2">
        <f>VLOOKUP(SALIDAS111518[[#This Row],[CÓDIGO]],PRODUCTOS31316[],2,FALSE)</f>
        <v>0</v>
      </c>
      <c r="S2279" s="1" t="str">
        <f>VLOOKUP(SALIDAS111518[[#This Row],[CÓDIGO]],PRODUCTOS31316[],3,FALSE)</f>
        <v>ABT PVA CONCENTRAD 20 ML VC ENERO 2027</v>
      </c>
      <c r="T2279" s="2">
        <v>1</v>
      </c>
      <c r="U2279" s="2">
        <v>1017</v>
      </c>
      <c r="V2279" s="2"/>
      <c r="W2279" s="2"/>
      <c r="X2279" s="2"/>
      <c r="Y2279" s="7"/>
      <c r="Z2279" s="2"/>
      <c r="AA2279" s="1"/>
      <c r="AC2279" s="2"/>
      <c r="AE2279" s="1"/>
      <c r="AG2279" s="2"/>
    </row>
    <row r="2280" spans="12:33" ht="49.95" customHeight="1" x14ac:dyDescent="0.3">
      <c r="L2280" s="2"/>
      <c r="M2280" s="2"/>
      <c r="N2280" s="2">
        <v>8586</v>
      </c>
      <c r="O2280" s="374" t="s">
        <v>2267</v>
      </c>
      <c r="P2280" s="16">
        <v>46192</v>
      </c>
      <c r="Q2280" s="374" t="s">
        <v>2306</v>
      </c>
      <c r="R2280" s="2">
        <f>VLOOKUP(SALIDAS111518[[#This Row],[CÓDIGO]],PRODUCTOS31316[],2,FALSE)</f>
        <v>0</v>
      </c>
      <c r="S2280" s="1" t="str">
        <f>VLOOKUP(SALIDAS111518[[#This Row],[CÓDIGO]],PRODUCTOS31316[],3,FALSE)</f>
        <v>ESCALERILLAS METÁLICAS DE 10 MM</v>
      </c>
      <c r="T2280" s="2">
        <v>1</v>
      </c>
      <c r="U2280" s="2"/>
      <c r="V2280" s="2"/>
      <c r="W2280" s="2"/>
      <c r="X2280" s="2"/>
      <c r="Y2280" s="7"/>
      <c r="Z2280" s="2"/>
      <c r="AA2280" s="1"/>
      <c r="AC2280" s="2"/>
      <c r="AE2280" s="1"/>
      <c r="AG2280" s="2"/>
    </row>
    <row r="2281" spans="12:33" ht="49.95" customHeight="1" x14ac:dyDescent="0.3">
      <c r="L2281" s="2"/>
      <c r="M2281" s="2"/>
      <c r="N2281" s="2">
        <v>8586</v>
      </c>
      <c r="O2281" s="374" t="s">
        <v>2267</v>
      </c>
      <c r="P2281" s="16">
        <v>46192</v>
      </c>
      <c r="Q2281" s="374" t="s">
        <v>5123</v>
      </c>
      <c r="R2281" s="2">
        <f>VLOOKUP(SALIDAS111518[[#This Row],[CÓDIGO]],PRODUCTOS31316[],2,FALSE)</f>
        <v>0</v>
      </c>
      <c r="S2281" s="1" t="str">
        <f>VLOOKUP(SALIDAS111518[[#This Row],[CÓDIGO]],PRODUCTOS31316[],3,FALSE)</f>
        <v>MICROFILTRO 0,90 UM  PAQ. X 20 UND MARCA: TED</v>
      </c>
      <c r="T2281" s="2">
        <v>3</v>
      </c>
      <c r="U2281" s="2"/>
      <c r="V2281" s="2"/>
      <c r="W2281" s="2"/>
      <c r="X2281" s="2"/>
      <c r="Y2281" s="7"/>
      <c r="Z2281" s="2"/>
      <c r="AA2281" s="1"/>
      <c r="AC2281" s="2"/>
      <c r="AE2281" s="1"/>
      <c r="AG2281" s="2"/>
    </row>
    <row r="2282" spans="12:33" ht="49.95" customHeight="1" x14ac:dyDescent="0.3">
      <c r="L2282" s="2"/>
      <c r="M2282" s="2"/>
      <c r="N2282" s="2">
        <v>8586</v>
      </c>
      <c r="O2282" s="374" t="s">
        <v>2267</v>
      </c>
      <c r="P2282" s="16">
        <v>46192</v>
      </c>
      <c r="Q2282" s="374" t="s">
        <v>1681</v>
      </c>
      <c r="R2282" s="2">
        <f>VLOOKUP(SALIDAS111518[[#This Row],[CÓDIGO]],PRODUCTOS31316[],2,FALSE)</f>
        <v>347430</v>
      </c>
      <c r="S2282" s="1" t="str">
        <f>VLOOKUP(SALIDAS111518[[#This Row],[CÓDIGO]],PRODUCTOS31316[],3,FALSE)</f>
        <v>GOBLETS BLANCOS DE 10 MM</v>
      </c>
      <c r="T2282" s="2">
        <v>2</v>
      </c>
      <c r="U2282" s="2"/>
      <c r="V2282" s="2"/>
      <c r="W2282" s="2"/>
      <c r="X2282" s="2"/>
      <c r="Y2282" s="7"/>
      <c r="Z2282" s="2"/>
      <c r="AA2282" s="1"/>
      <c r="AC2282" s="2"/>
      <c r="AE2282" s="1"/>
      <c r="AG2282" s="2"/>
    </row>
    <row r="2283" spans="12:33" ht="49.95" customHeight="1" x14ac:dyDescent="0.3">
      <c r="L2283" s="2"/>
      <c r="M2283" s="2"/>
      <c r="N2283" s="2">
        <v>8586</v>
      </c>
      <c r="O2283" s="374" t="s">
        <v>2267</v>
      </c>
      <c r="P2283" s="16">
        <v>46192</v>
      </c>
      <c r="Q2283" s="374" t="s">
        <v>2246</v>
      </c>
      <c r="R2283" s="2" t="str">
        <f>VLOOKUP(SALIDAS111518[[#This Row],[CÓDIGO]],PRODUCTOS31316[],2,FALSE)</f>
        <v>00051076-02</v>
      </c>
      <c r="S2283" s="1" t="str">
        <f>VLOOKUP(SALIDAS111518[[#This Row],[CÓDIGO]],PRODUCTOS31316[],3,FALSE)</f>
        <v>LIDOCAÍNA  HCL 2 % X 100 ML/ 2025-12-16</v>
      </c>
      <c r="T2283" s="2">
        <v>20</v>
      </c>
      <c r="U2283" s="2"/>
      <c r="V2283" s="2"/>
      <c r="W2283" s="2"/>
      <c r="X2283" s="2"/>
      <c r="Y2283" s="7"/>
      <c r="Z2283" s="2"/>
      <c r="AA2283" s="1"/>
      <c r="AC2283" s="2"/>
      <c r="AE2283" s="1"/>
      <c r="AG2283" s="2"/>
    </row>
    <row r="2284" spans="12:33" ht="49.95" customHeight="1" x14ac:dyDescent="0.3">
      <c r="L2284" s="2"/>
      <c r="M2284" s="2"/>
      <c r="N2284" s="2">
        <v>8586</v>
      </c>
      <c r="O2284" s="374" t="s">
        <v>2267</v>
      </c>
      <c r="P2284" s="16">
        <v>46192</v>
      </c>
      <c r="Q2284" s="374" t="s">
        <v>360</v>
      </c>
      <c r="R2284" s="2">
        <f>VLOOKUP(SALIDAS111518[[#This Row],[CÓDIGO]],PRODUCTOS31316[],2,FALSE)</f>
        <v>505006</v>
      </c>
      <c r="S2284" s="1" t="str">
        <f>VLOOKUP(SALIDAS111518[[#This Row],[CÓDIGO]],PRODUCTOS31316[],3,FALSE)</f>
        <v>LACRADOR REDONDO AMARILLO</v>
      </c>
      <c r="T2284" s="2">
        <v>10</v>
      </c>
      <c r="U2284" s="2"/>
      <c r="V2284" s="2"/>
      <c r="W2284" s="2"/>
      <c r="X2284" s="2"/>
      <c r="Y2284" s="7"/>
      <c r="Z2284" s="2"/>
      <c r="AA2284" s="1"/>
      <c r="AC2284" s="2"/>
      <c r="AE2284" s="1"/>
      <c r="AG2284" s="2"/>
    </row>
    <row r="2285" spans="12:33" ht="49.95" customHeight="1" x14ac:dyDescent="0.3">
      <c r="L2285" s="2"/>
      <c r="M2285" s="2"/>
      <c r="N2285" s="2">
        <v>8586</v>
      </c>
      <c r="O2285" s="374" t="s">
        <v>2267</v>
      </c>
      <c r="P2285" s="16">
        <v>46192</v>
      </c>
      <c r="Q2285" s="374" t="s">
        <v>3397</v>
      </c>
      <c r="R2285" s="2">
        <f>VLOOKUP(SALIDAS111518[[#This Row],[CÓDIGO]],PRODUCTOS31316[],2,FALSE)</f>
        <v>13407</v>
      </c>
      <c r="S2285" s="1" t="str">
        <f>VLOOKUP(SALIDAS111518[[#This Row],[CÓDIGO]],PRODUCTOS31316[],3,FALSE)</f>
        <v>PAJILLAS TRANSPARENTES 0,25 MINITUBE</v>
      </c>
      <c r="T2285" s="2">
        <v>1</v>
      </c>
      <c r="U2285" s="2"/>
      <c r="V2285" s="2"/>
      <c r="W2285" s="2"/>
      <c r="X2285" s="2"/>
      <c r="Y2285" s="7"/>
      <c r="Z2285" s="2"/>
      <c r="AA2285" s="1"/>
      <c r="AC2285" s="2"/>
      <c r="AE2285" s="1"/>
      <c r="AG2285" s="2"/>
    </row>
    <row r="2286" spans="12:33" ht="49.95" customHeight="1" x14ac:dyDescent="0.3">
      <c r="L2286" s="2"/>
      <c r="M2286" s="2"/>
      <c r="N2286" s="2">
        <v>8586</v>
      </c>
      <c r="O2286" s="374" t="s">
        <v>2267</v>
      </c>
      <c r="P2286" s="16">
        <v>46192</v>
      </c>
      <c r="Q2286" s="374" t="s">
        <v>167</v>
      </c>
      <c r="R2286" s="2" t="str">
        <f>VLOOKUP(SALIDAS111518[[#This Row],[CÓDIGO]],PRODUCTOS31316[],2,FALSE)</f>
        <v>50050-1</v>
      </c>
      <c r="S2286" s="1" t="str">
        <f>VLOOKUP(SALIDAS111518[[#This Row],[CÓDIGO]],PRODUCTOS31316[],3,FALSE)</f>
        <v>TUBO CONICO PLUG, AUTOCLAVABLE ESTERIL  TAPA ROSCA DE 50 ML</v>
      </c>
      <c r="T2286" s="2">
        <v>3</v>
      </c>
      <c r="U2286" s="2"/>
      <c r="V2286" s="2"/>
      <c r="W2286" s="2"/>
      <c r="X2286" s="2"/>
      <c r="Y2286" s="7"/>
      <c r="Z2286" s="2"/>
      <c r="AA2286" s="1"/>
      <c r="AC2286" s="2"/>
      <c r="AE2286" s="1"/>
      <c r="AG2286" s="2"/>
    </row>
    <row r="2287" spans="12:33" ht="49.95" customHeight="1" x14ac:dyDescent="0.3">
      <c r="L2287" s="2"/>
      <c r="M2287" s="2"/>
      <c r="N2287" s="2">
        <v>8586</v>
      </c>
      <c r="O2287" s="374" t="s">
        <v>2267</v>
      </c>
      <c r="P2287" s="16">
        <v>46192</v>
      </c>
      <c r="Q2287" s="374" t="s">
        <v>333</v>
      </c>
      <c r="R2287" s="2" t="str">
        <f>VLOOKUP(SALIDAS111518[[#This Row],[CÓDIGO]],PRODUCTOS31316[],2,FALSE)</f>
        <v>CTB15</v>
      </c>
      <c r="S2287" s="1" t="str">
        <f>VLOOKUP(SALIDAS111518[[#This Row],[CÓDIGO]],PRODUCTOS31316[],3,FALSE)</f>
        <v>TUBO CÓNICO DE 15 ML, TAPA ROSCA ESTÉRIL  RCF MAX: 10000xg, 
graduados, PCR puro. VENCE: 03/04/2028</v>
      </c>
      <c r="T2287" s="15">
        <v>3</v>
      </c>
      <c r="U2287" s="2"/>
      <c r="V2287" s="2"/>
      <c r="W2287" s="2"/>
      <c r="X2287" s="2"/>
      <c r="Y2287" s="7"/>
      <c r="Z2287" s="2"/>
      <c r="AA2287" s="1"/>
      <c r="AC2287" s="2"/>
      <c r="AE2287" s="1"/>
      <c r="AG2287" s="2"/>
    </row>
    <row r="2288" spans="12:33" ht="49.95" customHeight="1" x14ac:dyDescent="0.3">
      <c r="L2288" s="2"/>
      <c r="M2288" s="2"/>
      <c r="N2288" s="2">
        <v>8586</v>
      </c>
      <c r="O2288" s="374" t="s">
        <v>2267</v>
      </c>
      <c r="P2288" s="16">
        <v>46192</v>
      </c>
      <c r="Q2288" s="374" t="s">
        <v>247</v>
      </c>
      <c r="R2288" s="2">
        <f>VLOOKUP(SALIDAS111518[[#This Row],[CÓDIGO]],PRODUCTOS31316[],2,FALSE)</f>
        <v>352054</v>
      </c>
      <c r="S2288" s="1" t="str">
        <f>VLOOKUP(SALIDAS111518[[#This Row],[CÓDIGO]],PRODUCTOS31316[],3,FALSE)</f>
        <v>TUBO DE FONDO REDONDO DE 5ML 12X75MM , POLIESTIRENO</v>
      </c>
      <c r="T2288" s="2">
        <v>10</v>
      </c>
      <c r="U2288" s="2"/>
      <c r="V2288" s="2"/>
      <c r="W2288" s="2"/>
      <c r="X2288" s="2"/>
      <c r="Y2288" s="7"/>
      <c r="Z2288" s="2"/>
      <c r="AA2288" s="1"/>
      <c r="AC2288" s="2"/>
      <c r="AE2288" s="1"/>
      <c r="AG2288" s="2"/>
    </row>
    <row r="2289" spans="12:33" ht="49.95" customHeight="1" x14ac:dyDescent="0.3">
      <c r="L2289" s="2"/>
      <c r="M2289" s="2"/>
      <c r="N2289" s="2">
        <v>8586</v>
      </c>
      <c r="O2289" s="374" t="s">
        <v>2267</v>
      </c>
      <c r="P2289" s="16">
        <v>46192</v>
      </c>
      <c r="Q2289" s="374" t="s">
        <v>3168</v>
      </c>
      <c r="R2289" s="2" t="str">
        <f>VLOOKUP(SALIDAS111518[[#This Row],[CÓDIGO]],PRODUCTOS31316[],2,FALSE)</f>
        <v>MCTB015</v>
      </c>
      <c r="S2289" s="1" t="str">
        <f>VLOOKUP(SALIDAS111518[[#This Row],[CÓDIGO]],PRODUCTOS31316[],3,FALSE)</f>
        <v>TUBO CONICO DE 1,5ml PRE ESTERILIZADO LIBRE DE Rnasa y Dnasa No pirogenico No DNA Humano Tapa a Presion</v>
      </c>
      <c r="T2289" s="2">
        <v>3</v>
      </c>
      <c r="U2289" s="2"/>
      <c r="V2289" s="2"/>
      <c r="W2289" s="2"/>
      <c r="X2289" s="2"/>
      <c r="Y2289" s="7"/>
      <c r="Z2289" s="2"/>
      <c r="AA2289" s="1"/>
      <c r="AC2289" s="2"/>
      <c r="AE2289" s="1"/>
      <c r="AG2289" s="2"/>
    </row>
    <row r="2290" spans="12:33" ht="49.95" customHeight="1" x14ac:dyDescent="0.3">
      <c r="L2290" s="2"/>
      <c r="M2290" s="2"/>
      <c r="N2290" s="2">
        <v>8586</v>
      </c>
      <c r="O2290" s="374" t="s">
        <v>2267</v>
      </c>
      <c r="P2290" s="16">
        <v>46192</v>
      </c>
      <c r="Q2290" s="374" t="s">
        <v>168</v>
      </c>
      <c r="R2290" s="2">
        <f>VLOOKUP(SALIDAS111518[[#This Row],[CÓDIGO]],PRODUCTOS31316[],2,FALSE)</f>
        <v>4840</v>
      </c>
      <c r="S2290" s="1" t="str">
        <f>VLOOKUP(SALIDAS111518[[#This Row],[CÓDIGO]],PRODUCTOS31316[],3,FALSE)</f>
        <v>PUNTAS BLANCAS UNIVERSALES, PLÁSTICAS, LIBRES DE DNASAS, RNASA Y PIROGENOS, RANGO DE 0.1 A 10UL. (CORTAS).</v>
      </c>
      <c r="T2290" s="2">
        <v>6</v>
      </c>
      <c r="U2290" s="2"/>
      <c r="V2290" s="2"/>
      <c r="W2290" s="2"/>
      <c r="X2290" s="2"/>
      <c r="Y2290" s="7"/>
      <c r="Z2290" s="2"/>
      <c r="AA2290" s="1"/>
      <c r="AC2290" s="2"/>
      <c r="AE2290" s="1"/>
      <c r="AG2290" s="2"/>
    </row>
    <row r="2291" spans="12:33" ht="49.95" customHeight="1" x14ac:dyDescent="0.3">
      <c r="L2291" s="2"/>
      <c r="M2291" s="2"/>
      <c r="N2291" s="2">
        <v>8586</v>
      </c>
      <c r="O2291" s="374" t="s">
        <v>2267</v>
      </c>
      <c r="P2291" s="16">
        <v>46192</v>
      </c>
      <c r="Q2291" s="374" t="s">
        <v>767</v>
      </c>
      <c r="R2291" s="2">
        <f>VLOOKUP(SALIDAS111518[[#This Row],[CÓDIGO]],PRODUCTOS31316[],2,FALSE)</f>
        <v>430165</v>
      </c>
      <c r="S2291" s="1" t="str">
        <f>VLOOKUP(SALIDAS111518[[#This Row],[CÓDIGO]],PRODUCTOS31316[],3,FALSE)</f>
        <v>CAJAS DE PETRI DE 35X 10 MM, EN POLYESTYRENO, ESTPERILES, DESECHABLES, PARA CULTIVO CELULAR</v>
      </c>
      <c r="T2291" s="2">
        <v>25</v>
      </c>
      <c r="U2291" s="2"/>
      <c r="V2291" s="2"/>
      <c r="W2291" s="2"/>
      <c r="X2291" s="2"/>
      <c r="Y2291" s="7"/>
      <c r="Z2291" s="2"/>
      <c r="AA2291" s="1"/>
      <c r="AC2291" s="2"/>
      <c r="AE2291" s="1"/>
      <c r="AG2291" s="2"/>
    </row>
    <row r="2292" spans="12:33" ht="49.95" customHeight="1" x14ac:dyDescent="0.3">
      <c r="L2292" s="374" t="s">
        <v>3520</v>
      </c>
      <c r="M2292" s="374" t="s">
        <v>5213</v>
      </c>
      <c r="N2292" s="2">
        <v>15530</v>
      </c>
      <c r="O2292" s="374" t="s">
        <v>1358</v>
      </c>
      <c r="P2292" s="16">
        <v>46192</v>
      </c>
      <c r="Q2292" s="374" t="s">
        <v>104</v>
      </c>
      <c r="R2292" s="2">
        <f>VLOOKUP(SALIDAS111518[[#This Row],[CÓDIGO]],PRODUCTOS31316[],2,FALSE)</f>
        <v>0</v>
      </c>
      <c r="S2292" s="1" t="str">
        <f>VLOOKUP(SALIDAS111518[[#This Row],[CÓDIGO]],PRODUCTOS31316[],3,FALSE)</f>
        <v>ISPERM CHIPS (500 TESTS PER BOX) PAQ. X 50 UND</v>
      </c>
      <c r="T2292" s="2">
        <v>2</v>
      </c>
      <c r="U2292" s="2">
        <v>1018</v>
      </c>
      <c r="V2292" s="2"/>
      <c r="W2292" s="2"/>
      <c r="X2292" s="2"/>
      <c r="Y2292" s="7"/>
      <c r="Z2292" s="2"/>
      <c r="AA2292" s="1"/>
      <c r="AC2292" s="2"/>
      <c r="AE2292" s="1"/>
      <c r="AG2292" s="2"/>
    </row>
    <row r="2293" spans="12:33" ht="49.95" customHeight="1" x14ac:dyDescent="0.3">
      <c r="L2293" s="374" t="s">
        <v>3520</v>
      </c>
      <c r="M2293" s="374" t="s">
        <v>5213</v>
      </c>
      <c r="N2293" s="2">
        <v>15534</v>
      </c>
      <c r="O2293" s="374" t="s">
        <v>3184</v>
      </c>
      <c r="P2293" s="16">
        <v>46192</v>
      </c>
      <c r="Q2293" s="374" t="s">
        <v>2876</v>
      </c>
      <c r="R2293" s="2">
        <f>VLOOKUP(SALIDAS111518[[#This Row],[CÓDIGO]],PRODUCTOS31316[],2,FALSE)</f>
        <v>0</v>
      </c>
      <c r="S2293" s="1" t="str">
        <f>VLOOKUP(SALIDAS111518[[#This Row],[CÓDIGO]],PRODUCTOS31316[],3,FALSE)</f>
        <v>PISTOLA DE TRANSFERENCIA DE EMBRIONES 0,25 / BLOQUEO AUTOMÁTICO EN ALUMINIO</v>
      </c>
      <c r="T2293" s="2">
        <v>3</v>
      </c>
      <c r="U2293" s="2">
        <v>1019</v>
      </c>
      <c r="V2293" s="2"/>
      <c r="W2293" s="2"/>
      <c r="X2293" s="2"/>
      <c r="Y2293" s="7"/>
      <c r="Z2293" s="2"/>
      <c r="AA2293" s="1"/>
      <c r="AC2293" s="2"/>
      <c r="AE2293" s="1"/>
      <c r="AG2293" s="2"/>
    </row>
    <row r="2294" spans="12:33" ht="49.95" customHeight="1" x14ac:dyDescent="0.3">
      <c r="L2294" s="374" t="s">
        <v>3520</v>
      </c>
      <c r="M2294" s="374" t="s">
        <v>5213</v>
      </c>
      <c r="N2294" s="374" t="s">
        <v>5254</v>
      </c>
      <c r="O2294" s="374" t="s">
        <v>2925</v>
      </c>
      <c r="P2294" s="16">
        <v>46192</v>
      </c>
      <c r="Q2294" s="374" t="s">
        <v>36</v>
      </c>
      <c r="R2294" s="2">
        <f>VLOOKUP(SALIDAS111518[[#This Row],[CÓDIGO]],PRODUCTOS31316[],2,FALSE)</f>
        <v>1</v>
      </c>
      <c r="S2294" s="1" t="str">
        <f>VLOOKUP(SALIDAS111518[[#This Row],[CÓDIGO]],PRODUCTOS31316[],3,FALSE)</f>
        <v xml:space="preserve">PARCHE ESTROTECT </v>
      </c>
      <c r="T2294" s="2">
        <v>24</v>
      </c>
      <c r="U2294" s="2">
        <v>1020</v>
      </c>
      <c r="V2294" s="2"/>
      <c r="W2294" s="2"/>
      <c r="X2294" s="2"/>
      <c r="Y2294" s="7"/>
      <c r="Z2294" s="2"/>
      <c r="AA2294" s="1"/>
      <c r="AC2294" s="2"/>
      <c r="AE2294" s="1"/>
      <c r="AG2294" s="2"/>
    </row>
    <row r="2295" spans="12:33" ht="49.95" customHeight="1" x14ac:dyDescent="0.3">
      <c r="L2295" s="374" t="s">
        <v>3520</v>
      </c>
      <c r="M2295" s="374" t="s">
        <v>5213</v>
      </c>
      <c r="N2295" s="374" t="s">
        <v>5253</v>
      </c>
      <c r="O2295" s="375" t="s">
        <v>3195</v>
      </c>
      <c r="P2295" s="16">
        <v>46192</v>
      </c>
      <c r="Q2295" s="374" t="s">
        <v>15</v>
      </c>
      <c r="R2295" s="2" t="str">
        <f>VLOOKUP(SALIDAS111518[[#This Row],[CÓDIGO]],PRODUCTOS31316[],2,FALSE)</f>
        <v>BTE-025PT/ 504002</v>
      </c>
      <c r="S2295" s="1" t="str">
        <f>VLOOKUP(SALIDAS111518[[#This Row],[CÓDIGO]],PRODUCTOS31316[],3,FALSE)</f>
        <v>FUNDAS PARA TRANSFERENCIA DE EMBRIONES</v>
      </c>
      <c r="T2295" s="2">
        <v>40</v>
      </c>
      <c r="U2295" s="2">
        <v>1021</v>
      </c>
      <c r="V2295" s="2"/>
      <c r="W2295" s="2"/>
      <c r="X2295" s="2"/>
      <c r="Y2295" s="7"/>
      <c r="Z2295" s="2"/>
      <c r="AA2295" s="1"/>
      <c r="AC2295" s="2"/>
      <c r="AE2295" s="1"/>
      <c r="AG2295" s="2"/>
    </row>
    <row r="2296" spans="12:33" ht="49.95" customHeight="1" x14ac:dyDescent="0.3">
      <c r="L2296" s="2"/>
      <c r="M2296" s="2"/>
      <c r="N2296" s="2">
        <v>8590</v>
      </c>
      <c r="O2296" s="375" t="s">
        <v>3195</v>
      </c>
      <c r="P2296" s="16">
        <v>46192</v>
      </c>
      <c r="Q2296" s="374" t="s">
        <v>1779</v>
      </c>
      <c r="R2296" s="2">
        <f>VLOOKUP(SALIDAS111518[[#This Row],[CÓDIGO]],PRODUCTOS31316[],2,FALSE)</f>
        <v>5563</v>
      </c>
      <c r="S2296" s="1" t="str">
        <f>VLOOKUP(SALIDAS111518[[#This Row],[CÓDIGO]],PRODUCTOS31316[],3,FALSE)</f>
        <v>CAMISA SANITARIA ROLLO X 80</v>
      </c>
      <c r="T2296" s="2">
        <v>3</v>
      </c>
      <c r="U2296" s="2"/>
      <c r="V2296" s="2"/>
      <c r="W2296" s="2"/>
      <c r="X2296" s="2"/>
      <c r="Y2296" s="7"/>
      <c r="Z2296" s="2"/>
      <c r="AA2296" s="1"/>
      <c r="AC2296" s="2"/>
      <c r="AE2296" s="1"/>
      <c r="AG2296" s="2"/>
    </row>
    <row r="2297" spans="12:33" ht="49.95" customHeight="1" x14ac:dyDescent="0.3">
      <c r="L2297" s="374" t="s">
        <v>3521</v>
      </c>
      <c r="M2297" s="374" t="s">
        <v>5213</v>
      </c>
      <c r="N2297" s="374" t="s">
        <v>5251</v>
      </c>
      <c r="O2297" s="374" t="s">
        <v>5252</v>
      </c>
      <c r="P2297" s="16">
        <v>46195</v>
      </c>
      <c r="Q2297" s="374" t="s">
        <v>909</v>
      </c>
      <c r="R2297" s="2" t="str">
        <f>VLOOKUP(SALIDAS111518[[#This Row],[CÓDIGO]],PRODUCTOS31316[],2,FALSE)</f>
        <v>26-0</v>
      </c>
      <c r="S2297" s="1" t="str">
        <f>VLOOKUP(SALIDAS111518[[#This Row],[CÓDIGO]],PRODUCTOS31316[],3,FALSE)</f>
        <v>ELECTRO PARA OVINO- CAPRINO/ PROBE 1 1/4" DE DIÁMETRO FUNCIONA CON 2 BATERIAS 9V</v>
      </c>
      <c r="T2297" s="2">
        <v>1</v>
      </c>
      <c r="U2297" s="2">
        <v>1022</v>
      </c>
      <c r="V2297" s="2"/>
      <c r="W2297" s="2"/>
      <c r="X2297" s="2"/>
      <c r="Y2297" s="7"/>
      <c r="Z2297" s="2"/>
      <c r="AA2297" s="1"/>
      <c r="AC2297" s="2"/>
      <c r="AE2297" s="1"/>
      <c r="AG2297" s="2"/>
    </row>
    <row r="2298" spans="12:33" ht="49.95" customHeight="1" x14ac:dyDescent="0.3">
      <c r="L2298" s="2"/>
      <c r="M2298" s="2"/>
      <c r="N2298" s="2">
        <v>8591</v>
      </c>
      <c r="O2298" s="374" t="s">
        <v>5252</v>
      </c>
      <c r="P2298" s="16">
        <v>46195</v>
      </c>
      <c r="Q2298" s="374" t="s">
        <v>3065</v>
      </c>
      <c r="R2298" s="2">
        <f>VLOOKUP(SALIDAS111518[[#This Row],[CÓDIGO]],PRODUCTOS31316[],2,FALSE)</f>
        <v>20597559</v>
      </c>
      <c r="S2298" s="1" t="str">
        <f>VLOOKUP(SALIDAS111518[[#This Row],[CÓDIGO]],PRODUCTOS31316[],3,FALSE)</f>
        <v>TERMO NITRÓGENO ET- 20</v>
      </c>
      <c r="T2298" s="2">
        <v>2</v>
      </c>
      <c r="U2298" s="2"/>
      <c r="V2298" s="2"/>
      <c r="W2298" s="2"/>
      <c r="X2298" s="2"/>
      <c r="Y2298" s="7"/>
      <c r="Z2298" s="2"/>
      <c r="AA2298" s="1"/>
      <c r="AC2298" s="2"/>
      <c r="AE2298" s="1"/>
      <c r="AG2298" s="2"/>
    </row>
    <row r="2299" spans="12:33" ht="49.95" customHeight="1" x14ac:dyDescent="0.3">
      <c r="L2299" s="2"/>
      <c r="M2299" s="2"/>
      <c r="N2299" s="2">
        <v>8591</v>
      </c>
      <c r="O2299" s="374" t="s">
        <v>5252</v>
      </c>
      <c r="P2299" s="16">
        <v>46195</v>
      </c>
      <c r="Q2299" s="374" t="s">
        <v>2336</v>
      </c>
      <c r="R2299" s="2">
        <f>VLOOKUP(SALIDAS111518[[#This Row],[CÓDIGO]],PRODUCTOS31316[],2,FALSE)</f>
        <v>4451</v>
      </c>
      <c r="S2299" s="1" t="str">
        <f>VLOOKUP(SALIDAS111518[[#This Row],[CÓDIGO]],PRODUCTOS31316[],3,FALSE)</f>
        <v>TERMO NITRÓGEN ET-3</v>
      </c>
      <c r="T2299" s="2">
        <v>1</v>
      </c>
      <c r="U2299" s="2"/>
      <c r="V2299" s="2"/>
      <c r="W2299" s="2"/>
      <c r="X2299" s="2"/>
      <c r="Y2299" s="7"/>
      <c r="Z2299" s="2"/>
      <c r="AA2299" s="1"/>
      <c r="AC2299" s="2"/>
      <c r="AE2299" s="1"/>
      <c r="AG2299" s="2"/>
    </row>
    <row r="2300" spans="12:33" ht="49.95" customHeight="1" x14ac:dyDescent="0.3">
      <c r="L2300" s="2"/>
      <c r="M2300" s="2"/>
      <c r="N2300" s="2">
        <v>8591</v>
      </c>
      <c r="O2300" s="374" t="s">
        <v>5252</v>
      </c>
      <c r="P2300" s="16">
        <v>46195</v>
      </c>
      <c r="Q2300" s="374" t="s">
        <v>2755</v>
      </c>
      <c r="R2300" s="2" t="str">
        <f>VLOOKUP(SALIDAS111518[[#This Row],[CÓDIGO]],PRODUCTOS31316[],2,FALSE)</f>
        <v>MSLDO05</v>
      </c>
      <c r="S2300" s="1" t="str">
        <f>VLOOKUP(SALIDAS111518[[#This Row],[CÓDIGO]],PRODUCTOS31316[],3,FALSE)</f>
        <v>TERMO DE RECOLECCIÓN DE SEMEN/ USO VETERINARIO</v>
      </c>
      <c r="T2300" s="2">
        <v>3</v>
      </c>
      <c r="U2300" s="2"/>
      <c r="V2300" s="2"/>
      <c r="W2300" s="2"/>
      <c r="X2300" s="2"/>
      <c r="Y2300" s="7"/>
      <c r="Z2300" s="2"/>
      <c r="AA2300" s="1"/>
      <c r="AC2300" s="2"/>
      <c r="AE2300" s="1"/>
      <c r="AG2300" s="2"/>
    </row>
    <row r="2301" spans="12:33" ht="49.95" customHeight="1" x14ac:dyDescent="0.3">
      <c r="L2301" s="374" t="s">
        <v>3521</v>
      </c>
      <c r="M2301" s="374" t="s">
        <v>5213</v>
      </c>
      <c r="N2301" s="374" t="s">
        <v>5250</v>
      </c>
      <c r="O2301" s="374" t="s">
        <v>5249</v>
      </c>
      <c r="P2301" s="16">
        <v>46195</v>
      </c>
      <c r="Q2301" s="374" t="s">
        <v>4768</v>
      </c>
      <c r="R2301" s="2" t="str">
        <f>VLOOKUP(SALIDAS111518[[#This Row],[CÓDIGO]],PRODUCTOS31316[],2,FALSE)</f>
        <v>BLX-V10 III</v>
      </c>
      <c r="S2301" s="1" t="str">
        <f>VLOOKUP(SALIDAS111518[[#This Row],[CÓDIGO]],PRODUCTOS31316[],3,FALSE)</f>
        <v>ECOGRAFO BLX-V10 III MARCA: BOXERLY</v>
      </c>
      <c r="T2301" s="2">
        <v>1</v>
      </c>
      <c r="U2301" s="2">
        <v>1025</v>
      </c>
      <c r="V2301" s="2"/>
      <c r="W2301" s="2"/>
      <c r="X2301" s="2"/>
      <c r="Y2301" s="7"/>
      <c r="Z2301" s="2"/>
      <c r="AA2301" s="1"/>
      <c r="AC2301" s="2"/>
      <c r="AE2301" s="1"/>
      <c r="AG2301" s="2"/>
    </row>
    <row r="2302" spans="12:33" ht="49.95" customHeight="1" x14ac:dyDescent="0.3">
      <c r="L2302" s="393" t="s">
        <v>3521</v>
      </c>
      <c r="M2302" s="393" t="s">
        <v>5071</v>
      </c>
      <c r="N2302" s="15">
        <v>8596</v>
      </c>
      <c r="O2302" s="376" t="s">
        <v>5249</v>
      </c>
      <c r="P2302" s="46"/>
      <c r="Q2302" s="374" t="s">
        <v>4768</v>
      </c>
      <c r="R2302" s="2" t="str">
        <f>VLOOKUP(SALIDAS111518[[#This Row],[CÓDIGO]],PRODUCTOS31316[],2,FALSE)</f>
        <v>BLX-V10 III</v>
      </c>
      <c r="S2302" s="1" t="str">
        <f>VLOOKUP(SALIDAS111518[[#This Row],[CÓDIGO]],PRODUCTOS31316[],3,FALSE)</f>
        <v>ECOGRAFO BLX-V10 III MARCA: BOXERLY</v>
      </c>
      <c r="T2302" s="2">
        <v>2</v>
      </c>
      <c r="U2302" s="15"/>
      <c r="V2302" s="2"/>
      <c r="W2302" s="2"/>
      <c r="X2302" s="2"/>
      <c r="Y2302" s="7"/>
      <c r="Z2302" s="2"/>
      <c r="AA2302" s="1"/>
      <c r="AC2302" s="2"/>
      <c r="AE2302" s="1"/>
      <c r="AG2302" s="2"/>
    </row>
    <row r="2303" spans="12:33" ht="49.95" customHeight="1" x14ac:dyDescent="0.3">
      <c r="L2303" s="374" t="s">
        <v>3521</v>
      </c>
      <c r="M2303" s="374" t="s">
        <v>5213</v>
      </c>
      <c r="N2303" s="374" t="s">
        <v>5248</v>
      </c>
      <c r="O2303" s="374" t="s">
        <v>5247</v>
      </c>
      <c r="P2303" s="16">
        <v>46195</v>
      </c>
      <c r="Q2303" s="374" t="s">
        <v>3591</v>
      </c>
      <c r="R2303" s="2">
        <f>VLOOKUP(SALIDAS111518[[#This Row],[CÓDIGO]],PRODUCTOS31316[],2,FALSE)</f>
        <v>9018121000</v>
      </c>
      <c r="S2303" s="1" t="str">
        <f>VLOOKUP(SALIDAS111518[[#This Row],[CÓDIGO]],PRODUCTOS31316[],3,FALSE)</f>
        <v>ECÓGRAFO Y6 CON SONDA LINEAL RECTAL</v>
      </c>
      <c r="T2303" s="2">
        <v>1</v>
      </c>
      <c r="U2303" s="2">
        <v>1026</v>
      </c>
      <c r="V2303" s="2"/>
      <c r="W2303" s="2"/>
      <c r="X2303" s="2"/>
      <c r="Y2303" s="7"/>
      <c r="Z2303" s="2"/>
      <c r="AA2303" s="1"/>
      <c r="AC2303" s="2"/>
      <c r="AE2303" s="1"/>
      <c r="AG2303" s="2"/>
    </row>
    <row r="2304" spans="12:33" ht="49.95" customHeight="1" x14ac:dyDescent="0.3">
      <c r="L2304" s="2"/>
      <c r="M2304" s="2"/>
      <c r="N2304" s="2">
        <v>8600</v>
      </c>
      <c r="O2304" s="374" t="s">
        <v>5247</v>
      </c>
      <c r="P2304" s="16">
        <v>46195</v>
      </c>
      <c r="Q2304" s="374" t="s">
        <v>5125</v>
      </c>
      <c r="R2304" s="2">
        <f>VLOOKUP(SALIDAS111518[[#This Row],[CÓDIGO]],PRODUCTOS31316[],2,FALSE)</f>
        <v>0</v>
      </c>
      <c r="S2304" s="1" t="str">
        <f>VLOOKUP(SALIDAS111518[[#This Row],[CÓDIGO]],PRODUCTOS31316[],3,FALSE)</f>
        <v>GAFAS PARA ECOGRAFO  Y6 MARCA: DAWEI</v>
      </c>
      <c r="T2304" s="2">
        <v>1</v>
      </c>
      <c r="U2304" s="2"/>
      <c r="V2304" s="2"/>
      <c r="W2304" s="2"/>
      <c r="X2304" s="2"/>
      <c r="Y2304" s="7"/>
      <c r="Z2304" s="2"/>
      <c r="AA2304" s="1"/>
      <c r="AC2304" s="2"/>
      <c r="AE2304" s="1"/>
      <c r="AG2304" s="2"/>
    </row>
    <row r="2305" spans="12:33" ht="49.95" customHeight="1" x14ac:dyDescent="0.3">
      <c r="L2305" s="2"/>
      <c r="M2305" s="2"/>
      <c r="N2305" s="2">
        <v>8600</v>
      </c>
      <c r="O2305" s="374" t="s">
        <v>5247</v>
      </c>
      <c r="P2305" s="16">
        <v>46195</v>
      </c>
      <c r="Q2305" s="374" t="s">
        <v>3095</v>
      </c>
      <c r="R2305" s="2">
        <f>VLOOKUP(SALIDAS111518[[#This Row],[CÓDIGO]],PRODUCTOS31316[],2,FALSE)</f>
        <v>0</v>
      </c>
      <c r="S2305" s="1" t="str">
        <f>VLOOKUP(SALIDAS111518[[#This Row],[CÓDIGO]],PRODUCTOS31316[],3,FALSE)</f>
        <v>GORRA MAS CAMPO</v>
      </c>
      <c r="T2305" s="2">
        <v>1</v>
      </c>
      <c r="U2305" s="2"/>
      <c r="V2305" s="2"/>
      <c r="W2305" s="2"/>
      <c r="X2305" s="2"/>
      <c r="Y2305" s="7"/>
      <c r="Z2305" s="2"/>
      <c r="AA2305" s="1"/>
      <c r="AC2305" s="2"/>
      <c r="AE2305" s="1"/>
      <c r="AG2305" s="2"/>
    </row>
    <row r="2306" spans="12:33" ht="49.95" customHeight="1" x14ac:dyDescent="0.3">
      <c r="L2306" s="374" t="s">
        <v>3521</v>
      </c>
      <c r="M2306" s="374" t="s">
        <v>5213</v>
      </c>
      <c r="N2306" s="374" t="s">
        <v>5246</v>
      </c>
      <c r="O2306" s="374" t="s">
        <v>5245</v>
      </c>
      <c r="P2306" s="16">
        <v>46195</v>
      </c>
      <c r="Q2306" s="374" t="s">
        <v>104</v>
      </c>
      <c r="R2306" s="2">
        <f>VLOOKUP(SALIDAS111518[[#This Row],[CÓDIGO]],PRODUCTOS31316[],2,FALSE)</f>
        <v>0</v>
      </c>
      <c r="S2306" s="1" t="str">
        <f>VLOOKUP(SALIDAS111518[[#This Row],[CÓDIGO]],PRODUCTOS31316[],3,FALSE)</f>
        <v>ISPERM CHIPS (500 TESTS PER BOX) PAQ. X 50 UND</v>
      </c>
      <c r="T2306" s="2">
        <v>1</v>
      </c>
      <c r="U2306" s="2">
        <v>1027</v>
      </c>
      <c r="V2306" s="2"/>
      <c r="W2306" s="2"/>
      <c r="X2306" s="2"/>
      <c r="Y2306" s="7"/>
      <c r="Z2306" s="2"/>
      <c r="AA2306" s="1"/>
      <c r="AC2306" s="2"/>
      <c r="AE2306" s="1"/>
      <c r="AG2306" s="2"/>
    </row>
    <row r="2307" spans="12:33" ht="49.95" customHeight="1" x14ac:dyDescent="0.3">
      <c r="L2307" s="374" t="s">
        <v>3520</v>
      </c>
      <c r="M2307" s="374" t="s">
        <v>5213</v>
      </c>
      <c r="N2307" s="374" t="s">
        <v>5244</v>
      </c>
      <c r="O2307" s="374" t="s">
        <v>94</v>
      </c>
      <c r="P2307" s="16">
        <v>46195</v>
      </c>
      <c r="Q2307" s="374" t="s">
        <v>2251</v>
      </c>
      <c r="R2307" s="2">
        <f>VLOOKUP(SALIDAS111518[[#This Row],[CÓDIGO]],PRODUCTOS31316[],2,FALSE)</f>
        <v>7240</v>
      </c>
      <c r="S2307" s="1" t="str">
        <f>VLOOKUP(SALIDAS111518[[#This Row],[CÓDIGO]],PRODUCTOS31316[],3,FALSE)</f>
        <v>PISTOLA DE TE 0,25 MARCA IMV</v>
      </c>
      <c r="T2307" s="2">
        <v>6</v>
      </c>
      <c r="U2307" s="2">
        <v>1024</v>
      </c>
      <c r="V2307" s="2"/>
      <c r="W2307" s="2"/>
      <c r="X2307" s="2"/>
      <c r="Y2307" s="7"/>
      <c r="Z2307" s="2"/>
      <c r="AA2307" s="1"/>
      <c r="AC2307" s="2"/>
      <c r="AE2307" s="1"/>
      <c r="AG2307" s="2"/>
    </row>
    <row r="2308" spans="12:33" ht="49.95" customHeight="1" x14ac:dyDescent="0.3">
      <c r="L2308" s="374" t="s">
        <v>3520</v>
      </c>
      <c r="M2308" s="374" t="s">
        <v>5213</v>
      </c>
      <c r="N2308" s="374" t="s">
        <v>5243</v>
      </c>
      <c r="O2308" s="374" t="s">
        <v>94</v>
      </c>
      <c r="P2308" s="16">
        <v>46195</v>
      </c>
      <c r="Q2308" s="374" t="s">
        <v>5098</v>
      </c>
      <c r="R2308" s="2">
        <f>VLOOKUP(SALIDAS111518[[#This Row],[CÓDIGO]],PRODUCTOS31316[],2,FALSE)</f>
        <v>0</v>
      </c>
      <c r="S2308" s="1" t="str">
        <f>VLOOKUP(SALIDAS111518[[#This Row],[CÓDIGO]],PRODUCTOS31316[],3,FALSE)</f>
        <v>FUNDA DE TRANSFERENCIA DE EMBRIONES 0.25 PUNTA PLÁSTICA MARCA TED</v>
      </c>
      <c r="T2308" s="2">
        <v>160</v>
      </c>
      <c r="U2308" s="2">
        <v>1028</v>
      </c>
      <c r="V2308" s="2"/>
      <c r="W2308" s="2"/>
      <c r="X2308" s="2"/>
      <c r="Y2308" s="7"/>
      <c r="Z2308" s="2"/>
      <c r="AA2308" s="1"/>
      <c r="AC2308" s="2"/>
      <c r="AE2308" s="1"/>
      <c r="AG2308" s="2"/>
    </row>
    <row r="2309" spans="12:33" ht="49.95" customHeight="1" x14ac:dyDescent="0.3">
      <c r="L2309" s="2"/>
      <c r="M2309" s="2"/>
      <c r="N2309" s="2">
        <v>8595</v>
      </c>
      <c r="O2309" s="374" t="s">
        <v>94</v>
      </c>
      <c r="P2309" s="16">
        <v>46195</v>
      </c>
      <c r="Q2309" s="374" t="s">
        <v>366</v>
      </c>
      <c r="R2309" s="2">
        <f>VLOOKUP(SALIDAS111518[[#This Row],[CÓDIGO]],PRODUCTOS31316[],2,FALSE)</f>
        <v>505003</v>
      </c>
      <c r="S2309" s="1" t="str">
        <f>VLOOKUP(SALIDAS111518[[#This Row],[CÓDIGO]],PRODUCTOS31316[],3,FALSE)</f>
        <v>LACRADOR REDONDO BLANCO</v>
      </c>
      <c r="T2309" s="2">
        <v>4</v>
      </c>
      <c r="U2309" s="2"/>
      <c r="V2309" s="2"/>
      <c r="W2309" s="2"/>
      <c r="X2309" s="2"/>
      <c r="Y2309" s="7"/>
      <c r="Z2309" s="2"/>
      <c r="AA2309" s="1"/>
      <c r="AC2309" s="2"/>
      <c r="AE2309" s="1"/>
      <c r="AG2309" s="2"/>
    </row>
    <row r="2310" spans="12:33" ht="49.95" customHeight="1" x14ac:dyDescent="0.3">
      <c r="L2310" s="374" t="s">
        <v>3520</v>
      </c>
      <c r="M2310" s="374" t="s">
        <v>5213</v>
      </c>
      <c r="N2310" s="374" t="s">
        <v>5242</v>
      </c>
      <c r="O2310" s="374" t="s">
        <v>3652</v>
      </c>
      <c r="P2310" s="16">
        <v>46195</v>
      </c>
      <c r="Q2310" s="374" t="s">
        <v>104</v>
      </c>
      <c r="R2310" s="2">
        <f>VLOOKUP(SALIDAS111518[[#This Row],[CÓDIGO]],PRODUCTOS31316[],2,FALSE)</f>
        <v>0</v>
      </c>
      <c r="S2310" s="1" t="str">
        <f>VLOOKUP(SALIDAS111518[[#This Row],[CÓDIGO]],PRODUCTOS31316[],3,FALSE)</f>
        <v>ISPERM CHIPS (500 TESTS PER BOX) PAQ. X 50 UND</v>
      </c>
      <c r="T2310" s="2">
        <v>6</v>
      </c>
      <c r="U2310" s="2">
        <v>1029</v>
      </c>
      <c r="V2310" s="2"/>
      <c r="W2310" s="2"/>
      <c r="X2310" s="2"/>
      <c r="Y2310" s="7"/>
      <c r="Z2310" s="2"/>
      <c r="AA2310" s="1"/>
      <c r="AC2310" s="2"/>
      <c r="AE2310" s="1"/>
      <c r="AG2310" s="2"/>
    </row>
    <row r="2311" spans="12:33" ht="49.95" customHeight="1" x14ac:dyDescent="0.3">
      <c r="L2311" s="374" t="s">
        <v>3520</v>
      </c>
      <c r="M2311" s="374" t="s">
        <v>5213</v>
      </c>
      <c r="N2311" s="374" t="s">
        <v>5241</v>
      </c>
      <c r="O2311" s="375" t="s">
        <v>2212</v>
      </c>
      <c r="P2311" s="16">
        <v>46195</v>
      </c>
      <c r="Q2311" s="374" t="s">
        <v>2251</v>
      </c>
      <c r="R2311" s="2">
        <f>VLOOKUP(SALIDAS111518[[#This Row],[CÓDIGO]],PRODUCTOS31316[],2,FALSE)</f>
        <v>7240</v>
      </c>
      <c r="S2311" s="1" t="str">
        <f>VLOOKUP(SALIDAS111518[[#This Row],[CÓDIGO]],PRODUCTOS31316[],3,FALSE)</f>
        <v>PISTOLA DE TE 0,25 MARCA IMV</v>
      </c>
      <c r="T2311" s="2">
        <v>1</v>
      </c>
      <c r="U2311" s="2">
        <v>1030</v>
      </c>
      <c r="V2311" s="2"/>
      <c r="W2311" s="2"/>
      <c r="X2311" s="2"/>
      <c r="Y2311" s="7"/>
      <c r="Z2311" s="2"/>
      <c r="AA2311" s="1"/>
      <c r="AC2311" s="2"/>
      <c r="AE2311" s="1"/>
      <c r="AG2311" s="2"/>
    </row>
    <row r="2312" spans="12:33" ht="49.95" customHeight="1" x14ac:dyDescent="0.3">
      <c r="L2312" s="2"/>
      <c r="M2312" s="2"/>
      <c r="N2312" s="2">
        <v>8602</v>
      </c>
      <c r="O2312" s="375" t="s">
        <v>2212</v>
      </c>
      <c r="P2312" s="16">
        <v>46195</v>
      </c>
      <c r="Q2312" s="374" t="s">
        <v>273</v>
      </c>
      <c r="R2312" s="2">
        <f>VLOOKUP(SALIDAS111518[[#This Row],[CÓDIGO]],PRODUCTOS31316[],2,FALSE)</f>
        <v>1003514</v>
      </c>
      <c r="S2312" s="1" t="str">
        <f>VLOOKUP(SALIDAS111518[[#This Row],[CÓDIGO]],PRODUCTOS31316[],3,FALSE)</f>
        <v>JALEA CONDUCTIVA (GEL ULTRASONICO) GALON X 3785 ML AZUL</v>
      </c>
      <c r="T2312" s="2">
        <v>1</v>
      </c>
      <c r="U2312" s="2"/>
      <c r="V2312" s="2"/>
      <c r="W2312" s="2"/>
      <c r="X2312" s="2"/>
      <c r="Y2312" s="7"/>
      <c r="Z2312" s="2"/>
      <c r="AA2312" s="1"/>
      <c r="AC2312" s="2"/>
      <c r="AE2312" s="1"/>
      <c r="AG2312" s="2"/>
    </row>
    <row r="2313" spans="12:33" ht="49.95" customHeight="1" x14ac:dyDescent="0.3">
      <c r="L2313" s="374" t="s">
        <v>3521</v>
      </c>
      <c r="M2313" s="374" t="s">
        <v>5213</v>
      </c>
      <c r="N2313" s="374" t="s">
        <v>5240</v>
      </c>
      <c r="O2313" s="375" t="s">
        <v>5239</v>
      </c>
      <c r="P2313" s="16">
        <v>46195</v>
      </c>
      <c r="Q2313" s="374" t="s">
        <v>3181</v>
      </c>
      <c r="R2313" s="2">
        <f>VLOOKUP(SALIDAS111518[[#This Row],[CÓDIGO]],PRODUCTOS31316[],2,FALSE)</f>
        <v>7416</v>
      </c>
      <c r="S2313" s="1" t="str">
        <f>VLOOKUP(SALIDAS111518[[#This Row],[CÓDIGO]],PRODUCTOS31316[],3,FALSE)</f>
        <v>CAJA PLÁSTICA DE 22" DE TRANSPORTE</v>
      </c>
      <c r="T2313" s="2">
        <v>1</v>
      </c>
      <c r="U2313" s="2">
        <v>1031</v>
      </c>
      <c r="V2313" s="2"/>
      <c r="W2313" s="2"/>
      <c r="X2313" s="2"/>
      <c r="Y2313" s="7"/>
      <c r="Z2313" s="2"/>
      <c r="AA2313" s="1"/>
      <c r="AC2313" s="2"/>
      <c r="AE2313" s="1"/>
      <c r="AG2313" s="2"/>
    </row>
    <row r="2314" spans="12:33" ht="49.95" customHeight="1" x14ac:dyDescent="0.3">
      <c r="L2314" s="2"/>
      <c r="M2314" s="2"/>
      <c r="N2314" s="2">
        <v>8603</v>
      </c>
      <c r="O2314" s="375" t="s">
        <v>5239</v>
      </c>
      <c r="P2314" s="16">
        <v>46195</v>
      </c>
      <c r="Q2314" s="374" t="s">
        <v>153</v>
      </c>
      <c r="R2314" s="2">
        <f>VLOOKUP(SALIDAS111518[[#This Row],[CÓDIGO]],PRODUCTOS31316[],2,FALSE)</f>
        <v>1132</v>
      </c>
      <c r="S2314" s="1" t="str">
        <f>VLOOKUP(SALIDAS111518[[#This Row],[CÓDIGO]],PRODUCTOS31316[],3,FALSE)</f>
        <v>PISTOLA QUICKLOCK CLASIC</v>
      </c>
      <c r="T2314" s="2">
        <v>1</v>
      </c>
      <c r="U2314" s="2"/>
      <c r="V2314" s="2"/>
      <c r="W2314" s="2"/>
      <c r="X2314" s="2"/>
      <c r="Y2314" s="7"/>
      <c r="Z2314" s="2"/>
      <c r="AA2314" s="1"/>
      <c r="AC2314" s="2"/>
      <c r="AE2314" s="1"/>
      <c r="AG2314" s="2"/>
    </row>
    <row r="2315" spans="12:33" ht="49.95" customHeight="1" x14ac:dyDescent="0.3">
      <c r="L2315" s="2"/>
      <c r="M2315" s="2"/>
      <c r="N2315" s="2">
        <v>8603</v>
      </c>
      <c r="O2315" s="375" t="s">
        <v>5239</v>
      </c>
      <c r="P2315" s="16">
        <v>46195</v>
      </c>
      <c r="Q2315" s="374" t="s">
        <v>369</v>
      </c>
      <c r="R2315" s="2">
        <f>VLOOKUP(SALIDAS111518[[#This Row],[CÓDIGO]],PRODUCTOS31316[],2,FALSE)</f>
        <v>0</v>
      </c>
      <c r="S2315" s="1" t="str">
        <f>VLOOKUP(SALIDAS111518[[#This Row],[CÓDIGO]],PRODUCTOS31316[],3,FALSE)</f>
        <v>FUNDA UNIVERSAL PARA I.A. RANURADA</v>
      </c>
      <c r="T2315" s="2">
        <v>1</v>
      </c>
      <c r="U2315" s="2"/>
      <c r="V2315" s="2"/>
      <c r="W2315" s="2"/>
      <c r="X2315" s="2"/>
      <c r="Y2315" s="7"/>
      <c r="Z2315" s="2"/>
      <c r="AA2315" s="1"/>
      <c r="AC2315" s="2"/>
      <c r="AE2315" s="1"/>
      <c r="AG2315" s="2"/>
    </row>
    <row r="2316" spans="12:33" ht="49.95" customHeight="1" x14ac:dyDescent="0.3">
      <c r="L2316" s="2"/>
      <c r="M2316" s="2"/>
      <c r="N2316" s="2">
        <v>8603</v>
      </c>
      <c r="O2316" s="375" t="s">
        <v>5239</v>
      </c>
      <c r="P2316" s="16">
        <v>46195</v>
      </c>
      <c r="Q2316" s="374" t="s">
        <v>658</v>
      </c>
      <c r="R2316" s="2">
        <f>VLOOKUP(SALIDAS111518[[#This Row],[CÓDIGO]],PRODUCTOS31316[],2,FALSE)</f>
        <v>0</v>
      </c>
      <c r="S2316" s="1" t="str">
        <f>VLOOKUP(SALIDAS111518[[#This Row],[CÓDIGO]],PRODUCTOS31316[],3,FALSE)</f>
        <v>CATETER TALADRO TRANSPARENTE 18"</v>
      </c>
      <c r="T2316" s="2">
        <v>1</v>
      </c>
      <c r="U2316" s="2"/>
      <c r="V2316" s="2"/>
      <c r="W2316" s="2"/>
      <c r="X2316" s="2"/>
      <c r="Y2316" s="7"/>
      <c r="Z2316" s="2"/>
      <c r="AA2316" s="1"/>
      <c r="AC2316" s="2"/>
      <c r="AE2316" s="1"/>
      <c r="AG2316" s="2"/>
    </row>
    <row r="2317" spans="12:33" ht="49.95" customHeight="1" x14ac:dyDescent="0.3">
      <c r="L2317" s="2"/>
      <c r="M2317" s="2"/>
      <c r="N2317" s="2">
        <v>8603</v>
      </c>
      <c r="O2317" s="375" t="s">
        <v>5239</v>
      </c>
      <c r="P2317" s="16">
        <v>46195</v>
      </c>
      <c r="Q2317" s="374" t="s">
        <v>382</v>
      </c>
      <c r="R2317" s="2">
        <f>VLOOKUP(SALIDAS111518[[#This Row],[CÓDIGO]],PRODUCTOS31316[],2,FALSE)</f>
        <v>605032</v>
      </c>
      <c r="S2317" s="1" t="str">
        <f>VLOOKUP(SALIDAS111518[[#This Row],[CÓDIGO]],PRODUCTOS31316[],3,FALSE)</f>
        <v>LUBRICANTE OB, NO ESPERMICIDA</v>
      </c>
      <c r="T2317" s="2">
        <v>1</v>
      </c>
      <c r="U2317" s="2"/>
      <c r="V2317" s="2"/>
      <c r="W2317" s="2"/>
      <c r="X2317" s="2"/>
      <c r="Y2317" s="7"/>
      <c r="Z2317" s="2"/>
      <c r="AA2317" s="1"/>
      <c r="AC2317" s="2"/>
      <c r="AE2317" s="1"/>
      <c r="AG2317" s="2"/>
    </row>
    <row r="2318" spans="12:33" ht="49.95" customHeight="1" x14ac:dyDescent="0.3">
      <c r="L2318" s="2"/>
      <c r="M2318" s="2"/>
      <c r="N2318" s="2">
        <v>8603</v>
      </c>
      <c r="O2318" s="375" t="s">
        <v>5239</v>
      </c>
      <c r="P2318" s="16">
        <v>46195</v>
      </c>
      <c r="Q2318" s="374" t="s">
        <v>236</v>
      </c>
      <c r="R2318" s="2">
        <f>VLOOKUP(SALIDAS111518[[#This Row],[CÓDIGO]],PRODUCTOS31316[],2,FALSE)</f>
        <v>0</v>
      </c>
      <c r="S2318" s="1" t="str">
        <f>VLOOKUP(SALIDAS111518[[#This Row],[CÓDIGO]],PRODUCTOS31316[],3,FALSE)</f>
        <v>TERMO METÁLICO DESCONGELADOR</v>
      </c>
      <c r="T2318" s="2">
        <v>1</v>
      </c>
      <c r="U2318" s="2"/>
      <c r="V2318" s="2"/>
      <c r="W2318" s="2"/>
      <c r="X2318" s="2"/>
      <c r="Y2318" s="7"/>
      <c r="Z2318" s="2"/>
      <c r="AA2318" s="1"/>
      <c r="AC2318" s="2"/>
      <c r="AE2318" s="1"/>
      <c r="AG2318" s="2"/>
    </row>
    <row r="2319" spans="12:33" ht="49.95" customHeight="1" x14ac:dyDescent="0.3">
      <c r="L2319" s="2"/>
      <c r="M2319" s="2"/>
      <c r="N2319" s="2">
        <v>8603</v>
      </c>
      <c r="O2319" s="375" t="s">
        <v>5239</v>
      </c>
      <c r="P2319" s="16">
        <v>46195</v>
      </c>
      <c r="Q2319" s="374" t="s">
        <v>210</v>
      </c>
      <c r="R2319" s="2">
        <f>VLOOKUP(SALIDAS111518[[#This Row],[CÓDIGO]],PRODUCTOS31316[],2,FALSE)</f>
        <v>101257</v>
      </c>
      <c r="S2319" s="1" t="str">
        <f>VLOOKUP(SALIDAS111518[[#This Row],[CÓDIGO]],PRODUCTOS31316[],3,FALSE)</f>
        <v>MANGA DESECHABLE SUPER SENSITIVA</v>
      </c>
      <c r="T2319" s="2">
        <v>1</v>
      </c>
      <c r="U2319" s="2"/>
      <c r="V2319" s="2"/>
      <c r="W2319" s="2"/>
      <c r="X2319" s="2"/>
      <c r="Y2319" s="7"/>
      <c r="Z2319" s="2"/>
      <c r="AA2319" s="1"/>
      <c r="AC2319" s="2"/>
      <c r="AE2319" s="1"/>
      <c r="AG2319" s="2"/>
    </row>
    <row r="2320" spans="12:33" ht="49.95" customHeight="1" x14ac:dyDescent="0.3">
      <c r="L2320" s="2"/>
      <c r="M2320" s="2"/>
      <c r="N2320" s="2">
        <v>8603</v>
      </c>
      <c r="O2320" s="375" t="s">
        <v>5239</v>
      </c>
      <c r="P2320" s="16">
        <v>46195</v>
      </c>
      <c r="Q2320" s="374" t="s">
        <v>581</v>
      </c>
      <c r="R2320" s="2">
        <f>VLOOKUP(SALIDAS111518[[#This Row],[CÓDIGO]],PRODUCTOS31316[],2,FALSE)</f>
        <v>11571</v>
      </c>
      <c r="S2320" s="1" t="str">
        <f>VLOOKUP(SALIDAS111518[[#This Row],[CÓDIGO]],PRODUCTOS31316[],3,FALSE)</f>
        <v>PINZA COGEPAJILLA</v>
      </c>
      <c r="T2320" s="2">
        <v>1</v>
      </c>
      <c r="U2320" s="2"/>
      <c r="V2320" s="2"/>
      <c r="W2320" s="2"/>
      <c r="X2320" s="2"/>
      <c r="Y2320" s="7"/>
      <c r="Z2320" s="2"/>
      <c r="AA2320" s="1"/>
      <c r="AC2320" s="2"/>
      <c r="AE2320" s="1"/>
      <c r="AG2320" s="2"/>
    </row>
    <row r="2321" spans="12:33" ht="49.95" customHeight="1" x14ac:dyDescent="0.3">
      <c r="L2321" s="2"/>
      <c r="M2321" s="2"/>
      <c r="N2321" s="2">
        <v>8603</v>
      </c>
      <c r="O2321" s="375" t="s">
        <v>5239</v>
      </c>
      <c r="P2321" s="16">
        <v>46195</v>
      </c>
      <c r="Q2321" s="374" t="s">
        <v>1779</v>
      </c>
      <c r="R2321" s="2">
        <f>VLOOKUP(SALIDAS111518[[#This Row],[CÓDIGO]],PRODUCTOS31316[],2,FALSE)</f>
        <v>5563</v>
      </c>
      <c r="S2321" s="1" t="str">
        <f>VLOOKUP(SALIDAS111518[[#This Row],[CÓDIGO]],PRODUCTOS31316[],3,FALSE)</f>
        <v>CAMISA SANITARIA ROLLO X 80</v>
      </c>
      <c r="T2321" s="2">
        <v>1</v>
      </c>
      <c r="U2321" s="2"/>
      <c r="V2321" s="2"/>
      <c r="W2321" s="2"/>
      <c r="X2321" s="2"/>
      <c r="Y2321" s="7"/>
      <c r="Z2321" s="2"/>
      <c r="AA2321" s="1"/>
      <c r="AC2321" s="2"/>
      <c r="AE2321" s="1"/>
      <c r="AG2321" s="2"/>
    </row>
    <row r="2322" spans="12:33" ht="49.95" customHeight="1" x14ac:dyDescent="0.3">
      <c r="L2322" s="2"/>
      <c r="M2322" s="2"/>
      <c r="N2322" s="2">
        <v>8603</v>
      </c>
      <c r="O2322" s="375" t="s">
        <v>5239</v>
      </c>
      <c r="P2322" s="16">
        <v>46195</v>
      </c>
      <c r="Q2322" s="374" t="s">
        <v>2364</v>
      </c>
      <c r="R2322" s="2">
        <f>VLOOKUP(SALIDAS111518[[#This Row],[CÓDIGO]],PRODUCTOS31316[],2,FALSE)</f>
        <v>0</v>
      </c>
      <c r="S2322" s="1" t="str">
        <f>VLOOKUP(SALIDAS111518[[#This Row],[CÓDIGO]],PRODUCTOS31316[],3,FALSE)</f>
        <v>CORTAPAJILLAS WTA</v>
      </c>
      <c r="T2322" s="2">
        <v>1</v>
      </c>
      <c r="U2322" s="2"/>
      <c r="V2322" s="2"/>
      <c r="W2322" s="2"/>
      <c r="X2322" s="2"/>
      <c r="Y2322" s="7"/>
      <c r="Z2322" s="2"/>
      <c r="AA2322" s="1"/>
      <c r="AC2322" s="2"/>
      <c r="AE2322" s="1"/>
      <c r="AG2322" s="2"/>
    </row>
    <row r="2323" spans="12:33" ht="49.95" customHeight="1" x14ac:dyDescent="0.3">
      <c r="L2323" s="2"/>
      <c r="M2323" s="2"/>
      <c r="N2323" s="2">
        <v>8603</v>
      </c>
      <c r="O2323" s="375" t="s">
        <v>5239</v>
      </c>
      <c r="P2323" s="16">
        <v>46195</v>
      </c>
      <c r="Q2323" s="374" t="s">
        <v>2412</v>
      </c>
      <c r="R2323" s="2" t="str">
        <f>VLOOKUP(SALIDAS111518[[#This Row],[CÓDIGO]],PRODUCTOS31316[],2,FALSE)</f>
        <v>PTC</v>
      </c>
      <c r="S2323" s="1" t="str">
        <f>VLOOKUP(SALIDAS111518[[#This Row],[CÓDIGO]],PRODUCTOS31316[],3,FALSE)</f>
        <v>PISTOLA DE INSEMINACIÓN ARTIFICIAL CON CÁMARA</v>
      </c>
      <c r="T2323" s="2">
        <v>1</v>
      </c>
      <c r="U2323" s="2"/>
      <c r="V2323" s="2"/>
      <c r="W2323" s="2"/>
      <c r="X2323" s="2"/>
      <c r="Y2323" s="7"/>
      <c r="Z2323" s="2"/>
      <c r="AA2323" s="1"/>
      <c r="AC2323" s="2"/>
      <c r="AE2323" s="1"/>
      <c r="AG2323" s="2"/>
    </row>
    <row r="2324" spans="12:33" ht="49.95" customHeight="1" x14ac:dyDescent="0.3">
      <c r="L2324" s="371" t="s">
        <v>3520</v>
      </c>
      <c r="M2324" s="371" t="s">
        <v>5213</v>
      </c>
      <c r="N2324" s="374" t="s">
        <v>5238</v>
      </c>
      <c r="O2324" s="374" t="s">
        <v>94</v>
      </c>
      <c r="P2324" s="16">
        <v>46195</v>
      </c>
      <c r="Q2324" s="374" t="s">
        <v>5098</v>
      </c>
      <c r="R2324" s="2">
        <f>VLOOKUP(SALIDAS111518[[#This Row],[CÓDIGO]],PRODUCTOS31316[],2,FALSE)</f>
        <v>0</v>
      </c>
      <c r="S2324" s="1" t="str">
        <f>VLOOKUP(SALIDAS111518[[#This Row],[CÓDIGO]],PRODUCTOS31316[],3,FALSE)</f>
        <v>FUNDA DE TRANSFERENCIA DE EMBRIONES 0.25 PUNTA PLÁSTICA MARCA TED</v>
      </c>
      <c r="T2324" s="2">
        <v>1000</v>
      </c>
      <c r="U2324" s="2">
        <v>1032</v>
      </c>
      <c r="V2324" s="2"/>
      <c r="W2324" s="2"/>
      <c r="X2324" s="111"/>
      <c r="Y2324" s="7"/>
      <c r="Z2324" s="2"/>
      <c r="AA2324" s="1"/>
      <c r="AC2324" s="2"/>
      <c r="AE2324" s="1"/>
      <c r="AG2324" s="2"/>
    </row>
    <row r="2325" spans="12:33" ht="49.95" customHeight="1" x14ac:dyDescent="0.3">
      <c r="L2325" s="2"/>
      <c r="M2325" s="2"/>
      <c r="N2325" s="2">
        <v>8595</v>
      </c>
      <c r="O2325" s="374" t="s">
        <v>94</v>
      </c>
      <c r="P2325" s="16">
        <v>46195</v>
      </c>
      <c r="Q2325" s="374" t="s">
        <v>2246</v>
      </c>
      <c r="R2325" s="2" t="str">
        <f>VLOOKUP(SALIDAS111518[[#This Row],[CÓDIGO]],PRODUCTOS31316[],2,FALSE)</f>
        <v>00051076-02</v>
      </c>
      <c r="S2325" s="1" t="str">
        <f>VLOOKUP(SALIDAS111518[[#This Row],[CÓDIGO]],PRODUCTOS31316[],3,FALSE)</f>
        <v>LIDOCAÍNA  HCL 2 % X 100 ML/ 2025-12-16</v>
      </c>
      <c r="T2325" s="2">
        <v>63</v>
      </c>
      <c r="U2325" s="2"/>
      <c r="V2325" s="2"/>
      <c r="W2325" s="2"/>
      <c r="X2325" s="2"/>
      <c r="Y2325" s="7"/>
      <c r="Z2325" s="2"/>
      <c r="AA2325" s="1"/>
      <c r="AC2325" s="2"/>
      <c r="AE2325" s="1"/>
      <c r="AG2325" s="2"/>
    </row>
    <row r="2326" spans="12:33" ht="49.95" customHeight="1" x14ac:dyDescent="0.3">
      <c r="L2326" s="371" t="s">
        <v>3520</v>
      </c>
      <c r="M2326" s="371" t="s">
        <v>5213</v>
      </c>
      <c r="N2326" s="374" t="s">
        <v>5237</v>
      </c>
      <c r="O2326" s="375" t="s">
        <v>3333</v>
      </c>
      <c r="P2326" s="16">
        <v>46196</v>
      </c>
      <c r="Q2326" s="374" t="s">
        <v>272</v>
      </c>
      <c r="R2326" s="2">
        <f>VLOOKUP(SALIDAS111518[[#This Row],[CÓDIGO]],PRODUCTOS31316[],2,FALSE)</f>
        <v>627161</v>
      </c>
      <c r="S2326" s="1" t="str">
        <f>VLOOKUP(SALIDAS111518[[#This Row],[CÓDIGO]],PRODUCTOS31316[],3,FALSE)</f>
        <v xml:space="preserve">CAJA PETRI 35X10 ESTERIL </v>
      </c>
      <c r="T2326" s="2">
        <v>20</v>
      </c>
      <c r="U2326" s="2">
        <v>1033</v>
      </c>
      <c r="V2326" s="2"/>
      <c r="W2326" s="2"/>
      <c r="X2326" s="2"/>
      <c r="Y2326" s="7"/>
      <c r="Z2326" s="2"/>
      <c r="AA2326" s="1"/>
      <c r="AC2326" s="2"/>
      <c r="AE2326" s="1"/>
      <c r="AG2326" s="2"/>
    </row>
    <row r="2327" spans="12:33" ht="49.95" customHeight="1" x14ac:dyDescent="0.3">
      <c r="L2327" s="2"/>
      <c r="M2327" s="2"/>
      <c r="N2327" s="2">
        <v>8606</v>
      </c>
      <c r="O2327" s="375" t="s">
        <v>3333</v>
      </c>
      <c r="P2327" s="16">
        <v>46196</v>
      </c>
      <c r="Q2327" s="374" t="s">
        <v>3165</v>
      </c>
      <c r="R2327" s="2">
        <f>VLOOKUP(SALIDAS111518[[#This Row],[CÓDIGO]],PRODUCTOS31316[],2,FALSE)</f>
        <v>30943</v>
      </c>
      <c r="S2327" s="1" t="str">
        <f>VLOOKUP(SALIDAS111518[[#This Row],[CÓDIGO]],PRODUCTOS31316[],3,FALSE)</f>
        <v xml:space="preserve">CAJA PETRI DESECHABLE ESTERIL 90X 15 </v>
      </c>
      <c r="T2327" s="2">
        <v>10</v>
      </c>
      <c r="U2327" s="2"/>
      <c r="V2327" s="2"/>
      <c r="W2327" s="2"/>
      <c r="X2327" s="2"/>
      <c r="Y2327" s="7"/>
      <c r="Z2327" s="2"/>
      <c r="AA2327" s="1"/>
      <c r="AC2327" s="2"/>
      <c r="AE2327" s="1"/>
      <c r="AG2327" s="2"/>
    </row>
    <row r="2328" spans="12:33" ht="49.95" customHeight="1" x14ac:dyDescent="0.3">
      <c r="L2328" s="2"/>
      <c r="M2328" s="2"/>
      <c r="N2328" s="2">
        <v>8606</v>
      </c>
      <c r="O2328" s="375" t="s">
        <v>3333</v>
      </c>
      <c r="P2328" s="16">
        <v>46196</v>
      </c>
      <c r="Q2328" s="374" t="s">
        <v>333</v>
      </c>
      <c r="R2328" s="2" t="str">
        <f>VLOOKUP(SALIDAS111518[[#This Row],[CÓDIGO]],PRODUCTOS31316[],2,FALSE)</f>
        <v>CTB15</v>
      </c>
      <c r="S2328" s="1" t="str">
        <f>VLOOKUP(SALIDAS111518[[#This Row],[CÓDIGO]],PRODUCTOS31316[],3,FALSE)</f>
        <v>TUBO CÓNICO DE 15 ML, TAPA ROSCA ESTÉRIL  RCF MAX: 10000xg, 
graduados, PCR puro. VENCE: 03/04/2028</v>
      </c>
      <c r="T2328" s="2">
        <v>5</v>
      </c>
      <c r="U2328" s="2"/>
      <c r="V2328" s="2"/>
      <c r="W2328" s="2"/>
      <c r="X2328" s="2"/>
      <c r="Y2328" s="7"/>
      <c r="Z2328" s="2"/>
      <c r="AA2328" s="1"/>
      <c r="AC2328" s="2"/>
      <c r="AE2328" s="1"/>
      <c r="AG2328" s="2"/>
    </row>
    <row r="2329" spans="12:33" ht="49.95" customHeight="1" x14ac:dyDescent="0.3">
      <c r="L2329" s="2"/>
      <c r="M2329" s="2"/>
      <c r="N2329" s="2">
        <v>8606</v>
      </c>
      <c r="O2329" s="375" t="s">
        <v>3333</v>
      </c>
      <c r="P2329" s="16">
        <v>46196</v>
      </c>
      <c r="Q2329" s="374" t="s">
        <v>752</v>
      </c>
      <c r="R2329" s="2">
        <f>VLOOKUP(SALIDAS111518[[#This Row],[CÓDIGO]],PRODUCTOS31316[],2,FALSE)</f>
        <v>0</v>
      </c>
      <c r="S2329" s="1" t="str">
        <f>VLOOKUP(SALIDAS111518[[#This Row],[CÓDIGO]],PRODUCTOS31316[],3,FALSE)</f>
        <v>TABS BLANCOS</v>
      </c>
      <c r="T2329" s="2">
        <v>2</v>
      </c>
      <c r="U2329" s="2"/>
      <c r="V2329" s="2"/>
      <c r="W2329" s="2"/>
      <c r="X2329" s="2"/>
      <c r="Y2329" s="7"/>
      <c r="Z2329" s="2"/>
      <c r="AA2329" s="1"/>
      <c r="AC2329" s="2"/>
      <c r="AE2329" s="1"/>
      <c r="AG2329" s="2"/>
    </row>
    <row r="2330" spans="12:33" ht="49.95" customHeight="1" x14ac:dyDescent="0.3">
      <c r="L2330" s="371" t="s">
        <v>3520</v>
      </c>
      <c r="M2330" s="371" t="s">
        <v>5213</v>
      </c>
      <c r="N2330" s="374" t="s">
        <v>5236</v>
      </c>
      <c r="O2330" s="374" t="s">
        <v>5235</v>
      </c>
      <c r="P2330" s="16">
        <v>46196</v>
      </c>
      <c r="Q2330" s="374" t="s">
        <v>3355</v>
      </c>
      <c r="R2330" s="2">
        <f>VLOOKUP(SALIDAS111518[[#This Row],[CÓDIGO]],PRODUCTOS31316[],2,FALSE)</f>
        <v>140681</v>
      </c>
      <c r="S2330" s="1" t="str">
        <f>VLOOKUP(SALIDAS111518[[#This Row],[CÓDIGO]],PRODUCTOS31316[],3,FALSE)</f>
        <v>CAJA DE PETRI DESECHABLE ESTERIL 60x15MM.</v>
      </c>
      <c r="T2330" s="2">
        <v>1</v>
      </c>
      <c r="U2330" s="2">
        <v>1034</v>
      </c>
      <c r="V2330" s="2"/>
      <c r="W2330" s="374" t="s">
        <v>3412</v>
      </c>
      <c r="X2330" s="2"/>
      <c r="Y2330" s="7"/>
      <c r="Z2330" s="2"/>
      <c r="AA2330" s="1"/>
      <c r="AC2330" s="2"/>
      <c r="AE2330" s="1"/>
      <c r="AG2330" s="2"/>
    </row>
    <row r="2331" spans="12:33" ht="49.95" customHeight="1" x14ac:dyDescent="0.3">
      <c r="L2331" s="2"/>
      <c r="M2331" s="2"/>
      <c r="N2331" s="2">
        <v>8607</v>
      </c>
      <c r="O2331" s="374" t="s">
        <v>5235</v>
      </c>
      <c r="P2331" s="16">
        <v>46196</v>
      </c>
      <c r="Q2331" s="374" t="s">
        <v>44</v>
      </c>
      <c r="R2331" s="2" t="str">
        <f>VLOOKUP(SALIDAS111518[[#This Row],[CÓDIGO]],PRODUCTOS31316[],2,FALSE)</f>
        <v>RS-01</v>
      </c>
      <c r="S2331" s="1" t="str">
        <f>VLOOKUP(SALIDAS111518[[#This Row],[CÓDIGO]],PRODUCTOS31316[],3,FALSE)</f>
        <v>TAPON DE SILICONA PARA OPU</v>
      </c>
      <c r="T2331" s="2">
        <v>2</v>
      </c>
      <c r="U2331" s="2"/>
      <c r="V2331" s="2"/>
      <c r="W2331" s="2"/>
      <c r="X2331" s="2"/>
      <c r="Y2331" s="7"/>
      <c r="Z2331" s="2"/>
      <c r="AA2331" s="1"/>
      <c r="AC2331" s="2"/>
      <c r="AE2331" s="1"/>
      <c r="AG2331" s="2"/>
    </row>
    <row r="2332" spans="12:33" ht="49.95" customHeight="1" x14ac:dyDescent="0.3">
      <c r="L2332" s="2"/>
      <c r="M2332" s="2"/>
      <c r="N2332" s="2">
        <v>8607</v>
      </c>
      <c r="O2332" s="374" t="s">
        <v>5235</v>
      </c>
      <c r="P2332" s="16">
        <v>46196</v>
      </c>
      <c r="Q2332" s="374" t="s">
        <v>2381</v>
      </c>
      <c r="R2332" s="2">
        <f>VLOOKUP(SALIDAS111518[[#This Row],[CÓDIGO]],PRODUCTOS31316[],2,FALSE)</f>
        <v>21532</v>
      </c>
      <c r="S2332" s="1" t="str">
        <f>VLOOKUP(SALIDAS111518[[#This Row],[CÓDIGO]],PRODUCTOS31316[],3,FALSE)</f>
        <v>AGUJA PARA ASPIRACIÓN 18G</v>
      </c>
      <c r="T2332" s="2">
        <v>5</v>
      </c>
      <c r="U2332" s="2"/>
      <c r="V2332" s="2"/>
      <c r="W2332" s="2"/>
      <c r="X2332" s="2"/>
      <c r="Y2332" s="7"/>
      <c r="Z2332" s="2"/>
      <c r="AA2332" s="1"/>
      <c r="AC2332" s="2"/>
      <c r="AE2332" s="1"/>
      <c r="AG2332" s="2"/>
    </row>
    <row r="2333" spans="12:33" ht="49.95" customHeight="1" x14ac:dyDescent="0.3">
      <c r="L2333" s="2"/>
      <c r="M2333" s="2"/>
      <c r="N2333" s="2">
        <v>8607</v>
      </c>
      <c r="O2333" s="374" t="s">
        <v>5235</v>
      </c>
      <c r="P2333" s="16">
        <v>46196</v>
      </c>
      <c r="Q2333" s="374" t="s">
        <v>33</v>
      </c>
      <c r="R2333" s="2" t="str">
        <f>VLOOKUP(SALIDAS111518[[#This Row],[CÓDIGO]],PRODUCTOS31316[],2,FALSE)</f>
        <v>LA-120 /506003</v>
      </c>
      <c r="S2333" s="1" t="str">
        <f>VLOOKUP(SALIDAS111518[[#This Row],[CÓDIGO]],PRODUCTOS31316[],3,FALSE)</f>
        <v>LíNEA PARA OPU 1,2 METROS</v>
      </c>
      <c r="T2333" s="2">
        <v>1</v>
      </c>
      <c r="U2333" s="2"/>
      <c r="V2333" s="2"/>
      <c r="W2333" s="2"/>
      <c r="X2333" s="2"/>
      <c r="Y2333" s="7"/>
      <c r="Z2333" s="2"/>
      <c r="AA2333" s="1"/>
      <c r="AC2333" s="2"/>
      <c r="AE2333" s="1"/>
      <c r="AG2333" s="2"/>
    </row>
    <row r="2334" spans="12:33" ht="49.95" customHeight="1" x14ac:dyDescent="0.3">
      <c r="L2334" s="2"/>
      <c r="M2334" s="2"/>
      <c r="N2334" s="2">
        <v>8607</v>
      </c>
      <c r="O2334" s="374" t="s">
        <v>5235</v>
      </c>
      <c r="P2334" s="16">
        <v>46196</v>
      </c>
      <c r="Q2334" s="374" t="s">
        <v>969</v>
      </c>
      <c r="R2334" s="2">
        <f>VLOOKUP(SALIDAS111518[[#This Row],[CÓDIGO]],PRODUCTOS31316[],2,FALSE)</f>
        <v>13316</v>
      </c>
      <c r="S2334" s="1" t="str">
        <f>VLOOKUP(SALIDAS111518[[#This Row],[CÓDIGO]],PRODUCTOS31316[],3,FALSE)</f>
        <v>AGUJA PARA ASPIRACIÓN 20G</v>
      </c>
      <c r="T2334" s="2">
        <v>5</v>
      </c>
      <c r="U2334" s="2"/>
      <c r="V2334" s="2"/>
      <c r="W2334" s="2"/>
      <c r="X2334" s="2"/>
      <c r="Y2334" s="7"/>
      <c r="Z2334" s="2"/>
      <c r="AA2334" s="1"/>
      <c r="AC2334" s="2"/>
      <c r="AE2334" s="1"/>
      <c r="AG2334" s="2"/>
    </row>
    <row r="2335" spans="12:33" ht="49.95" customHeight="1" x14ac:dyDescent="0.3">
      <c r="L2335" s="371" t="s">
        <v>3520</v>
      </c>
      <c r="M2335" s="371" t="s">
        <v>5213</v>
      </c>
      <c r="N2335" s="2" t="s">
        <v>5233</v>
      </c>
      <c r="O2335" s="1" t="s">
        <v>5234</v>
      </c>
      <c r="P2335" s="16">
        <v>46196</v>
      </c>
      <c r="Q2335" s="2" t="s">
        <v>648</v>
      </c>
      <c r="R2335" s="2" t="str">
        <f>VLOOKUP(SALIDAS111518[[#This Row],[CÓDIGO]],PRODUCTOS31316[],2,FALSE)</f>
        <v>S5</v>
      </c>
      <c r="S2335" s="1" t="str">
        <f>VLOOKUP(SALIDAS111518[[#This Row],[CÓDIGO]],PRODUCTOS31316[],3,FALSE)</f>
        <v>SONDA S5 UNIDAD PRINCIPAL CON SONDA LINEAL RECTAL</v>
      </c>
      <c r="T2335" s="2">
        <v>1</v>
      </c>
      <c r="U2335" s="2">
        <v>1035</v>
      </c>
      <c r="V2335" s="2"/>
      <c r="W2335" s="2"/>
      <c r="X2335" s="2"/>
      <c r="Y2335" s="7"/>
      <c r="Z2335" s="2"/>
      <c r="AA2335" s="1"/>
      <c r="AC2335" s="2"/>
      <c r="AE2335" s="1"/>
      <c r="AG2335" s="2"/>
    </row>
    <row r="2336" spans="12:33" ht="49.95" customHeight="1" x14ac:dyDescent="0.3">
      <c r="L2336" s="2"/>
      <c r="M2336" s="2"/>
      <c r="N2336" s="2">
        <v>8608</v>
      </c>
      <c r="O2336" s="1" t="s">
        <v>5234</v>
      </c>
      <c r="P2336" s="16">
        <v>46196</v>
      </c>
      <c r="Q2336" s="2" t="s">
        <v>5083</v>
      </c>
      <c r="R2336" s="2">
        <f>VLOOKUP(SALIDAS111518[[#This Row],[CÓDIGO]],PRODUCTOS31316[],2,FALSE)</f>
        <v>0</v>
      </c>
      <c r="S2336" s="1" t="str">
        <f>VLOOKUP(SALIDAS111518[[#This Row],[CÓDIGO]],PRODUCTOS31316[],3,FALSE)</f>
        <v>TABLET SANSUNG GALAXY TAB A11+</v>
      </c>
      <c r="T2336" s="2">
        <v>1</v>
      </c>
      <c r="U2336" s="2"/>
      <c r="V2336" s="2"/>
      <c r="W2336" s="2"/>
      <c r="X2336" s="2"/>
      <c r="Y2336" s="7"/>
      <c r="Z2336" s="2"/>
      <c r="AA2336" s="1"/>
      <c r="AC2336" s="2"/>
      <c r="AE2336" s="1"/>
      <c r="AG2336" s="2"/>
    </row>
    <row r="2337" spans="12:33" ht="49.95" customHeight="1" x14ac:dyDescent="0.3">
      <c r="L2337" s="2"/>
      <c r="M2337" s="2"/>
      <c r="N2337" s="2">
        <v>8608</v>
      </c>
      <c r="O2337" s="1" t="s">
        <v>5234</v>
      </c>
      <c r="P2337" s="16">
        <v>46196</v>
      </c>
      <c r="Q2337" s="2" t="s">
        <v>3286</v>
      </c>
      <c r="R2337" s="2">
        <f>VLOOKUP(SALIDAS111518[[#This Row],[CÓDIGO]],PRODUCTOS31316[],2,FALSE)</f>
        <v>0</v>
      </c>
      <c r="S2337" s="1" t="str">
        <f>VLOOKUP(SALIDAS111518[[#This Row],[CÓDIGO]],PRODUCTOS31316[],3,FALSE)</f>
        <v>CARCASA TABLET BMV</v>
      </c>
      <c r="T2337" s="2">
        <v>1</v>
      </c>
      <c r="U2337" s="2"/>
      <c r="V2337" s="2"/>
      <c r="W2337" s="2"/>
      <c r="X2337" s="2"/>
      <c r="Y2337" s="7"/>
      <c r="Z2337" s="2"/>
      <c r="AA2337" s="1"/>
      <c r="AC2337" s="2"/>
      <c r="AE2337" s="1"/>
      <c r="AG2337" s="2"/>
    </row>
    <row r="2338" spans="12:33" ht="49.95" customHeight="1" x14ac:dyDescent="0.3">
      <c r="L2338" s="2"/>
      <c r="M2338" s="2"/>
      <c r="N2338" s="2">
        <v>8608</v>
      </c>
      <c r="O2338" s="1" t="s">
        <v>5234</v>
      </c>
      <c r="P2338" s="16">
        <v>46196</v>
      </c>
      <c r="Q2338" s="2" t="s">
        <v>3095</v>
      </c>
      <c r="R2338" s="2">
        <f>VLOOKUP(SALIDAS111518[[#This Row],[CÓDIGO]],PRODUCTOS31316[],2,FALSE)</f>
        <v>0</v>
      </c>
      <c r="S2338" s="1" t="str">
        <f>VLOOKUP(SALIDAS111518[[#This Row],[CÓDIGO]],PRODUCTOS31316[],3,FALSE)</f>
        <v>GORRA MAS CAMPO</v>
      </c>
      <c r="T2338" s="2">
        <v>1</v>
      </c>
      <c r="U2338" s="2"/>
      <c r="V2338" s="2"/>
      <c r="W2338" s="2"/>
      <c r="X2338" s="2"/>
      <c r="Y2338" s="7"/>
      <c r="Z2338" s="2"/>
      <c r="AA2338" s="1"/>
      <c r="AC2338" s="2"/>
      <c r="AE2338" s="1"/>
      <c r="AG2338" s="2"/>
    </row>
    <row r="2339" spans="12:33" ht="49.95" customHeight="1" x14ac:dyDescent="0.3">
      <c r="L2339" s="371" t="s">
        <v>3520</v>
      </c>
      <c r="M2339" s="371" t="s">
        <v>5213</v>
      </c>
      <c r="N2339" s="371" t="s">
        <v>5232</v>
      </c>
      <c r="O2339" s="371" t="s">
        <v>2447</v>
      </c>
      <c r="P2339" s="16">
        <v>46196</v>
      </c>
      <c r="Q2339" s="371" t="s">
        <v>15</v>
      </c>
      <c r="R2339" s="2" t="str">
        <f>VLOOKUP(SALIDAS111518[[#This Row],[CÓDIGO]],PRODUCTOS31316[],2,FALSE)</f>
        <v>BTE-025PT/ 504002</v>
      </c>
      <c r="S2339" s="1" t="str">
        <f>VLOOKUP(SALIDAS111518[[#This Row],[CÓDIGO]],PRODUCTOS31316[],3,FALSE)</f>
        <v>FUNDAS PARA TRANSFERENCIA DE EMBRIONES</v>
      </c>
      <c r="T2339" s="2">
        <v>20</v>
      </c>
      <c r="U2339" s="2">
        <v>1036</v>
      </c>
      <c r="V2339" s="2"/>
      <c r="W2339" s="2"/>
      <c r="X2339" s="2"/>
      <c r="Y2339" s="7"/>
      <c r="Z2339" s="2"/>
      <c r="AA2339" s="1"/>
      <c r="AC2339" s="2"/>
      <c r="AE2339" s="1"/>
      <c r="AG2339" s="2"/>
    </row>
    <row r="2340" spans="12:33" ht="49.95" customHeight="1" x14ac:dyDescent="0.3">
      <c r="L2340" s="2"/>
      <c r="M2340" s="2"/>
      <c r="N2340" s="2">
        <v>8609</v>
      </c>
      <c r="O2340" s="371" t="s">
        <v>2447</v>
      </c>
      <c r="P2340" s="16">
        <v>46196</v>
      </c>
      <c r="Q2340" s="371" t="s">
        <v>1779</v>
      </c>
      <c r="R2340" s="2">
        <f>VLOOKUP(SALIDAS111518[[#This Row],[CÓDIGO]],PRODUCTOS31316[],2,FALSE)</f>
        <v>5563</v>
      </c>
      <c r="S2340" s="1" t="str">
        <f>VLOOKUP(SALIDAS111518[[#This Row],[CÓDIGO]],PRODUCTOS31316[],3,FALSE)</f>
        <v>CAMISA SANITARIA ROLLO X 80</v>
      </c>
      <c r="T2340" s="2">
        <v>1</v>
      </c>
      <c r="U2340" s="2"/>
      <c r="V2340" s="2"/>
      <c r="W2340" s="2"/>
      <c r="X2340" s="2"/>
      <c r="Y2340" s="7"/>
      <c r="Z2340" s="2"/>
      <c r="AA2340" s="1"/>
      <c r="AC2340" s="2"/>
      <c r="AE2340" s="1"/>
      <c r="AG2340" s="2"/>
    </row>
    <row r="2341" spans="12:33" ht="49.95" customHeight="1" x14ac:dyDescent="0.3">
      <c r="L2341" s="2"/>
      <c r="M2341" s="2"/>
      <c r="N2341" s="2">
        <v>8609</v>
      </c>
      <c r="O2341" s="371" t="s">
        <v>2447</v>
      </c>
      <c r="P2341" s="16">
        <v>46196</v>
      </c>
      <c r="Q2341" s="371" t="s">
        <v>369</v>
      </c>
      <c r="R2341" s="2">
        <f>VLOOKUP(SALIDAS111518[[#This Row],[CÓDIGO]],PRODUCTOS31316[],2,FALSE)</f>
        <v>0</v>
      </c>
      <c r="S2341" s="1" t="str">
        <f>VLOOKUP(SALIDAS111518[[#This Row],[CÓDIGO]],PRODUCTOS31316[],3,FALSE)</f>
        <v>FUNDA UNIVERSAL PARA I.A. RANURADA</v>
      </c>
      <c r="T2341" s="2">
        <v>1</v>
      </c>
      <c r="U2341" s="2"/>
      <c r="V2341" s="2"/>
      <c r="W2341" s="2"/>
      <c r="X2341" s="2"/>
      <c r="Y2341" s="7"/>
      <c r="Z2341" s="2"/>
      <c r="AA2341" s="1"/>
      <c r="AC2341" s="2"/>
      <c r="AE2341" s="1"/>
      <c r="AG2341" s="2"/>
    </row>
    <row r="2342" spans="12:33" ht="49.95" customHeight="1" x14ac:dyDescent="0.3">
      <c r="L2342" s="2"/>
      <c r="M2342" s="2"/>
      <c r="N2342" s="2">
        <v>8609</v>
      </c>
      <c r="O2342" s="371" t="s">
        <v>2447</v>
      </c>
      <c r="P2342" s="16">
        <v>46196</v>
      </c>
      <c r="Q2342" s="371" t="s">
        <v>658</v>
      </c>
      <c r="R2342" s="2">
        <f>VLOOKUP(SALIDAS111518[[#This Row],[CÓDIGO]],PRODUCTOS31316[],2,FALSE)</f>
        <v>0</v>
      </c>
      <c r="S2342" s="1" t="str">
        <f>VLOOKUP(SALIDAS111518[[#This Row],[CÓDIGO]],PRODUCTOS31316[],3,FALSE)</f>
        <v>CATETER TALADRO TRANSPARENTE 18"</v>
      </c>
      <c r="T2342" s="2">
        <v>1</v>
      </c>
      <c r="U2342" s="2"/>
      <c r="V2342" s="2"/>
      <c r="W2342" s="2"/>
      <c r="X2342" s="2"/>
      <c r="Y2342" s="7"/>
      <c r="Z2342" s="2"/>
      <c r="AA2342" s="1"/>
      <c r="AC2342" s="2"/>
      <c r="AE2342" s="1"/>
      <c r="AG2342" s="2"/>
    </row>
    <row r="2343" spans="12:33" ht="49.95" customHeight="1" x14ac:dyDescent="0.3">
      <c r="L2343" s="371" t="s">
        <v>3520</v>
      </c>
      <c r="M2343" s="371" t="s">
        <v>5213</v>
      </c>
      <c r="N2343" s="371" t="s">
        <v>5231</v>
      </c>
      <c r="O2343" s="371" t="s">
        <v>5230</v>
      </c>
      <c r="P2343" s="16">
        <v>46196</v>
      </c>
      <c r="Q2343" s="371" t="s">
        <v>4634</v>
      </c>
      <c r="R2343" s="2">
        <f>VLOOKUP(SALIDAS111518[[#This Row],[CÓDIGO]],PRODUCTOS31316[],2,FALSE)</f>
        <v>0</v>
      </c>
      <c r="S2343" s="1" t="str">
        <f>VLOOKUP(SALIDAS111518[[#This Row],[CÓDIGO]],PRODUCTOS31316[],3,FALSE)</f>
        <v xml:space="preserve">PRUEBA DE PREÑEZ TEMPRANA EN RUMIANTES </v>
      </c>
      <c r="T2343" s="2">
        <v>25</v>
      </c>
      <c r="U2343" s="2">
        <v>1037</v>
      </c>
      <c r="V2343" s="2"/>
      <c r="W2343" s="2"/>
      <c r="X2343" s="2"/>
      <c r="Y2343" s="7"/>
      <c r="Z2343" s="2"/>
      <c r="AA2343" s="1"/>
      <c r="AC2343" s="2"/>
      <c r="AE2343" s="1"/>
      <c r="AG2343" s="2"/>
    </row>
    <row r="2344" spans="12:33" ht="49.95" customHeight="1" x14ac:dyDescent="0.3">
      <c r="L2344" s="371" t="s">
        <v>3521</v>
      </c>
      <c r="M2344" s="371" t="s">
        <v>5213</v>
      </c>
      <c r="N2344" s="371" t="s">
        <v>5229</v>
      </c>
      <c r="O2344" s="371" t="s">
        <v>5228</v>
      </c>
      <c r="P2344" s="16">
        <v>46196</v>
      </c>
      <c r="Q2344" s="371" t="s">
        <v>53</v>
      </c>
      <c r="R2344" s="2" t="str">
        <f>VLOOKUP(SALIDAS111518[[#This Row],[CÓDIGO]],PRODUCTOS31316[],2,FALSE)</f>
        <v>26237/ 25339</v>
      </c>
      <c r="S2344" s="1" t="str">
        <f>VLOOKUP(SALIDAS111518[[#This Row],[CÓDIGO]],PRODUCTOS31316[],3,FALSE)</f>
        <v>TRANSPORTADORA DE EMBRIONES Y OOCITOS</v>
      </c>
      <c r="T2344" s="2">
        <v>2</v>
      </c>
      <c r="U2344" s="2">
        <v>1039</v>
      </c>
      <c r="V2344" s="2"/>
      <c r="W2344" s="2"/>
      <c r="X2344" s="2"/>
      <c r="Y2344" s="7"/>
      <c r="Z2344" s="2"/>
      <c r="AA2344" s="1"/>
      <c r="AC2344" s="2"/>
      <c r="AE2344" s="1"/>
      <c r="AG2344" s="2"/>
    </row>
    <row r="2345" spans="12:33" ht="49.95" customHeight="1" x14ac:dyDescent="0.3">
      <c r="L2345" s="2"/>
      <c r="M2345" s="2"/>
      <c r="N2345" s="2">
        <v>8642</v>
      </c>
      <c r="O2345" s="371" t="s">
        <v>5228</v>
      </c>
      <c r="P2345" s="16">
        <v>46196</v>
      </c>
      <c r="Q2345" s="371" t="s">
        <v>1223</v>
      </c>
      <c r="R2345" s="2" t="str">
        <f>VLOOKUP(SALIDAS111518[[#This Row],[CÓDIGO]],PRODUCTOS31316[],2,FALSE)</f>
        <v>17656 / 29455</v>
      </c>
      <c r="S2345" s="1" t="str">
        <f>VLOOKUP(SALIDAS111518[[#This Row],[CÓDIGO]],PRODUCTOS31316[],3,FALSE)</f>
        <v>PLATINA CALENTADORA ESTÁNDAR</v>
      </c>
      <c r="T2345" s="2">
        <v>1</v>
      </c>
      <c r="U2345" s="2"/>
      <c r="V2345" s="2"/>
      <c r="W2345" s="2"/>
      <c r="X2345" s="2"/>
      <c r="Y2345" s="7"/>
      <c r="Z2345" s="2"/>
      <c r="AA2345" s="1"/>
      <c r="AC2345" s="2"/>
      <c r="AE2345" s="1"/>
      <c r="AG2345" s="2"/>
    </row>
    <row r="2346" spans="12:33" ht="49.95" customHeight="1" x14ac:dyDescent="0.3">
      <c r="L2346" s="2"/>
      <c r="M2346" s="2"/>
      <c r="N2346" s="2">
        <v>8642</v>
      </c>
      <c r="O2346" s="371" t="s">
        <v>5228</v>
      </c>
      <c r="P2346" s="16">
        <v>46196</v>
      </c>
      <c r="Q2346" s="371" t="s">
        <v>4451</v>
      </c>
      <c r="R2346" s="2">
        <f>VLOOKUP(SALIDAS111518[[#This Row],[CÓDIGO]],PRODUCTOS31316[],2,FALSE)</f>
        <v>21977</v>
      </c>
      <c r="S2346" s="1" t="str">
        <f>VLOOKUP(SALIDAS111518[[#This Row],[CÓDIGO]],PRODUCTOS31316[],3,FALSE)</f>
        <v>PLATINA CALENTADORA SMZ REDONDA WTA</v>
      </c>
      <c r="T2346" s="2">
        <v>1</v>
      </c>
      <c r="U2346" s="2"/>
      <c r="V2346" s="2"/>
      <c r="W2346" s="2"/>
      <c r="X2346" s="2"/>
      <c r="Y2346" s="7"/>
      <c r="Z2346" s="2"/>
      <c r="AA2346" s="1"/>
      <c r="AC2346" s="2"/>
      <c r="AE2346" s="1"/>
      <c r="AG2346" s="2"/>
    </row>
    <row r="2347" spans="12:33" ht="49.95" customHeight="1" x14ac:dyDescent="0.3">
      <c r="L2347" s="2"/>
      <c r="M2347" s="2"/>
      <c r="N2347" s="2">
        <v>8642</v>
      </c>
      <c r="O2347" s="371" t="s">
        <v>5228</v>
      </c>
      <c r="P2347" s="16">
        <v>46196</v>
      </c>
      <c r="Q2347" s="371" t="s">
        <v>1425</v>
      </c>
      <c r="R2347" s="2">
        <f>VLOOKUP(SALIDAS111518[[#This Row],[CÓDIGO]],PRODUCTOS31316[],2,FALSE)</f>
        <v>18032</v>
      </c>
      <c r="S2347" s="1" t="str">
        <f>VLOOKUP(SALIDAS111518[[#This Row],[CÓDIGO]],PRODUCTOS31316[],3,FALSE)</f>
        <v>CALENTADOR DE TUBOS MIXTO</v>
      </c>
      <c r="T2347" s="2">
        <v>1</v>
      </c>
      <c r="U2347" s="2"/>
      <c r="V2347" s="2"/>
      <c r="W2347" s="2"/>
      <c r="X2347" s="2"/>
      <c r="Y2347" s="7"/>
      <c r="Z2347" s="2"/>
      <c r="AA2347" s="1"/>
      <c r="AC2347" s="2"/>
      <c r="AE2347" s="1"/>
      <c r="AG2347" s="2"/>
    </row>
    <row r="2348" spans="12:33" ht="49.95" customHeight="1" x14ac:dyDescent="0.3">
      <c r="L2348" s="2"/>
      <c r="M2348" s="2"/>
      <c r="N2348" s="2">
        <v>8642</v>
      </c>
      <c r="O2348" s="371" t="s">
        <v>5228</v>
      </c>
      <c r="P2348" s="16">
        <v>46196</v>
      </c>
      <c r="Q2348" s="371" t="s">
        <v>438</v>
      </c>
      <c r="R2348" s="2">
        <f>VLOOKUP(SALIDAS111518[[#This Row],[CÓDIGO]],PRODUCTOS31316[],2,FALSE)</f>
        <v>18421</v>
      </c>
      <c r="S2348" s="1" t="str">
        <f>VLOOKUP(SALIDAS111518[[#This Row],[CÓDIGO]],PRODUCTOS31316[],3,FALSE)</f>
        <v xml:space="preserve">PISTOLA DE TRANSFERENCIA DE EMBRIONES 0,25 / BLOQUEO AUTOMÁTICO </v>
      </c>
      <c r="T2348" s="2">
        <v>5</v>
      </c>
      <c r="U2348" s="2"/>
      <c r="V2348" s="2"/>
      <c r="W2348" s="2"/>
      <c r="X2348" s="2"/>
      <c r="Y2348" s="7"/>
      <c r="Z2348" s="2"/>
      <c r="AA2348" s="1"/>
      <c r="AC2348" s="2"/>
      <c r="AE2348" s="1"/>
      <c r="AG2348" s="2"/>
    </row>
    <row r="2349" spans="12:33" ht="49.95" customHeight="1" x14ac:dyDescent="0.3">
      <c r="L2349" s="2"/>
      <c r="M2349" s="2"/>
      <c r="N2349" s="2">
        <v>8642</v>
      </c>
      <c r="O2349" s="371" t="s">
        <v>5228</v>
      </c>
      <c r="P2349" s="16">
        <v>46196</v>
      </c>
      <c r="Q2349" s="371" t="s">
        <v>63</v>
      </c>
      <c r="R2349" s="2">
        <f>VLOOKUP(SALIDAS111518[[#This Row],[CÓDIGO]],PRODUCTOS31316[],2,FALSE)</f>
        <v>25458</v>
      </c>
      <c r="S2349" s="1" t="str">
        <f>VLOOKUP(SALIDAS111518[[#This Row],[CÓDIGO]],PRODUCTOS31316[],3,FALSE)</f>
        <v>FILTROS PARA OPU 100 UL</v>
      </c>
      <c r="T2349" s="2">
        <v>25</v>
      </c>
      <c r="U2349" s="2"/>
      <c r="V2349" s="2"/>
      <c r="W2349" s="2"/>
      <c r="X2349" s="2"/>
      <c r="Y2349" s="7"/>
      <c r="Z2349" s="2"/>
      <c r="AA2349" s="1"/>
      <c r="AC2349" s="2"/>
      <c r="AE2349" s="1"/>
      <c r="AG2349" s="2"/>
    </row>
    <row r="2350" spans="12:33" ht="49.95" customHeight="1" x14ac:dyDescent="0.3">
      <c r="L2350" s="2"/>
      <c r="M2350" s="2"/>
      <c r="N2350" s="2">
        <v>8642</v>
      </c>
      <c r="O2350" s="371" t="s">
        <v>5228</v>
      </c>
      <c r="P2350" s="16">
        <v>46196</v>
      </c>
      <c r="Q2350" s="371" t="s">
        <v>5126</v>
      </c>
      <c r="R2350" s="2">
        <f>VLOOKUP(SALIDAS111518[[#This Row],[CÓDIGO]],PRODUCTOS31316[],2,FALSE)</f>
        <v>0</v>
      </c>
      <c r="S2350" s="1" t="str">
        <f>VLOOKUP(SALIDAS111518[[#This Row],[CÓDIGO]],PRODUCTOS31316[],3,FALSE)</f>
        <v>GRADILLA DE ALUMINIO MICROTUBOS WTA /Rack para 16 Microtubos 1,2mL
SKU: 14416
16 microtubos WTA 1,2mL</v>
      </c>
      <c r="T2350" s="2">
        <v>1</v>
      </c>
      <c r="U2350" s="2"/>
      <c r="V2350" s="2"/>
      <c r="W2350" s="2"/>
      <c r="X2350" s="2"/>
      <c r="Y2350" s="7"/>
      <c r="Z2350" s="2"/>
      <c r="AA2350" s="1"/>
      <c r="AC2350" s="2"/>
      <c r="AE2350" s="1"/>
      <c r="AG2350" s="2"/>
    </row>
    <row r="2351" spans="12:33" ht="49.95" customHeight="1" x14ac:dyDescent="0.3">
      <c r="L2351" s="2"/>
      <c r="M2351" s="2"/>
      <c r="N2351" s="2">
        <v>8642</v>
      </c>
      <c r="O2351" s="371" t="s">
        <v>5228</v>
      </c>
      <c r="P2351" s="16">
        <v>46196</v>
      </c>
      <c r="Q2351" s="371" t="s">
        <v>5127</v>
      </c>
      <c r="R2351" s="2">
        <f>VLOOKUP(SALIDAS111518[[#This Row],[CÓDIGO]],PRODUCTOS31316[],2,FALSE)</f>
        <v>0</v>
      </c>
      <c r="S2351" s="1" t="str">
        <f>VLOOKUP(SALIDAS111518[[#This Row],[CÓDIGO]],PRODUCTOS31316[],3,FALSE)</f>
        <v>LINEAS PARA OPU WTA 1.20</v>
      </c>
      <c r="T2351" s="2">
        <v>1500</v>
      </c>
      <c r="U2351" s="2"/>
      <c r="V2351" s="2"/>
      <c r="W2351" s="2"/>
      <c r="X2351" s="2"/>
      <c r="Y2351" s="7"/>
      <c r="Z2351" s="2"/>
      <c r="AA2351" s="1"/>
      <c r="AC2351" s="2"/>
      <c r="AE2351" s="1"/>
      <c r="AG2351" s="2"/>
    </row>
    <row r="2352" spans="12:33" ht="49.95" customHeight="1" x14ac:dyDescent="0.3">
      <c r="L2352" s="2"/>
      <c r="M2352" s="2"/>
      <c r="N2352" s="2">
        <v>8642</v>
      </c>
      <c r="O2352" s="371" t="s">
        <v>5228</v>
      </c>
      <c r="P2352" s="16">
        <v>46196</v>
      </c>
      <c r="Q2352" s="371" t="s">
        <v>3033</v>
      </c>
      <c r="R2352" s="2">
        <f>VLOOKUP(SALIDAS111518[[#This Row],[CÓDIGO]],PRODUCTOS31316[],2,FALSE)</f>
        <v>14417</v>
      </c>
      <c r="S2352" s="1" t="str">
        <f>VLOOKUP(SALIDAS111518[[#This Row],[CÓDIGO]],PRODUCTOS31316[],3,FALSE)</f>
        <v>RACK DE ALUMINIO PARA 15 ML</v>
      </c>
      <c r="T2352" s="2">
        <v>1</v>
      </c>
      <c r="U2352" s="2"/>
      <c r="V2352" s="2"/>
      <c r="W2352" s="2"/>
      <c r="X2352" s="2"/>
      <c r="Y2352" s="7"/>
      <c r="Z2352" s="2"/>
      <c r="AA2352" s="1"/>
      <c r="AC2352" s="2"/>
      <c r="AE2352" s="1"/>
      <c r="AG2352" s="2"/>
    </row>
    <row r="2353" spans="12:33" ht="49.95" customHeight="1" x14ac:dyDescent="0.3">
      <c r="L2353" s="2"/>
      <c r="M2353" s="2"/>
      <c r="N2353" s="2">
        <v>8642</v>
      </c>
      <c r="O2353" s="386" t="s">
        <v>5228</v>
      </c>
      <c r="P2353" s="16">
        <v>46196</v>
      </c>
      <c r="Q2353" s="371" t="s">
        <v>4546</v>
      </c>
      <c r="R2353" s="2">
        <f>VLOOKUP(SALIDAS111518[[#This Row],[CÓDIGO]],PRODUCTOS31316[],2,FALSE)</f>
        <v>14418</v>
      </c>
      <c r="S2353" s="1" t="str">
        <f>VLOOKUP(SALIDAS111518[[#This Row],[CÓDIGO]],PRODUCTOS31316[],3,FALSE)</f>
        <v>RACK DE ALUMINIO WTA 12 X 1.5 ML PARA TUBOS CONICOS</v>
      </c>
      <c r="T2353" s="2">
        <v>1</v>
      </c>
      <c r="U2353" s="2"/>
      <c r="V2353" s="2"/>
      <c r="W2353" s="2"/>
      <c r="X2353" s="113"/>
      <c r="Y2353" s="7"/>
      <c r="Z2353" s="2"/>
      <c r="AA2353" s="1"/>
      <c r="AC2353" s="2"/>
      <c r="AE2353" s="1"/>
      <c r="AG2353" s="2"/>
    </row>
    <row r="2354" spans="12:33" ht="49.95" customHeight="1" x14ac:dyDescent="0.3">
      <c r="L2354" s="2"/>
      <c r="M2354" s="2"/>
      <c r="N2354" s="2">
        <v>8642</v>
      </c>
      <c r="O2354" s="371" t="s">
        <v>5228</v>
      </c>
      <c r="P2354" s="16">
        <v>46196</v>
      </c>
      <c r="Q2354" s="371" t="s">
        <v>3095</v>
      </c>
      <c r="R2354" s="2">
        <f>VLOOKUP(SALIDAS111518[[#This Row],[CÓDIGO]],PRODUCTOS31316[],2,FALSE)</f>
        <v>0</v>
      </c>
      <c r="S2354" s="1" t="str">
        <f>VLOOKUP(SALIDAS111518[[#This Row],[CÓDIGO]],PRODUCTOS31316[],3,FALSE)</f>
        <v>GORRA MAS CAMPO</v>
      </c>
      <c r="T2354" s="2">
        <v>3</v>
      </c>
      <c r="U2354" s="2"/>
      <c r="V2354" s="2"/>
      <c r="W2354" s="2"/>
      <c r="X2354" s="113"/>
      <c r="Y2354" s="7"/>
      <c r="Z2354" s="2"/>
      <c r="AA2354" s="1"/>
      <c r="AC2354" s="2"/>
      <c r="AE2354" s="1"/>
      <c r="AG2354" s="2"/>
    </row>
    <row r="2355" spans="12:33" ht="49.95" customHeight="1" x14ac:dyDescent="0.3">
      <c r="L2355" s="2"/>
      <c r="M2355" s="2"/>
      <c r="N2355" s="2">
        <v>8642</v>
      </c>
      <c r="O2355" s="371" t="s">
        <v>5228</v>
      </c>
      <c r="P2355" s="16">
        <v>46196</v>
      </c>
      <c r="Q2355" s="371" t="s">
        <v>3645</v>
      </c>
      <c r="R2355" s="2">
        <f>VLOOKUP(SALIDAS111518[[#This Row],[CÓDIGO]],PRODUCTOS31316[],2,FALSE)</f>
        <v>0</v>
      </c>
      <c r="S2355" s="1" t="str">
        <f>VLOOKUP(SALIDAS111518[[#This Row],[CÓDIGO]],PRODUCTOS31316[],3,FALSE)</f>
        <v>AGENDA MAS CAMPO</v>
      </c>
      <c r="T2355" s="2">
        <v>3</v>
      </c>
      <c r="U2355" s="2"/>
      <c r="V2355" s="2"/>
      <c r="W2355" s="2"/>
      <c r="X2355" s="2"/>
      <c r="Y2355" s="7"/>
      <c r="Z2355" s="2"/>
      <c r="AA2355" s="1"/>
      <c r="AC2355" s="2"/>
      <c r="AE2355" s="1"/>
      <c r="AG2355" s="2"/>
    </row>
    <row r="2356" spans="12:33" ht="49.95" customHeight="1" x14ac:dyDescent="0.3">
      <c r="L2356" s="371" t="s">
        <v>3521</v>
      </c>
      <c r="M2356" s="371" t="s">
        <v>5213</v>
      </c>
      <c r="N2356" s="371" t="s">
        <v>5227</v>
      </c>
      <c r="O2356" s="371" t="s">
        <v>5226</v>
      </c>
      <c r="P2356" s="16">
        <v>46197</v>
      </c>
      <c r="Q2356" s="371" t="s">
        <v>5122</v>
      </c>
      <c r="R2356" s="2">
        <f>VLOOKUP(SALIDAS111518[[#This Row],[CÓDIGO]],PRODUCTOS31316[],2,FALSE)</f>
        <v>0</v>
      </c>
      <c r="S2356" s="1" t="str">
        <f>VLOOKUP(SALIDAS111518[[#This Row],[CÓDIGO]],PRODUCTOS31316[],3,FALSE)</f>
        <v>PAJILLAS AMARILLAS DE 0.25 PAQ. 2000 UND/ MARCA: MINITUBE</v>
      </c>
      <c r="T2356" s="2">
        <v>1</v>
      </c>
      <c r="U2356" s="2">
        <v>1042</v>
      </c>
      <c r="V2356" s="2"/>
      <c r="W2356" s="2"/>
      <c r="X2356" s="2"/>
      <c r="Y2356" s="7"/>
      <c r="Z2356" s="2"/>
      <c r="AA2356" s="1"/>
      <c r="AC2356" s="2"/>
      <c r="AE2356" s="1"/>
      <c r="AG2356" s="2"/>
    </row>
    <row r="2357" spans="12:33" ht="49.95" customHeight="1" x14ac:dyDescent="0.3">
      <c r="L2357" s="371" t="s">
        <v>3521</v>
      </c>
      <c r="M2357" s="371" t="s">
        <v>5213</v>
      </c>
      <c r="N2357" s="371" t="s">
        <v>5225</v>
      </c>
      <c r="O2357" s="372" t="s">
        <v>5224</v>
      </c>
      <c r="P2357" s="16">
        <v>46197</v>
      </c>
      <c r="Q2357" s="371" t="s">
        <v>2755</v>
      </c>
      <c r="R2357" s="2" t="str">
        <f>VLOOKUP(SALIDAS111518[[#This Row],[CÓDIGO]],PRODUCTOS31316[],2,FALSE)</f>
        <v>MSLDO05</v>
      </c>
      <c r="S2357" s="1" t="str">
        <f>VLOOKUP(SALIDAS111518[[#This Row],[CÓDIGO]],PRODUCTOS31316[],3,FALSE)</f>
        <v>TERMO DE RECOLECCIÓN DE SEMEN/ USO VETERINARIO</v>
      </c>
      <c r="T2357" s="2">
        <v>1</v>
      </c>
      <c r="U2357" s="2">
        <v>1043</v>
      </c>
      <c r="V2357" s="2"/>
      <c r="W2357" s="2"/>
      <c r="X2357" s="2"/>
      <c r="Y2357" s="7"/>
      <c r="Z2357" s="2"/>
      <c r="AA2357" s="1"/>
      <c r="AC2357" s="2"/>
      <c r="AE2357" s="1"/>
      <c r="AG2357" s="2"/>
    </row>
    <row r="2358" spans="12:33" ht="49.95" customHeight="1" x14ac:dyDescent="0.3">
      <c r="L2358" s="371" t="s">
        <v>3521</v>
      </c>
      <c r="M2358" s="371" t="s">
        <v>5213</v>
      </c>
      <c r="N2358" s="371" t="s">
        <v>5223</v>
      </c>
      <c r="O2358" s="371" t="s">
        <v>5222</v>
      </c>
      <c r="P2358" s="16">
        <v>46197</v>
      </c>
      <c r="Q2358" s="371" t="s">
        <v>3354</v>
      </c>
      <c r="R2358" s="2" t="str">
        <f>VLOOKUP(SALIDAS111518[[#This Row],[CÓDIGO]],PRODUCTOS31316[],2,FALSE)</f>
        <v>MX5C</v>
      </c>
      <c r="S2358" s="1" t="str">
        <f>VLOOKUP(SALIDAS111518[[#This Row],[CÓDIGO]],PRODUCTOS31316[],3,FALSE)</f>
        <v>ECOGRAFO MX5C CON SONDA LINEAL RECTAL/DOPLLER COLOR</v>
      </c>
      <c r="T2358" s="2">
        <v>1</v>
      </c>
      <c r="U2358" s="2">
        <v>1044</v>
      </c>
      <c r="V2358" s="2"/>
      <c r="W2358" s="371" t="s">
        <v>2823</v>
      </c>
      <c r="X2358" s="2"/>
      <c r="Y2358" s="7"/>
      <c r="Z2358" s="2"/>
      <c r="AA2358" s="1"/>
      <c r="AC2358" s="2"/>
      <c r="AE2358" s="1"/>
      <c r="AG2358" s="2"/>
    </row>
    <row r="2359" spans="12:33" ht="49.95" customHeight="1" x14ac:dyDescent="0.3">
      <c r="L2359" s="2"/>
      <c r="M2359" s="2"/>
      <c r="N2359" s="2">
        <v>8613</v>
      </c>
      <c r="O2359" s="371" t="s">
        <v>5222</v>
      </c>
      <c r="P2359" s="16">
        <v>46197</v>
      </c>
      <c r="Q2359" s="371" t="s">
        <v>5083</v>
      </c>
      <c r="R2359" s="2">
        <f>VLOOKUP(SALIDAS111518[[#This Row],[CÓDIGO]],PRODUCTOS31316[],2,FALSE)</f>
        <v>0</v>
      </c>
      <c r="S2359" s="1" t="str">
        <f>VLOOKUP(SALIDAS111518[[#This Row],[CÓDIGO]],PRODUCTOS31316[],3,FALSE)</f>
        <v>TABLET SANSUNG GALAXY TAB A11+</v>
      </c>
      <c r="T2359" s="2">
        <v>1</v>
      </c>
      <c r="U2359" s="2"/>
      <c r="V2359" s="2"/>
      <c r="W2359" s="2"/>
      <c r="X2359" s="113"/>
      <c r="Y2359" s="7"/>
      <c r="Z2359" s="2"/>
      <c r="AA2359" s="1"/>
      <c r="AC2359" s="2"/>
      <c r="AE2359" s="1"/>
      <c r="AG2359" s="2"/>
    </row>
    <row r="2360" spans="12:33" ht="49.95" customHeight="1" x14ac:dyDescent="0.3">
      <c r="L2360" s="2"/>
      <c r="M2360" s="2"/>
      <c r="N2360" s="2">
        <v>8613</v>
      </c>
      <c r="O2360" s="371" t="s">
        <v>5222</v>
      </c>
      <c r="P2360" s="16">
        <v>46197</v>
      </c>
      <c r="Q2360" s="371" t="s">
        <v>3286</v>
      </c>
      <c r="R2360" s="2">
        <f>VLOOKUP(SALIDAS111518[[#This Row],[CÓDIGO]],PRODUCTOS31316[],2,FALSE)</f>
        <v>0</v>
      </c>
      <c r="S2360" s="1" t="str">
        <f>VLOOKUP(SALIDAS111518[[#This Row],[CÓDIGO]],PRODUCTOS31316[],3,FALSE)</f>
        <v>CARCASA TABLET BMV</v>
      </c>
      <c r="T2360" s="2">
        <v>1</v>
      </c>
      <c r="U2360" s="2"/>
      <c r="V2360" s="2"/>
      <c r="W2360" s="2"/>
      <c r="X2360" s="2"/>
      <c r="Y2360" s="7"/>
      <c r="Z2360" s="2"/>
      <c r="AA2360" s="1"/>
      <c r="AC2360" s="2"/>
      <c r="AE2360" s="1"/>
      <c r="AG2360" s="2"/>
    </row>
    <row r="2361" spans="12:33" ht="49.95" customHeight="1" x14ac:dyDescent="0.3">
      <c r="L2361" s="2"/>
      <c r="M2361" s="2"/>
      <c r="N2361" s="2">
        <v>8613</v>
      </c>
      <c r="O2361" s="371" t="s">
        <v>5222</v>
      </c>
      <c r="P2361" s="16">
        <v>46197</v>
      </c>
      <c r="Q2361" s="371" t="s">
        <v>3095</v>
      </c>
      <c r="R2361" s="2">
        <f>VLOOKUP(SALIDAS111518[[#This Row],[CÓDIGO]],PRODUCTOS31316[],2,FALSE)</f>
        <v>0</v>
      </c>
      <c r="S2361" s="1" t="str">
        <f>VLOOKUP(SALIDAS111518[[#This Row],[CÓDIGO]],PRODUCTOS31316[],3,FALSE)</f>
        <v>GORRA MAS CAMPO</v>
      </c>
      <c r="T2361" s="2">
        <v>1</v>
      </c>
      <c r="U2361" s="2"/>
      <c r="V2361" s="2"/>
      <c r="W2361" s="2"/>
      <c r="X2361" s="2"/>
      <c r="Y2361" s="7"/>
      <c r="Z2361" s="2"/>
      <c r="AA2361" s="1"/>
      <c r="AC2361" s="2"/>
      <c r="AE2361" s="1"/>
      <c r="AG2361" s="2"/>
    </row>
    <row r="2362" spans="12:33" ht="49.95" customHeight="1" x14ac:dyDescent="0.3">
      <c r="L2362" s="371" t="s">
        <v>3521</v>
      </c>
      <c r="M2362" s="371" t="s">
        <v>5213</v>
      </c>
      <c r="N2362" s="371" t="s">
        <v>5221</v>
      </c>
      <c r="O2362" s="371" t="s">
        <v>3121</v>
      </c>
      <c r="P2362" s="16">
        <v>46195</v>
      </c>
      <c r="Q2362" s="371" t="s">
        <v>500</v>
      </c>
      <c r="R2362" s="2">
        <f>VLOOKUP(SALIDAS111518[[#This Row],[CÓDIGO]],PRODUCTOS31316[],2,FALSE)</f>
        <v>15933</v>
      </c>
      <c r="S2362" s="1" t="str">
        <f>VLOOKUP(SALIDAS111518[[#This Row],[CÓDIGO]],PRODUCTOS31316[],3,FALSE)</f>
        <v>DISPOSITIVO ENTROMETRIX</v>
      </c>
      <c r="T2362" s="2">
        <v>20</v>
      </c>
      <c r="U2362" s="2">
        <v>1045</v>
      </c>
      <c r="V2362" s="2"/>
      <c r="W2362" s="2"/>
      <c r="X2362" s="2"/>
      <c r="Y2362" s="7"/>
      <c r="Z2362" s="2"/>
      <c r="AA2362" s="1"/>
      <c r="AC2362" s="2"/>
      <c r="AE2362" s="1"/>
      <c r="AG2362" s="2"/>
    </row>
    <row r="2363" spans="12:33" ht="49.95" customHeight="1" x14ac:dyDescent="0.3">
      <c r="L2363" s="371" t="s">
        <v>3521</v>
      </c>
      <c r="M2363" s="371" t="s">
        <v>5213</v>
      </c>
      <c r="N2363" s="371" t="s">
        <v>5220</v>
      </c>
      <c r="O2363" s="371" t="s">
        <v>2213</v>
      </c>
      <c r="P2363" s="16">
        <v>46228</v>
      </c>
      <c r="Q2363" s="371" t="s">
        <v>5098</v>
      </c>
      <c r="R2363" s="2">
        <f>VLOOKUP(SALIDAS111518[[#This Row],[CÓDIGO]],PRODUCTOS31316[],2,FALSE)</f>
        <v>0</v>
      </c>
      <c r="S2363" s="1" t="str">
        <f>VLOOKUP(SALIDAS111518[[#This Row],[CÓDIGO]],PRODUCTOS31316[],3,FALSE)</f>
        <v>FUNDA DE TRANSFERENCIA DE EMBRIONES 0.25 PUNTA PLÁSTICA MARCA TED</v>
      </c>
      <c r="T2363" s="2">
        <v>10</v>
      </c>
      <c r="U2363" s="2">
        <v>1046</v>
      </c>
      <c r="V2363" s="2"/>
      <c r="W2363" s="2"/>
      <c r="X2363" s="2"/>
      <c r="Y2363" s="7"/>
      <c r="Z2363" s="2"/>
      <c r="AA2363" s="1"/>
      <c r="AC2363" s="2"/>
      <c r="AE2363" s="1"/>
      <c r="AG2363" s="2"/>
    </row>
    <row r="2364" spans="12:33" ht="49.95" customHeight="1" x14ac:dyDescent="0.3">
      <c r="L2364" s="2"/>
      <c r="M2364" s="2"/>
      <c r="N2364" s="2">
        <v>8615</v>
      </c>
      <c r="O2364" s="371" t="s">
        <v>2213</v>
      </c>
      <c r="P2364" s="16">
        <v>46228</v>
      </c>
      <c r="Q2364" s="371" t="s">
        <v>2364</v>
      </c>
      <c r="R2364" s="2">
        <f>VLOOKUP(SALIDAS111518[[#This Row],[CÓDIGO]],PRODUCTOS31316[],2,FALSE)</f>
        <v>0</v>
      </c>
      <c r="S2364" s="1" t="str">
        <f>VLOOKUP(SALIDAS111518[[#This Row],[CÓDIGO]],PRODUCTOS31316[],3,FALSE)</f>
        <v>CORTAPAJILLAS WTA</v>
      </c>
      <c r="T2364" s="2">
        <v>1</v>
      </c>
      <c r="U2364" s="2"/>
      <c r="V2364" s="2"/>
      <c r="W2364" s="2"/>
      <c r="X2364" s="2"/>
      <c r="Y2364" s="7"/>
      <c r="Z2364" s="2"/>
      <c r="AA2364" s="1"/>
      <c r="AC2364" s="2"/>
      <c r="AE2364" s="1"/>
      <c r="AG2364" s="2"/>
    </row>
    <row r="2365" spans="12:33" ht="49.95" customHeight="1" x14ac:dyDescent="0.3">
      <c r="L2365" s="371" t="s">
        <v>3521</v>
      </c>
      <c r="M2365" s="371" t="s">
        <v>5213</v>
      </c>
      <c r="N2365" s="371" t="s">
        <v>5219</v>
      </c>
      <c r="O2365" s="371" t="s">
        <v>5218</v>
      </c>
      <c r="P2365" s="16">
        <v>46228</v>
      </c>
      <c r="Q2365" s="371" t="s">
        <v>651</v>
      </c>
      <c r="R2365" s="2">
        <f>VLOOKUP(SALIDAS111518[[#This Row],[CÓDIGO]],PRODUCTOS31316[],2,FALSE)</f>
        <v>18367</v>
      </c>
      <c r="S2365" s="1" t="str">
        <f>VLOOKUP(SALIDAS111518[[#This Row],[CÓDIGO]],PRODUCTOS31316[],3,FALSE)</f>
        <v>PISTOLA DE INSEMINACIÓN UNIVERSAL (AUTOMATIC LOCK)</v>
      </c>
      <c r="T2365" s="2">
        <v>1</v>
      </c>
      <c r="U2365" s="2">
        <v>1047</v>
      </c>
      <c r="V2365" s="2"/>
      <c r="W2365" s="2"/>
      <c r="X2365" s="2"/>
      <c r="Y2365" s="7"/>
      <c r="Z2365" s="2"/>
      <c r="AA2365" s="1"/>
      <c r="AC2365" s="2"/>
      <c r="AE2365" s="1"/>
      <c r="AG2365" s="2"/>
    </row>
    <row r="2366" spans="12:33" ht="49.95" customHeight="1" x14ac:dyDescent="0.3">
      <c r="L2366" s="371" t="s">
        <v>3520</v>
      </c>
      <c r="M2366" s="371" t="s">
        <v>5213</v>
      </c>
      <c r="N2366" s="371" t="s">
        <v>5217</v>
      </c>
      <c r="O2366" s="371" t="s">
        <v>5216</v>
      </c>
      <c r="P2366" s="16">
        <v>46199</v>
      </c>
      <c r="Q2366" s="371" t="s">
        <v>115</v>
      </c>
      <c r="R2366" s="2" t="str">
        <f>VLOOKUP(SALIDAS111518[[#This Row],[CÓDIGO]],PRODUCTOS31316[],2,FALSE)</f>
        <v>CTS-800</v>
      </c>
      <c r="S2366" s="1" t="str">
        <f>VLOOKUP(SALIDAS111518[[#This Row],[CÓDIGO]],PRODUCTOS31316[],3,FALSE)</f>
        <v>ECOGRAFO SIUI ULTRA SOUND SCANNER WITH L7FCV</v>
      </c>
      <c r="T2366" s="2">
        <v>1</v>
      </c>
      <c r="U2366" s="2">
        <v>1048</v>
      </c>
      <c r="V2366" s="2"/>
      <c r="W2366" s="371" t="s">
        <v>3194</v>
      </c>
      <c r="X2366" s="2"/>
      <c r="Y2366" s="7"/>
      <c r="Z2366" s="2"/>
      <c r="AA2366" s="1"/>
      <c r="AC2366" s="2"/>
      <c r="AE2366" s="1"/>
      <c r="AG2366" s="2"/>
    </row>
    <row r="2367" spans="12:33" ht="49.95" customHeight="1" x14ac:dyDescent="0.3">
      <c r="L2367" s="2"/>
      <c r="M2367" s="2"/>
      <c r="N2367" s="2">
        <v>8618</v>
      </c>
      <c r="O2367" s="371" t="s">
        <v>5216</v>
      </c>
      <c r="P2367" s="16">
        <v>46199</v>
      </c>
      <c r="Q2367" s="371" t="s">
        <v>3095</v>
      </c>
      <c r="R2367" s="2">
        <f>VLOOKUP(SALIDAS111518[[#This Row],[CÓDIGO]],PRODUCTOS31316[],2,FALSE)</f>
        <v>0</v>
      </c>
      <c r="S2367" s="1" t="str">
        <f>VLOOKUP(SALIDAS111518[[#This Row],[CÓDIGO]],PRODUCTOS31316[],3,FALSE)</f>
        <v>GORRA MAS CAMPO</v>
      </c>
      <c r="T2367" s="2">
        <v>1</v>
      </c>
      <c r="U2367" s="2"/>
      <c r="V2367" s="2"/>
      <c r="W2367" s="2"/>
      <c r="X2367" s="2"/>
      <c r="Y2367" s="7"/>
      <c r="Z2367" s="2"/>
      <c r="AA2367" s="1"/>
      <c r="AC2367" s="2"/>
      <c r="AE2367" s="1"/>
      <c r="AG2367" s="2"/>
    </row>
    <row r="2368" spans="12:33" ht="49.95" customHeight="1" x14ac:dyDescent="0.3">
      <c r="L2368" s="371" t="s">
        <v>3520</v>
      </c>
      <c r="M2368" s="371" t="s">
        <v>5213</v>
      </c>
      <c r="N2368" s="371" t="s">
        <v>5214</v>
      </c>
      <c r="O2368" s="371" t="s">
        <v>2243</v>
      </c>
      <c r="P2368" s="16">
        <v>46228</v>
      </c>
      <c r="Q2368" s="371" t="s">
        <v>36</v>
      </c>
      <c r="R2368" s="2">
        <f>VLOOKUP(SALIDAS111518[[#This Row],[CÓDIGO]],PRODUCTOS31316[],2,FALSE)</f>
        <v>1</v>
      </c>
      <c r="S2368" s="1" t="str">
        <f>VLOOKUP(SALIDAS111518[[#This Row],[CÓDIGO]],PRODUCTOS31316[],3,FALSE)</f>
        <v xml:space="preserve">PARCHE ESTROTECT </v>
      </c>
      <c r="T2368" s="2">
        <v>1</v>
      </c>
      <c r="U2368" s="2">
        <v>1049</v>
      </c>
      <c r="V2368" s="2"/>
      <c r="W2368" s="2"/>
      <c r="X2368" s="2"/>
      <c r="Y2368" s="7"/>
      <c r="Z2368" s="2"/>
      <c r="AA2368" s="1"/>
      <c r="AC2368" s="2"/>
      <c r="AE2368" s="1"/>
      <c r="AG2368" s="2"/>
    </row>
    <row r="2369" spans="12:33" ht="49.95" customHeight="1" x14ac:dyDescent="0.3">
      <c r="L2369" s="371" t="s">
        <v>3520</v>
      </c>
      <c r="M2369" s="371" t="s">
        <v>5213</v>
      </c>
      <c r="N2369" s="371" t="s">
        <v>5215</v>
      </c>
      <c r="O2369" s="371" t="s">
        <v>3067</v>
      </c>
      <c r="P2369" s="16">
        <v>46228</v>
      </c>
      <c r="Q2369" s="371" t="s">
        <v>4140</v>
      </c>
      <c r="R2369" s="2">
        <f>VLOOKUP(SALIDAS111518[[#This Row],[CÓDIGO]],PRODUCTOS31316[],2,FALSE)</f>
        <v>5575</v>
      </c>
      <c r="S2369" s="1" t="str">
        <f>VLOOKUP(SALIDAS111518[[#This Row],[CÓDIGO]],PRODUCTOS31316[],3,FALSE)</f>
        <v>PAJUELA AMARILLA 0.25/ PAQUETE X 2000</v>
      </c>
      <c r="T2369" s="2">
        <v>1</v>
      </c>
      <c r="U2369" s="2">
        <v>1050</v>
      </c>
      <c r="V2369" s="2"/>
      <c r="W2369" s="2"/>
      <c r="X2369" s="2"/>
      <c r="Y2369" s="7"/>
      <c r="Z2369" s="2"/>
      <c r="AA2369" s="1"/>
      <c r="AC2369" s="2"/>
      <c r="AE2369" s="1"/>
      <c r="AG2369" s="2"/>
    </row>
    <row r="2370" spans="12:33" ht="49.95" customHeight="1" x14ac:dyDescent="0.3">
      <c r="L2370" s="371" t="s">
        <v>3520</v>
      </c>
      <c r="M2370" s="371" t="s">
        <v>5213</v>
      </c>
      <c r="N2370" s="371" t="s">
        <v>5212</v>
      </c>
      <c r="O2370" s="372" t="s">
        <v>2703</v>
      </c>
      <c r="P2370" s="16">
        <v>46228</v>
      </c>
      <c r="Q2370" s="371" t="s">
        <v>104</v>
      </c>
      <c r="R2370" s="2">
        <f>VLOOKUP(SALIDAS111518[[#This Row],[CÓDIGO]],PRODUCTOS31316[],2,FALSE)</f>
        <v>0</v>
      </c>
      <c r="S2370" s="1" t="str">
        <f>VLOOKUP(SALIDAS111518[[#This Row],[CÓDIGO]],PRODUCTOS31316[],3,FALSE)</f>
        <v>ISPERM CHIPS (500 TESTS PER BOX) PAQ. X 50 UND</v>
      </c>
      <c r="T2370" s="2">
        <v>1</v>
      </c>
      <c r="U2370" s="2">
        <v>1051</v>
      </c>
      <c r="V2370" s="2"/>
      <c r="W2370" s="2"/>
      <c r="X2370" s="2"/>
      <c r="Y2370" s="7"/>
      <c r="Z2370" s="2"/>
      <c r="AA2370" s="1"/>
      <c r="AC2370" s="2"/>
      <c r="AE2370" s="1"/>
      <c r="AG2370" s="2"/>
    </row>
    <row r="2371" spans="12:33" ht="49.95" customHeight="1" x14ac:dyDescent="0.3">
      <c r="L2371" s="2"/>
      <c r="M2371" s="2"/>
      <c r="N2371" s="2">
        <v>8620</v>
      </c>
      <c r="O2371" s="372" t="s">
        <v>2703</v>
      </c>
      <c r="P2371" s="16">
        <v>46228</v>
      </c>
      <c r="Q2371" s="371" t="s">
        <v>168</v>
      </c>
      <c r="R2371" s="2">
        <f>VLOOKUP(SALIDAS111518[[#This Row],[CÓDIGO]],PRODUCTOS31316[],2,FALSE)</f>
        <v>4840</v>
      </c>
      <c r="S2371" s="1" t="str">
        <f>VLOOKUP(SALIDAS111518[[#This Row],[CÓDIGO]],PRODUCTOS31316[],3,FALSE)</f>
        <v>PUNTAS BLANCAS UNIVERSALES, PLÁSTICAS, LIBRES DE DNASAS, RNASA Y PIROGENOS, RANGO DE 0.1 A 10UL. (CORTAS).</v>
      </c>
      <c r="T2371" s="2">
        <v>1</v>
      </c>
      <c r="U2371" s="2"/>
      <c r="V2371" s="2"/>
      <c r="W2371" s="2"/>
      <c r="X2371" s="2"/>
      <c r="Y2371" s="7"/>
      <c r="Z2371" s="2"/>
      <c r="AA2371" s="1"/>
      <c r="AC2371" s="2"/>
      <c r="AE2371" s="1"/>
      <c r="AG2371" s="2"/>
    </row>
    <row r="2372" spans="12:33" ht="49.95" customHeight="1" x14ac:dyDescent="0.3">
      <c r="L2372" s="2"/>
      <c r="M2372" s="2"/>
      <c r="N2372" s="2">
        <v>8620</v>
      </c>
      <c r="O2372" s="372" t="s">
        <v>2703</v>
      </c>
      <c r="P2372" s="16">
        <v>46228</v>
      </c>
      <c r="Q2372" s="371" t="s">
        <v>4402</v>
      </c>
      <c r="R2372" s="2">
        <f>VLOOKUP(SALIDAS111518[[#This Row],[CÓDIGO]],PRODUCTOS31316[],2,FALSE)</f>
        <v>0</v>
      </c>
      <c r="S2372" s="1" t="str">
        <f>VLOOKUP(SALIDAS111518[[#This Row],[CÓDIGO]],PRODUCTOS31316[],3,FALSE)</f>
        <v>PAJILLA TRANSPARENTE DE 0.5 IMV PAQ.X 200 UND</v>
      </c>
      <c r="T2372" s="2">
        <v>1</v>
      </c>
      <c r="U2372" s="2"/>
      <c r="V2372" s="2"/>
      <c r="W2372" s="2"/>
      <c r="X2372" s="2"/>
      <c r="Y2372" s="7"/>
      <c r="Z2372" s="2"/>
      <c r="AA2372" s="1"/>
      <c r="AC2372" s="2"/>
      <c r="AE2372" s="1"/>
      <c r="AG2372" s="2"/>
    </row>
    <row r="2373" spans="12:33" ht="49.95" customHeight="1" x14ac:dyDescent="0.3">
      <c r="L2373" s="371" t="s">
        <v>3520</v>
      </c>
      <c r="M2373" s="371" t="s">
        <v>5213</v>
      </c>
      <c r="N2373" s="2">
        <v>15581</v>
      </c>
      <c r="O2373" s="371" t="s">
        <v>3256</v>
      </c>
      <c r="P2373" s="16">
        <v>46199</v>
      </c>
      <c r="Q2373" s="371" t="s">
        <v>2402</v>
      </c>
      <c r="R2373" s="2">
        <f>VLOOKUP(SALIDAS111518[[#This Row],[CÓDIGO]],PRODUCTOS31316[],2,FALSE)</f>
        <v>17532</v>
      </c>
      <c r="S2373" s="1" t="str">
        <f>VLOOKUP(SALIDAS111518[[#This Row],[CÓDIGO]],PRODUCTOS31316[],3,FALSE)</f>
        <v xml:space="preserve"> FUNDAS DE TRANSFERENCAI DE 0,5 PARA EQUINOS        IMV
</v>
      </c>
      <c r="T2373" s="2">
        <v>10</v>
      </c>
      <c r="U2373" s="2">
        <v>1052</v>
      </c>
      <c r="V2373" s="2"/>
      <c r="W2373" s="2"/>
      <c r="X2373" s="2"/>
      <c r="Y2373" s="7"/>
      <c r="Z2373" s="2"/>
      <c r="AA2373" s="1"/>
      <c r="AC2373" s="2"/>
      <c r="AE2373" s="1"/>
      <c r="AG2373" s="2"/>
    </row>
    <row r="2374" spans="12:33" ht="49.95" customHeight="1" x14ac:dyDescent="0.3">
      <c r="L2374" s="371" t="s">
        <v>3520</v>
      </c>
      <c r="M2374" s="371" t="s">
        <v>5213</v>
      </c>
      <c r="N2374" s="371" t="s">
        <v>5211</v>
      </c>
      <c r="O2374" s="371" t="s">
        <v>2643</v>
      </c>
      <c r="P2374" s="16">
        <v>46199</v>
      </c>
      <c r="Q2374" s="371" t="s">
        <v>63</v>
      </c>
      <c r="R2374" s="2">
        <f>VLOOKUP(SALIDAS111518[[#This Row],[CÓDIGO]],PRODUCTOS31316[],2,FALSE)</f>
        <v>25458</v>
      </c>
      <c r="S2374" s="1" t="str">
        <f>VLOOKUP(SALIDAS111518[[#This Row],[CÓDIGO]],PRODUCTOS31316[],3,FALSE)</f>
        <v>FILTROS PARA OPU 100 UL</v>
      </c>
      <c r="T2374" s="2">
        <v>1</v>
      </c>
      <c r="U2374" s="2">
        <v>1053</v>
      </c>
      <c r="V2374" s="2"/>
      <c r="W2374" s="2"/>
      <c r="X2374" s="2"/>
      <c r="Y2374" s="7"/>
      <c r="Z2374" s="2"/>
      <c r="AA2374" s="1"/>
      <c r="AC2374" s="2"/>
      <c r="AE2374" s="1"/>
      <c r="AG2374" s="2"/>
    </row>
    <row r="2375" spans="12:33" ht="49.95" customHeight="1" x14ac:dyDescent="0.3">
      <c r="L2375" s="2"/>
      <c r="M2375" s="2"/>
      <c r="N2375" s="2">
        <v>8622</v>
      </c>
      <c r="O2375" s="371" t="s">
        <v>2643</v>
      </c>
      <c r="P2375" s="16">
        <v>46199</v>
      </c>
      <c r="Q2375" s="371" t="s">
        <v>3355</v>
      </c>
      <c r="R2375" s="2">
        <f>VLOOKUP(SALIDAS111518[[#This Row],[CÓDIGO]],PRODUCTOS31316[],2,FALSE)</f>
        <v>140681</v>
      </c>
      <c r="S2375" s="1" t="str">
        <f>VLOOKUP(SALIDAS111518[[#This Row],[CÓDIGO]],PRODUCTOS31316[],3,FALSE)</f>
        <v>CAJA DE PETRI DESECHABLE ESTERIL 60x15MM.</v>
      </c>
      <c r="T2375" s="2">
        <v>2</v>
      </c>
      <c r="U2375" s="2"/>
      <c r="V2375" s="2"/>
      <c r="W2375" s="2"/>
      <c r="X2375" s="2"/>
      <c r="Y2375" s="7"/>
      <c r="Z2375" s="2"/>
      <c r="AA2375" s="1"/>
      <c r="AC2375" s="2"/>
      <c r="AE2375" s="1"/>
      <c r="AG2375" s="2"/>
    </row>
    <row r="2376" spans="12:33" ht="49.95" customHeight="1" x14ac:dyDescent="0.3">
      <c r="L2376" s="371" t="s">
        <v>3520</v>
      </c>
      <c r="M2376" s="371" t="s">
        <v>5213</v>
      </c>
      <c r="N2376" s="371" t="s">
        <v>5210</v>
      </c>
      <c r="O2376" s="371" t="s">
        <v>4598</v>
      </c>
      <c r="P2376" s="16">
        <v>46199</v>
      </c>
      <c r="Q2376" s="371" t="s">
        <v>3355</v>
      </c>
      <c r="R2376" s="2">
        <f>VLOOKUP(SALIDAS111518[[#This Row],[CÓDIGO]],PRODUCTOS31316[],2,FALSE)</f>
        <v>140681</v>
      </c>
      <c r="S2376" s="1" t="str">
        <f>VLOOKUP(SALIDAS111518[[#This Row],[CÓDIGO]],PRODUCTOS31316[],3,FALSE)</f>
        <v>CAJA DE PETRI DESECHABLE ESTERIL 60x15MM.</v>
      </c>
      <c r="T2376" s="2">
        <v>10</v>
      </c>
      <c r="U2376" s="2">
        <v>1054</v>
      </c>
      <c r="V2376" s="2"/>
      <c r="W2376" s="2"/>
      <c r="X2376" s="2"/>
      <c r="Y2376" s="7"/>
      <c r="Z2376" s="2"/>
      <c r="AA2376" s="1"/>
      <c r="AC2376" s="2"/>
      <c r="AE2376" s="1"/>
      <c r="AG2376" s="2"/>
    </row>
    <row r="2377" spans="12:33" ht="49.95" customHeight="1" x14ac:dyDescent="0.3">
      <c r="L2377" s="2"/>
      <c r="M2377" s="2"/>
      <c r="N2377" s="2">
        <v>8623</v>
      </c>
      <c r="O2377" s="371" t="s">
        <v>4598</v>
      </c>
      <c r="P2377" s="16">
        <v>46199</v>
      </c>
      <c r="Q2377" s="371" t="s">
        <v>3241</v>
      </c>
      <c r="R2377" s="2" t="str">
        <f>VLOOKUP(SALIDAS111518[[#This Row],[CÓDIGO]],PRODUCTOS31316[],2,FALSE)</f>
        <v>1111-3810</v>
      </c>
      <c r="S2377" s="1" t="str">
        <f>VLOOKUP(SALIDAS111518[[#This Row],[CÓDIGO]],PRODUCTOS31316[],3,FALSE)</f>
        <v>RACK DE PUNTAS 10 UL ESTERIL/ VEN 2030-01-31</v>
      </c>
      <c r="T2377" s="2">
        <v>3</v>
      </c>
      <c r="U2377" s="2"/>
      <c r="V2377" s="2"/>
      <c r="W2377" s="2"/>
      <c r="X2377" s="2"/>
      <c r="Y2377" s="7"/>
      <c r="Z2377" s="2"/>
      <c r="AA2377" s="1"/>
      <c r="AC2377" s="2"/>
      <c r="AE2377" s="1"/>
      <c r="AG2377" s="2"/>
    </row>
    <row r="2378" spans="12:33" ht="49.95" customHeight="1" x14ac:dyDescent="0.3">
      <c r="L2378" s="2"/>
      <c r="M2378" s="2"/>
      <c r="N2378" s="2">
        <v>8623</v>
      </c>
      <c r="O2378" s="371" t="s">
        <v>4598</v>
      </c>
      <c r="P2378" s="16">
        <v>46199</v>
      </c>
      <c r="Q2378" s="371" t="s">
        <v>2844</v>
      </c>
      <c r="R2378" s="2" t="str">
        <f>VLOOKUP(SALIDAS111518[[#This Row],[CÓDIGO]],PRODUCTOS31316[],2,FALSE)</f>
        <v>T-200-Y-R-S</v>
      </c>
      <c r="S2378" s="1" t="str">
        <f>VLOOKUP(SALIDAS111518[[#This Row],[CÓDIGO]],PRODUCTOS31316[],3,FALSE)</f>
        <v>PUNTAS AMARILLAS ESTANDAR. DE 1 A 200 UL. ESTÉRILES</v>
      </c>
      <c r="T2378" s="2">
        <v>1</v>
      </c>
      <c r="U2378" s="2"/>
      <c r="V2378" s="2"/>
      <c r="W2378" s="2"/>
      <c r="X2378" s="2"/>
      <c r="Y2378" s="7"/>
      <c r="Z2378" s="2"/>
      <c r="AA2378" s="1"/>
      <c r="AC2378" s="2"/>
      <c r="AE2378" s="1"/>
      <c r="AG2378" s="2"/>
    </row>
    <row r="2379" spans="12:33" ht="49.95" customHeight="1" x14ac:dyDescent="0.3">
      <c r="L2379" s="2"/>
      <c r="M2379" s="2"/>
      <c r="N2379" s="2">
        <v>8623</v>
      </c>
      <c r="O2379" s="371" t="s">
        <v>4598</v>
      </c>
      <c r="P2379" s="16">
        <v>46199</v>
      </c>
      <c r="Q2379" s="371" t="s">
        <v>70</v>
      </c>
      <c r="R2379" s="2">
        <f>VLOOKUP(SALIDAS111518[[#This Row],[CÓDIGO]],PRODUCTOS31316[],2,FALSE)</f>
        <v>25458</v>
      </c>
      <c r="S2379" s="1" t="str">
        <f>VLOOKUP(SALIDAS111518[[#This Row],[CÓDIGO]],PRODUCTOS31316[],3,FALSE)</f>
        <v>FILTROS PARA OPU 100 UL</v>
      </c>
      <c r="T2379" s="2">
        <v>12</v>
      </c>
      <c r="U2379" s="2"/>
      <c r="V2379" s="2"/>
      <c r="W2379" s="2"/>
      <c r="X2379" s="2"/>
      <c r="Y2379" s="7"/>
      <c r="Z2379" s="2"/>
      <c r="AA2379" s="1"/>
      <c r="AC2379" s="2"/>
      <c r="AE2379" s="1"/>
      <c r="AG2379" s="2"/>
    </row>
    <row r="2380" spans="12:33" ht="49.95" customHeight="1" x14ac:dyDescent="0.3">
      <c r="L2380" s="2"/>
      <c r="M2380" s="2"/>
      <c r="N2380" s="2">
        <v>8623</v>
      </c>
      <c r="O2380" s="371" t="s">
        <v>4598</v>
      </c>
      <c r="P2380" s="16">
        <v>46199</v>
      </c>
      <c r="Q2380" s="371" t="s">
        <v>167</v>
      </c>
      <c r="R2380" s="2" t="str">
        <f>VLOOKUP(SALIDAS111518[[#This Row],[CÓDIGO]],PRODUCTOS31316[],2,FALSE)</f>
        <v>50050-1</v>
      </c>
      <c r="S2380" s="1" t="str">
        <f>VLOOKUP(SALIDAS111518[[#This Row],[CÓDIGO]],PRODUCTOS31316[],3,FALSE)</f>
        <v>TUBO CONICO PLUG, AUTOCLAVABLE ESTERIL  TAPA ROSCA DE 50 ML</v>
      </c>
      <c r="T2380" s="2">
        <v>2</v>
      </c>
      <c r="U2380" s="2"/>
      <c r="V2380" s="2"/>
      <c r="W2380" s="2"/>
      <c r="X2380" s="2"/>
      <c r="Y2380" s="7"/>
      <c r="Z2380" s="2"/>
      <c r="AA2380" s="1"/>
      <c r="AC2380" s="2"/>
      <c r="AE2380" s="1"/>
      <c r="AG2380" s="2"/>
    </row>
    <row r="2381" spans="12:33" ht="49.95" customHeight="1" x14ac:dyDescent="0.3">
      <c r="L2381" s="2"/>
      <c r="M2381" s="2"/>
      <c r="N2381" s="2">
        <v>8623</v>
      </c>
      <c r="O2381" s="371" t="s">
        <v>4598</v>
      </c>
      <c r="P2381" s="16">
        <v>46199</v>
      </c>
      <c r="Q2381" s="371" t="s">
        <v>33</v>
      </c>
      <c r="R2381" s="2" t="str">
        <f>VLOOKUP(SALIDAS111518[[#This Row],[CÓDIGO]],PRODUCTOS31316[],2,FALSE)</f>
        <v>LA-120 /506003</v>
      </c>
      <c r="S2381" s="1" t="str">
        <f>VLOOKUP(SALIDAS111518[[#This Row],[CÓDIGO]],PRODUCTOS31316[],3,FALSE)</f>
        <v>LíNEA PARA OPU 1,2 METROS</v>
      </c>
      <c r="T2381" s="2">
        <v>8</v>
      </c>
      <c r="U2381" s="2"/>
      <c r="V2381" s="2"/>
      <c r="W2381" s="2"/>
      <c r="X2381" s="115"/>
      <c r="Y2381" s="7"/>
      <c r="Z2381" s="2"/>
      <c r="AA2381" s="1"/>
      <c r="AC2381" s="2"/>
      <c r="AE2381" s="1"/>
      <c r="AG2381" s="2"/>
    </row>
    <row r="2382" spans="12:33" ht="49.95" customHeight="1" x14ac:dyDescent="0.3">
      <c r="L2382" s="2"/>
      <c r="M2382" s="2"/>
      <c r="N2382" s="2">
        <v>8623</v>
      </c>
      <c r="O2382" s="371" t="s">
        <v>4598</v>
      </c>
      <c r="P2382" s="16">
        <v>46199</v>
      </c>
      <c r="Q2382" s="371" t="s">
        <v>168</v>
      </c>
      <c r="R2382" s="2">
        <f>VLOOKUP(SALIDAS111518[[#This Row],[CÓDIGO]],PRODUCTOS31316[],2,FALSE)</f>
        <v>4840</v>
      </c>
      <c r="S2382" s="1" t="str">
        <f>VLOOKUP(SALIDAS111518[[#This Row],[CÓDIGO]],PRODUCTOS31316[],3,FALSE)</f>
        <v>PUNTAS BLANCAS UNIVERSALES, PLÁSTICAS, LIBRES DE DNASAS, RNASA Y PIROGENOS, RANGO DE 0.1 A 10UL. (CORTAS).</v>
      </c>
      <c r="T2382" s="2">
        <v>1</v>
      </c>
      <c r="U2382" s="2"/>
      <c r="V2382" s="2"/>
      <c r="W2382" s="2"/>
      <c r="X2382" s="2"/>
      <c r="Y2382" s="7"/>
      <c r="Z2382" s="2"/>
      <c r="AA2382" s="1"/>
      <c r="AC2382" s="2"/>
      <c r="AE2382" s="1"/>
      <c r="AG2382" s="2"/>
    </row>
    <row r="2383" spans="12:33" ht="49.95" customHeight="1" x14ac:dyDescent="0.3">
      <c r="L2383" s="2"/>
      <c r="M2383" s="2"/>
      <c r="N2383" s="2">
        <v>8623</v>
      </c>
      <c r="O2383" s="371" t="s">
        <v>4598</v>
      </c>
      <c r="P2383" s="16">
        <v>46199</v>
      </c>
      <c r="Q2383" s="371" t="s">
        <v>602</v>
      </c>
      <c r="R2383" s="2">
        <f>VLOOKUP(SALIDAS111518[[#This Row],[CÓDIGO]],PRODUCTOS31316[],2,FALSE)</f>
        <v>4845</v>
      </c>
      <c r="S2383" s="1" t="str">
        <f>VLOOKUP(SALIDAS111518[[#This Row],[CÓDIGO]],PRODUCTOS31316[],3,FALSE)</f>
        <v>PUNTAS AMARILLAS, UNIVERSALES. PLASTICAS, NO ESTERIL. LIBRES DE RNASE, DNASE Y PYROGENOS. RANGO DE 1-200UL. BOLSA X1000UDS.</v>
      </c>
      <c r="T2383" s="2">
        <v>1</v>
      </c>
      <c r="U2383" s="2"/>
      <c r="V2383" s="2"/>
      <c r="W2383" s="2"/>
      <c r="X2383" s="2"/>
      <c r="Y2383" s="7"/>
      <c r="Z2383" s="2"/>
      <c r="AA2383" s="1"/>
      <c r="AC2383" s="2"/>
      <c r="AE2383" s="1"/>
      <c r="AG2383" s="2"/>
    </row>
    <row r="2384" spans="12:33" ht="49.95" customHeight="1" x14ac:dyDescent="0.3">
      <c r="L2384" s="371" t="s">
        <v>3520</v>
      </c>
      <c r="M2384" s="371" t="s">
        <v>5213</v>
      </c>
      <c r="N2384" s="371" t="s">
        <v>5209</v>
      </c>
      <c r="O2384" s="371" t="s">
        <v>2855</v>
      </c>
      <c r="P2384" s="16">
        <v>46199</v>
      </c>
      <c r="Q2384" s="371" t="s">
        <v>36</v>
      </c>
      <c r="R2384" s="2">
        <f>VLOOKUP(SALIDAS111518[[#This Row],[CÓDIGO]],PRODUCTOS31316[],2,FALSE)</f>
        <v>1</v>
      </c>
      <c r="S2384" s="1" t="str">
        <f>VLOOKUP(SALIDAS111518[[#This Row],[CÓDIGO]],PRODUCTOS31316[],3,FALSE)</f>
        <v xml:space="preserve">PARCHE ESTROTECT </v>
      </c>
      <c r="T2384" s="2">
        <v>1</v>
      </c>
      <c r="U2384" s="2">
        <v>1055</v>
      </c>
      <c r="V2384" s="2"/>
      <c r="W2384" s="2"/>
      <c r="X2384" s="2"/>
      <c r="Y2384" s="7"/>
      <c r="Z2384" s="2"/>
      <c r="AA2384" s="1"/>
      <c r="AC2384" s="2"/>
      <c r="AE2384" s="1"/>
      <c r="AG2384" s="2"/>
    </row>
    <row r="2385" spans="12:33" ht="49.95" customHeight="1" x14ac:dyDescent="0.3">
      <c r="L2385" s="2"/>
      <c r="M2385" s="2"/>
      <c r="N2385" s="2">
        <v>8624</v>
      </c>
      <c r="O2385" s="371" t="s">
        <v>2855</v>
      </c>
      <c r="P2385" s="16">
        <v>46199</v>
      </c>
      <c r="Q2385" s="371" t="s">
        <v>4140</v>
      </c>
      <c r="R2385" s="2">
        <f>VLOOKUP(SALIDAS111518[[#This Row],[CÓDIGO]],PRODUCTOS31316[],2,FALSE)</f>
        <v>5575</v>
      </c>
      <c r="S2385" s="1" t="str">
        <f>VLOOKUP(SALIDAS111518[[#This Row],[CÓDIGO]],PRODUCTOS31316[],3,FALSE)</f>
        <v>PAJUELA AMARILLA 0.25/ PAQUETE X 2000</v>
      </c>
      <c r="T2385" s="2">
        <v>1</v>
      </c>
      <c r="U2385" s="2"/>
      <c r="V2385" s="2"/>
      <c r="W2385" s="2"/>
      <c r="X2385" s="2"/>
      <c r="Y2385" s="7"/>
      <c r="Z2385" s="2"/>
      <c r="AA2385" s="1"/>
      <c r="AC2385" s="2"/>
      <c r="AE2385" s="1"/>
      <c r="AG2385" s="2"/>
    </row>
    <row r="2386" spans="12:33" ht="49.95" customHeight="1" x14ac:dyDescent="0.3">
      <c r="L2386" s="2"/>
      <c r="M2386" s="2"/>
      <c r="N2386" s="2">
        <v>8624</v>
      </c>
      <c r="O2386" s="371" t="s">
        <v>2855</v>
      </c>
      <c r="P2386" s="16">
        <v>46199</v>
      </c>
      <c r="Q2386" s="371" t="s">
        <v>58</v>
      </c>
      <c r="R2386" s="2" t="str">
        <f>VLOOKUP(SALIDAS111518[[#This Row],[CÓDIGO]],PRODUCTOS31316[],2,FALSE)</f>
        <v>TNB-0001-16</v>
      </c>
      <c r="S2386" s="1" t="str">
        <f>VLOOKUP(SALIDAS111518[[#This Row],[CÓDIGO]],PRODUCTOS31316[],3,FALSE)</f>
        <v>CAMISA SANITARIA PARA OPU ASPIRACIÓN FOLICULAR</v>
      </c>
      <c r="T2386" s="2">
        <v>4</v>
      </c>
      <c r="U2386" s="2"/>
      <c r="V2386" s="2"/>
      <c r="W2386" s="2"/>
      <c r="X2386" s="2"/>
      <c r="Y2386" s="7"/>
      <c r="Z2386" s="2"/>
      <c r="AA2386" s="1"/>
      <c r="AC2386" s="2"/>
      <c r="AE2386" s="1"/>
      <c r="AG2386" s="2"/>
    </row>
    <row r="2387" spans="12:33" ht="49.95" customHeight="1" x14ac:dyDescent="0.3">
      <c r="L2387" s="2"/>
      <c r="M2387" s="2"/>
      <c r="N2387" s="2">
        <v>8624</v>
      </c>
      <c r="O2387" s="371" t="s">
        <v>2855</v>
      </c>
      <c r="P2387" s="16">
        <v>46199</v>
      </c>
      <c r="Q2387" s="371" t="s">
        <v>33</v>
      </c>
      <c r="R2387" s="2" t="str">
        <f>VLOOKUP(SALIDAS111518[[#This Row],[CÓDIGO]],PRODUCTOS31316[],2,FALSE)</f>
        <v>LA-120 /506003</v>
      </c>
      <c r="S2387" s="1" t="str">
        <f>VLOOKUP(SALIDAS111518[[#This Row],[CÓDIGO]],PRODUCTOS31316[],3,FALSE)</f>
        <v>LíNEA PARA OPU 1,2 METROS</v>
      </c>
      <c r="T2387" s="2">
        <v>10</v>
      </c>
      <c r="U2387" s="2"/>
      <c r="V2387" s="2"/>
      <c r="W2387" s="2"/>
      <c r="X2387" s="2"/>
      <c r="Y2387" s="7"/>
      <c r="Z2387" s="2"/>
      <c r="AA2387" s="1"/>
      <c r="AC2387" s="2"/>
      <c r="AE2387" s="1"/>
      <c r="AG2387" s="2"/>
    </row>
    <row r="2388" spans="12:33" ht="49.95" customHeight="1" x14ac:dyDescent="0.3">
      <c r="L2388" s="371" t="s">
        <v>3520</v>
      </c>
      <c r="M2388" s="371" t="s">
        <v>5213</v>
      </c>
      <c r="N2388" s="371" t="s">
        <v>5208</v>
      </c>
      <c r="O2388" s="372" t="s">
        <v>5060</v>
      </c>
      <c r="P2388" s="16">
        <v>46203</v>
      </c>
      <c r="Q2388" s="371" t="s">
        <v>3398</v>
      </c>
      <c r="R2388" s="2">
        <f>VLOOKUP(SALIDAS111518[[#This Row],[CÓDIGO]],PRODUCTOS31316[],2,FALSE)</f>
        <v>13408</v>
      </c>
      <c r="S2388" s="1" t="str">
        <f>VLOOKUP(SALIDAS111518[[#This Row],[CÓDIGO]],PRODUCTOS31316[],3,FALSE)</f>
        <v>PAJILLAS TRANSPARENTES 0,50 MINITUBE</v>
      </c>
      <c r="T2388" s="2">
        <v>4</v>
      </c>
      <c r="U2388" s="2">
        <v>1056</v>
      </c>
      <c r="V2388" s="2"/>
      <c r="W2388" s="2"/>
      <c r="X2388" s="2"/>
      <c r="Y2388" s="7"/>
      <c r="Z2388" s="2"/>
      <c r="AA2388" s="1"/>
      <c r="AC2388" s="2"/>
      <c r="AE2388" s="1"/>
      <c r="AG2388" s="2"/>
    </row>
    <row r="2389" spans="12:33" ht="49.95" customHeight="1" x14ac:dyDescent="0.3">
      <c r="L2389" s="2"/>
      <c r="M2389" s="2"/>
      <c r="N2389" s="2">
        <v>8625</v>
      </c>
      <c r="O2389" s="372" t="s">
        <v>5060</v>
      </c>
      <c r="P2389" s="16">
        <v>46203</v>
      </c>
      <c r="Q2389" s="371" t="s">
        <v>3375</v>
      </c>
      <c r="R2389" s="2" t="str">
        <f>VLOOKUP(SALIDAS111518[[#This Row],[CÓDIGO]],PRODUCTOS31316[],2,FALSE)</f>
        <v>13500/0250</v>
      </c>
      <c r="S2389" s="1" t="str">
        <f>VLOOKUP(SALIDAS111518[[#This Row],[CÓDIGO]],PRODUCTOS31316[],3,FALSE)</f>
        <v>TRILADYL 250 ML</v>
      </c>
      <c r="T2389" s="2">
        <v>4</v>
      </c>
      <c r="U2389" s="2"/>
      <c r="V2389" s="2"/>
      <c r="W2389" s="2"/>
      <c r="X2389" s="2"/>
      <c r="Y2389" s="7"/>
      <c r="Z2389" s="2"/>
      <c r="AA2389" s="1"/>
      <c r="AC2389" s="2"/>
      <c r="AE2389" s="1"/>
      <c r="AG2389" s="2"/>
    </row>
    <row r="2390" spans="12:33" ht="49.95" customHeight="1" x14ac:dyDescent="0.3">
      <c r="L2390" s="371" t="s">
        <v>3520</v>
      </c>
      <c r="M2390" s="371" t="s">
        <v>5213</v>
      </c>
      <c r="N2390" s="371" t="s">
        <v>5205</v>
      </c>
      <c r="O2390" s="372" t="s">
        <v>5204</v>
      </c>
      <c r="P2390" s="16">
        <v>46203</v>
      </c>
      <c r="Q2390" s="371" t="s">
        <v>36</v>
      </c>
      <c r="R2390" s="2">
        <f>VLOOKUP(SALIDAS111518[[#This Row],[CÓDIGO]],PRODUCTOS31316[],2,FALSE)</f>
        <v>1</v>
      </c>
      <c r="S2390" s="1" t="str">
        <f>VLOOKUP(SALIDAS111518[[#This Row],[CÓDIGO]],PRODUCTOS31316[],3,FALSE)</f>
        <v xml:space="preserve">PARCHE ESTROTECT </v>
      </c>
      <c r="T2390" s="2">
        <v>1</v>
      </c>
      <c r="U2390" s="2">
        <v>1057</v>
      </c>
      <c r="V2390" s="2"/>
      <c r="W2390" s="2"/>
      <c r="X2390" s="2"/>
      <c r="Y2390" s="7"/>
      <c r="Z2390" s="2"/>
      <c r="AA2390" s="1"/>
      <c r="AC2390" s="2"/>
      <c r="AE2390" s="1"/>
      <c r="AG2390" s="2"/>
    </row>
    <row r="2391" spans="12:33" ht="49.95" customHeight="1" x14ac:dyDescent="0.3">
      <c r="L2391" s="371" t="s">
        <v>3520</v>
      </c>
      <c r="M2391" s="371" t="s">
        <v>5213</v>
      </c>
      <c r="N2391" s="371" t="s">
        <v>5206</v>
      </c>
      <c r="O2391" s="372" t="s">
        <v>2705</v>
      </c>
      <c r="P2391" s="16">
        <v>46203</v>
      </c>
      <c r="Q2391" s="371" t="s">
        <v>210</v>
      </c>
      <c r="R2391" s="2">
        <f>VLOOKUP(SALIDAS111518[[#This Row],[CÓDIGO]],PRODUCTOS31316[],2,FALSE)</f>
        <v>101257</v>
      </c>
      <c r="S2391" s="1" t="str">
        <f>VLOOKUP(SALIDAS111518[[#This Row],[CÓDIGO]],PRODUCTOS31316[],3,FALSE)</f>
        <v>MANGA DESECHABLE SUPER SENSITIVA</v>
      </c>
      <c r="T2391" s="2">
        <v>12</v>
      </c>
      <c r="U2391" s="371" t="s">
        <v>5203</v>
      </c>
      <c r="V2391" s="2"/>
      <c r="W2391" s="2"/>
      <c r="X2391" s="2"/>
      <c r="Y2391" s="7"/>
      <c r="Z2391" s="2"/>
      <c r="AA2391" s="1"/>
      <c r="AC2391" s="2"/>
      <c r="AE2391" s="1"/>
      <c r="AG2391" s="2"/>
    </row>
    <row r="2392" spans="12:33" ht="49.95" customHeight="1" x14ac:dyDescent="0.3">
      <c r="L2392" s="371" t="s">
        <v>3520</v>
      </c>
      <c r="M2392" s="371" t="s">
        <v>5213</v>
      </c>
      <c r="N2392" s="371" t="s">
        <v>5207</v>
      </c>
      <c r="O2392" s="371" t="s">
        <v>3459</v>
      </c>
      <c r="P2392" s="16">
        <v>46203</v>
      </c>
      <c r="Q2392" s="371" t="s">
        <v>3202</v>
      </c>
      <c r="R2392" s="2">
        <f>VLOOKUP(SALIDAS111518[[#This Row],[CÓDIGO]],PRODUCTOS31316[],2,FALSE)</f>
        <v>0</v>
      </c>
      <c r="S2392" s="1" t="str">
        <f>VLOOKUP(SALIDAS111518[[#This Row],[CÓDIGO]],PRODUCTOS31316[],3,FALSE)</f>
        <v>CABLE REPUESTO ECOGRAFO S5</v>
      </c>
      <c r="T2392" s="2">
        <v>5</v>
      </c>
      <c r="U2392" s="2">
        <v>1060</v>
      </c>
      <c r="V2392" s="2"/>
      <c r="W2392" s="2"/>
      <c r="X2392" s="2"/>
      <c r="Y2392" s="7"/>
      <c r="Z2392" s="2"/>
      <c r="AA2392" s="1"/>
      <c r="AC2392" s="2"/>
      <c r="AE2392" s="1"/>
      <c r="AG2392" s="2"/>
    </row>
    <row r="2393" spans="12:33" ht="49.95" customHeight="1" x14ac:dyDescent="0.3">
      <c r="L2393" s="371" t="s">
        <v>3520</v>
      </c>
      <c r="M2393" s="371" t="s">
        <v>5213</v>
      </c>
      <c r="N2393" s="371" t="s">
        <v>5202</v>
      </c>
      <c r="O2393" s="371" t="s">
        <v>1816</v>
      </c>
      <c r="P2393" s="16">
        <v>46203</v>
      </c>
      <c r="Q2393" s="371" t="s">
        <v>3375</v>
      </c>
      <c r="R2393" s="2" t="str">
        <f>VLOOKUP(SALIDAS111518[[#This Row],[CÓDIGO]],PRODUCTOS31316[],2,FALSE)</f>
        <v>13500/0250</v>
      </c>
      <c r="S2393" s="1" t="str">
        <f>VLOOKUP(SALIDAS111518[[#This Row],[CÓDIGO]],PRODUCTOS31316[],3,FALSE)</f>
        <v>TRILADYL 250 ML</v>
      </c>
      <c r="T2393" s="2">
        <v>2</v>
      </c>
      <c r="U2393" s="2">
        <v>1063</v>
      </c>
      <c r="V2393" s="2"/>
      <c r="W2393" s="2"/>
      <c r="X2393" s="2"/>
      <c r="Y2393" s="7"/>
      <c r="Z2393" s="2"/>
      <c r="AA2393" s="1"/>
      <c r="AC2393" s="2"/>
      <c r="AE2393" s="1"/>
      <c r="AG2393" s="2"/>
    </row>
    <row r="2394" spans="12:33" ht="49.95" customHeight="1" x14ac:dyDescent="0.3">
      <c r="L2394" s="2"/>
      <c r="M2394" s="2"/>
      <c r="N2394" s="2">
        <v>8631</v>
      </c>
      <c r="O2394" s="371" t="s">
        <v>1816</v>
      </c>
      <c r="P2394" s="16">
        <v>46203</v>
      </c>
      <c r="Q2394" s="371" t="s">
        <v>2232</v>
      </c>
      <c r="R2394" s="2">
        <f>VLOOKUP(SALIDAS111518[[#This Row],[CÓDIGO]],PRODUCTOS31316[],2,FALSE)</f>
        <v>0</v>
      </c>
      <c r="S2394" s="1" t="str">
        <f>VLOOKUP(SALIDAS111518[[#This Row],[CÓDIGO]],PRODUCTOS31316[],3,FALSE)</f>
        <v>CONO RECOLECTOR</v>
      </c>
      <c r="T2394" s="2">
        <v>2</v>
      </c>
      <c r="U2394" s="2"/>
      <c r="V2394" s="2"/>
      <c r="W2394" s="2"/>
      <c r="X2394" s="2"/>
      <c r="Y2394" s="7"/>
      <c r="Z2394" s="2"/>
      <c r="AA2394" s="1"/>
      <c r="AC2394" s="2"/>
      <c r="AE2394" s="1"/>
      <c r="AG2394" s="2"/>
    </row>
    <row r="2395" spans="12:33" ht="49.95" customHeight="1" x14ac:dyDescent="0.3">
      <c r="L2395" s="2"/>
      <c r="M2395" s="2"/>
      <c r="N2395" s="2">
        <v>8631</v>
      </c>
      <c r="O2395" s="371" t="s">
        <v>1816</v>
      </c>
      <c r="P2395" s="16">
        <v>46203</v>
      </c>
      <c r="Q2395" s="371" t="s">
        <v>455</v>
      </c>
      <c r="R2395" s="2">
        <f>VLOOKUP(SALIDAS111518[[#This Row],[CÓDIGO]],PRODUCTOS31316[],2,FALSE)</f>
        <v>0</v>
      </c>
      <c r="S2395" s="1" t="str">
        <f>VLOOKUP(SALIDAS111518[[#This Row],[CÓDIGO]],PRODUCTOS31316[],3,FALSE)</f>
        <v>ESCALERILLAS PARA GOBLETS DE 13 MM</v>
      </c>
      <c r="T2395" s="2">
        <v>1</v>
      </c>
      <c r="U2395" s="2"/>
      <c r="V2395" s="2"/>
      <c r="W2395" s="2"/>
      <c r="X2395" s="2"/>
      <c r="Y2395" s="7"/>
      <c r="Z2395" s="2"/>
      <c r="AA2395" s="1"/>
      <c r="AC2395" s="2"/>
      <c r="AE2395" s="1"/>
      <c r="AG2395" s="2"/>
    </row>
    <row r="2396" spans="12:33" ht="49.95" customHeight="1" x14ac:dyDescent="0.3">
      <c r="L2396" s="2"/>
      <c r="M2396" s="2"/>
      <c r="N2396" s="2">
        <v>8631</v>
      </c>
      <c r="O2396" s="371" t="s">
        <v>1816</v>
      </c>
      <c r="P2396" s="16">
        <v>46203</v>
      </c>
      <c r="Q2396" s="371" t="s">
        <v>819</v>
      </c>
      <c r="R2396" s="2">
        <f>VLOOKUP(SALIDAS111518[[#This Row],[CÓDIGO]],PRODUCTOS31316[],2,FALSE)</f>
        <v>0</v>
      </c>
      <c r="S2396" s="1" t="str">
        <f>VLOOKUP(SALIDAS111518[[#This Row],[CÓDIGO]],PRODUCTOS31316[],3,FALSE)</f>
        <v>GOBLET DE 13 MM AMARILLO</v>
      </c>
      <c r="T2396" s="2">
        <v>2</v>
      </c>
      <c r="U2396" s="2"/>
      <c r="V2396" s="2"/>
      <c r="W2396" s="2"/>
      <c r="X2396" s="2"/>
      <c r="Y2396" s="7"/>
      <c r="Z2396" s="2"/>
      <c r="AA2396" s="1"/>
      <c r="AC2396" s="2"/>
      <c r="AE2396" s="1"/>
      <c r="AG2396" s="2"/>
    </row>
    <row r="2397" spans="12:33" ht="49.95" customHeight="1" x14ac:dyDescent="0.3">
      <c r="L2397" s="371" t="s">
        <v>3520</v>
      </c>
      <c r="M2397" s="371" t="s">
        <v>5213</v>
      </c>
      <c r="N2397" s="371" t="s">
        <v>5201</v>
      </c>
      <c r="O2397" s="372" t="s">
        <v>5200</v>
      </c>
      <c r="P2397" s="16">
        <v>46203</v>
      </c>
      <c r="Q2397" s="371" t="s">
        <v>2876</v>
      </c>
      <c r="R2397" s="2">
        <f>VLOOKUP(SALIDAS111518[[#This Row],[CÓDIGO]],PRODUCTOS31316[],2,FALSE)</f>
        <v>0</v>
      </c>
      <c r="S2397" s="1" t="str">
        <f>VLOOKUP(SALIDAS111518[[#This Row],[CÓDIGO]],PRODUCTOS31316[],3,FALSE)</f>
        <v>PISTOLA DE TRANSFERENCIA DE EMBRIONES 0,25 / BLOQUEO AUTOMÁTICO EN ALUMINIO</v>
      </c>
      <c r="T2397" s="2">
        <v>1</v>
      </c>
      <c r="U2397" s="2" t="s">
        <v>5681</v>
      </c>
      <c r="V2397" s="2"/>
      <c r="W2397" s="2"/>
      <c r="X2397" s="2"/>
      <c r="Y2397" s="7"/>
      <c r="Z2397" s="2"/>
      <c r="AA2397" s="1"/>
      <c r="AC2397" s="2"/>
      <c r="AE2397" s="1"/>
      <c r="AG2397" s="2"/>
    </row>
    <row r="2398" spans="12:33" ht="49.95" customHeight="1" x14ac:dyDescent="0.3">
      <c r="L2398" s="2"/>
      <c r="M2398" s="2"/>
      <c r="N2398" s="2">
        <v>8630</v>
      </c>
      <c r="O2398" s="372" t="s">
        <v>5200</v>
      </c>
      <c r="P2398" s="16">
        <v>46203</v>
      </c>
      <c r="Q2398" s="371" t="s">
        <v>1779</v>
      </c>
      <c r="R2398" s="2">
        <f>VLOOKUP(SALIDAS111518[[#This Row],[CÓDIGO]],PRODUCTOS31316[],2,FALSE)</f>
        <v>5563</v>
      </c>
      <c r="S2398" s="1" t="str">
        <f>VLOOKUP(SALIDAS111518[[#This Row],[CÓDIGO]],PRODUCTOS31316[],3,FALSE)</f>
        <v>CAMISA SANITARIA ROLLO X 80</v>
      </c>
      <c r="T2398" s="2">
        <v>1</v>
      </c>
      <c r="U2398" s="2"/>
      <c r="V2398" s="2"/>
      <c r="W2398" s="2"/>
      <c r="X2398" s="2"/>
      <c r="Y2398" s="7"/>
      <c r="Z2398" s="2"/>
      <c r="AA2398" s="1"/>
      <c r="AC2398" s="2"/>
      <c r="AE2398" s="1"/>
      <c r="AG2398" s="2"/>
    </row>
    <row r="2399" spans="12:33" ht="49.95" customHeight="1" x14ac:dyDescent="0.3">
      <c r="L2399" s="2"/>
      <c r="M2399" s="2"/>
      <c r="N2399" s="2">
        <v>8630</v>
      </c>
      <c r="O2399" s="372" t="s">
        <v>5200</v>
      </c>
      <c r="P2399" s="16">
        <v>46203</v>
      </c>
      <c r="Q2399" s="371" t="s">
        <v>5098</v>
      </c>
      <c r="R2399" s="2">
        <f>VLOOKUP(SALIDAS111518[[#This Row],[CÓDIGO]],PRODUCTOS31316[],2,FALSE)</f>
        <v>0</v>
      </c>
      <c r="S2399" s="1" t="str">
        <f>VLOOKUP(SALIDAS111518[[#This Row],[CÓDIGO]],PRODUCTOS31316[],3,FALSE)</f>
        <v>FUNDA DE TRANSFERENCIA DE EMBRIONES 0.25 PUNTA PLÁSTICA MARCA TED</v>
      </c>
      <c r="T2399" s="2">
        <v>16</v>
      </c>
      <c r="U2399" s="2"/>
      <c r="V2399" s="2"/>
      <c r="W2399" s="2"/>
      <c r="X2399" s="2"/>
      <c r="Y2399" s="7"/>
      <c r="Z2399" s="2"/>
      <c r="AA2399" s="1"/>
      <c r="AC2399" s="2"/>
      <c r="AE2399" s="1"/>
      <c r="AG2399" s="2"/>
    </row>
    <row r="2400" spans="12:33" ht="49.95" customHeight="1" x14ac:dyDescent="0.3">
      <c r="L2400" s="2"/>
      <c r="M2400" s="2"/>
      <c r="N2400" s="2">
        <v>8630</v>
      </c>
      <c r="O2400" s="372" t="s">
        <v>5200</v>
      </c>
      <c r="P2400" s="16">
        <v>46203</v>
      </c>
      <c r="Q2400" s="371" t="s">
        <v>2246</v>
      </c>
      <c r="R2400" s="2" t="str">
        <f>VLOOKUP(SALIDAS111518[[#This Row],[CÓDIGO]],PRODUCTOS31316[],2,FALSE)</f>
        <v>00051076-02</v>
      </c>
      <c r="S2400" s="1" t="str">
        <f>VLOOKUP(SALIDAS111518[[#This Row],[CÓDIGO]],PRODUCTOS31316[],3,FALSE)</f>
        <v>LIDOCAÍNA  HCL 2 % X 100 ML/ 2025-12-16</v>
      </c>
      <c r="T2400" s="2">
        <v>2</v>
      </c>
      <c r="U2400" s="2"/>
      <c r="V2400" s="2"/>
      <c r="W2400" s="2"/>
      <c r="X2400" s="2"/>
      <c r="Y2400" s="7"/>
      <c r="Z2400" s="2"/>
      <c r="AA2400" s="1"/>
      <c r="AC2400" s="2"/>
      <c r="AE2400" s="1"/>
      <c r="AG2400" s="2"/>
    </row>
    <row r="2401" spans="12:33" ht="49.95" customHeight="1" x14ac:dyDescent="0.3">
      <c r="L2401" s="2"/>
      <c r="M2401" s="2"/>
      <c r="N2401" s="2">
        <v>8630</v>
      </c>
      <c r="O2401" s="372" t="s">
        <v>5200</v>
      </c>
      <c r="P2401" s="16">
        <v>46203</v>
      </c>
      <c r="Q2401" s="371" t="s">
        <v>210</v>
      </c>
      <c r="R2401" s="2">
        <f>VLOOKUP(SALIDAS111518[[#This Row],[CÓDIGO]],PRODUCTOS31316[],2,FALSE)</f>
        <v>101257</v>
      </c>
      <c r="S2401" s="1" t="str">
        <f>VLOOKUP(SALIDAS111518[[#This Row],[CÓDIGO]],PRODUCTOS31316[],3,FALSE)</f>
        <v>MANGA DESECHABLE SUPER SENSITIVA</v>
      </c>
      <c r="T2401" s="2">
        <v>2</v>
      </c>
      <c r="U2401" s="2"/>
      <c r="V2401" s="2"/>
      <c r="W2401" s="2"/>
      <c r="X2401" s="2"/>
      <c r="Y2401" s="7"/>
      <c r="Z2401" s="2"/>
      <c r="AA2401" s="1"/>
      <c r="AC2401" s="2"/>
      <c r="AE2401" s="1"/>
      <c r="AG2401" s="2"/>
    </row>
    <row r="2402" spans="12:33" ht="49.95" customHeight="1" x14ac:dyDescent="0.3">
      <c r="L2402" s="371" t="s">
        <v>3521</v>
      </c>
      <c r="M2402" s="371" t="s">
        <v>5213</v>
      </c>
      <c r="N2402" s="371" t="s">
        <v>5199</v>
      </c>
      <c r="O2402" s="371" t="s">
        <v>5198</v>
      </c>
      <c r="P2402" s="16">
        <v>46203</v>
      </c>
      <c r="Q2402" s="371" t="s">
        <v>2382</v>
      </c>
      <c r="R2402" s="2">
        <f>VLOOKUP(SALIDAS111518[[#This Row],[CÓDIGO]],PRODUCTOS31316[],2,FALSE)</f>
        <v>1</v>
      </c>
      <c r="S2402" s="1" t="str">
        <f>VLOOKUP(SALIDAS111518[[#This Row],[CÓDIGO]],PRODUCTOS31316[],3,FALSE)</f>
        <v>TERMO DE TRANSPORTE 1 LITRO</v>
      </c>
      <c r="T2402" s="2">
        <v>1</v>
      </c>
      <c r="U2402" s="2">
        <v>1065</v>
      </c>
      <c r="V2402" s="2"/>
      <c r="W2402" s="371" t="s">
        <v>2823</v>
      </c>
      <c r="X2402" s="2"/>
      <c r="Y2402" s="7"/>
      <c r="Z2402" s="2"/>
      <c r="AA2402" s="1"/>
      <c r="AC2402" s="2"/>
      <c r="AE2402" s="1"/>
      <c r="AG2402" s="2"/>
    </row>
    <row r="2403" spans="12:33" ht="49.95" customHeight="1" x14ac:dyDescent="0.3">
      <c r="L2403" s="371" t="s">
        <v>3520</v>
      </c>
      <c r="M2403" s="371" t="s">
        <v>5213</v>
      </c>
      <c r="N2403" s="371" t="s">
        <v>5197</v>
      </c>
      <c r="O2403" s="372" t="s">
        <v>2725</v>
      </c>
      <c r="P2403" s="16">
        <v>46203</v>
      </c>
      <c r="Q2403" s="371" t="s">
        <v>1779</v>
      </c>
      <c r="R2403" s="2">
        <f>VLOOKUP(SALIDAS111518[[#This Row],[CÓDIGO]],PRODUCTOS31316[],2,FALSE)</f>
        <v>5563</v>
      </c>
      <c r="S2403" s="1" t="str">
        <f>VLOOKUP(SALIDAS111518[[#This Row],[CÓDIGO]],PRODUCTOS31316[],3,FALSE)</f>
        <v>CAMISA SANITARIA ROLLO X 80</v>
      </c>
      <c r="T2403" s="2">
        <v>10</v>
      </c>
      <c r="U2403" s="2">
        <v>1066</v>
      </c>
      <c r="V2403" s="2"/>
      <c r="W2403" s="2"/>
      <c r="X2403" s="2"/>
      <c r="Y2403" s="7"/>
      <c r="Z2403" s="2"/>
      <c r="AA2403" s="1"/>
      <c r="AC2403" s="2"/>
      <c r="AE2403" s="1"/>
      <c r="AG2403" s="2"/>
    </row>
    <row r="2404" spans="12:33" ht="49.95" customHeight="1" x14ac:dyDescent="0.3">
      <c r="L2404" s="2"/>
      <c r="M2404" s="2"/>
      <c r="N2404" s="2">
        <v>8633</v>
      </c>
      <c r="O2404" s="372" t="s">
        <v>2725</v>
      </c>
      <c r="P2404" s="16">
        <v>46203</v>
      </c>
      <c r="Q2404" s="371" t="s">
        <v>5098</v>
      </c>
      <c r="R2404" s="2">
        <f>VLOOKUP(SALIDAS111518[[#This Row],[CÓDIGO]],PRODUCTOS31316[],2,FALSE)</f>
        <v>0</v>
      </c>
      <c r="S2404" s="1" t="str">
        <f>VLOOKUP(SALIDAS111518[[#This Row],[CÓDIGO]],PRODUCTOS31316[],3,FALSE)</f>
        <v>FUNDA DE TRANSFERENCIA DE EMBRIONES 0.25 PUNTA PLÁSTICA MARCA TED</v>
      </c>
      <c r="T2404" s="2">
        <v>100</v>
      </c>
      <c r="U2404" s="2"/>
      <c r="V2404" s="2"/>
      <c r="W2404" s="2"/>
      <c r="X2404" s="2"/>
      <c r="Y2404" s="7"/>
      <c r="Z2404" s="2"/>
      <c r="AA2404" s="1"/>
      <c r="AC2404" s="2"/>
      <c r="AE2404" s="1"/>
      <c r="AG2404" s="2"/>
    </row>
    <row r="2405" spans="12:33" ht="49.95" customHeight="1" x14ac:dyDescent="0.3">
      <c r="L2405" s="371" t="s">
        <v>3520</v>
      </c>
      <c r="M2405" s="371" t="s">
        <v>5213</v>
      </c>
      <c r="N2405" s="374" t="s">
        <v>5255</v>
      </c>
      <c r="O2405" s="375" t="s">
        <v>5256</v>
      </c>
      <c r="P2405" s="16">
        <v>46195</v>
      </c>
      <c r="Q2405" s="371" t="s">
        <v>48</v>
      </c>
      <c r="R2405" s="2" t="str">
        <f>VLOOKUP(SALIDAS111518[[#This Row],[CÓDIGO]],PRODUCTOS31316[],2,FALSE)</f>
        <v>20032/ 23187</v>
      </c>
      <c r="S2405" s="1" t="str">
        <f>VLOOKUP(SALIDAS111518[[#This Row],[CÓDIGO]],PRODUCTOS31316[],3,FALSE)</f>
        <v>BOMBA DE VACÍO BOVINO</v>
      </c>
      <c r="T2405" s="2">
        <v>1</v>
      </c>
      <c r="U2405" s="2">
        <v>1067</v>
      </c>
      <c r="V2405" s="2"/>
      <c r="W2405" s="2"/>
      <c r="X2405" s="104"/>
      <c r="Y2405" s="7"/>
      <c r="Z2405" s="2"/>
      <c r="AA2405" s="1"/>
      <c r="AC2405" s="2"/>
      <c r="AE2405" s="1"/>
      <c r="AG2405" s="2"/>
    </row>
    <row r="2406" spans="12:33" ht="49.95" customHeight="1" x14ac:dyDescent="0.3">
      <c r="L2406" s="2"/>
      <c r="M2406" s="2"/>
      <c r="N2406" s="2">
        <v>8634</v>
      </c>
      <c r="O2406" s="372" t="s">
        <v>3158</v>
      </c>
      <c r="P2406" s="16">
        <v>46195</v>
      </c>
      <c r="Q2406" s="371" t="s">
        <v>3142</v>
      </c>
      <c r="R2406" s="2">
        <f>VLOOKUP(SALIDAS111518[[#This Row],[CÓDIGO]],PRODUCTOS31316[],2,FALSE)</f>
        <v>16301</v>
      </c>
      <c r="S2406" s="1" t="str">
        <f>VLOOKUP(SALIDAS111518[[#This Row],[CÓDIGO]],PRODUCTOS31316[],3,FALSE)</f>
        <v>PISTOLA DE TRANSFERENCIA DE EMBRIONES 0,25 DE MANGO DE ALUMINIO</v>
      </c>
      <c r="T2406" s="2">
        <v>1</v>
      </c>
      <c r="U2406" s="2"/>
      <c r="V2406" s="2"/>
      <c r="W2406" s="2"/>
      <c r="X2406" s="2"/>
      <c r="Y2406" s="7"/>
      <c r="Z2406" s="2"/>
      <c r="AA2406" s="1"/>
      <c r="AC2406" s="2"/>
      <c r="AE2406" s="1"/>
      <c r="AG2406" s="2"/>
    </row>
    <row r="2407" spans="12:33" ht="49.95" customHeight="1" x14ac:dyDescent="0.3">
      <c r="L2407" s="2"/>
      <c r="M2407" s="2"/>
      <c r="N2407" s="2">
        <v>8634</v>
      </c>
      <c r="O2407" s="372" t="s">
        <v>3158</v>
      </c>
      <c r="P2407" s="16">
        <v>46195</v>
      </c>
      <c r="Q2407" s="371" t="s">
        <v>1450</v>
      </c>
      <c r="R2407" s="2">
        <f>VLOOKUP(SALIDAS111518[[#This Row],[CÓDIGO]],PRODUCTOS31316[],2,FALSE)</f>
        <v>21499</v>
      </c>
      <c r="S2407" s="1" t="str">
        <f>VLOOKUP(SALIDAS111518[[#This Row],[CÓDIGO]],PRODUCTOS31316[],3,FALSE)</f>
        <v>CALENTADOR DE TUBOS  PORTÁTIL</v>
      </c>
      <c r="T2407" s="2">
        <v>1</v>
      </c>
      <c r="U2407" s="2"/>
      <c r="V2407" s="2"/>
      <c r="W2407" s="2"/>
      <c r="X2407" s="2"/>
      <c r="Y2407" s="7"/>
      <c r="Z2407" s="2"/>
      <c r="AA2407" s="1"/>
      <c r="AC2407" s="2"/>
      <c r="AE2407" s="1"/>
      <c r="AG2407" s="2"/>
    </row>
    <row r="2408" spans="12:33" ht="49.95" customHeight="1" x14ac:dyDescent="0.3">
      <c r="L2408" s="371" t="s">
        <v>3520</v>
      </c>
      <c r="M2408" s="371" t="s">
        <v>5071</v>
      </c>
      <c r="N2408" s="371" t="s">
        <v>5196</v>
      </c>
      <c r="O2408" s="371" t="s">
        <v>148</v>
      </c>
      <c r="P2408" s="16">
        <v>46204</v>
      </c>
      <c r="Q2408" s="371" t="s">
        <v>79</v>
      </c>
      <c r="R2408" s="2" t="str">
        <f>VLOOKUP(SALIDAS111518[[#This Row],[CÓDIGO]],PRODUCTOS31316[],2,FALSE)</f>
        <v>ABT ADAPT HOLDING</v>
      </c>
      <c r="S2408" s="1" t="str">
        <f>VLOOKUP(SALIDAS111518[[#This Row],[CÓDIGO]],PRODUCTOS31316[],3,FALSE)</f>
        <v>ABT ADAPT HOLDING CON HA 7 ML</v>
      </c>
      <c r="T2408" s="2">
        <v>10</v>
      </c>
      <c r="U2408" s="2">
        <v>1068</v>
      </c>
      <c r="V2408" s="2"/>
      <c r="W2408" s="2"/>
      <c r="X2408" s="2"/>
      <c r="Y2408" s="7"/>
      <c r="Z2408" s="2"/>
      <c r="AA2408" s="1"/>
      <c r="AC2408" s="2"/>
      <c r="AE2408" s="1"/>
      <c r="AG2408" s="2"/>
    </row>
    <row r="2409" spans="12:33" ht="49.95" customHeight="1" x14ac:dyDescent="0.3">
      <c r="L2409" s="2"/>
      <c r="M2409" s="2"/>
      <c r="N2409" s="2">
        <v>8635</v>
      </c>
      <c r="O2409" s="371" t="s">
        <v>148</v>
      </c>
      <c r="P2409" s="16">
        <v>46204</v>
      </c>
      <c r="Q2409" s="371" t="s">
        <v>3405</v>
      </c>
      <c r="R2409" s="2" t="str">
        <f>VLOOKUP(SALIDAS111518[[#This Row],[CÓDIGO]],PRODUCTOS31316[],2,FALSE)</f>
        <v>17209/1265</v>
      </c>
      <c r="S2409" s="1" t="str">
        <f>VLOOKUP(SALIDAS111518[[#This Row],[CÓDIGO]],PRODUCTOS31316[],3,FALSE)</f>
        <v>PIPETA EQUINA DE 65 CM</v>
      </c>
      <c r="T2409" s="2">
        <v>10</v>
      </c>
      <c r="U2409" s="2"/>
      <c r="V2409" s="2"/>
      <c r="W2409" s="2"/>
      <c r="X2409" s="2"/>
      <c r="Y2409" s="7"/>
      <c r="Z2409" s="2"/>
      <c r="AA2409" s="1"/>
      <c r="AC2409" s="2"/>
      <c r="AE2409" s="1"/>
      <c r="AG2409" s="2"/>
    </row>
    <row r="2410" spans="12:33" ht="49.95" customHeight="1" x14ac:dyDescent="0.3">
      <c r="L2410" s="371" t="s">
        <v>3520</v>
      </c>
      <c r="M2410" s="371" t="s">
        <v>5071</v>
      </c>
      <c r="N2410" s="371" t="s">
        <v>5195</v>
      </c>
      <c r="O2410" s="383" t="s">
        <v>3195</v>
      </c>
      <c r="P2410" s="16">
        <v>46204</v>
      </c>
      <c r="Q2410" s="371" t="s">
        <v>5098</v>
      </c>
      <c r="R2410" s="2">
        <f>VLOOKUP(SALIDAS111518[[#This Row],[CÓDIGO]],PRODUCTOS31316[],2,FALSE)</f>
        <v>0</v>
      </c>
      <c r="S2410" s="1" t="str">
        <f>VLOOKUP(SALIDAS111518[[#This Row],[CÓDIGO]],PRODUCTOS31316[],3,FALSE)</f>
        <v>FUNDA DE TRANSFERENCIA DE EMBRIONES 0.25 PUNTA PLÁSTICA MARCA TED</v>
      </c>
      <c r="T2410" s="2">
        <v>40</v>
      </c>
      <c r="U2410" s="371" t="s">
        <v>5194</v>
      </c>
      <c r="V2410" s="2"/>
      <c r="W2410" s="2"/>
      <c r="X2410" s="2"/>
      <c r="Y2410" s="7"/>
      <c r="Z2410" s="2"/>
      <c r="AA2410" s="1"/>
      <c r="AC2410" s="2"/>
      <c r="AE2410" s="1"/>
      <c r="AG2410" s="2"/>
    </row>
    <row r="2411" spans="12:33" ht="49.95" customHeight="1" x14ac:dyDescent="0.3">
      <c r="L2411" s="2"/>
      <c r="M2411" s="2"/>
      <c r="N2411" s="2">
        <v>8636</v>
      </c>
      <c r="O2411" s="372" t="s">
        <v>3195</v>
      </c>
      <c r="P2411" s="16">
        <v>46204</v>
      </c>
      <c r="Q2411" s="371" t="s">
        <v>1779</v>
      </c>
      <c r="R2411" s="2">
        <f>VLOOKUP(SALIDAS111518[[#This Row],[CÓDIGO]],PRODUCTOS31316[],2,FALSE)</f>
        <v>5563</v>
      </c>
      <c r="S2411" s="1" t="str">
        <f>VLOOKUP(SALIDAS111518[[#This Row],[CÓDIGO]],PRODUCTOS31316[],3,FALSE)</f>
        <v>CAMISA SANITARIA ROLLO X 80</v>
      </c>
      <c r="T2411" s="2">
        <v>3</v>
      </c>
      <c r="U2411" s="2"/>
      <c r="V2411" s="2"/>
      <c r="W2411" s="2"/>
      <c r="X2411" s="2"/>
      <c r="Y2411" s="7"/>
      <c r="Z2411" s="2"/>
      <c r="AA2411" s="1"/>
      <c r="AC2411" s="2"/>
      <c r="AE2411" s="1"/>
      <c r="AG2411" s="2"/>
    </row>
    <row r="2412" spans="12:33" ht="49.95" customHeight="1" x14ac:dyDescent="0.3">
      <c r="L2412" s="371" t="s">
        <v>3520</v>
      </c>
      <c r="M2412" s="371" t="s">
        <v>5071</v>
      </c>
      <c r="N2412" s="371" t="s">
        <v>5193</v>
      </c>
      <c r="O2412" s="371" t="s">
        <v>5192</v>
      </c>
      <c r="P2412" s="16">
        <v>46204</v>
      </c>
      <c r="Q2412" s="371" t="s">
        <v>2251</v>
      </c>
      <c r="R2412" s="2">
        <f>VLOOKUP(SALIDAS111518[[#This Row],[CÓDIGO]],PRODUCTOS31316[],2,FALSE)</f>
        <v>7240</v>
      </c>
      <c r="S2412" s="1" t="str">
        <f>VLOOKUP(SALIDAS111518[[#This Row],[CÓDIGO]],PRODUCTOS31316[],3,FALSE)</f>
        <v>PISTOLA DE TE 0,25 MARCA IMV</v>
      </c>
      <c r="T2412" s="2">
        <v>1</v>
      </c>
      <c r="U2412" s="2">
        <v>1071</v>
      </c>
      <c r="V2412" s="2"/>
      <c r="W2412" s="2"/>
      <c r="X2412" s="2"/>
      <c r="Y2412" s="7"/>
      <c r="Z2412" s="2"/>
      <c r="AA2412" s="1"/>
      <c r="AC2412" s="2"/>
      <c r="AE2412" s="1"/>
      <c r="AG2412" s="2"/>
    </row>
    <row r="2413" spans="12:33" ht="49.95" customHeight="1" x14ac:dyDescent="0.3">
      <c r="L2413" s="371" t="s">
        <v>3520</v>
      </c>
      <c r="M2413" s="371" t="s">
        <v>5071</v>
      </c>
      <c r="N2413" s="371" t="s">
        <v>5191</v>
      </c>
      <c r="O2413" s="371" t="s">
        <v>2704</v>
      </c>
      <c r="P2413" s="16">
        <v>46204</v>
      </c>
      <c r="Q2413" s="371" t="s">
        <v>70</v>
      </c>
      <c r="R2413" s="2">
        <f>VLOOKUP(SALIDAS111518[[#This Row],[CÓDIGO]],PRODUCTOS31316[],2,FALSE)</f>
        <v>25458</v>
      </c>
      <c r="S2413" s="1" t="str">
        <f>VLOOKUP(SALIDAS111518[[#This Row],[CÓDIGO]],PRODUCTOS31316[],3,FALSE)</f>
        <v>FILTROS PARA OPU 100 UL</v>
      </c>
      <c r="T2413" s="2">
        <v>12</v>
      </c>
      <c r="U2413" s="2">
        <v>1073</v>
      </c>
      <c r="V2413" s="2"/>
      <c r="W2413" s="2"/>
      <c r="X2413" s="2"/>
      <c r="Y2413" s="7"/>
      <c r="Z2413" s="2"/>
      <c r="AA2413" s="1"/>
      <c r="AC2413" s="2"/>
      <c r="AE2413" s="1"/>
      <c r="AG2413" s="2"/>
    </row>
    <row r="2414" spans="12:33" ht="49.95" customHeight="1" x14ac:dyDescent="0.3">
      <c r="L2414" s="2"/>
      <c r="M2414" s="2"/>
      <c r="N2414" s="2">
        <v>8638</v>
      </c>
      <c r="O2414" s="371" t="s">
        <v>2704</v>
      </c>
      <c r="P2414" s="16">
        <v>46204</v>
      </c>
      <c r="Q2414" s="371" t="s">
        <v>3355</v>
      </c>
      <c r="R2414" s="2">
        <f>VLOOKUP(SALIDAS111518[[#This Row],[CÓDIGO]],PRODUCTOS31316[],2,FALSE)</f>
        <v>140681</v>
      </c>
      <c r="S2414" s="1" t="str">
        <f>VLOOKUP(SALIDAS111518[[#This Row],[CÓDIGO]],PRODUCTOS31316[],3,FALSE)</f>
        <v>CAJA DE PETRI DESECHABLE ESTERIL 60x15MM.</v>
      </c>
      <c r="T2414" s="2">
        <v>10</v>
      </c>
      <c r="U2414" s="2"/>
      <c r="V2414" s="2"/>
      <c r="W2414" s="2"/>
      <c r="X2414" s="2"/>
      <c r="Y2414" s="7"/>
      <c r="Z2414" s="2"/>
      <c r="AA2414" s="1"/>
      <c r="AC2414" s="2"/>
      <c r="AE2414" s="1"/>
      <c r="AG2414" s="2"/>
    </row>
    <row r="2415" spans="12:33" ht="49.95" customHeight="1" x14ac:dyDescent="0.3">
      <c r="L2415" s="371" t="s">
        <v>3520</v>
      </c>
      <c r="M2415" s="371" t="s">
        <v>5071</v>
      </c>
      <c r="N2415" s="371" t="s">
        <v>5190</v>
      </c>
      <c r="O2415" s="371" t="s">
        <v>5189</v>
      </c>
      <c r="P2415" s="16">
        <v>46205</v>
      </c>
      <c r="Q2415" s="371" t="s">
        <v>3399</v>
      </c>
      <c r="R2415" s="2">
        <f>VLOOKUP(SALIDAS111518[[#This Row],[CÓDIGO]],PRODUCTOS31316[],2,FALSE)</f>
        <v>13400</v>
      </c>
      <c r="S2415" s="1" t="str">
        <f>VLOOKUP(SALIDAS111518[[#This Row],[CÓDIGO]],PRODUCTOS31316[],3,FALSE)</f>
        <v>ESFERAS METALICAS SELLADORAS  0.5 ML</v>
      </c>
      <c r="T2415" s="2">
        <v>1</v>
      </c>
      <c r="U2415" s="2">
        <v>1074</v>
      </c>
      <c r="V2415" s="2"/>
      <c r="W2415" s="2"/>
      <c r="X2415" s="2"/>
      <c r="Y2415" s="7"/>
      <c r="Z2415" s="2"/>
      <c r="AA2415" s="1"/>
      <c r="AC2415" s="2"/>
      <c r="AE2415" s="1"/>
      <c r="AG2415" s="2"/>
    </row>
    <row r="2416" spans="12:33" ht="49.95" customHeight="1" x14ac:dyDescent="0.3">
      <c r="L2416" s="2"/>
      <c r="M2416" s="2"/>
      <c r="N2416" s="2">
        <v>8639</v>
      </c>
      <c r="O2416" s="371" t="s">
        <v>5189</v>
      </c>
      <c r="P2416" s="16">
        <v>46205</v>
      </c>
      <c r="Q2416" s="371" t="s">
        <v>3375</v>
      </c>
      <c r="R2416" s="2" t="str">
        <f>VLOOKUP(SALIDAS111518[[#This Row],[CÓDIGO]],PRODUCTOS31316[],2,FALSE)</f>
        <v>13500/0250</v>
      </c>
      <c r="S2416" s="1" t="str">
        <f>VLOOKUP(SALIDAS111518[[#This Row],[CÓDIGO]],PRODUCTOS31316[],3,FALSE)</f>
        <v>TRILADYL 250 ML</v>
      </c>
      <c r="T2416" s="2">
        <v>1</v>
      </c>
      <c r="U2416" s="2"/>
      <c r="V2416" s="2"/>
      <c r="W2416" s="2"/>
      <c r="X2416" s="2"/>
      <c r="Y2416" s="7"/>
      <c r="Z2416" s="2"/>
      <c r="AA2416" s="1"/>
      <c r="AC2416" s="2"/>
      <c r="AE2416" s="1"/>
      <c r="AG2416" s="2"/>
    </row>
    <row r="2417" spans="12:33" ht="49.95" customHeight="1" x14ac:dyDescent="0.3">
      <c r="L2417" s="2"/>
      <c r="M2417" s="2"/>
      <c r="N2417" s="2">
        <v>8639</v>
      </c>
      <c r="O2417" s="371" t="s">
        <v>5189</v>
      </c>
      <c r="P2417" s="16">
        <v>46205</v>
      </c>
      <c r="Q2417" s="371" t="s">
        <v>2232</v>
      </c>
      <c r="R2417" s="2">
        <f>VLOOKUP(SALIDAS111518[[#This Row],[CÓDIGO]],PRODUCTOS31316[],2,FALSE)</f>
        <v>0</v>
      </c>
      <c r="S2417" s="1" t="str">
        <f>VLOOKUP(SALIDAS111518[[#This Row],[CÓDIGO]],PRODUCTOS31316[],3,FALSE)</f>
        <v>CONO RECOLECTOR</v>
      </c>
      <c r="T2417" s="2">
        <v>1</v>
      </c>
      <c r="U2417" s="2"/>
      <c r="V2417" s="2"/>
      <c r="W2417" s="2"/>
      <c r="X2417" s="2"/>
      <c r="Y2417" s="7"/>
      <c r="Z2417" s="2"/>
      <c r="AA2417" s="1"/>
      <c r="AC2417" s="2"/>
      <c r="AE2417" s="1"/>
      <c r="AG2417" s="2"/>
    </row>
    <row r="2418" spans="12:33" ht="49.95" customHeight="1" x14ac:dyDescent="0.3">
      <c r="L2418" s="371" t="s">
        <v>3520</v>
      </c>
      <c r="M2418" s="371" t="s">
        <v>5071</v>
      </c>
      <c r="N2418" s="371" t="s">
        <v>5186</v>
      </c>
      <c r="O2418" s="372" t="s">
        <v>2383</v>
      </c>
      <c r="P2418" s="16">
        <v>46205</v>
      </c>
      <c r="Q2418" s="371" t="s">
        <v>3432</v>
      </c>
      <c r="R2418" s="2" t="str">
        <f>VLOOKUP(SALIDAS111518[[#This Row],[CÓDIGO]],PRODUCTOS31316[],2,FALSE)</f>
        <v>BK-S1</v>
      </c>
      <c r="S2418" s="1" t="str">
        <f>VLOOKUP(SALIDAS111518[[#This Row],[CÓDIGO]],PRODUCTOS31316[],3,FALSE)</f>
        <v>BAÑO DE MARÍA DE 3 LITROS</v>
      </c>
      <c r="T2418" s="2">
        <v>1</v>
      </c>
      <c r="U2418" s="371" t="s">
        <v>5188</v>
      </c>
      <c r="V2418" s="2"/>
      <c r="W2418" s="2"/>
      <c r="X2418" s="2"/>
      <c r="Y2418" s="7"/>
      <c r="Z2418" s="2"/>
      <c r="AA2418" s="1"/>
      <c r="AC2418" s="2"/>
      <c r="AE2418" s="1"/>
      <c r="AG2418" s="2"/>
    </row>
    <row r="2419" spans="12:33" ht="49.95" customHeight="1" x14ac:dyDescent="0.3">
      <c r="L2419" s="371" t="s">
        <v>3520</v>
      </c>
      <c r="M2419" s="371" t="s">
        <v>5071</v>
      </c>
      <c r="N2419" s="371" t="s">
        <v>5187</v>
      </c>
      <c r="O2419" s="372" t="s">
        <v>2383</v>
      </c>
      <c r="P2419" s="16">
        <v>46205</v>
      </c>
      <c r="Q2419" s="371" t="s">
        <v>104</v>
      </c>
      <c r="R2419" s="2">
        <f>VLOOKUP(SALIDAS111518[[#This Row],[CÓDIGO]],PRODUCTOS31316[],2,FALSE)</f>
        <v>0</v>
      </c>
      <c r="S2419" s="1" t="str">
        <f>VLOOKUP(SALIDAS111518[[#This Row],[CÓDIGO]],PRODUCTOS31316[],3,FALSE)</f>
        <v>ISPERM CHIPS (500 TESTS PER BOX) PAQ. X 50 UND</v>
      </c>
      <c r="T2419" s="2">
        <v>1</v>
      </c>
      <c r="U2419" s="2">
        <v>1076</v>
      </c>
      <c r="V2419" s="2"/>
      <c r="W2419" s="2"/>
      <c r="X2419" s="2"/>
      <c r="Y2419" s="7"/>
      <c r="Z2419" s="2"/>
      <c r="AA2419" s="1"/>
      <c r="AC2419" s="2"/>
      <c r="AE2419" s="1"/>
      <c r="AG2419" s="2"/>
    </row>
    <row r="2420" spans="12:33" ht="49.95" customHeight="1" x14ac:dyDescent="0.3">
      <c r="L2420" s="371"/>
      <c r="M2420" s="371"/>
      <c r="N2420" s="2">
        <v>8641</v>
      </c>
      <c r="O2420" s="372" t="s">
        <v>2383</v>
      </c>
      <c r="P2420" s="16">
        <v>46205</v>
      </c>
      <c r="Q2420" s="371" t="s">
        <v>658</v>
      </c>
      <c r="R2420" s="2">
        <f>VLOOKUP(SALIDAS111518[[#This Row],[CÓDIGO]],PRODUCTOS31316[],2,FALSE)</f>
        <v>0</v>
      </c>
      <c r="S2420" s="1" t="str">
        <f>VLOOKUP(SALIDAS111518[[#This Row],[CÓDIGO]],PRODUCTOS31316[],3,FALSE)</f>
        <v>CATETER TALADRO TRANSPARENTE 18"</v>
      </c>
      <c r="T2420" s="2">
        <v>2</v>
      </c>
      <c r="U2420" s="2"/>
      <c r="V2420" s="2"/>
      <c r="W2420" s="2"/>
      <c r="X2420" s="2"/>
      <c r="Y2420" s="7"/>
      <c r="Z2420" s="2"/>
      <c r="AA2420" s="1"/>
      <c r="AC2420" s="2"/>
      <c r="AE2420" s="1"/>
      <c r="AG2420" s="2"/>
    </row>
    <row r="2421" spans="12:33" ht="49.95" customHeight="1" x14ac:dyDescent="0.3">
      <c r="L2421" s="2"/>
      <c r="M2421" s="2"/>
      <c r="N2421" s="2">
        <v>8641</v>
      </c>
      <c r="O2421" s="372" t="s">
        <v>2383</v>
      </c>
      <c r="P2421" s="16">
        <v>46205</v>
      </c>
      <c r="Q2421" s="371" t="s">
        <v>167</v>
      </c>
      <c r="R2421" s="2" t="str">
        <f>VLOOKUP(SALIDAS111518[[#This Row],[CÓDIGO]],PRODUCTOS31316[],2,FALSE)</f>
        <v>50050-1</v>
      </c>
      <c r="S2421" s="1" t="str">
        <f>VLOOKUP(SALIDAS111518[[#This Row],[CÓDIGO]],PRODUCTOS31316[],3,FALSE)</f>
        <v>TUBO CONICO PLUG, AUTOCLAVABLE ESTERIL  TAPA ROSCA DE 50 ML</v>
      </c>
      <c r="T2421" s="2">
        <v>1</v>
      </c>
      <c r="U2421" s="2"/>
      <c r="V2421" s="2"/>
      <c r="W2421" s="2"/>
      <c r="X2421" s="2"/>
      <c r="Y2421" s="7"/>
      <c r="Z2421" s="2"/>
      <c r="AA2421" s="1"/>
      <c r="AC2421" s="2"/>
      <c r="AE2421" s="1"/>
      <c r="AG2421" s="2"/>
    </row>
    <row r="2422" spans="12:33" ht="49.95" customHeight="1" x14ac:dyDescent="0.3">
      <c r="L2422" s="371" t="s">
        <v>3520</v>
      </c>
      <c r="M2422" s="371" t="s">
        <v>5071</v>
      </c>
      <c r="N2422" s="418" t="s">
        <v>5185</v>
      </c>
      <c r="O2422" s="371" t="s">
        <v>2796</v>
      </c>
      <c r="P2422" s="16">
        <v>46205</v>
      </c>
      <c r="Q2422" s="371" t="s">
        <v>3309</v>
      </c>
      <c r="R2422" s="2">
        <f>VLOOKUP(SALIDAS111518[[#This Row],[CÓDIGO]],PRODUCTOS31316[],2,FALSE)</f>
        <v>60</v>
      </c>
      <c r="S2422" s="1" t="str">
        <f>VLOOKUP(SALIDAS111518[[#This Row],[CÓDIGO]],PRODUCTOS31316[],3,FALSE)</f>
        <v>SONDA EN "Y" CON VÁLVULA PARA BOVINOS</v>
      </c>
      <c r="T2422" s="2">
        <v>5</v>
      </c>
      <c r="U2422" s="2">
        <v>1077</v>
      </c>
      <c r="V2422" s="2"/>
      <c r="W2422" s="371" t="s">
        <v>3412</v>
      </c>
      <c r="X2422" s="2"/>
      <c r="Y2422" s="7"/>
      <c r="Z2422" s="2"/>
      <c r="AA2422" s="1"/>
      <c r="AC2422" s="2"/>
      <c r="AE2422" s="1"/>
      <c r="AG2422" s="2"/>
    </row>
    <row r="2423" spans="12:33" ht="49.95" customHeight="1" x14ac:dyDescent="0.3">
      <c r="L2423" s="2"/>
      <c r="M2423" s="2"/>
      <c r="N2423" s="2">
        <v>8643</v>
      </c>
      <c r="O2423" s="371" t="s">
        <v>2796</v>
      </c>
      <c r="P2423" s="16">
        <v>46205</v>
      </c>
      <c r="Q2423" s="371" t="s">
        <v>3308</v>
      </c>
      <c r="R2423" s="2">
        <f>VLOOKUP(SALIDAS111518[[#This Row],[CÓDIGO]],PRODUCTOS31316[],2,FALSE)</f>
        <v>50</v>
      </c>
      <c r="S2423" s="1" t="str">
        <f>VLOOKUP(SALIDAS111518[[#This Row],[CÓDIGO]],PRODUCTOS31316[],3,FALSE)</f>
        <v>MAXI FILTRO</v>
      </c>
      <c r="T2423" s="2">
        <v>5</v>
      </c>
      <c r="U2423" s="2"/>
      <c r="V2423" s="2"/>
      <c r="W2423" s="2"/>
      <c r="X2423" s="2"/>
      <c r="Y2423" s="7"/>
      <c r="Z2423" s="2"/>
      <c r="AA2423" s="1"/>
      <c r="AC2423" s="2"/>
      <c r="AE2423" s="1"/>
      <c r="AG2423" s="2"/>
    </row>
    <row r="2424" spans="12:33" ht="49.95" customHeight="1" x14ac:dyDescent="0.3">
      <c r="L2424" s="2"/>
      <c r="M2424" s="2"/>
      <c r="N2424" s="2">
        <v>8643</v>
      </c>
      <c r="O2424" s="371" t="s">
        <v>2796</v>
      </c>
      <c r="P2424" s="16">
        <v>46205</v>
      </c>
      <c r="Q2424" s="371" t="s">
        <v>3406</v>
      </c>
      <c r="R2424" s="2" t="str">
        <f>VLOOKUP(SALIDAS111518[[#This Row],[CÓDIGO]],PRODUCTOS31316[],2,FALSE)</f>
        <v>17209/1057</v>
      </c>
      <c r="S2424" s="1" t="str">
        <f>VLOOKUP(SALIDAS111518[[#This Row],[CÓDIGO]],PRODUCTOS31316[],3,FALSE)</f>
        <v>ESTILETE PARA PIPETA S DE IA EQUINA DE 57 CM</v>
      </c>
      <c r="T2424" s="2">
        <v>1</v>
      </c>
      <c r="U2424" s="2"/>
      <c r="V2424" s="2"/>
      <c r="W2424" s="2"/>
      <c r="X2424" s="2"/>
      <c r="Y2424" s="7"/>
      <c r="Z2424" s="2"/>
      <c r="AA2424" s="1"/>
      <c r="AC2424" s="2"/>
      <c r="AE2424" s="1"/>
      <c r="AG2424" s="2"/>
    </row>
    <row r="2425" spans="12:33" ht="49.95" customHeight="1" x14ac:dyDescent="0.3">
      <c r="L2425" s="2"/>
      <c r="M2425" s="2"/>
      <c r="N2425" s="2">
        <v>8643</v>
      </c>
      <c r="O2425" s="371" t="s">
        <v>2796</v>
      </c>
      <c r="P2425" s="16">
        <v>46205</v>
      </c>
      <c r="Q2425" s="371" t="s">
        <v>5128</v>
      </c>
      <c r="R2425" s="2">
        <f>VLOOKUP(SALIDAS111518[[#This Row],[CÓDIGO]],PRODUCTOS31316[],2,FALSE)</f>
        <v>0</v>
      </c>
      <c r="S2425" s="1" t="str">
        <f>VLOOKUP(SALIDAS111518[[#This Row],[CÓDIGO]],PRODUCTOS31316[],3,FALSE)</f>
        <v>CAJA DE PETRI PLASTICA  DESECHABLE ESTERIL DE 90x15MM. BIO SEEN PAQ. X 20 UND</v>
      </c>
      <c r="T2425" s="2">
        <v>2</v>
      </c>
      <c r="U2425" s="2"/>
      <c r="V2425" s="2"/>
      <c r="W2425" s="2"/>
      <c r="X2425" s="88"/>
      <c r="Y2425" s="7"/>
      <c r="Z2425" s="2"/>
      <c r="AA2425" s="1"/>
      <c r="AC2425" s="2"/>
      <c r="AE2425" s="1"/>
      <c r="AG2425" s="2"/>
    </row>
    <row r="2426" spans="12:33" ht="49.95" customHeight="1" x14ac:dyDescent="0.3">
      <c r="L2426" s="2"/>
      <c r="M2426" s="2"/>
      <c r="N2426" s="2">
        <v>8643</v>
      </c>
      <c r="O2426" s="371" t="s">
        <v>2796</v>
      </c>
      <c r="P2426" s="16">
        <v>46205</v>
      </c>
      <c r="Q2426" s="371" t="s">
        <v>3303</v>
      </c>
      <c r="R2426" s="2">
        <f>VLOOKUP(SALIDAS111518[[#This Row],[CÓDIGO]],PRODUCTOS31316[],2,FALSE)</f>
        <v>10</v>
      </c>
      <c r="S2426" s="1" t="str">
        <f>VLOOKUP(SALIDAS111518[[#This Row],[CÓDIGO]],PRODUCTOS31316[],3,FALSE)</f>
        <v>CAJA PETRI 4 POZOS / 3,026X3,026 CM</v>
      </c>
      <c r="T2426" s="2">
        <v>4</v>
      </c>
      <c r="U2426" s="2"/>
      <c r="V2426" s="2"/>
      <c r="W2426" s="2"/>
      <c r="X2426" s="2"/>
      <c r="Y2426" s="7"/>
      <c r="Z2426" s="2"/>
      <c r="AA2426" s="1"/>
      <c r="AC2426" s="2"/>
      <c r="AE2426" s="1"/>
      <c r="AG2426" s="2"/>
    </row>
    <row r="2427" spans="12:33" ht="49.95" customHeight="1" x14ac:dyDescent="0.3">
      <c r="L2427" s="2"/>
      <c r="M2427" s="2"/>
      <c r="N2427" s="2">
        <v>8643</v>
      </c>
      <c r="O2427" s="371" t="s">
        <v>2796</v>
      </c>
      <c r="P2427" s="16">
        <v>46205</v>
      </c>
      <c r="Q2427" s="371" t="s">
        <v>438</v>
      </c>
      <c r="R2427" s="2">
        <f>VLOOKUP(SALIDAS111518[[#This Row],[CÓDIGO]],PRODUCTOS31316[],2,FALSE)</f>
        <v>18421</v>
      </c>
      <c r="S2427" s="1" t="str">
        <f>VLOOKUP(SALIDAS111518[[#This Row],[CÓDIGO]],PRODUCTOS31316[],3,FALSE)</f>
        <v xml:space="preserve">PISTOLA DE TRANSFERENCIA DE EMBRIONES 0,25 / BLOQUEO AUTOMÁTICO </v>
      </c>
      <c r="T2427" s="2">
        <v>2</v>
      </c>
      <c r="U2427" s="2"/>
      <c r="V2427" s="2"/>
      <c r="W2427" s="2"/>
      <c r="X2427" s="2"/>
      <c r="Y2427" s="7"/>
      <c r="Z2427" s="2"/>
      <c r="AA2427" s="1"/>
      <c r="AC2427" s="2"/>
      <c r="AE2427" s="1"/>
      <c r="AG2427" s="2"/>
    </row>
    <row r="2428" spans="12:33" ht="49.95" customHeight="1" x14ac:dyDescent="0.3">
      <c r="L2428" s="2"/>
      <c r="M2428" s="2"/>
      <c r="N2428" s="2">
        <v>8643</v>
      </c>
      <c r="O2428" s="371" t="s">
        <v>2796</v>
      </c>
      <c r="P2428" s="16">
        <v>46205</v>
      </c>
      <c r="Q2428" s="382" t="s">
        <v>15</v>
      </c>
      <c r="R2428" s="2" t="str">
        <f>VLOOKUP(SALIDAS111518[[#This Row],[CÓDIGO]],PRODUCTOS31316[],2,FALSE)</f>
        <v>BTE-025PT/ 504002</v>
      </c>
      <c r="S2428" s="1" t="str">
        <f>VLOOKUP(SALIDAS111518[[#This Row],[CÓDIGO]],PRODUCTOS31316[],3,FALSE)</f>
        <v>FUNDAS PARA TRANSFERENCIA DE EMBRIONES</v>
      </c>
      <c r="T2428" s="2">
        <v>3</v>
      </c>
      <c r="U2428" s="2"/>
      <c r="V2428" s="2"/>
      <c r="W2428" s="2"/>
      <c r="X2428" s="115"/>
      <c r="Y2428" s="7"/>
      <c r="Z2428" s="2"/>
      <c r="AA2428" s="1"/>
      <c r="AC2428" s="2"/>
      <c r="AE2428" s="1"/>
      <c r="AG2428" s="2"/>
    </row>
    <row r="2429" spans="12:33" ht="49.95" customHeight="1" x14ac:dyDescent="0.3">
      <c r="L2429" s="2"/>
      <c r="M2429" s="2"/>
      <c r="N2429" s="2">
        <v>8643</v>
      </c>
      <c r="O2429" s="371" t="s">
        <v>2796</v>
      </c>
      <c r="P2429" s="16">
        <v>46205</v>
      </c>
      <c r="Q2429" s="371" t="s">
        <v>272</v>
      </c>
      <c r="R2429" s="2">
        <f>VLOOKUP(SALIDAS111518[[#This Row],[CÓDIGO]],PRODUCTOS31316[],2,FALSE)</f>
        <v>627161</v>
      </c>
      <c r="S2429" s="1" t="str">
        <f>VLOOKUP(SALIDAS111518[[#This Row],[CÓDIGO]],PRODUCTOS31316[],3,FALSE)</f>
        <v xml:space="preserve">CAJA PETRI 35X10 ESTERIL </v>
      </c>
      <c r="T2429" s="2">
        <v>5</v>
      </c>
      <c r="U2429" s="2"/>
      <c r="V2429" s="2"/>
      <c r="W2429" s="2"/>
      <c r="X2429" s="2"/>
      <c r="Y2429" s="7"/>
      <c r="Z2429" s="2"/>
      <c r="AA2429" s="1"/>
      <c r="AC2429" s="2"/>
      <c r="AE2429" s="1"/>
      <c r="AG2429" s="2"/>
    </row>
    <row r="2430" spans="12:33" ht="49.95" customHeight="1" x14ac:dyDescent="0.3">
      <c r="L2430" s="2"/>
      <c r="M2430" s="2"/>
      <c r="N2430" s="2">
        <v>8643</v>
      </c>
      <c r="O2430" s="371" t="s">
        <v>2796</v>
      </c>
      <c r="P2430" s="16">
        <v>46205</v>
      </c>
      <c r="Q2430" s="371" t="s">
        <v>2401</v>
      </c>
      <c r="R2430" s="2">
        <f>VLOOKUP(SALIDAS111518[[#This Row],[CÓDIGO]],PRODUCTOS31316[],2,FALSE)</f>
        <v>5540</v>
      </c>
      <c r="S2430" s="1" t="str">
        <f>VLOOKUP(SALIDAS111518[[#This Row],[CÓDIGO]],PRODUCTOS31316[],3,FALSE)</f>
        <v xml:space="preserve">FUNDAS DE TRANSFERENCIA AZUL PUNTA METÁLICA 21"                 </v>
      </c>
      <c r="T2430" s="2">
        <v>3</v>
      </c>
      <c r="U2430" s="2"/>
      <c r="V2430" s="2"/>
      <c r="W2430" s="2"/>
      <c r="X2430" s="2"/>
      <c r="Y2430" s="7"/>
      <c r="Z2430" s="2"/>
      <c r="AA2430" s="1"/>
      <c r="AC2430" s="2"/>
      <c r="AE2430" s="1"/>
      <c r="AG2430" s="2"/>
    </row>
    <row r="2431" spans="12:33" ht="49.95" customHeight="1" x14ac:dyDescent="0.3">
      <c r="L2431" s="371" t="s">
        <v>3520</v>
      </c>
      <c r="M2431" s="371" t="s">
        <v>5071</v>
      </c>
      <c r="N2431" s="371" t="s">
        <v>5184</v>
      </c>
      <c r="O2431" s="372" t="s">
        <v>2702</v>
      </c>
      <c r="P2431" s="16">
        <v>46205</v>
      </c>
      <c r="Q2431" s="371" t="s">
        <v>2235</v>
      </c>
      <c r="R2431" s="2">
        <f>VLOOKUP(SALIDAS111518[[#This Row],[CÓDIGO]],PRODUCTOS31316[],2,FALSE)</f>
        <v>1868703</v>
      </c>
      <c r="S2431" s="1" t="str">
        <f>VLOOKUP(SALIDAS111518[[#This Row],[CÓDIGO]],PRODUCTOS31316[],3,FALSE)</f>
        <v>PARAFILM 38M X 10 CM</v>
      </c>
      <c r="T2431" s="2">
        <v>1</v>
      </c>
      <c r="U2431" s="2">
        <v>1078</v>
      </c>
      <c r="V2431" s="2"/>
      <c r="W2431" s="2"/>
      <c r="X2431" s="2"/>
      <c r="Y2431" s="7"/>
      <c r="Z2431" s="2"/>
      <c r="AA2431" s="1"/>
      <c r="AC2431" s="2"/>
      <c r="AE2431" s="1"/>
      <c r="AG2431" s="2"/>
    </row>
    <row r="2432" spans="12:33" ht="49.95" customHeight="1" x14ac:dyDescent="0.3">
      <c r="L2432" s="371" t="s">
        <v>3520</v>
      </c>
      <c r="M2432" s="371" t="s">
        <v>5071</v>
      </c>
      <c r="N2432" s="371" t="s">
        <v>5183</v>
      </c>
      <c r="O2432" s="371" t="s">
        <v>5182</v>
      </c>
      <c r="P2432" s="16">
        <v>46206</v>
      </c>
      <c r="Q2432" s="371" t="s">
        <v>153</v>
      </c>
      <c r="R2432" s="2">
        <f>VLOOKUP(SALIDAS111518[[#This Row],[CÓDIGO]],PRODUCTOS31316[],2,FALSE)</f>
        <v>1132</v>
      </c>
      <c r="S2432" s="1" t="str">
        <f>VLOOKUP(SALIDAS111518[[#This Row],[CÓDIGO]],PRODUCTOS31316[],3,FALSE)</f>
        <v>PISTOLA QUICKLOCK CLASIC</v>
      </c>
      <c r="T2432" s="2">
        <v>1</v>
      </c>
      <c r="U2432" s="2">
        <v>1079</v>
      </c>
      <c r="V2432" s="2"/>
      <c r="W2432" s="2"/>
      <c r="X2432" s="2"/>
      <c r="Y2432" s="7"/>
      <c r="Z2432" s="2"/>
      <c r="AA2432" s="1"/>
      <c r="AC2432" s="2"/>
      <c r="AE2432" s="1"/>
      <c r="AG2432" s="2"/>
    </row>
    <row r="2433" spans="12:33" ht="49.95" customHeight="1" x14ac:dyDescent="0.3">
      <c r="L2433" s="371" t="s">
        <v>3520</v>
      </c>
      <c r="M2433" s="371" t="s">
        <v>5071</v>
      </c>
      <c r="N2433" s="418" t="s">
        <v>5181</v>
      </c>
      <c r="O2433" s="420" t="s">
        <v>2199</v>
      </c>
      <c r="P2433" s="16">
        <v>46206</v>
      </c>
      <c r="Q2433" s="371" t="s">
        <v>2941</v>
      </c>
      <c r="R2433" s="2">
        <f>VLOOKUP(SALIDAS111518[[#This Row],[CÓDIGO]],PRODUCTOS31316[],2,FALSE)</f>
        <v>1101</v>
      </c>
      <c r="S2433" s="1" t="str">
        <f>VLOOKUP(SALIDAS111518[[#This Row],[CÓDIGO]],PRODUCTOS31316[],3,FALSE)</f>
        <v>ESCROTIMETRO</v>
      </c>
      <c r="T2433" s="2">
        <v>1</v>
      </c>
      <c r="U2433" s="2">
        <v>1081</v>
      </c>
      <c r="V2433" s="2"/>
      <c r="W2433" s="371" t="s">
        <v>2823</v>
      </c>
      <c r="X2433" s="2"/>
      <c r="Y2433" s="7"/>
      <c r="Z2433" s="2"/>
      <c r="AA2433" s="1"/>
      <c r="AC2433" s="2"/>
      <c r="AE2433" s="1"/>
      <c r="AG2433" s="2"/>
    </row>
    <row r="2434" spans="12:33" ht="49.95" customHeight="1" x14ac:dyDescent="0.3">
      <c r="L2434" s="371" t="s">
        <v>3520</v>
      </c>
      <c r="M2434" s="371" t="s">
        <v>5071</v>
      </c>
      <c r="N2434" s="371" t="s">
        <v>5180</v>
      </c>
      <c r="O2434" s="371" t="s">
        <v>5179</v>
      </c>
      <c r="P2434" s="16">
        <v>46206</v>
      </c>
      <c r="Q2434" s="371" t="s">
        <v>3375</v>
      </c>
      <c r="R2434" s="2" t="str">
        <f>VLOOKUP(SALIDAS111518[[#This Row],[CÓDIGO]],PRODUCTOS31316[],2,FALSE)</f>
        <v>13500/0250</v>
      </c>
      <c r="S2434" s="1" t="str">
        <f>VLOOKUP(SALIDAS111518[[#This Row],[CÓDIGO]],PRODUCTOS31316[],3,FALSE)</f>
        <v>TRILADYL 250 ML</v>
      </c>
      <c r="T2434" s="2">
        <v>1</v>
      </c>
      <c r="U2434" s="2">
        <v>1082</v>
      </c>
      <c r="V2434" s="2"/>
      <c r="W2434" s="2"/>
      <c r="X2434" s="2"/>
      <c r="Y2434" s="7"/>
      <c r="Z2434" s="2"/>
      <c r="AA2434" s="1"/>
      <c r="AC2434" s="2"/>
      <c r="AE2434" s="1"/>
      <c r="AG2434" s="2"/>
    </row>
    <row r="2435" spans="12:33" ht="49.95" customHeight="1" x14ac:dyDescent="0.3">
      <c r="L2435" s="2"/>
      <c r="M2435" s="2"/>
      <c r="N2435" s="2">
        <v>8648</v>
      </c>
      <c r="O2435" s="371" t="s">
        <v>5179</v>
      </c>
      <c r="P2435" s="16">
        <v>46206</v>
      </c>
      <c r="Q2435" s="371" t="s">
        <v>1631</v>
      </c>
      <c r="R2435" s="2" t="str">
        <f>VLOOKUP(SALIDAS111518[[#This Row],[CÓDIGO]],PRODUCTOS31316[],2,FALSE)</f>
        <v>7101-CRAL</v>
      </c>
      <c r="S2435" s="1" t="str">
        <f>VLOOKUP(SALIDAS111518[[#This Row],[CÓDIGO]],PRODUCTOS31316[],3,FALSE)</f>
        <v>LAMINA PORTA OBJETOS LISA EN VIDRIO 26X76MM, BORDE ESMERILADO</v>
      </c>
      <c r="T2435" s="2">
        <v>2</v>
      </c>
      <c r="U2435" s="2"/>
      <c r="V2435" s="2"/>
      <c r="W2435" s="2"/>
      <c r="X2435" s="2"/>
      <c r="Y2435" s="7"/>
      <c r="Z2435" s="2"/>
      <c r="AA2435" s="1"/>
      <c r="AC2435" s="2"/>
      <c r="AE2435" s="1"/>
      <c r="AG2435" s="2"/>
    </row>
    <row r="2436" spans="12:33" ht="49.95" customHeight="1" x14ac:dyDescent="0.3">
      <c r="L2436" s="2"/>
      <c r="M2436" s="2"/>
      <c r="N2436" s="2">
        <v>8648</v>
      </c>
      <c r="O2436" s="371" t="s">
        <v>5179</v>
      </c>
      <c r="P2436" s="16">
        <v>46206</v>
      </c>
      <c r="Q2436" s="371" t="s">
        <v>4402</v>
      </c>
      <c r="R2436" s="2">
        <f>VLOOKUP(SALIDAS111518[[#This Row],[CÓDIGO]],PRODUCTOS31316[],2,FALSE)</f>
        <v>0</v>
      </c>
      <c r="S2436" s="1" t="str">
        <f>VLOOKUP(SALIDAS111518[[#This Row],[CÓDIGO]],PRODUCTOS31316[],3,FALSE)</f>
        <v>PAJILLA TRANSPARENTE DE 0.5 IMV PAQ.X 200 UND</v>
      </c>
      <c r="T2436" s="2">
        <v>1</v>
      </c>
      <c r="U2436" s="2"/>
      <c r="V2436" s="2"/>
      <c r="W2436" s="2"/>
      <c r="X2436" s="2"/>
      <c r="Y2436" s="7"/>
      <c r="Z2436" s="2"/>
      <c r="AA2436" s="1"/>
      <c r="AC2436" s="2"/>
      <c r="AE2436" s="1"/>
      <c r="AG2436" s="2"/>
    </row>
    <row r="2437" spans="12:33" ht="49.95" customHeight="1" x14ac:dyDescent="0.3">
      <c r="L2437" s="371" t="s">
        <v>3520</v>
      </c>
      <c r="M2437" s="371" t="s">
        <v>5071</v>
      </c>
      <c r="N2437" s="418" t="s">
        <v>5178</v>
      </c>
      <c r="O2437" s="420" t="s">
        <v>3137</v>
      </c>
      <c r="P2437" s="16">
        <v>46206</v>
      </c>
      <c r="Q2437" s="371" t="s">
        <v>382</v>
      </c>
      <c r="R2437" s="2">
        <f>VLOOKUP(SALIDAS111518[[#This Row],[CÓDIGO]],PRODUCTOS31316[],2,FALSE)</f>
        <v>605032</v>
      </c>
      <c r="S2437" s="1" t="str">
        <f>VLOOKUP(SALIDAS111518[[#This Row],[CÓDIGO]],PRODUCTOS31316[],3,FALSE)</f>
        <v>LUBRICANTE OB, NO ESPERMICIDA</v>
      </c>
      <c r="T2437" s="2">
        <v>1</v>
      </c>
      <c r="U2437" s="2">
        <v>1084</v>
      </c>
      <c r="V2437" s="2"/>
      <c r="W2437" s="371" t="s">
        <v>3412</v>
      </c>
      <c r="X2437" s="2"/>
      <c r="Y2437" s="7"/>
      <c r="Z2437" s="2"/>
      <c r="AA2437" s="1"/>
      <c r="AC2437" s="2"/>
      <c r="AE2437" s="1"/>
      <c r="AG2437" s="2"/>
    </row>
    <row r="2438" spans="12:33" ht="49.95" customHeight="1" x14ac:dyDescent="0.3">
      <c r="L2438" s="371" t="s">
        <v>3521</v>
      </c>
      <c r="M2438" s="371" t="s">
        <v>5071</v>
      </c>
      <c r="N2438" s="420" t="s">
        <v>5607</v>
      </c>
      <c r="O2438" s="418" t="s">
        <v>2721</v>
      </c>
      <c r="P2438" s="16">
        <v>46225</v>
      </c>
      <c r="Q2438" s="371" t="s">
        <v>3346</v>
      </c>
      <c r="R2438" s="2" t="str">
        <f>VLOOKUP(SALIDAS111518[[#This Row],[CÓDIGO]],PRODUCTOS31316[],2,FALSE)</f>
        <v>S7PRO</v>
      </c>
      <c r="S2438" s="1" t="str">
        <f>VLOOKUP(SALIDAS111518[[#This Row],[CÓDIGO]],PRODUCTOS31316[],3,FALSE)</f>
        <v>ECÓGRAFO S7 PRO VET CON SONDA LINEAL RECTAL</v>
      </c>
      <c r="T2438" s="2">
        <v>1</v>
      </c>
      <c r="U2438" s="421" t="s">
        <v>5801</v>
      </c>
      <c r="V2438" s="2"/>
      <c r="W2438" s="371" t="s">
        <v>3194</v>
      </c>
      <c r="X2438" s="2"/>
      <c r="Y2438" s="7"/>
      <c r="Z2438" s="2"/>
      <c r="AA2438" s="1"/>
      <c r="AC2438" s="2"/>
      <c r="AE2438" s="1"/>
      <c r="AG2438" s="2"/>
    </row>
    <row r="2439" spans="12:33" ht="49.95" customHeight="1" x14ac:dyDescent="0.3">
      <c r="L2439" s="2"/>
      <c r="M2439" s="2"/>
      <c r="N2439" s="2">
        <v>8719</v>
      </c>
      <c r="O2439" s="371" t="s">
        <v>2721</v>
      </c>
      <c r="P2439" s="16">
        <v>46225</v>
      </c>
      <c r="Q2439" s="371" t="s">
        <v>5083</v>
      </c>
      <c r="R2439" s="2">
        <f>VLOOKUP(SALIDAS111518[[#This Row],[CÓDIGO]],PRODUCTOS31316[],2,FALSE)</f>
        <v>0</v>
      </c>
      <c r="S2439" s="1" t="str">
        <f>VLOOKUP(SALIDAS111518[[#This Row],[CÓDIGO]],PRODUCTOS31316[],3,FALSE)</f>
        <v>TABLET SANSUNG GALAXY TAB A11+</v>
      </c>
      <c r="T2439" s="2">
        <v>1</v>
      </c>
      <c r="U2439" s="2"/>
      <c r="V2439" s="2"/>
      <c r="W2439" s="2"/>
      <c r="X2439" s="2"/>
      <c r="Y2439" s="7"/>
      <c r="Z2439" s="2"/>
      <c r="AA2439" s="1"/>
      <c r="AC2439" s="2"/>
      <c r="AE2439" s="1"/>
      <c r="AG2439" s="2"/>
    </row>
    <row r="2440" spans="12:33" ht="49.95" customHeight="1" x14ac:dyDescent="0.3">
      <c r="L2440" s="2"/>
      <c r="M2440" s="2"/>
      <c r="N2440" s="2">
        <v>8719</v>
      </c>
      <c r="O2440" s="371" t="s">
        <v>2721</v>
      </c>
      <c r="P2440" s="16" t="s">
        <v>5605</v>
      </c>
      <c r="Q2440" s="371" t="s">
        <v>3286</v>
      </c>
      <c r="R2440" s="2">
        <f>VLOOKUP(SALIDAS111518[[#This Row],[CÓDIGO]],PRODUCTOS31316[],2,FALSE)</f>
        <v>0</v>
      </c>
      <c r="S2440" s="1" t="str">
        <f>VLOOKUP(SALIDAS111518[[#This Row],[CÓDIGO]],PRODUCTOS31316[],3,FALSE)</f>
        <v>CARCASA TABLET BMV</v>
      </c>
      <c r="T2440" s="2">
        <v>1</v>
      </c>
      <c r="U2440" s="2"/>
      <c r="V2440" s="2"/>
      <c r="W2440" s="2"/>
      <c r="X2440" s="2"/>
      <c r="Y2440" s="7"/>
      <c r="Z2440" s="2"/>
      <c r="AA2440" s="1"/>
      <c r="AC2440" s="2"/>
      <c r="AE2440" s="1"/>
      <c r="AG2440" s="2"/>
    </row>
    <row r="2441" spans="12:33" ht="49.95" customHeight="1" x14ac:dyDescent="0.3">
      <c r="L2441" s="2"/>
      <c r="M2441" s="2"/>
      <c r="N2441" s="2">
        <v>8719</v>
      </c>
      <c r="O2441" s="371" t="s">
        <v>2721</v>
      </c>
      <c r="P2441" s="16">
        <v>46226</v>
      </c>
      <c r="Q2441" s="371" t="s">
        <v>3095</v>
      </c>
      <c r="R2441" s="2">
        <f>VLOOKUP(SALIDAS111518[[#This Row],[CÓDIGO]],PRODUCTOS31316[],2,FALSE)</f>
        <v>0</v>
      </c>
      <c r="S2441" s="1" t="str">
        <f>VLOOKUP(SALIDAS111518[[#This Row],[CÓDIGO]],PRODUCTOS31316[],3,FALSE)</f>
        <v>GORRA MAS CAMPO</v>
      </c>
      <c r="T2441" s="2">
        <v>1</v>
      </c>
      <c r="U2441" s="2"/>
      <c r="V2441" s="2"/>
      <c r="W2441" s="2"/>
      <c r="X2441" s="2"/>
      <c r="Y2441" s="7"/>
      <c r="Z2441" s="2"/>
      <c r="AA2441" s="1"/>
      <c r="AC2441" s="2"/>
      <c r="AE2441" s="1"/>
      <c r="AG2441" s="2"/>
    </row>
    <row r="2442" spans="12:33" ht="49.95" customHeight="1" x14ac:dyDescent="0.3">
      <c r="L2442" s="2"/>
      <c r="M2442" s="2"/>
      <c r="N2442" s="2">
        <v>8719</v>
      </c>
      <c r="O2442" s="371" t="s">
        <v>2721</v>
      </c>
      <c r="P2442" s="16" t="s">
        <v>5606</v>
      </c>
      <c r="Q2442" s="391" t="s">
        <v>210</v>
      </c>
      <c r="R2442" s="2">
        <f>VLOOKUP(SALIDAS111518[[#This Row],[CÓDIGO]],PRODUCTOS31316[],2,FALSE)</f>
        <v>101257</v>
      </c>
      <c r="S2442" s="1" t="str">
        <f>VLOOKUP(SALIDAS111518[[#This Row],[CÓDIGO]],PRODUCTOS31316[],3,FALSE)</f>
        <v>MANGA DESECHABLE SUPER SENSITIVA</v>
      </c>
      <c r="T2442" s="2">
        <v>1</v>
      </c>
      <c r="U2442" s="2"/>
      <c r="V2442" s="2"/>
      <c r="W2442" s="2"/>
      <c r="X2442" s="2"/>
      <c r="Y2442" s="7"/>
      <c r="Z2442" s="2"/>
      <c r="AA2442" s="1"/>
      <c r="AC2442" s="2"/>
      <c r="AE2442" s="1"/>
      <c r="AG2442" s="2"/>
    </row>
    <row r="2443" spans="12:33" ht="49.95" customHeight="1" x14ac:dyDescent="0.3">
      <c r="L2443" s="371" t="s">
        <v>3520</v>
      </c>
      <c r="M2443" s="371" t="s">
        <v>5071</v>
      </c>
      <c r="N2443" s="371" t="s">
        <v>5174</v>
      </c>
      <c r="O2443" s="371" t="s">
        <v>3050</v>
      </c>
      <c r="P2443" s="16">
        <v>46206</v>
      </c>
      <c r="Q2443" s="371" t="s">
        <v>36</v>
      </c>
      <c r="R2443" s="2">
        <f>VLOOKUP(SALIDAS111518[[#This Row],[CÓDIGO]],PRODUCTOS31316[],2,FALSE)</f>
        <v>1</v>
      </c>
      <c r="S2443" s="1" t="str">
        <f>VLOOKUP(SALIDAS111518[[#This Row],[CÓDIGO]],PRODUCTOS31316[],3,FALSE)</f>
        <v xml:space="preserve">PARCHE ESTROTECT </v>
      </c>
      <c r="T2443" s="2">
        <v>12</v>
      </c>
      <c r="U2443" s="2">
        <v>1085</v>
      </c>
      <c r="V2443" s="2"/>
      <c r="W2443" s="2"/>
      <c r="X2443" s="2"/>
      <c r="Y2443" s="7"/>
      <c r="Z2443" s="2"/>
      <c r="AA2443" s="1"/>
      <c r="AC2443" s="2"/>
      <c r="AE2443" s="1"/>
      <c r="AG2443" s="2"/>
    </row>
    <row r="2444" spans="12:33" ht="49.95" customHeight="1" x14ac:dyDescent="0.3">
      <c r="L2444" s="371" t="s">
        <v>3520</v>
      </c>
      <c r="M2444" s="371" t="s">
        <v>5071</v>
      </c>
      <c r="N2444" s="372" t="s">
        <v>5175</v>
      </c>
      <c r="O2444" s="372" t="s">
        <v>5176</v>
      </c>
      <c r="P2444" s="16">
        <v>46209</v>
      </c>
      <c r="Q2444" s="371" t="s">
        <v>3156</v>
      </c>
      <c r="R2444" s="2" t="str">
        <f>VLOOKUP(SALIDAS111518[[#This Row],[CÓDIGO]],PRODUCTOS31316[],2,FALSE)</f>
        <v>ULTRAS</v>
      </c>
      <c r="S2444" s="1" t="str">
        <f>VLOOKUP(SALIDAS111518[[#This Row],[CÓDIGO]],PRODUCTOS31316[],3,FALSE)</f>
        <v>ECOGRAFO ULTRAS SO</v>
      </c>
      <c r="T2444" s="2">
        <v>1</v>
      </c>
      <c r="U2444" s="2">
        <v>1023</v>
      </c>
      <c r="V2444" s="2"/>
      <c r="W2444" s="2"/>
      <c r="X2444" s="2"/>
      <c r="Y2444" s="7"/>
      <c r="Z2444" s="2"/>
      <c r="AA2444" s="1"/>
      <c r="AC2444" s="2"/>
      <c r="AE2444" s="1"/>
      <c r="AG2444" s="2"/>
    </row>
    <row r="2445" spans="12:33" ht="49.95" customHeight="1" x14ac:dyDescent="0.3">
      <c r="L2445" s="371"/>
      <c r="M2445" s="371"/>
      <c r="N2445" s="371">
        <v>8594</v>
      </c>
      <c r="O2445" s="372" t="s">
        <v>5176</v>
      </c>
      <c r="P2445" s="16">
        <v>46209</v>
      </c>
      <c r="Q2445" s="371" t="s">
        <v>104</v>
      </c>
      <c r="R2445" s="2">
        <f>VLOOKUP(SALIDAS111518[[#This Row],[CÓDIGO]],PRODUCTOS31316[],2,FALSE)</f>
        <v>0</v>
      </c>
      <c r="S2445" s="1" t="str">
        <f>VLOOKUP(SALIDAS111518[[#This Row],[CÓDIGO]],PRODUCTOS31316[],3,FALSE)</f>
        <v>ISPERM CHIPS (500 TESTS PER BOX) PAQ. X 50 UND</v>
      </c>
      <c r="T2445" s="2">
        <v>6</v>
      </c>
      <c r="U2445" s="2"/>
      <c r="V2445" s="2"/>
      <c r="W2445" s="2"/>
      <c r="X2445" s="118"/>
      <c r="Y2445" s="7"/>
      <c r="Z2445" s="2"/>
      <c r="AA2445" s="1"/>
      <c r="AC2445" s="2"/>
      <c r="AE2445" s="1"/>
      <c r="AG2445" s="2"/>
    </row>
    <row r="2446" spans="12:33" ht="49.95" customHeight="1" x14ac:dyDescent="0.3">
      <c r="L2446" s="371" t="s">
        <v>3520</v>
      </c>
      <c r="M2446" s="371" t="s">
        <v>5071</v>
      </c>
      <c r="N2446" s="371" t="s">
        <v>5172</v>
      </c>
      <c r="O2446" s="371" t="s">
        <v>94</v>
      </c>
      <c r="P2446" s="16">
        <v>46209</v>
      </c>
      <c r="Q2446" s="371" t="s">
        <v>5098</v>
      </c>
      <c r="R2446" s="2">
        <f>VLOOKUP(SALIDAS111518[[#This Row],[CÓDIGO]],PRODUCTOS31316[],2,FALSE)</f>
        <v>0</v>
      </c>
      <c r="S2446" s="1" t="str">
        <f>VLOOKUP(SALIDAS111518[[#This Row],[CÓDIGO]],PRODUCTOS31316[],3,FALSE)</f>
        <v>FUNDA DE TRANSFERENCIA DE EMBRIONES 0.25 PUNTA PLÁSTICA MARCA TED</v>
      </c>
      <c r="T2446" s="2">
        <v>200</v>
      </c>
      <c r="U2446" s="371" t="s">
        <v>5173</v>
      </c>
      <c r="V2446" s="2"/>
      <c r="W2446" s="2"/>
      <c r="X2446" s="2"/>
      <c r="Y2446" s="7"/>
      <c r="Z2446" s="2"/>
      <c r="AA2446" s="1"/>
      <c r="AC2446" s="2"/>
      <c r="AE2446" s="1"/>
      <c r="AG2446" s="2"/>
    </row>
    <row r="2447" spans="12:33" ht="49.95" customHeight="1" x14ac:dyDescent="0.3">
      <c r="L2447" s="2"/>
      <c r="M2447" s="2"/>
      <c r="N2447" s="2">
        <v>8651</v>
      </c>
      <c r="O2447" s="371" t="s">
        <v>94</v>
      </c>
      <c r="P2447" s="16">
        <v>46209</v>
      </c>
      <c r="Q2447" s="371" t="s">
        <v>1779</v>
      </c>
      <c r="R2447" s="2">
        <f>VLOOKUP(SALIDAS111518[[#This Row],[CÓDIGO]],PRODUCTOS31316[],2,FALSE)</f>
        <v>5563</v>
      </c>
      <c r="S2447" s="1" t="str">
        <f>VLOOKUP(SALIDAS111518[[#This Row],[CÓDIGO]],PRODUCTOS31316[],3,FALSE)</f>
        <v>CAMISA SANITARIA ROLLO X 80</v>
      </c>
      <c r="T2447" s="2">
        <v>13</v>
      </c>
      <c r="U2447" s="2"/>
      <c r="V2447" s="2"/>
      <c r="W2447" s="2"/>
      <c r="X2447" s="2"/>
      <c r="Y2447" s="7"/>
      <c r="Z2447" s="2"/>
      <c r="AA2447" s="1"/>
      <c r="AC2447" s="2"/>
      <c r="AE2447" s="1"/>
      <c r="AG2447" s="2"/>
    </row>
    <row r="2448" spans="12:33" ht="49.95" customHeight="1" x14ac:dyDescent="0.3">
      <c r="L2448" s="371" t="s">
        <v>3520</v>
      </c>
      <c r="M2448" s="371" t="s">
        <v>5071</v>
      </c>
      <c r="N2448" s="371" t="s">
        <v>5171</v>
      </c>
      <c r="O2448" s="371" t="s">
        <v>94</v>
      </c>
      <c r="P2448" s="16">
        <v>46209</v>
      </c>
      <c r="Q2448" s="371" t="s">
        <v>5098</v>
      </c>
      <c r="R2448" s="2">
        <f>VLOOKUP(SALIDAS111518[[#This Row],[CÓDIGO]],PRODUCTOS31316[],2,FALSE)</f>
        <v>0</v>
      </c>
      <c r="S2448" s="1" t="str">
        <f>VLOOKUP(SALIDAS111518[[#This Row],[CÓDIGO]],PRODUCTOS31316[],3,FALSE)</f>
        <v>FUNDA DE TRANSFERENCIA DE EMBRIONES 0.25 PUNTA PLÁSTICA MARCA TED</v>
      </c>
      <c r="T2448" s="2">
        <v>400</v>
      </c>
      <c r="U2448" s="371" t="s">
        <v>5170</v>
      </c>
      <c r="V2448" s="2"/>
      <c r="W2448" s="2"/>
      <c r="X2448" s="2"/>
      <c r="Y2448" s="7"/>
      <c r="Z2448" s="2"/>
      <c r="AA2448" s="1"/>
      <c r="AC2448" s="2"/>
      <c r="AE2448" s="1"/>
      <c r="AG2448" s="2"/>
    </row>
    <row r="2449" spans="12:33" ht="49.95" customHeight="1" x14ac:dyDescent="0.3">
      <c r="L2449" s="2"/>
      <c r="M2449" s="2"/>
      <c r="N2449" s="2">
        <v>8652</v>
      </c>
      <c r="O2449" s="371" t="s">
        <v>94</v>
      </c>
      <c r="P2449" s="16">
        <v>46209</v>
      </c>
      <c r="Q2449" s="371" t="s">
        <v>1779</v>
      </c>
      <c r="R2449" s="2">
        <f>VLOOKUP(SALIDAS111518[[#This Row],[CÓDIGO]],PRODUCTOS31316[],2,FALSE)</f>
        <v>5563</v>
      </c>
      <c r="S2449" s="1" t="str">
        <f>VLOOKUP(SALIDAS111518[[#This Row],[CÓDIGO]],PRODUCTOS31316[],3,FALSE)</f>
        <v>CAMISA SANITARIA ROLLO X 80</v>
      </c>
      <c r="T2449" s="2">
        <v>25</v>
      </c>
      <c r="U2449" s="2"/>
      <c r="V2449" s="2"/>
      <c r="W2449" s="2"/>
      <c r="X2449" s="2"/>
      <c r="Y2449" s="7"/>
      <c r="Z2449" s="2"/>
      <c r="AA2449" s="1"/>
      <c r="AC2449" s="2"/>
      <c r="AE2449" s="1"/>
      <c r="AG2449" s="2"/>
    </row>
    <row r="2450" spans="12:33" ht="49.95" customHeight="1" x14ac:dyDescent="0.3">
      <c r="L2450" s="371" t="s">
        <v>3520</v>
      </c>
      <c r="M2450" s="371" t="s">
        <v>5071</v>
      </c>
      <c r="N2450" s="371" t="s">
        <v>5168</v>
      </c>
      <c r="O2450" s="371" t="s">
        <v>94</v>
      </c>
      <c r="P2450" s="16">
        <v>46209</v>
      </c>
      <c r="Q2450" s="371" t="s">
        <v>5098</v>
      </c>
      <c r="R2450" s="2">
        <f>VLOOKUP(SALIDAS111518[[#This Row],[CÓDIGO]],PRODUCTOS31316[],2,FALSE)</f>
        <v>0</v>
      </c>
      <c r="S2450" s="1" t="str">
        <f>VLOOKUP(SALIDAS111518[[#This Row],[CÓDIGO]],PRODUCTOS31316[],3,FALSE)</f>
        <v>FUNDA DE TRANSFERENCIA DE EMBRIONES 0.25 PUNTA PLÁSTICA MARCA TED</v>
      </c>
      <c r="T2450" s="2">
        <v>400</v>
      </c>
      <c r="U2450" s="371" t="s">
        <v>5169</v>
      </c>
      <c r="V2450" s="2"/>
      <c r="W2450" s="2"/>
      <c r="X2450" s="2"/>
      <c r="Y2450" s="7"/>
      <c r="Z2450" s="2"/>
      <c r="AA2450" s="1"/>
      <c r="AC2450" s="2"/>
      <c r="AE2450" s="1"/>
      <c r="AG2450" s="2"/>
    </row>
    <row r="2451" spans="12:33" ht="49.95" customHeight="1" x14ac:dyDescent="0.3">
      <c r="L2451" s="2"/>
      <c r="M2451" s="2"/>
      <c r="N2451" s="2">
        <v>8653</v>
      </c>
      <c r="O2451" s="371" t="s">
        <v>94</v>
      </c>
      <c r="P2451" s="16">
        <v>46209</v>
      </c>
      <c r="Q2451" s="371" t="s">
        <v>1779</v>
      </c>
      <c r="R2451" s="2">
        <f>VLOOKUP(SALIDAS111518[[#This Row],[CÓDIGO]],PRODUCTOS31316[],2,FALSE)</f>
        <v>5563</v>
      </c>
      <c r="S2451" s="1" t="str">
        <f>VLOOKUP(SALIDAS111518[[#This Row],[CÓDIGO]],PRODUCTOS31316[],3,FALSE)</f>
        <v>CAMISA SANITARIA ROLLO X 80</v>
      </c>
      <c r="T2451" s="2">
        <v>25</v>
      </c>
      <c r="U2451" s="2"/>
      <c r="V2451" s="2"/>
      <c r="W2451" s="2"/>
      <c r="X2451" s="2"/>
      <c r="Y2451" s="7"/>
      <c r="Z2451" s="2"/>
      <c r="AA2451" s="1"/>
      <c r="AC2451" s="2"/>
      <c r="AE2451" s="1"/>
      <c r="AG2451" s="2"/>
    </row>
    <row r="2452" spans="12:33" ht="49.95" customHeight="1" x14ac:dyDescent="0.3">
      <c r="L2452" s="371" t="s">
        <v>3521</v>
      </c>
      <c r="M2452" s="371" t="s">
        <v>5071</v>
      </c>
      <c r="N2452" s="418" t="s">
        <v>5167</v>
      </c>
      <c r="O2452" s="420" t="s">
        <v>3135</v>
      </c>
      <c r="P2452" s="16">
        <v>46209</v>
      </c>
      <c r="Q2452" s="371" t="s">
        <v>714</v>
      </c>
      <c r="R2452" s="2" t="str">
        <f>VLOOKUP(SALIDAS111518[[#This Row],[CÓDIGO]],PRODUCTOS31316[],2,FALSE)</f>
        <v>S1</v>
      </c>
      <c r="S2452" s="1" t="str">
        <f>VLOOKUP(SALIDAS111518[[#This Row],[CÓDIGO]],PRODUCTOS31316[],3,FALSE)</f>
        <v>ECÓGRAFO PORTATIL S1, PROBE RECTAL  Y PROTECTOR SOLAR</v>
      </c>
      <c r="T2452" s="2">
        <v>1</v>
      </c>
      <c r="U2452" s="2">
        <v>1089</v>
      </c>
      <c r="V2452" s="2"/>
      <c r="W2452" s="371" t="s">
        <v>2823</v>
      </c>
      <c r="X2452" s="2"/>
      <c r="Y2452" s="7"/>
      <c r="Z2452" s="2"/>
      <c r="AA2452" s="1"/>
      <c r="AC2452" s="2"/>
      <c r="AE2452" s="1"/>
      <c r="AG2452" s="2"/>
    </row>
    <row r="2453" spans="12:33" ht="49.95" customHeight="1" x14ac:dyDescent="0.3">
      <c r="L2453" s="2"/>
      <c r="M2453" s="2"/>
      <c r="N2453" s="2">
        <v>8645</v>
      </c>
      <c r="O2453" s="372" t="s">
        <v>3135</v>
      </c>
      <c r="P2453" s="16">
        <v>46209</v>
      </c>
      <c r="Q2453" s="371" t="s">
        <v>3095</v>
      </c>
      <c r="R2453" s="2">
        <f>VLOOKUP(SALIDAS111518[[#This Row],[CÓDIGO]],PRODUCTOS31316[],2,FALSE)</f>
        <v>0</v>
      </c>
      <c r="S2453" s="1" t="str">
        <f>VLOOKUP(SALIDAS111518[[#This Row],[CÓDIGO]],PRODUCTOS31316[],3,FALSE)</f>
        <v>GORRA MAS CAMPO</v>
      </c>
      <c r="T2453" s="2">
        <v>1</v>
      </c>
      <c r="U2453" s="2"/>
      <c r="V2453" s="2"/>
      <c r="W2453" s="2"/>
      <c r="X2453" s="118"/>
      <c r="Y2453" s="7"/>
      <c r="Z2453" s="2"/>
      <c r="AA2453" s="1"/>
      <c r="AC2453" s="2"/>
      <c r="AE2453" s="1"/>
      <c r="AG2453" s="2"/>
    </row>
    <row r="2454" spans="12:33" ht="49.95" customHeight="1" x14ac:dyDescent="0.3">
      <c r="L2454" s="371" t="s">
        <v>3520</v>
      </c>
      <c r="M2454" s="371" t="s">
        <v>5071</v>
      </c>
      <c r="N2454" s="371" t="s">
        <v>5166</v>
      </c>
      <c r="O2454" s="371" t="s">
        <v>5165</v>
      </c>
      <c r="P2454" s="16">
        <v>46209</v>
      </c>
      <c r="Q2454" s="371" t="s">
        <v>2755</v>
      </c>
      <c r="R2454" s="2" t="str">
        <f>VLOOKUP(SALIDAS111518[[#This Row],[CÓDIGO]],PRODUCTOS31316[],2,FALSE)</f>
        <v>MSLDO05</v>
      </c>
      <c r="S2454" s="1" t="str">
        <f>VLOOKUP(SALIDAS111518[[#This Row],[CÓDIGO]],PRODUCTOS31316[],3,FALSE)</f>
        <v>TERMO DE RECOLECCIÓN DE SEMEN/ USO VETERINARIO</v>
      </c>
      <c r="T2454" s="2">
        <v>2</v>
      </c>
      <c r="U2454" s="2">
        <v>1090</v>
      </c>
      <c r="V2454" s="2"/>
      <c r="W2454" s="2"/>
      <c r="X2454" s="2"/>
      <c r="Y2454" s="7"/>
      <c r="Z2454" s="2"/>
      <c r="AA2454" s="1"/>
      <c r="AC2454" s="2"/>
      <c r="AE2454" s="1"/>
      <c r="AG2454" s="2"/>
    </row>
    <row r="2455" spans="12:33" ht="49.95" customHeight="1" x14ac:dyDescent="0.3">
      <c r="L2455" s="371" t="s">
        <v>3520</v>
      </c>
      <c r="M2455" s="371" t="s">
        <v>5071</v>
      </c>
      <c r="N2455" s="371" t="s">
        <v>5164</v>
      </c>
      <c r="O2455" s="372" t="s">
        <v>2453</v>
      </c>
      <c r="P2455" s="16">
        <v>46209</v>
      </c>
      <c r="Q2455" s="371" t="s">
        <v>5098</v>
      </c>
      <c r="R2455" s="2">
        <f>VLOOKUP(SALIDAS111518[[#This Row],[CÓDIGO]],PRODUCTOS31316[],2,FALSE)</f>
        <v>0</v>
      </c>
      <c r="S2455" s="1" t="str">
        <f>VLOOKUP(SALIDAS111518[[#This Row],[CÓDIGO]],PRODUCTOS31316[],3,FALSE)</f>
        <v>FUNDA DE TRANSFERENCIA DE EMBRIONES 0.25 PUNTA PLÁSTICA MARCA TED</v>
      </c>
      <c r="T2455" s="2">
        <v>13</v>
      </c>
      <c r="U2455" s="2">
        <v>1091</v>
      </c>
      <c r="V2455" s="2"/>
      <c r="W2455" s="2"/>
      <c r="X2455" s="2"/>
      <c r="Y2455" s="7"/>
      <c r="Z2455" s="2"/>
      <c r="AA2455" s="1"/>
      <c r="AC2455" s="2"/>
      <c r="AE2455" s="1"/>
      <c r="AG2455" s="2"/>
    </row>
    <row r="2456" spans="12:33" ht="49.95" customHeight="1" x14ac:dyDescent="0.3">
      <c r="L2456" s="2"/>
      <c r="M2456" s="2"/>
      <c r="N2456" s="2">
        <v>8655</v>
      </c>
      <c r="O2456" s="372" t="s">
        <v>2453</v>
      </c>
      <c r="P2456" s="16">
        <v>46209</v>
      </c>
      <c r="Q2456" s="371" t="s">
        <v>1779</v>
      </c>
      <c r="R2456" s="2">
        <f>VLOOKUP(SALIDAS111518[[#This Row],[CÓDIGO]],PRODUCTOS31316[],2,FALSE)</f>
        <v>5563</v>
      </c>
      <c r="S2456" s="1" t="str">
        <f>VLOOKUP(SALIDAS111518[[#This Row],[CÓDIGO]],PRODUCTOS31316[],3,FALSE)</f>
        <v>CAMISA SANITARIA ROLLO X 80</v>
      </c>
      <c r="T2456" s="2">
        <v>1</v>
      </c>
      <c r="U2456" s="2"/>
      <c r="V2456" s="2"/>
      <c r="W2456" s="2"/>
      <c r="X2456" s="2"/>
      <c r="Y2456" s="7"/>
      <c r="Z2456" s="2"/>
      <c r="AA2456" s="1"/>
      <c r="AC2456" s="2"/>
      <c r="AE2456" s="1"/>
      <c r="AG2456" s="2"/>
    </row>
    <row r="2457" spans="12:33" ht="49.95" customHeight="1" x14ac:dyDescent="0.3">
      <c r="L2457" s="371" t="s">
        <v>3521</v>
      </c>
      <c r="M2457" s="371" t="s">
        <v>5071</v>
      </c>
      <c r="N2457" s="371" t="s">
        <v>5163</v>
      </c>
      <c r="O2457" s="371" t="s">
        <v>5162</v>
      </c>
      <c r="P2457" s="16">
        <v>46209</v>
      </c>
      <c r="Q2457" s="371" t="s">
        <v>3477</v>
      </c>
      <c r="R2457" s="2" t="str">
        <f>VLOOKUP(SALIDAS111518[[#This Row],[CÓDIGO]],PRODUCTOS31316[],2,FALSE)</f>
        <v>MX5A</v>
      </c>
      <c r="S2457" s="1" t="str">
        <f>VLOOKUP(SALIDAS111518[[#This Row],[CÓDIGO]],PRODUCTOS31316[],3,FALSE)</f>
        <v>ECOGRAFO MX5C CON SONDA LINEAL RECTAL/ BLANCO Y NEGRO</v>
      </c>
      <c r="T2457" s="2">
        <v>1</v>
      </c>
      <c r="U2457" s="371" t="s">
        <v>5161</v>
      </c>
      <c r="V2457" s="2"/>
      <c r="W2457" s="2"/>
      <c r="X2457" s="2"/>
      <c r="Y2457" s="7"/>
      <c r="Z2457" s="2"/>
      <c r="AA2457" s="1"/>
      <c r="AC2457" s="2"/>
      <c r="AE2457" s="1"/>
      <c r="AG2457" s="2"/>
    </row>
    <row r="2458" spans="12:33" ht="49.95" customHeight="1" x14ac:dyDescent="0.3">
      <c r="L2458" s="2"/>
      <c r="M2458" s="2"/>
      <c r="N2458" s="2">
        <v>8656</v>
      </c>
      <c r="O2458" s="371" t="s">
        <v>5162</v>
      </c>
      <c r="P2458" s="16">
        <v>46209</v>
      </c>
      <c r="Q2458" s="371" t="s">
        <v>5083</v>
      </c>
      <c r="R2458" s="2">
        <f>VLOOKUP(SALIDAS111518[[#This Row],[CÓDIGO]],PRODUCTOS31316[],2,FALSE)</f>
        <v>0</v>
      </c>
      <c r="S2458" s="1" t="str">
        <f>VLOOKUP(SALIDAS111518[[#This Row],[CÓDIGO]],PRODUCTOS31316[],3,FALSE)</f>
        <v>TABLET SANSUNG GALAXY TAB A11+</v>
      </c>
      <c r="T2458" s="2">
        <v>1</v>
      </c>
      <c r="U2458" s="2"/>
      <c r="V2458" s="2"/>
      <c r="W2458" s="2"/>
      <c r="X2458" s="2"/>
      <c r="Y2458" s="7"/>
      <c r="Z2458" s="2"/>
      <c r="AA2458" s="1"/>
      <c r="AC2458" s="2"/>
      <c r="AE2458" s="1"/>
      <c r="AG2458" s="2"/>
    </row>
    <row r="2459" spans="12:33" ht="49.95" customHeight="1" x14ac:dyDescent="0.3">
      <c r="L2459" s="2"/>
      <c r="M2459" s="2"/>
      <c r="N2459" s="2">
        <v>8656</v>
      </c>
      <c r="O2459" s="371" t="s">
        <v>5162</v>
      </c>
      <c r="P2459" s="16">
        <v>46209</v>
      </c>
      <c r="Q2459" s="371" t="s">
        <v>3286</v>
      </c>
      <c r="R2459" s="2">
        <f>VLOOKUP(SALIDAS111518[[#This Row],[CÓDIGO]],PRODUCTOS31316[],2,FALSE)</f>
        <v>0</v>
      </c>
      <c r="S2459" s="1" t="str">
        <f>VLOOKUP(SALIDAS111518[[#This Row],[CÓDIGO]],PRODUCTOS31316[],3,FALSE)</f>
        <v>CARCASA TABLET BMV</v>
      </c>
      <c r="T2459" s="2">
        <v>1</v>
      </c>
      <c r="U2459" s="2"/>
      <c r="V2459" s="2"/>
      <c r="W2459" s="2"/>
      <c r="X2459" s="2"/>
      <c r="Y2459" s="7"/>
      <c r="Z2459" s="2"/>
      <c r="AA2459" s="1"/>
      <c r="AC2459" s="2"/>
      <c r="AE2459" s="1"/>
      <c r="AG2459" s="2"/>
    </row>
    <row r="2460" spans="12:33" ht="49.95" customHeight="1" x14ac:dyDescent="0.3">
      <c r="L2460" s="2"/>
      <c r="M2460" s="2"/>
      <c r="N2460" s="2">
        <v>8656</v>
      </c>
      <c r="O2460" s="371" t="s">
        <v>5162</v>
      </c>
      <c r="P2460" s="16">
        <v>46209</v>
      </c>
      <c r="Q2460" s="371" t="s">
        <v>3095</v>
      </c>
      <c r="R2460" s="2">
        <f>VLOOKUP(SALIDAS111518[[#This Row],[CÓDIGO]],PRODUCTOS31316[],2,FALSE)</f>
        <v>0</v>
      </c>
      <c r="S2460" s="1" t="str">
        <f>VLOOKUP(SALIDAS111518[[#This Row],[CÓDIGO]],PRODUCTOS31316[],3,FALSE)</f>
        <v>GORRA MAS CAMPO</v>
      </c>
      <c r="T2460" s="2">
        <v>1</v>
      </c>
      <c r="U2460" s="2"/>
      <c r="V2460" s="2"/>
      <c r="W2460" s="2"/>
      <c r="X2460" s="2"/>
      <c r="Y2460" s="7"/>
      <c r="Z2460" s="2"/>
      <c r="AA2460" s="1"/>
      <c r="AC2460" s="2"/>
      <c r="AE2460" s="1"/>
      <c r="AG2460" s="2"/>
    </row>
    <row r="2461" spans="12:33" ht="49.95" customHeight="1" x14ac:dyDescent="0.3">
      <c r="L2461" s="371" t="s">
        <v>3520</v>
      </c>
      <c r="M2461" s="371" t="s">
        <v>5071</v>
      </c>
      <c r="N2461" s="371" t="s">
        <v>5160</v>
      </c>
      <c r="O2461" s="371" t="s">
        <v>3192</v>
      </c>
      <c r="P2461" s="16">
        <v>46209</v>
      </c>
      <c r="Q2461" s="371" t="s">
        <v>3346</v>
      </c>
      <c r="R2461" s="2" t="str">
        <f>VLOOKUP(SALIDAS111518[[#This Row],[CÓDIGO]],PRODUCTOS31316[],2,FALSE)</f>
        <v>S7PRO</v>
      </c>
      <c r="S2461" s="1" t="str">
        <f>VLOOKUP(SALIDAS111518[[#This Row],[CÓDIGO]],PRODUCTOS31316[],3,FALSE)</f>
        <v>ECÓGRAFO S7 PRO VET CON SONDA LINEAL RECTAL</v>
      </c>
      <c r="T2461" s="2">
        <v>1</v>
      </c>
      <c r="U2461" s="371" t="s">
        <v>5159</v>
      </c>
      <c r="V2461" s="2"/>
      <c r="W2461" s="2"/>
      <c r="X2461" s="2"/>
      <c r="Y2461" s="7"/>
      <c r="Z2461" s="2"/>
      <c r="AA2461" s="1"/>
      <c r="AC2461" s="2"/>
      <c r="AE2461" s="1"/>
      <c r="AG2461" s="2"/>
    </row>
    <row r="2462" spans="12:33" ht="49.95" customHeight="1" x14ac:dyDescent="0.3">
      <c r="L2462" s="2"/>
      <c r="M2462" s="2"/>
      <c r="N2462" s="2">
        <v>8657</v>
      </c>
      <c r="O2462" s="371" t="s">
        <v>3192</v>
      </c>
      <c r="P2462" s="16">
        <v>46209</v>
      </c>
      <c r="Q2462" s="371" t="s">
        <v>5083</v>
      </c>
      <c r="R2462" s="2">
        <f>VLOOKUP(SALIDAS111518[[#This Row],[CÓDIGO]],PRODUCTOS31316[],2,FALSE)</f>
        <v>0</v>
      </c>
      <c r="S2462" s="1" t="str">
        <f>VLOOKUP(SALIDAS111518[[#This Row],[CÓDIGO]],PRODUCTOS31316[],3,FALSE)</f>
        <v>TABLET SANSUNG GALAXY TAB A11+</v>
      </c>
      <c r="T2462" s="2">
        <v>1</v>
      </c>
      <c r="U2462" s="2"/>
      <c r="V2462" s="2"/>
      <c r="W2462" s="2"/>
      <c r="X2462" s="2"/>
      <c r="Y2462" s="7"/>
      <c r="Z2462" s="2"/>
      <c r="AA2462" s="1"/>
      <c r="AC2462" s="2"/>
      <c r="AE2462" s="1"/>
      <c r="AG2462" s="2"/>
    </row>
    <row r="2463" spans="12:33" ht="49.95" customHeight="1" x14ac:dyDescent="0.3">
      <c r="L2463" s="2"/>
      <c r="M2463" s="2"/>
      <c r="N2463" s="2">
        <v>8657</v>
      </c>
      <c r="O2463" s="371" t="s">
        <v>3192</v>
      </c>
      <c r="P2463" s="16">
        <v>46209</v>
      </c>
      <c r="Q2463" s="371" t="s">
        <v>3286</v>
      </c>
      <c r="R2463" s="2">
        <f>VLOOKUP(SALIDAS111518[[#This Row],[CÓDIGO]],PRODUCTOS31316[],2,FALSE)</f>
        <v>0</v>
      </c>
      <c r="S2463" s="1" t="str">
        <f>VLOOKUP(SALIDAS111518[[#This Row],[CÓDIGO]],PRODUCTOS31316[],3,FALSE)</f>
        <v>CARCASA TABLET BMV</v>
      </c>
      <c r="T2463" s="2">
        <v>1</v>
      </c>
      <c r="U2463" s="2"/>
      <c r="V2463" s="2"/>
      <c r="W2463" s="2"/>
      <c r="X2463" s="118"/>
      <c r="Y2463" s="7"/>
      <c r="Z2463" s="2"/>
      <c r="AA2463" s="1"/>
      <c r="AC2463" s="2"/>
      <c r="AE2463" s="1"/>
      <c r="AG2463" s="2"/>
    </row>
    <row r="2464" spans="12:33" ht="49.95" customHeight="1" x14ac:dyDescent="0.3">
      <c r="L2464" s="2"/>
      <c r="M2464" s="2"/>
      <c r="N2464" s="2">
        <v>8657</v>
      </c>
      <c r="O2464" s="371" t="s">
        <v>3192</v>
      </c>
      <c r="P2464" s="16">
        <v>46209</v>
      </c>
      <c r="Q2464" s="371" t="s">
        <v>3095</v>
      </c>
      <c r="R2464" s="2">
        <f>VLOOKUP(SALIDAS111518[[#This Row],[CÓDIGO]],PRODUCTOS31316[],2,FALSE)</f>
        <v>0</v>
      </c>
      <c r="S2464" s="1" t="str">
        <f>VLOOKUP(SALIDAS111518[[#This Row],[CÓDIGO]],PRODUCTOS31316[],3,FALSE)</f>
        <v>GORRA MAS CAMPO</v>
      </c>
      <c r="T2464" s="2">
        <v>2</v>
      </c>
      <c r="U2464" s="2"/>
      <c r="V2464" s="2"/>
      <c r="W2464" s="2"/>
      <c r="X2464" s="2"/>
      <c r="Y2464" s="7"/>
      <c r="Z2464" s="2"/>
      <c r="AA2464" s="1"/>
      <c r="AC2464" s="2"/>
      <c r="AE2464" s="1"/>
      <c r="AG2464" s="2"/>
    </row>
    <row r="2465" spans="12:33" ht="49.95" customHeight="1" x14ac:dyDescent="0.3">
      <c r="L2465" s="371" t="s">
        <v>3520</v>
      </c>
      <c r="M2465" s="371" t="s">
        <v>5071</v>
      </c>
      <c r="N2465" s="371" t="s">
        <v>5158</v>
      </c>
      <c r="O2465" s="372" t="s">
        <v>3483</v>
      </c>
      <c r="P2465" s="16">
        <v>46209</v>
      </c>
      <c r="Q2465" s="371" t="s">
        <v>27</v>
      </c>
      <c r="R2465" s="2" t="str">
        <f>VLOOKUP(SALIDAS111518[[#This Row],[CÓDIGO]],PRODUCTOS31316[],2,FALSE)</f>
        <v>INO-025/ 508001</v>
      </c>
      <c r="S2465" s="1" t="str">
        <f>VLOOKUP(SALIDAS111518[[#This Row],[CÓDIGO]],PRODUCTOS31316[],3,FALSE)</f>
        <v>PISTOLA DE TRANSFERENCIA DE EMBRIONES</v>
      </c>
      <c r="T2465" s="2">
        <v>1</v>
      </c>
      <c r="U2465" s="2">
        <v>1094</v>
      </c>
      <c r="V2465" s="2"/>
      <c r="W2465" s="2"/>
      <c r="X2465" s="2"/>
      <c r="Y2465" s="7"/>
      <c r="Z2465" s="2"/>
      <c r="AA2465" s="1"/>
      <c r="AC2465" s="2"/>
      <c r="AE2465" s="1"/>
      <c r="AG2465" s="2"/>
    </row>
    <row r="2466" spans="12:33" ht="49.95" customHeight="1" x14ac:dyDescent="0.3">
      <c r="L2466" s="371" t="s">
        <v>3520</v>
      </c>
      <c r="M2466" s="371" t="s">
        <v>5071</v>
      </c>
      <c r="N2466" s="371" t="s">
        <v>5156</v>
      </c>
      <c r="O2466" s="371" t="s">
        <v>2344</v>
      </c>
      <c r="P2466" s="16">
        <v>46210</v>
      </c>
      <c r="Q2466" s="371" t="s">
        <v>36</v>
      </c>
      <c r="R2466" s="2">
        <f>VLOOKUP(SALIDAS111518[[#This Row],[CÓDIGO]],PRODUCTOS31316[],2,FALSE)</f>
        <v>1</v>
      </c>
      <c r="S2466" s="1" t="str">
        <f>VLOOKUP(SALIDAS111518[[#This Row],[CÓDIGO]],PRODUCTOS31316[],3,FALSE)</f>
        <v xml:space="preserve">PARCHE ESTROTECT </v>
      </c>
      <c r="T2466" s="2">
        <v>3</v>
      </c>
      <c r="U2466" s="371" t="s">
        <v>5157</v>
      </c>
      <c r="V2466" s="2"/>
      <c r="W2466" s="2"/>
      <c r="X2466" s="2"/>
      <c r="Y2466" s="7"/>
      <c r="Z2466" s="2"/>
      <c r="AA2466" s="1"/>
      <c r="AC2466" s="2"/>
      <c r="AE2466" s="1"/>
      <c r="AG2466" s="2"/>
    </row>
    <row r="2467" spans="12:33" ht="49.95" customHeight="1" x14ac:dyDescent="0.3">
      <c r="L2467" s="2"/>
      <c r="M2467" s="2"/>
      <c r="N2467" s="2">
        <v>8659</v>
      </c>
      <c r="O2467" s="371" t="s">
        <v>2344</v>
      </c>
      <c r="P2467" s="16">
        <v>46210</v>
      </c>
      <c r="Q2467" s="371" t="s">
        <v>5098</v>
      </c>
      <c r="R2467" s="2">
        <f>VLOOKUP(SALIDAS111518[[#This Row],[CÓDIGO]],PRODUCTOS31316[],2,FALSE)</f>
        <v>0</v>
      </c>
      <c r="S2467" s="1" t="str">
        <f>VLOOKUP(SALIDAS111518[[#This Row],[CÓDIGO]],PRODUCTOS31316[],3,FALSE)</f>
        <v>FUNDA DE TRANSFERENCIA DE EMBRIONES 0.25 PUNTA PLÁSTICA MARCA TED</v>
      </c>
      <c r="T2467" s="2">
        <v>50</v>
      </c>
      <c r="U2467" s="2"/>
      <c r="V2467" s="2"/>
      <c r="W2467" s="2"/>
      <c r="X2467" s="2"/>
      <c r="Y2467" s="7"/>
      <c r="Z2467" s="2"/>
      <c r="AA2467" s="1"/>
      <c r="AC2467" s="2"/>
      <c r="AE2467" s="1"/>
      <c r="AG2467" s="2"/>
    </row>
    <row r="2468" spans="12:33" ht="49.95" customHeight="1" x14ac:dyDescent="0.3">
      <c r="L2468" s="2"/>
      <c r="M2468" s="2"/>
      <c r="N2468" s="2">
        <v>8659</v>
      </c>
      <c r="O2468" s="371" t="s">
        <v>2344</v>
      </c>
      <c r="P2468" s="16">
        <v>46210</v>
      </c>
      <c r="Q2468" s="371" t="s">
        <v>2401</v>
      </c>
      <c r="R2468" s="2">
        <f>VLOOKUP(SALIDAS111518[[#This Row],[CÓDIGO]],PRODUCTOS31316[],2,FALSE)</f>
        <v>5540</v>
      </c>
      <c r="S2468" s="1" t="str">
        <f>VLOOKUP(SALIDAS111518[[#This Row],[CÓDIGO]],PRODUCTOS31316[],3,FALSE)</f>
        <v xml:space="preserve">FUNDAS DE TRANSFERENCIA AZUL PUNTA METÁLICA 21"                 </v>
      </c>
      <c r="T2468" s="2">
        <v>5</v>
      </c>
      <c r="U2468" s="2"/>
      <c r="V2468" s="2"/>
      <c r="W2468" s="2"/>
      <c r="X2468" s="2"/>
      <c r="Y2468" s="7"/>
      <c r="Z2468" s="2"/>
      <c r="AA2468" s="1"/>
      <c r="AC2468" s="2"/>
      <c r="AE2468" s="1"/>
      <c r="AG2468" s="2"/>
    </row>
    <row r="2469" spans="12:33" ht="49.95" customHeight="1" x14ac:dyDescent="0.3">
      <c r="L2469" s="2"/>
      <c r="M2469" s="2"/>
      <c r="N2469" s="2">
        <v>8659</v>
      </c>
      <c r="O2469" s="371" t="s">
        <v>2344</v>
      </c>
      <c r="P2469" s="16">
        <v>46210</v>
      </c>
      <c r="Q2469" s="371" t="s">
        <v>2755</v>
      </c>
      <c r="R2469" s="2" t="str">
        <f>VLOOKUP(SALIDAS111518[[#This Row],[CÓDIGO]],PRODUCTOS31316[],2,FALSE)</f>
        <v>MSLDO05</v>
      </c>
      <c r="S2469" s="1" t="str">
        <f>VLOOKUP(SALIDAS111518[[#This Row],[CÓDIGO]],PRODUCTOS31316[],3,FALSE)</f>
        <v>TERMO DE RECOLECCIÓN DE SEMEN/ USO VETERINARIO</v>
      </c>
      <c r="T2469" s="2">
        <v>1</v>
      </c>
      <c r="U2469" s="2"/>
      <c r="V2469" s="2"/>
      <c r="W2469" s="2"/>
      <c r="X2469" s="2"/>
      <c r="Y2469" s="7"/>
      <c r="Z2469" s="2"/>
      <c r="AA2469" s="1"/>
      <c r="AC2469" s="2"/>
      <c r="AE2469" s="1"/>
      <c r="AG2469" s="2"/>
    </row>
    <row r="2470" spans="12:33" ht="49.95" customHeight="1" x14ac:dyDescent="0.3">
      <c r="L2470" s="371" t="s">
        <v>3520</v>
      </c>
      <c r="M2470" s="371" t="s">
        <v>5071</v>
      </c>
      <c r="N2470" s="371" t="s">
        <v>5155</v>
      </c>
      <c r="O2470" s="406" t="s">
        <v>5154</v>
      </c>
      <c r="P2470" s="16">
        <v>46210</v>
      </c>
      <c r="Q2470" s="371" t="s">
        <v>104</v>
      </c>
      <c r="R2470" s="2">
        <f>VLOOKUP(SALIDAS111518[[#This Row],[CÓDIGO]],PRODUCTOS31316[],2,FALSE)</f>
        <v>0</v>
      </c>
      <c r="S2470" s="1" t="str">
        <f>VLOOKUP(SALIDAS111518[[#This Row],[CÓDIGO]],PRODUCTOS31316[],3,FALSE)</f>
        <v>ISPERM CHIPS (500 TESTS PER BOX) PAQ. X 50 UND</v>
      </c>
      <c r="T2470" s="2">
        <v>2</v>
      </c>
      <c r="U2470" s="2">
        <v>1096</v>
      </c>
      <c r="V2470" s="2"/>
      <c r="W2470" s="2"/>
      <c r="X2470" s="2"/>
      <c r="Y2470" s="7"/>
      <c r="Z2470" s="2"/>
      <c r="AA2470" s="1"/>
      <c r="AC2470" s="2"/>
      <c r="AE2470" s="1"/>
      <c r="AG2470" s="2"/>
    </row>
    <row r="2471" spans="12:33" ht="49.95" customHeight="1" x14ac:dyDescent="0.3">
      <c r="L2471" s="371" t="s">
        <v>3520</v>
      </c>
      <c r="M2471" s="371" t="s">
        <v>5071</v>
      </c>
      <c r="N2471" s="371" t="s">
        <v>5111</v>
      </c>
      <c r="O2471" s="372" t="s">
        <v>1811</v>
      </c>
      <c r="P2471" s="16">
        <v>46210</v>
      </c>
      <c r="Q2471" s="371" t="s">
        <v>36</v>
      </c>
      <c r="R2471" s="2">
        <f>VLOOKUP(SALIDAS111518[[#This Row],[CÓDIGO]],PRODUCTOS31316[],2,FALSE)</f>
        <v>1</v>
      </c>
      <c r="S2471" s="1" t="str">
        <f>VLOOKUP(SALIDAS111518[[#This Row],[CÓDIGO]],PRODUCTOS31316[],3,FALSE)</f>
        <v xml:space="preserve">PARCHE ESTROTECT </v>
      </c>
      <c r="T2471" s="2">
        <v>1</v>
      </c>
      <c r="U2471" s="371" t="s">
        <v>5177</v>
      </c>
      <c r="V2471" s="2"/>
      <c r="W2471" s="2"/>
      <c r="X2471" s="2"/>
      <c r="Y2471" s="7"/>
      <c r="Z2471" s="2"/>
      <c r="AA2471" s="1"/>
      <c r="AC2471" s="2"/>
      <c r="AE2471" s="1"/>
      <c r="AG2471" s="2"/>
    </row>
    <row r="2472" spans="12:33" ht="49.95" customHeight="1" x14ac:dyDescent="0.3">
      <c r="L2472" s="371" t="s">
        <v>3520</v>
      </c>
      <c r="M2472" s="371" t="s">
        <v>5071</v>
      </c>
      <c r="N2472" s="371" t="s">
        <v>5112</v>
      </c>
      <c r="O2472" s="372" t="s">
        <v>3589</v>
      </c>
      <c r="P2472" s="16">
        <v>46210</v>
      </c>
      <c r="Q2472" s="371" t="s">
        <v>36</v>
      </c>
      <c r="R2472" s="2">
        <f>VLOOKUP(SALIDAS111518[[#This Row],[CÓDIGO]],PRODUCTOS31316[],2,FALSE)</f>
        <v>1</v>
      </c>
      <c r="S2472" s="1" t="str">
        <f>VLOOKUP(SALIDAS111518[[#This Row],[CÓDIGO]],PRODUCTOS31316[],3,FALSE)</f>
        <v xml:space="preserve">PARCHE ESTROTECT </v>
      </c>
      <c r="T2472" s="2">
        <v>2</v>
      </c>
      <c r="U2472" s="2">
        <v>1098</v>
      </c>
      <c r="V2472" s="2"/>
      <c r="W2472" s="2"/>
      <c r="X2472" s="2"/>
      <c r="Y2472" s="7"/>
      <c r="Z2472" s="2"/>
      <c r="AA2472" s="1"/>
      <c r="AC2472" s="2"/>
      <c r="AE2472" s="1"/>
      <c r="AG2472" s="2"/>
    </row>
    <row r="2473" spans="12:33" ht="49.95" customHeight="1" x14ac:dyDescent="0.3">
      <c r="L2473" s="371" t="s">
        <v>3520</v>
      </c>
      <c r="M2473" s="371" t="s">
        <v>5071</v>
      </c>
      <c r="N2473" s="372" t="s">
        <v>5110</v>
      </c>
      <c r="O2473" s="371" t="s">
        <v>977</v>
      </c>
      <c r="P2473" s="16">
        <v>46210</v>
      </c>
      <c r="Q2473" s="371" t="s">
        <v>33</v>
      </c>
      <c r="R2473" s="2" t="str">
        <f>VLOOKUP(SALIDAS111518[[#This Row],[CÓDIGO]],PRODUCTOS31316[],2,FALSE)</f>
        <v>LA-120 /506003</v>
      </c>
      <c r="S2473" s="1" t="str">
        <f>VLOOKUP(SALIDAS111518[[#This Row],[CÓDIGO]],PRODUCTOS31316[],3,FALSE)</f>
        <v>LíNEA PARA OPU 1,2 METROS</v>
      </c>
      <c r="T2473" s="2">
        <v>35</v>
      </c>
      <c r="U2473" s="2">
        <v>1099</v>
      </c>
      <c r="V2473" s="2"/>
      <c r="W2473" s="2"/>
      <c r="X2473" s="2"/>
      <c r="Y2473" s="7"/>
      <c r="Z2473" s="2"/>
      <c r="AA2473" s="1"/>
      <c r="AC2473" s="2"/>
      <c r="AE2473" s="1"/>
      <c r="AG2473" s="2"/>
    </row>
    <row r="2474" spans="12:33" ht="49.95" customHeight="1" x14ac:dyDescent="0.3">
      <c r="L2474" s="371" t="s">
        <v>3520</v>
      </c>
      <c r="M2474" s="371" t="s">
        <v>5071</v>
      </c>
      <c r="N2474" s="2">
        <v>8571</v>
      </c>
      <c r="O2474" s="371" t="s">
        <v>2936</v>
      </c>
      <c r="P2474" s="16">
        <v>46210</v>
      </c>
      <c r="Q2474" s="371" t="s">
        <v>5109</v>
      </c>
      <c r="R2474" s="2">
        <f>VLOOKUP(SALIDAS111518[[#This Row],[CÓDIGO]],PRODUCTOS31316[],2,FALSE)</f>
        <v>0</v>
      </c>
      <c r="S2474" s="1" t="str">
        <f>VLOOKUP(SALIDAS111518[[#This Row],[CÓDIGO]],PRODUCTOS31316[],3,FALSE)</f>
        <v>ECOGRAFO DP10 MINDRAY BLANCO Y NEGRO SONDA LINELA RECTAL</v>
      </c>
      <c r="T2474" s="2">
        <v>1</v>
      </c>
      <c r="U2474" s="2"/>
      <c r="V2474" s="2"/>
      <c r="W2474" s="2"/>
      <c r="X2474" s="2"/>
      <c r="Y2474" s="7"/>
      <c r="Z2474" s="2"/>
      <c r="AA2474" s="1"/>
      <c r="AC2474" s="2"/>
      <c r="AE2474" s="1"/>
      <c r="AG2474" s="2"/>
    </row>
    <row r="2475" spans="12:33" ht="49.95" customHeight="1" x14ac:dyDescent="0.3">
      <c r="L2475" s="371" t="s">
        <v>3520</v>
      </c>
      <c r="M2475" s="371" t="s">
        <v>5071</v>
      </c>
      <c r="N2475" s="371" t="s">
        <v>5108</v>
      </c>
      <c r="O2475" s="371" t="s">
        <v>5107</v>
      </c>
      <c r="P2475" s="16">
        <v>46211</v>
      </c>
      <c r="Q2475" s="371" t="s">
        <v>3427</v>
      </c>
      <c r="R2475" s="2">
        <f>VLOOKUP(SALIDAS111518[[#This Row],[CÓDIGO]],PRODUCTOS31316[],2,FALSE)</f>
        <v>0</v>
      </c>
      <c r="S2475" s="1" t="str">
        <f>VLOOKUP(SALIDAS111518[[#This Row],[CÓDIGO]],PRODUCTOS31316[],3,FALSE)</f>
        <v>PROTECTOR SOLAR ECÓGRAFO DAWEI S1</v>
      </c>
      <c r="T2475" s="2">
        <v>1</v>
      </c>
      <c r="U2475" s="2">
        <v>1100</v>
      </c>
      <c r="V2475" s="2"/>
      <c r="W2475" s="2"/>
      <c r="X2475" s="2"/>
      <c r="Y2475" s="7"/>
      <c r="Z2475" s="2"/>
      <c r="AA2475" s="1"/>
      <c r="AC2475" s="2"/>
      <c r="AE2475" s="1"/>
      <c r="AG2475" s="2"/>
    </row>
    <row r="2476" spans="12:33" ht="49.95" customHeight="1" x14ac:dyDescent="0.3">
      <c r="L2476" s="371" t="s">
        <v>3520</v>
      </c>
      <c r="M2476" s="371" t="s">
        <v>5071</v>
      </c>
      <c r="N2476" s="371" t="s">
        <v>5106</v>
      </c>
      <c r="O2476" s="371" t="s">
        <v>1358</v>
      </c>
      <c r="P2476" s="16">
        <v>46211</v>
      </c>
      <c r="Q2476" s="371" t="s">
        <v>27</v>
      </c>
      <c r="R2476" s="2" t="str">
        <f>VLOOKUP(SALIDAS111518[[#This Row],[CÓDIGO]],PRODUCTOS31316[],2,FALSE)</f>
        <v>INO-025/ 508001</v>
      </c>
      <c r="S2476" s="1" t="str">
        <f>VLOOKUP(SALIDAS111518[[#This Row],[CÓDIGO]],PRODUCTOS31316[],3,FALSE)</f>
        <v>PISTOLA DE TRANSFERENCIA DE EMBRIONES</v>
      </c>
      <c r="T2476" s="2">
        <v>2</v>
      </c>
      <c r="U2476" s="2">
        <v>1101</v>
      </c>
      <c r="V2476" s="2"/>
      <c r="W2476" s="2"/>
      <c r="X2476" s="2"/>
      <c r="Y2476" s="7"/>
      <c r="Z2476" s="2"/>
      <c r="AA2476" s="1"/>
      <c r="AC2476" s="2"/>
      <c r="AE2476" s="1"/>
      <c r="AG2476" s="2"/>
    </row>
    <row r="2477" spans="12:33" ht="49.95" customHeight="1" x14ac:dyDescent="0.3">
      <c r="L2477" s="2"/>
      <c r="M2477" s="2"/>
      <c r="N2477" s="2">
        <v>8664</v>
      </c>
      <c r="O2477" s="371" t="s">
        <v>1358</v>
      </c>
      <c r="P2477" s="16">
        <v>46211</v>
      </c>
      <c r="Q2477" s="371" t="s">
        <v>153</v>
      </c>
      <c r="R2477" s="2">
        <f>VLOOKUP(SALIDAS111518[[#This Row],[CÓDIGO]],PRODUCTOS31316[],2,FALSE)</f>
        <v>1132</v>
      </c>
      <c r="S2477" s="1" t="str">
        <f>VLOOKUP(SALIDAS111518[[#This Row],[CÓDIGO]],PRODUCTOS31316[],3,FALSE)</f>
        <v>PISTOLA QUICKLOCK CLASIC</v>
      </c>
      <c r="T2477" s="2">
        <v>1</v>
      </c>
      <c r="U2477" s="2"/>
      <c r="V2477" s="2"/>
      <c r="W2477" s="2"/>
      <c r="X2477" s="2"/>
      <c r="Y2477" s="7"/>
      <c r="Z2477" s="2"/>
      <c r="AA2477" s="1"/>
      <c r="AC2477" s="2"/>
      <c r="AE2477" s="1"/>
      <c r="AG2477" s="2"/>
    </row>
    <row r="2478" spans="12:33" ht="49.95" customHeight="1" x14ac:dyDescent="0.3">
      <c r="L2478" s="371" t="s">
        <v>3520</v>
      </c>
      <c r="M2478" s="371" t="s">
        <v>5071</v>
      </c>
      <c r="N2478" s="371" t="s">
        <v>5105</v>
      </c>
      <c r="O2478" s="372" t="s">
        <v>5104</v>
      </c>
      <c r="P2478" s="16">
        <v>46211</v>
      </c>
      <c r="Q2478" s="371" t="s">
        <v>3142</v>
      </c>
      <c r="R2478" s="2">
        <f>VLOOKUP(SALIDAS111518[[#This Row],[CÓDIGO]],PRODUCTOS31316[],2,FALSE)</f>
        <v>16301</v>
      </c>
      <c r="S2478" s="1" t="str">
        <f>VLOOKUP(SALIDAS111518[[#This Row],[CÓDIGO]],PRODUCTOS31316[],3,FALSE)</f>
        <v>PISTOLA DE TRANSFERENCIA DE EMBRIONES 0,25 DE MANGO DE ALUMINIO</v>
      </c>
      <c r="T2478" s="2">
        <v>4</v>
      </c>
      <c r="U2478" s="2">
        <v>1102</v>
      </c>
      <c r="V2478" s="2"/>
      <c r="W2478" s="2"/>
      <c r="X2478" s="2"/>
      <c r="Y2478" s="7"/>
      <c r="Z2478" s="2"/>
      <c r="AA2478" s="1"/>
      <c r="AC2478" s="2"/>
      <c r="AE2478" s="1"/>
      <c r="AG2478" s="2"/>
    </row>
    <row r="2479" spans="12:33" ht="49.95" customHeight="1" x14ac:dyDescent="0.3">
      <c r="L2479" s="371" t="s">
        <v>3520</v>
      </c>
      <c r="M2479" s="371" t="s">
        <v>5071</v>
      </c>
      <c r="N2479" s="418" t="s">
        <v>5103</v>
      </c>
      <c r="O2479" s="420" t="s">
        <v>3120</v>
      </c>
      <c r="P2479" s="16">
        <v>46211</v>
      </c>
      <c r="Q2479" s="371" t="s">
        <v>336</v>
      </c>
      <c r="R2479" s="2">
        <f>VLOOKUP(SALIDAS111518[[#This Row],[CÓDIGO]],PRODUCTOS31316[],2,FALSE)</f>
        <v>0</v>
      </c>
      <c r="S2479" s="1" t="str">
        <f>VLOOKUP(SALIDAS111518[[#This Row],[CÓDIGO]],PRODUCTOS31316[],3,FALSE)</f>
        <v>ABT PVA CONCENTRAD 20 ML VC ENERO 2027</v>
      </c>
      <c r="T2479" s="2">
        <v>2</v>
      </c>
      <c r="U2479" s="2">
        <v>1103</v>
      </c>
      <c r="V2479" s="2"/>
      <c r="W2479" s="371" t="s">
        <v>3412</v>
      </c>
      <c r="X2479" s="2"/>
      <c r="Y2479" s="7"/>
      <c r="Z2479" s="2"/>
      <c r="AA2479" s="1"/>
      <c r="AC2479" s="2"/>
      <c r="AE2479" s="1"/>
      <c r="AG2479" s="2"/>
    </row>
    <row r="2480" spans="12:33" ht="49.95" customHeight="1" x14ac:dyDescent="0.3">
      <c r="L2480" s="2"/>
      <c r="M2480" s="2"/>
      <c r="N2480" s="2">
        <v>8666</v>
      </c>
      <c r="O2480" s="372" t="s">
        <v>3120</v>
      </c>
      <c r="P2480" s="16">
        <v>46211</v>
      </c>
      <c r="Q2480" s="371" t="s">
        <v>79</v>
      </c>
      <c r="R2480" s="2" t="str">
        <f>VLOOKUP(SALIDAS111518[[#This Row],[CÓDIGO]],PRODUCTOS31316[],2,FALSE)</f>
        <v>ABT ADAPT HOLDING</v>
      </c>
      <c r="S2480" s="1" t="str">
        <f>VLOOKUP(SALIDAS111518[[#This Row],[CÓDIGO]],PRODUCTOS31316[],3,FALSE)</f>
        <v>ABT ADAPT HOLDING CON HA 7 ML</v>
      </c>
      <c r="T2480" s="2">
        <v>2</v>
      </c>
      <c r="U2480" s="2"/>
      <c r="V2480" s="2"/>
      <c r="W2480" s="2"/>
      <c r="X2480" s="2"/>
      <c r="Y2480" s="7"/>
      <c r="Z2480" s="2"/>
      <c r="AA2480" s="1"/>
      <c r="AC2480" s="2"/>
      <c r="AE2480" s="1"/>
      <c r="AG2480" s="2"/>
    </row>
    <row r="2481" spans="12:33" ht="49.95" customHeight="1" x14ac:dyDescent="0.3">
      <c r="L2481" s="2"/>
      <c r="M2481" s="2"/>
      <c r="N2481" s="2">
        <v>8666</v>
      </c>
      <c r="O2481" s="372" t="s">
        <v>3120</v>
      </c>
      <c r="P2481" s="16">
        <v>46211</v>
      </c>
      <c r="Q2481" s="371" t="s">
        <v>3165</v>
      </c>
      <c r="R2481" s="2">
        <f>VLOOKUP(SALIDAS111518[[#This Row],[CÓDIGO]],PRODUCTOS31316[],2,FALSE)</f>
        <v>30943</v>
      </c>
      <c r="S2481" s="1" t="str">
        <f>VLOOKUP(SALIDAS111518[[#This Row],[CÓDIGO]],PRODUCTOS31316[],3,FALSE)</f>
        <v xml:space="preserve">CAJA PETRI DESECHABLE ESTERIL 90X 15 </v>
      </c>
      <c r="T2481" s="2">
        <v>4</v>
      </c>
      <c r="U2481" s="2"/>
      <c r="V2481" s="2"/>
      <c r="W2481" s="2"/>
      <c r="X2481" s="2"/>
      <c r="Y2481" s="7"/>
      <c r="Z2481" s="2"/>
      <c r="AA2481" s="1"/>
      <c r="AC2481" s="2"/>
      <c r="AE2481" s="1"/>
      <c r="AG2481" s="2"/>
    </row>
    <row r="2482" spans="12:33" ht="49.95" customHeight="1" x14ac:dyDescent="0.3">
      <c r="L2482" s="2"/>
      <c r="M2482" s="2"/>
      <c r="N2482" s="2">
        <v>8666</v>
      </c>
      <c r="O2482" s="372" t="s">
        <v>3120</v>
      </c>
      <c r="P2482" s="16">
        <v>46211</v>
      </c>
      <c r="Q2482" s="371" t="s">
        <v>360</v>
      </c>
      <c r="R2482" s="2">
        <f>VLOOKUP(SALIDAS111518[[#This Row],[CÓDIGO]],PRODUCTOS31316[],2,FALSE)</f>
        <v>505006</v>
      </c>
      <c r="S2482" s="1" t="str">
        <f>VLOOKUP(SALIDAS111518[[#This Row],[CÓDIGO]],PRODUCTOS31316[],3,FALSE)</f>
        <v>LACRADOR REDONDO AMARILLO</v>
      </c>
      <c r="T2482" s="2">
        <v>1</v>
      </c>
      <c r="U2482" s="2"/>
      <c r="V2482" s="2"/>
      <c r="W2482" s="2"/>
      <c r="X2482" s="2"/>
      <c r="Y2482" s="7"/>
      <c r="Z2482" s="2"/>
      <c r="AA2482" s="1"/>
      <c r="AC2482" s="2"/>
      <c r="AE2482" s="1"/>
      <c r="AG2482" s="2"/>
    </row>
    <row r="2483" spans="12:33" ht="49.95" customHeight="1" x14ac:dyDescent="0.3">
      <c r="L2483" s="2"/>
      <c r="M2483" s="2"/>
      <c r="N2483" s="2">
        <v>8666</v>
      </c>
      <c r="O2483" s="372" t="s">
        <v>3120</v>
      </c>
      <c r="P2483" s="16">
        <v>46211</v>
      </c>
      <c r="Q2483" s="371" t="s">
        <v>5098</v>
      </c>
      <c r="R2483" s="2">
        <f>VLOOKUP(SALIDAS111518[[#This Row],[CÓDIGO]],PRODUCTOS31316[],2,FALSE)</f>
        <v>0</v>
      </c>
      <c r="S2483" s="1" t="str">
        <f>VLOOKUP(SALIDAS111518[[#This Row],[CÓDIGO]],PRODUCTOS31316[],3,FALSE)</f>
        <v>FUNDA DE TRANSFERENCIA DE EMBRIONES 0.25 PUNTA PLÁSTICA MARCA TED</v>
      </c>
      <c r="T2483" s="2">
        <v>4</v>
      </c>
      <c r="U2483" s="2"/>
      <c r="V2483" s="2"/>
      <c r="W2483" s="2"/>
      <c r="X2483" s="2"/>
      <c r="Y2483" s="7"/>
      <c r="Z2483" s="2"/>
      <c r="AA2483" s="1"/>
      <c r="AC2483" s="2"/>
      <c r="AE2483" s="1"/>
      <c r="AG2483" s="2"/>
    </row>
    <row r="2484" spans="12:33" ht="49.95" customHeight="1" x14ac:dyDescent="0.3">
      <c r="L2484" s="371" t="s">
        <v>3520</v>
      </c>
      <c r="M2484" s="371" t="s">
        <v>5071</v>
      </c>
      <c r="N2484" s="371" t="s">
        <v>5102</v>
      </c>
      <c r="O2484" s="372" t="s">
        <v>2667</v>
      </c>
      <c r="P2484" s="16">
        <v>46211</v>
      </c>
      <c r="Q2484" s="371" t="s">
        <v>63</v>
      </c>
      <c r="R2484" s="2">
        <f>VLOOKUP(SALIDAS111518[[#This Row],[CÓDIGO]],PRODUCTOS31316[],2,FALSE)</f>
        <v>25458</v>
      </c>
      <c r="S2484" s="1" t="str">
        <f>VLOOKUP(SALIDAS111518[[#This Row],[CÓDIGO]],PRODUCTOS31316[],3,FALSE)</f>
        <v>FILTROS PARA OPU 100 UL</v>
      </c>
      <c r="T2484" s="2">
        <v>1</v>
      </c>
      <c r="U2484" s="2">
        <v>1104</v>
      </c>
      <c r="V2484" s="2"/>
      <c r="W2484" s="2"/>
      <c r="X2484" s="2"/>
      <c r="Y2484" s="7"/>
      <c r="Z2484" s="2"/>
      <c r="AA2484" s="1"/>
      <c r="AC2484" s="2"/>
      <c r="AE2484" s="1"/>
      <c r="AG2484" s="2"/>
    </row>
    <row r="2485" spans="12:33" ht="49.95" customHeight="1" x14ac:dyDescent="0.3">
      <c r="L2485" s="371"/>
      <c r="M2485" s="371"/>
      <c r="N2485" s="2">
        <v>8667</v>
      </c>
      <c r="O2485" s="372" t="s">
        <v>2667</v>
      </c>
      <c r="P2485" s="16">
        <v>46211</v>
      </c>
      <c r="Q2485" s="371" t="s">
        <v>168</v>
      </c>
      <c r="R2485" s="2">
        <f>VLOOKUP(SALIDAS111518[[#This Row],[CÓDIGO]],PRODUCTOS31316[],2,FALSE)</f>
        <v>4840</v>
      </c>
      <c r="S2485" s="1" t="str">
        <f>VLOOKUP(SALIDAS111518[[#This Row],[CÓDIGO]],PRODUCTOS31316[],3,FALSE)</f>
        <v>PUNTAS BLANCAS UNIVERSALES, PLÁSTICAS, LIBRES DE DNASAS, RNASA Y PIROGENOS, RANGO DE 0.1 A 10UL. (CORTAS).</v>
      </c>
      <c r="T2485" s="2">
        <v>1</v>
      </c>
      <c r="U2485" s="2"/>
      <c r="V2485" s="2"/>
      <c r="W2485" s="2"/>
      <c r="X2485" s="2"/>
      <c r="Y2485" s="7"/>
      <c r="Z2485" s="2"/>
      <c r="AA2485" s="1"/>
      <c r="AC2485" s="2"/>
      <c r="AE2485" s="1"/>
      <c r="AG2485" s="2"/>
    </row>
    <row r="2486" spans="12:33" ht="49.95" customHeight="1" x14ac:dyDescent="0.3">
      <c r="L2486" s="371"/>
      <c r="M2486" s="371"/>
      <c r="N2486" s="2">
        <v>8667</v>
      </c>
      <c r="O2486" s="372" t="s">
        <v>2667</v>
      </c>
      <c r="P2486" s="16">
        <v>46211</v>
      </c>
      <c r="Q2486" s="371" t="s">
        <v>167</v>
      </c>
      <c r="R2486" s="2" t="str">
        <f>VLOOKUP(SALIDAS111518[[#This Row],[CÓDIGO]],PRODUCTOS31316[],2,FALSE)</f>
        <v>50050-1</v>
      </c>
      <c r="S2486" s="1" t="str">
        <f>VLOOKUP(SALIDAS111518[[#This Row],[CÓDIGO]],PRODUCTOS31316[],3,FALSE)</f>
        <v>TUBO CONICO PLUG, AUTOCLAVABLE ESTERIL  TAPA ROSCA DE 50 ML</v>
      </c>
      <c r="T2486" s="2">
        <v>4</v>
      </c>
      <c r="U2486" s="2"/>
      <c r="V2486" s="2"/>
      <c r="W2486" s="2"/>
      <c r="X2486" s="2"/>
      <c r="Y2486" s="7"/>
      <c r="Z2486" s="2"/>
      <c r="AA2486" s="1"/>
      <c r="AC2486" s="2"/>
      <c r="AE2486" s="1"/>
      <c r="AG2486" s="2"/>
    </row>
    <row r="2487" spans="12:33" ht="49.95" customHeight="1" x14ac:dyDescent="0.3">
      <c r="L2487" s="371"/>
      <c r="M2487" s="371"/>
      <c r="N2487" s="2">
        <v>8667</v>
      </c>
      <c r="O2487" s="372" t="s">
        <v>2667</v>
      </c>
      <c r="P2487" s="16">
        <v>46211</v>
      </c>
      <c r="Q2487" s="371" t="s">
        <v>3355</v>
      </c>
      <c r="R2487" s="2">
        <f>VLOOKUP(SALIDAS111518[[#This Row],[CÓDIGO]],PRODUCTOS31316[],2,FALSE)</f>
        <v>140681</v>
      </c>
      <c r="S2487" s="1" t="str">
        <f>VLOOKUP(SALIDAS111518[[#This Row],[CÓDIGO]],PRODUCTOS31316[],3,FALSE)</f>
        <v>CAJA DE PETRI DESECHABLE ESTERIL 60x15MM.</v>
      </c>
      <c r="T2487" s="2">
        <v>10</v>
      </c>
      <c r="U2487" s="2"/>
      <c r="V2487" s="2"/>
      <c r="W2487" s="2"/>
      <c r="X2487" s="2"/>
      <c r="Y2487" s="7"/>
      <c r="Z2487" s="2"/>
      <c r="AA2487" s="1"/>
      <c r="AC2487" s="2"/>
      <c r="AE2487" s="1"/>
      <c r="AG2487" s="2"/>
    </row>
    <row r="2488" spans="12:33" ht="62.4" customHeight="1" x14ac:dyDescent="0.3">
      <c r="L2488" s="371" t="s">
        <v>3520</v>
      </c>
      <c r="M2488" s="371" t="s">
        <v>5071</v>
      </c>
      <c r="N2488" s="371" t="s">
        <v>5101</v>
      </c>
      <c r="O2488" s="371" t="s">
        <v>3996</v>
      </c>
      <c r="P2488" s="16">
        <v>46211</v>
      </c>
      <c r="Q2488" s="371" t="s">
        <v>5098</v>
      </c>
      <c r="R2488" s="2">
        <f>VLOOKUP(SALIDAS111518[[#This Row],[CÓDIGO]],PRODUCTOS31316[],2,FALSE)</f>
        <v>0</v>
      </c>
      <c r="S2488" s="1" t="str">
        <f>VLOOKUP(SALIDAS111518[[#This Row],[CÓDIGO]],PRODUCTOS31316[],3,FALSE)</f>
        <v>FUNDA DE TRANSFERENCIA DE EMBRIONES 0.25 PUNTA PLÁSTICA MARCA TED</v>
      </c>
      <c r="T2488" s="2">
        <v>2</v>
      </c>
      <c r="U2488" s="2">
        <v>1105</v>
      </c>
      <c r="V2488" s="2"/>
      <c r="W2488" s="2"/>
      <c r="X2488" s="2"/>
      <c r="Y2488" s="7"/>
      <c r="Z2488" s="2"/>
      <c r="AA2488" s="1"/>
      <c r="AC2488" s="2"/>
      <c r="AE2488" s="1"/>
      <c r="AG2488" s="2"/>
    </row>
    <row r="2489" spans="12:33" ht="49.95" customHeight="1" x14ac:dyDescent="0.3">
      <c r="L2489" s="371" t="s">
        <v>3520</v>
      </c>
      <c r="M2489" s="371" t="s">
        <v>5071</v>
      </c>
      <c r="N2489" s="371" t="s">
        <v>5100</v>
      </c>
      <c r="O2489" s="371" t="s">
        <v>5099</v>
      </c>
      <c r="P2489" s="16">
        <v>46211</v>
      </c>
      <c r="Q2489" s="371" t="s">
        <v>5098</v>
      </c>
      <c r="R2489" s="2">
        <f>VLOOKUP(SALIDAS111518[[#This Row],[CÓDIGO]],PRODUCTOS31316[],2,FALSE)</f>
        <v>0</v>
      </c>
      <c r="S2489" s="1" t="str">
        <f>VLOOKUP(SALIDAS111518[[#This Row],[CÓDIGO]],PRODUCTOS31316[],3,FALSE)</f>
        <v>FUNDA DE TRANSFERENCIA DE EMBRIONES 0.25 PUNTA PLÁSTICA MARCA TED</v>
      </c>
      <c r="T2489" s="2">
        <v>30</v>
      </c>
      <c r="U2489" s="2">
        <v>1106</v>
      </c>
      <c r="V2489" s="2"/>
      <c r="W2489" s="2"/>
      <c r="X2489" s="2"/>
      <c r="Y2489" s="7"/>
      <c r="Z2489" s="2"/>
      <c r="AA2489" s="1"/>
      <c r="AC2489" s="2"/>
      <c r="AE2489" s="1"/>
      <c r="AG2489" s="2"/>
    </row>
    <row r="2490" spans="12:33" ht="49.95" customHeight="1" x14ac:dyDescent="0.3">
      <c r="L2490" s="371" t="s">
        <v>3520</v>
      </c>
      <c r="M2490" s="371" t="s">
        <v>5071</v>
      </c>
      <c r="N2490" s="371" t="s">
        <v>5094</v>
      </c>
      <c r="O2490" s="371" t="s">
        <v>5095</v>
      </c>
      <c r="P2490" s="16">
        <v>46211</v>
      </c>
      <c r="Q2490" s="371" t="s">
        <v>168</v>
      </c>
      <c r="R2490" s="2">
        <f>VLOOKUP(SALIDAS111518[[#This Row],[CÓDIGO]],PRODUCTOS31316[],2,FALSE)</f>
        <v>4840</v>
      </c>
      <c r="S2490" s="1" t="str">
        <f>VLOOKUP(SALIDAS111518[[#This Row],[CÓDIGO]],PRODUCTOS31316[],3,FALSE)</f>
        <v>PUNTAS BLANCAS UNIVERSALES, PLÁSTICAS, LIBRES DE DNASAS, RNASA Y PIROGENOS, RANGO DE 0.1 A 10UL. (CORTAS).</v>
      </c>
      <c r="T2490" s="2">
        <v>5</v>
      </c>
      <c r="U2490" s="2">
        <v>1107</v>
      </c>
      <c r="V2490" s="2"/>
      <c r="W2490" s="2"/>
      <c r="X2490" s="2"/>
      <c r="Y2490" s="7"/>
      <c r="Z2490" s="2"/>
      <c r="AA2490" s="1"/>
      <c r="AC2490" s="2"/>
      <c r="AE2490" s="1"/>
      <c r="AG2490" s="2"/>
    </row>
    <row r="2491" spans="12:33" ht="49.95" customHeight="1" x14ac:dyDescent="0.3">
      <c r="L2491" s="2"/>
      <c r="M2491" s="2"/>
      <c r="N2491" s="2">
        <v>8670</v>
      </c>
      <c r="O2491" s="371" t="s">
        <v>5095</v>
      </c>
      <c r="P2491" s="16">
        <v>46211</v>
      </c>
      <c r="Q2491" s="371" t="s">
        <v>2809</v>
      </c>
      <c r="R2491" s="2">
        <f>VLOOKUP(SALIDAS111518[[#This Row],[CÓDIGO]],PRODUCTOS31316[],2,FALSE)</f>
        <v>5565</v>
      </c>
      <c r="S2491" s="1" t="str">
        <f>VLOOKUP(SALIDAS111518[[#This Row],[CÓDIGO]],PRODUCTOS31316[],3,FALSE)</f>
        <v>PAJILLAS TRANSPARENTES 0,25</v>
      </c>
      <c r="T2491" s="2">
        <v>3</v>
      </c>
      <c r="U2491" s="2"/>
      <c r="V2491" s="2"/>
      <c r="W2491" s="2"/>
      <c r="X2491" s="2"/>
      <c r="Y2491" s="7"/>
      <c r="Z2491" s="2"/>
      <c r="AA2491" s="1"/>
      <c r="AC2491" s="2"/>
      <c r="AE2491" s="1"/>
      <c r="AG2491" s="2"/>
    </row>
    <row r="2492" spans="12:33" ht="49.95" customHeight="1" x14ac:dyDescent="0.3">
      <c r="L2492" s="2"/>
      <c r="M2492" s="2"/>
      <c r="N2492" s="2">
        <v>8670</v>
      </c>
      <c r="O2492" s="371" t="s">
        <v>5095</v>
      </c>
      <c r="P2492" s="16">
        <v>46211</v>
      </c>
      <c r="Q2492" s="371" t="s">
        <v>4140</v>
      </c>
      <c r="R2492" s="2">
        <f>VLOOKUP(SALIDAS111518[[#This Row],[CÓDIGO]],PRODUCTOS31316[],2,FALSE)</f>
        <v>5575</v>
      </c>
      <c r="S2492" s="1" t="str">
        <f>VLOOKUP(SALIDAS111518[[#This Row],[CÓDIGO]],PRODUCTOS31316[],3,FALSE)</f>
        <v>PAJUELA AMARILLA 0.25/ PAQUETE X 2000</v>
      </c>
      <c r="T2492" s="2">
        <v>1</v>
      </c>
      <c r="U2492" s="2"/>
      <c r="V2492" s="2"/>
      <c r="W2492" s="2"/>
      <c r="X2492" s="2"/>
      <c r="Y2492" s="7"/>
      <c r="Z2492" s="2"/>
      <c r="AA2492" s="1"/>
      <c r="AC2492" s="2"/>
      <c r="AE2492" s="1"/>
      <c r="AG2492" s="2"/>
    </row>
    <row r="2493" spans="12:33" ht="49.95" customHeight="1" x14ac:dyDescent="0.3">
      <c r="L2493" s="2"/>
      <c r="M2493" s="2"/>
      <c r="N2493" s="2">
        <v>8670</v>
      </c>
      <c r="O2493" s="371" t="s">
        <v>5095</v>
      </c>
      <c r="P2493" s="16">
        <v>46211</v>
      </c>
      <c r="Q2493" s="371" t="s">
        <v>572</v>
      </c>
      <c r="R2493" s="2">
        <f>VLOOKUP(SALIDAS111518[[#This Row],[CÓDIGO]],PRODUCTOS31316[],2,FALSE)</f>
        <v>70175</v>
      </c>
      <c r="S2493" s="1" t="str">
        <f>VLOOKUP(SALIDAS111518[[#This Row],[CÓDIGO]],PRODUCTOS31316[],3,FALSE)</f>
        <v>FRASCOS PARA CULTIVO CELULAR X 75 CM PS, TAPA SIN FILTRO ESTERIL TRATADO</v>
      </c>
      <c r="T2493" s="2">
        <v>1</v>
      </c>
      <c r="U2493" s="2"/>
      <c r="V2493" s="2"/>
      <c r="W2493" s="2"/>
      <c r="X2493" s="2"/>
      <c r="Y2493" s="7"/>
      <c r="Z2493" s="2"/>
      <c r="AA2493" s="1"/>
      <c r="AC2493" s="2"/>
      <c r="AE2493" s="1"/>
      <c r="AG2493" s="2"/>
    </row>
    <row r="2494" spans="12:33" ht="49.95" customHeight="1" x14ac:dyDescent="0.3">
      <c r="L2494" s="2"/>
      <c r="M2494" s="2"/>
      <c r="N2494" s="2">
        <v>8670</v>
      </c>
      <c r="O2494" s="371" t="s">
        <v>5095</v>
      </c>
      <c r="P2494" s="16">
        <v>46211</v>
      </c>
      <c r="Q2494" s="371" t="s">
        <v>455</v>
      </c>
      <c r="R2494" s="2">
        <f>VLOOKUP(SALIDAS111518[[#This Row],[CÓDIGO]],PRODUCTOS31316[],2,FALSE)</f>
        <v>0</v>
      </c>
      <c r="S2494" s="1" t="str">
        <f>VLOOKUP(SALIDAS111518[[#This Row],[CÓDIGO]],PRODUCTOS31316[],3,FALSE)</f>
        <v>ESCALERILLAS PARA GOBLETS DE 13 MM</v>
      </c>
      <c r="T2494" s="2">
        <v>1</v>
      </c>
      <c r="U2494" s="2"/>
      <c r="V2494" s="2"/>
      <c r="W2494" s="2"/>
      <c r="X2494" s="2"/>
      <c r="Y2494" s="7"/>
      <c r="Z2494" s="2"/>
      <c r="AA2494" s="1"/>
      <c r="AC2494" s="2"/>
      <c r="AE2494" s="1"/>
      <c r="AG2494" s="2"/>
    </row>
    <row r="2495" spans="12:33" ht="49.95" customHeight="1" x14ac:dyDescent="0.3">
      <c r="L2495" s="2"/>
      <c r="M2495" s="2"/>
      <c r="N2495" s="2">
        <v>8670</v>
      </c>
      <c r="O2495" s="371" t="s">
        <v>5095</v>
      </c>
      <c r="P2495" s="16">
        <v>46211</v>
      </c>
      <c r="Q2495" s="371" t="s">
        <v>819</v>
      </c>
      <c r="R2495" s="2">
        <f>VLOOKUP(SALIDAS111518[[#This Row],[CÓDIGO]],PRODUCTOS31316[],2,FALSE)</f>
        <v>0</v>
      </c>
      <c r="S2495" s="1" t="str">
        <f>VLOOKUP(SALIDAS111518[[#This Row],[CÓDIGO]],PRODUCTOS31316[],3,FALSE)</f>
        <v>GOBLET DE 13 MM AMARILLO</v>
      </c>
      <c r="T2495" s="2">
        <v>2</v>
      </c>
      <c r="U2495" s="2"/>
      <c r="V2495" s="2"/>
      <c r="W2495" s="2"/>
      <c r="X2495" s="2"/>
      <c r="Y2495" s="7"/>
      <c r="Z2495" s="2"/>
      <c r="AA2495" s="1"/>
      <c r="AC2495" s="2"/>
      <c r="AE2495" s="1"/>
      <c r="AG2495" s="2"/>
    </row>
    <row r="2496" spans="12:33" ht="49.95" customHeight="1" x14ac:dyDescent="0.3">
      <c r="L2496" s="2"/>
      <c r="M2496" s="2"/>
      <c r="N2496" s="2">
        <v>8670</v>
      </c>
      <c r="O2496" s="371" t="s">
        <v>5095</v>
      </c>
      <c r="P2496" s="16">
        <v>46211</v>
      </c>
      <c r="Q2496" s="371" t="s">
        <v>602</v>
      </c>
      <c r="R2496" s="2">
        <f>VLOOKUP(SALIDAS111518[[#This Row],[CÓDIGO]],PRODUCTOS31316[],2,FALSE)</f>
        <v>4845</v>
      </c>
      <c r="S2496" s="1" t="str">
        <f>VLOOKUP(SALIDAS111518[[#This Row],[CÓDIGO]],PRODUCTOS31316[],3,FALSE)</f>
        <v>PUNTAS AMARILLAS, UNIVERSALES. PLASTICAS, NO ESTERIL. LIBRES DE RNASE, DNASE Y PYROGENOS. RANGO DE 1-200UL. BOLSA X1000UDS.</v>
      </c>
      <c r="T2496" s="2">
        <v>5</v>
      </c>
      <c r="U2496" s="2"/>
      <c r="V2496" s="2"/>
      <c r="W2496" s="2"/>
      <c r="X2496" s="2"/>
      <c r="Y2496" s="7"/>
      <c r="Z2496" s="2"/>
      <c r="AA2496" s="1"/>
      <c r="AC2496" s="2"/>
      <c r="AE2496" s="1"/>
      <c r="AG2496" s="2"/>
    </row>
    <row r="2497" spans="12:33" ht="49.95" customHeight="1" x14ac:dyDescent="0.3">
      <c r="L2497" s="2"/>
      <c r="M2497" s="2"/>
      <c r="N2497" s="2">
        <v>8670</v>
      </c>
      <c r="O2497" s="371" t="s">
        <v>5095</v>
      </c>
      <c r="P2497" s="16">
        <v>46211</v>
      </c>
      <c r="Q2497" s="371" t="s">
        <v>210</v>
      </c>
      <c r="R2497" s="2">
        <f>VLOOKUP(SALIDAS111518[[#This Row],[CÓDIGO]],PRODUCTOS31316[],2,FALSE)</f>
        <v>101257</v>
      </c>
      <c r="S2497" s="1" t="str">
        <f>VLOOKUP(SALIDAS111518[[#This Row],[CÓDIGO]],PRODUCTOS31316[],3,FALSE)</f>
        <v>MANGA DESECHABLE SUPER SENSITIVA</v>
      </c>
      <c r="T2497" s="2">
        <v>4</v>
      </c>
      <c r="U2497" s="2"/>
      <c r="V2497" s="2"/>
      <c r="W2497" s="2"/>
      <c r="X2497" s="2"/>
      <c r="Y2497" s="7"/>
      <c r="Z2497" s="2"/>
      <c r="AA2497" s="1"/>
      <c r="AC2497" s="2"/>
      <c r="AE2497" s="1"/>
      <c r="AG2497" s="2"/>
    </row>
    <row r="2498" spans="12:33" ht="49.95" customHeight="1" x14ac:dyDescent="0.3">
      <c r="L2498" s="2"/>
      <c r="M2498" s="2"/>
      <c r="N2498" s="2">
        <v>8670</v>
      </c>
      <c r="O2498" s="371" t="s">
        <v>5095</v>
      </c>
      <c r="P2498" s="16">
        <v>46211</v>
      </c>
      <c r="Q2498" s="371" t="s">
        <v>2246</v>
      </c>
      <c r="R2498" s="2" t="str">
        <f>VLOOKUP(SALIDAS111518[[#This Row],[CÓDIGO]],PRODUCTOS31316[],2,FALSE)</f>
        <v>00051076-02</v>
      </c>
      <c r="S2498" s="1" t="str">
        <f>VLOOKUP(SALIDAS111518[[#This Row],[CÓDIGO]],PRODUCTOS31316[],3,FALSE)</f>
        <v>LIDOCAÍNA  HCL 2 % X 100 ML/ 2025-12-16</v>
      </c>
      <c r="T2498" s="2">
        <v>10</v>
      </c>
      <c r="U2498" s="2"/>
      <c r="V2498" s="2"/>
      <c r="W2498" s="2"/>
      <c r="X2498" s="2"/>
      <c r="Y2498" s="7"/>
      <c r="Z2498" s="2"/>
      <c r="AA2498" s="1"/>
      <c r="AC2498" s="2"/>
      <c r="AE2498" s="1"/>
      <c r="AG2498" s="2"/>
    </row>
    <row r="2499" spans="12:33" ht="49.95" customHeight="1" x14ac:dyDescent="0.3">
      <c r="L2499" s="2"/>
      <c r="M2499" s="2"/>
      <c r="N2499" s="2">
        <v>8670</v>
      </c>
      <c r="O2499" s="371" t="s">
        <v>5095</v>
      </c>
      <c r="P2499" s="16">
        <v>46211</v>
      </c>
      <c r="Q2499" s="371" t="s">
        <v>33</v>
      </c>
      <c r="R2499" s="2" t="str">
        <f>VLOOKUP(SALIDAS111518[[#This Row],[CÓDIGO]],PRODUCTOS31316[],2,FALSE)</f>
        <v>LA-120 /506003</v>
      </c>
      <c r="S2499" s="1" t="str">
        <f>VLOOKUP(SALIDAS111518[[#This Row],[CÓDIGO]],PRODUCTOS31316[],3,FALSE)</f>
        <v>LíNEA PARA OPU 1,2 METROS</v>
      </c>
      <c r="T2499" s="2">
        <v>15</v>
      </c>
      <c r="U2499" s="2"/>
      <c r="V2499" s="2"/>
      <c r="W2499" s="2"/>
      <c r="X2499" s="2"/>
      <c r="Y2499" s="7"/>
      <c r="Z2499" s="2"/>
      <c r="AA2499" s="1"/>
      <c r="AC2499" s="2"/>
      <c r="AE2499" s="1"/>
      <c r="AG2499" s="2"/>
    </row>
    <row r="2500" spans="12:33" ht="49.95" customHeight="1" x14ac:dyDescent="0.3">
      <c r="L2500" s="371" t="s">
        <v>3520</v>
      </c>
      <c r="M2500" s="371" t="s">
        <v>5071</v>
      </c>
      <c r="N2500" s="371" t="s">
        <v>5091</v>
      </c>
      <c r="O2500" s="371" t="s">
        <v>3443</v>
      </c>
      <c r="P2500" s="16">
        <v>46212</v>
      </c>
      <c r="Q2500" s="371" t="s">
        <v>104</v>
      </c>
      <c r="R2500" s="2">
        <f>VLOOKUP(SALIDAS111518[[#This Row],[CÓDIGO]],PRODUCTOS31316[],2,FALSE)</f>
        <v>0</v>
      </c>
      <c r="S2500" s="1" t="str">
        <f>VLOOKUP(SALIDAS111518[[#This Row],[CÓDIGO]],PRODUCTOS31316[],3,FALSE)</f>
        <v>ISPERM CHIPS (500 TESTS PER BOX) PAQ. X 50 UND</v>
      </c>
      <c r="T2500" s="2">
        <v>5</v>
      </c>
      <c r="U2500" s="2">
        <v>1108</v>
      </c>
      <c r="V2500" s="2"/>
      <c r="W2500" s="2"/>
      <c r="X2500" s="2"/>
      <c r="Y2500" s="7"/>
      <c r="Z2500" s="2"/>
      <c r="AA2500" s="1"/>
      <c r="AC2500" s="2"/>
      <c r="AE2500" s="1"/>
      <c r="AG2500" s="2"/>
    </row>
    <row r="2501" spans="12:33" ht="49.95" customHeight="1" x14ac:dyDescent="0.3">
      <c r="L2501" s="371" t="s">
        <v>3520</v>
      </c>
      <c r="M2501" s="371" t="s">
        <v>5071</v>
      </c>
      <c r="N2501" s="371" t="s">
        <v>5090</v>
      </c>
      <c r="O2501" s="380" t="s">
        <v>2852</v>
      </c>
      <c r="P2501" s="16">
        <v>46212</v>
      </c>
      <c r="Q2501" s="371" t="s">
        <v>3500</v>
      </c>
      <c r="R2501" s="2">
        <f>VLOOKUP(SALIDAS111518[[#This Row],[CÓDIGO]],PRODUCTOS31316[],2,FALSE)</f>
        <v>25</v>
      </c>
      <c r="S2501" s="1" t="str">
        <f>VLOOKUP(SALIDAS111518[[#This Row],[CÓDIGO]],PRODUCTOS31316[],3,FALSE)</f>
        <v>TUBO RIGIDO EQUINO BOTUPHARMA</v>
      </c>
      <c r="T2501" s="2">
        <v>1</v>
      </c>
      <c r="U2501" s="2">
        <v>1109</v>
      </c>
      <c r="V2501" s="2"/>
      <c r="W2501" s="2"/>
      <c r="X2501" s="2"/>
      <c r="Y2501" s="7"/>
      <c r="Z2501" s="2"/>
      <c r="AA2501" s="1"/>
      <c r="AC2501" s="2"/>
      <c r="AE2501" s="1"/>
      <c r="AG2501" s="2"/>
    </row>
    <row r="2502" spans="12:33" ht="49.95" customHeight="1" x14ac:dyDescent="0.3">
      <c r="L2502" s="2"/>
      <c r="M2502" s="2"/>
      <c r="N2502" s="2">
        <v>8672</v>
      </c>
      <c r="O2502" s="371" t="s">
        <v>2852</v>
      </c>
      <c r="P2502" s="16">
        <v>46212</v>
      </c>
      <c r="Q2502" s="371" t="s">
        <v>3502</v>
      </c>
      <c r="R2502" s="2">
        <f>VLOOKUP(SALIDAS111518[[#This Row],[CÓDIGO]],PRODUCTOS31316[],2,FALSE)</f>
        <v>24</v>
      </c>
      <c r="S2502" s="1" t="str">
        <f>VLOOKUP(SALIDAS111518[[#This Row],[CÓDIGO]],PRODUCTOS31316[],3,FALSE)</f>
        <v>MUCOSA DE LATEX EQUINA  BOTUPHARMA</v>
      </c>
      <c r="T2502" s="2">
        <v>1</v>
      </c>
      <c r="U2502" s="2"/>
      <c r="V2502" s="2"/>
      <c r="W2502" s="2"/>
      <c r="X2502" s="2"/>
      <c r="Y2502" s="7"/>
      <c r="Z2502" s="2"/>
      <c r="AA2502" s="1"/>
      <c r="AC2502" s="2"/>
      <c r="AE2502" s="1"/>
      <c r="AG2502" s="2"/>
    </row>
    <row r="2503" spans="12:33" ht="49.95" customHeight="1" x14ac:dyDescent="0.3">
      <c r="L2503" s="2"/>
      <c r="M2503" s="2"/>
      <c r="N2503" s="2">
        <v>8672</v>
      </c>
      <c r="O2503" s="371" t="s">
        <v>2852</v>
      </c>
      <c r="P2503" s="16">
        <v>46212</v>
      </c>
      <c r="Q2503" s="371" t="s">
        <v>3504</v>
      </c>
      <c r="R2503" s="2">
        <f>VLOOKUP(SALIDAS111518[[#This Row],[CÓDIGO]],PRODUCTOS31316[],2,FALSE)</f>
        <v>26</v>
      </c>
      <c r="S2503" s="1" t="str">
        <f>VLOOKUP(SALIDAS111518[[#This Row],[CÓDIGO]],PRODUCTOS31316[],3,FALSE)</f>
        <v>MUCOSA DE PLÁSTICA EQUINA  BOTUPHARMA</v>
      </c>
      <c r="T2503" s="2">
        <v>1</v>
      </c>
      <c r="U2503" s="2"/>
      <c r="V2503" s="2"/>
      <c r="W2503" s="2"/>
      <c r="X2503" s="2"/>
      <c r="Y2503" s="7"/>
      <c r="Z2503" s="2"/>
      <c r="AA2503" s="1"/>
      <c r="AC2503" s="2"/>
      <c r="AE2503" s="1"/>
      <c r="AG2503" s="2"/>
    </row>
    <row r="2504" spans="12:33" ht="49.95" customHeight="1" x14ac:dyDescent="0.3">
      <c r="L2504" s="2"/>
      <c r="M2504" s="2"/>
      <c r="N2504" s="2">
        <v>8672</v>
      </c>
      <c r="O2504" s="371" t="s">
        <v>2852</v>
      </c>
      <c r="P2504" s="16">
        <v>46212</v>
      </c>
      <c r="Q2504" s="371" t="s">
        <v>3506</v>
      </c>
      <c r="R2504" s="2">
        <f>VLOOKUP(SALIDAS111518[[#This Row],[CÓDIGO]],PRODUCTOS31316[],2,FALSE)</f>
        <v>27</v>
      </c>
      <c r="S2504" s="1" t="str">
        <f>VLOOKUP(SALIDAS111518[[#This Row],[CÓDIGO]],PRODUCTOS31316[],3,FALSE)</f>
        <v>VASO COLECTOR EQUINO BOTUPHARMA</v>
      </c>
      <c r="T2504" s="2">
        <v>1</v>
      </c>
      <c r="U2504" s="2"/>
      <c r="V2504" s="2"/>
      <c r="W2504" s="2"/>
      <c r="X2504" s="2"/>
      <c r="Y2504" s="7"/>
      <c r="Z2504" s="2"/>
      <c r="AA2504" s="1"/>
      <c r="AC2504" s="2"/>
      <c r="AE2504" s="1"/>
      <c r="AG2504" s="2"/>
    </row>
    <row r="2505" spans="12:33" ht="49.95" customHeight="1" x14ac:dyDescent="0.3">
      <c r="L2505" s="2"/>
      <c r="M2505" s="2"/>
      <c r="N2505" s="2">
        <v>8672</v>
      </c>
      <c r="O2505" s="371" t="s">
        <v>2852</v>
      </c>
      <c r="P2505" s="16">
        <v>46212</v>
      </c>
      <c r="Q2505" s="371" t="s">
        <v>3508</v>
      </c>
      <c r="R2505" s="2">
        <f>VLOOKUP(SALIDAS111518[[#This Row],[CÓDIGO]],PRODUCTOS31316[],2,FALSE)</f>
        <v>28</v>
      </c>
      <c r="S2505" s="1" t="str">
        <f>VLOOKUP(SALIDAS111518[[#This Row],[CÓDIGO]],PRODUCTOS31316[],3,FALSE)</f>
        <v>CAMISA SANITARIA PARA VASO COLECTOR EQUINO BOTUPHARMA</v>
      </c>
      <c r="T2505" s="2">
        <v>1</v>
      </c>
      <c r="U2505" s="2"/>
      <c r="V2505" s="2"/>
      <c r="W2505" s="2"/>
      <c r="X2505" s="2"/>
      <c r="Y2505" s="7"/>
      <c r="Z2505" s="2"/>
      <c r="AA2505" s="1"/>
      <c r="AC2505" s="2"/>
      <c r="AE2505" s="1"/>
      <c r="AG2505" s="2"/>
    </row>
    <row r="2506" spans="12:33" ht="49.95" customHeight="1" x14ac:dyDescent="0.3">
      <c r="L2506" s="2"/>
      <c r="M2506" s="2"/>
      <c r="N2506" s="2">
        <v>8672</v>
      </c>
      <c r="O2506" s="371" t="s">
        <v>2852</v>
      </c>
      <c r="P2506" s="16">
        <v>46212</v>
      </c>
      <c r="Q2506" s="371" t="s">
        <v>382</v>
      </c>
      <c r="R2506" s="2">
        <f>VLOOKUP(SALIDAS111518[[#This Row],[CÓDIGO]],PRODUCTOS31316[],2,FALSE)</f>
        <v>605032</v>
      </c>
      <c r="S2506" s="1" t="str">
        <f>VLOOKUP(SALIDAS111518[[#This Row],[CÓDIGO]],PRODUCTOS31316[],3,FALSE)</f>
        <v>LUBRICANTE OB, NO ESPERMICIDA</v>
      </c>
      <c r="T2506" s="2">
        <v>1</v>
      </c>
      <c r="U2506" s="2"/>
      <c r="V2506" s="2"/>
      <c r="W2506" s="2"/>
      <c r="X2506" s="123"/>
      <c r="Y2506" s="7"/>
      <c r="Z2506" s="2"/>
      <c r="AA2506" s="1"/>
      <c r="AC2506" s="2"/>
      <c r="AE2506" s="1"/>
      <c r="AG2506" s="2"/>
    </row>
    <row r="2507" spans="12:33" ht="49.95" customHeight="1" x14ac:dyDescent="0.3">
      <c r="L2507" s="2"/>
      <c r="M2507" s="2"/>
      <c r="N2507" s="2">
        <v>8672</v>
      </c>
      <c r="O2507" s="371" t="s">
        <v>2852</v>
      </c>
      <c r="P2507" s="16">
        <v>46212</v>
      </c>
      <c r="Q2507" s="371" t="s">
        <v>210</v>
      </c>
      <c r="R2507" s="2">
        <f>VLOOKUP(SALIDAS111518[[#This Row],[CÓDIGO]],PRODUCTOS31316[],2,FALSE)</f>
        <v>101257</v>
      </c>
      <c r="S2507" s="1" t="str">
        <f>VLOOKUP(SALIDAS111518[[#This Row],[CÓDIGO]],PRODUCTOS31316[],3,FALSE)</f>
        <v>MANGA DESECHABLE SUPER SENSITIVA</v>
      </c>
      <c r="T2507" s="2">
        <v>1</v>
      </c>
      <c r="U2507" s="2"/>
      <c r="V2507" s="2"/>
      <c r="W2507" s="2"/>
      <c r="X2507" s="2"/>
      <c r="Y2507" s="7"/>
      <c r="Z2507" s="2"/>
      <c r="AA2507" s="1"/>
      <c r="AC2507" s="2"/>
      <c r="AE2507" s="1"/>
      <c r="AG2507" s="2"/>
    </row>
    <row r="2508" spans="12:33" ht="49.95" customHeight="1" x14ac:dyDescent="0.3">
      <c r="L2508" s="2"/>
      <c r="M2508" s="2"/>
      <c r="N2508" s="2">
        <v>8672</v>
      </c>
      <c r="O2508" s="371" t="s">
        <v>2852</v>
      </c>
      <c r="P2508" s="16">
        <v>46212</v>
      </c>
      <c r="Q2508" s="371" t="s">
        <v>3524</v>
      </c>
      <c r="R2508" s="2" t="str">
        <f>VLOOKUP(SALIDAS111518[[#This Row],[CÓDIGO]],PRODUCTOS31316[],2,FALSE)</f>
        <v>SAVF-102/25</v>
      </c>
      <c r="S2508" s="1" t="str">
        <f>VLOOKUP(SALIDAS111518[[#This Row],[CÓDIGO]],PRODUCTOS31316[],3,FALSE)</f>
        <v>FILTRO DE GEL NYLON DESECHABLE, 3.5"</v>
      </c>
      <c r="T2508" s="2">
        <v>1</v>
      </c>
      <c r="U2508" s="2"/>
      <c r="V2508" s="2"/>
      <c r="W2508" s="2"/>
      <c r="X2508" s="2"/>
      <c r="Y2508" s="7"/>
      <c r="Z2508" s="2"/>
      <c r="AA2508" s="1"/>
      <c r="AC2508" s="2"/>
      <c r="AE2508" s="1"/>
      <c r="AG2508" s="2"/>
    </row>
    <row r="2509" spans="12:33" ht="49.95" customHeight="1" x14ac:dyDescent="0.3">
      <c r="L2509" s="2"/>
      <c r="M2509" s="2"/>
      <c r="N2509" s="2">
        <v>8672</v>
      </c>
      <c r="O2509" s="371" t="s">
        <v>2852</v>
      </c>
      <c r="P2509" s="16">
        <v>46212</v>
      </c>
      <c r="Q2509" s="371" t="s">
        <v>3525</v>
      </c>
      <c r="R2509" s="2" t="str">
        <f>VLOOKUP(SALIDAS111518[[#This Row],[CÓDIGO]],PRODUCTOS31316[],2,FALSE)</f>
        <v>SCB-200/100</v>
      </c>
      <c r="S2509" s="1" t="str">
        <f>VLOOKUP(SALIDAS111518[[#This Row],[CÓDIGO]],PRODUCTOS31316[],3,FALSE)</f>
        <v>BOTELLA DE RECOLECCIÓN DE SEMEN EQUINO X 200 ML</v>
      </c>
      <c r="T2509" s="2">
        <v>25</v>
      </c>
      <c r="U2509" s="2"/>
      <c r="V2509" s="2"/>
      <c r="W2509" s="2"/>
      <c r="X2509" s="2"/>
      <c r="Y2509" s="7"/>
      <c r="Z2509" s="2"/>
      <c r="AA2509" s="1"/>
      <c r="AC2509" s="2"/>
      <c r="AE2509" s="1"/>
      <c r="AG2509" s="2"/>
    </row>
    <row r="2510" spans="12:33" ht="49.95" customHeight="1" x14ac:dyDescent="0.3">
      <c r="L2510" s="2"/>
      <c r="M2510" s="2"/>
      <c r="N2510" s="2">
        <v>8672</v>
      </c>
      <c r="O2510" s="371" t="s">
        <v>2852</v>
      </c>
      <c r="P2510" s="16">
        <v>46212</v>
      </c>
      <c r="Q2510" s="371" t="s">
        <v>4470</v>
      </c>
      <c r="R2510" s="2" t="str">
        <f>VLOOKUP(SALIDAS111518[[#This Row],[CÓDIGO]],PRODUCTOS31316[],2,FALSE)</f>
        <v>SCN-101-/100</v>
      </c>
      <c r="S2510" s="1" t="str">
        <f>VLOOKUP(SALIDAS111518[[#This Row],[CÓDIGO]],PRODUCTOS31316[],3,FALSE)</f>
        <v>TUERCA DE ACOPLAMIENTO DE FILTRO PARA FRASCO COLECTOR DE SEMEN EQUINO</v>
      </c>
      <c r="T2510" s="2">
        <v>25</v>
      </c>
      <c r="U2510" s="2"/>
      <c r="V2510" s="2"/>
      <c r="W2510" s="2"/>
      <c r="X2510" s="2"/>
      <c r="Y2510" s="7"/>
      <c r="Z2510" s="2"/>
      <c r="AA2510" s="1"/>
      <c r="AC2510" s="2"/>
      <c r="AE2510" s="1"/>
      <c r="AG2510" s="2"/>
    </row>
    <row r="2511" spans="12:33" ht="49.95" customHeight="1" x14ac:dyDescent="0.3">
      <c r="L2511" s="2"/>
      <c r="M2511" s="2"/>
      <c r="N2511" s="2">
        <v>8672</v>
      </c>
      <c r="O2511" s="371" t="s">
        <v>2852</v>
      </c>
      <c r="P2511" s="16">
        <v>46212</v>
      </c>
      <c r="Q2511" s="371" t="s">
        <v>4472</v>
      </c>
      <c r="R2511" s="2" t="str">
        <f>VLOOKUP(SALIDAS111518[[#This Row],[CÓDIGO]],PRODUCTOS31316[],2,FALSE)</f>
        <v>CAP-102/100</v>
      </c>
      <c r="S2511" s="1" t="str">
        <f>VLOOKUP(SALIDAS111518[[#This Row],[CÓDIGO]],PRODUCTOS31316[],3,FALSE)</f>
        <v>TAPA DE FRASCO DE RECOLECCION DE SEMEN EQUINO</v>
      </c>
      <c r="T2511" s="2">
        <v>25</v>
      </c>
      <c r="U2511" s="2"/>
      <c r="V2511" s="2"/>
      <c r="W2511" s="2"/>
      <c r="X2511" s="2"/>
      <c r="Y2511" s="7"/>
      <c r="Z2511" s="2"/>
      <c r="AA2511" s="1"/>
      <c r="AC2511" s="2"/>
      <c r="AE2511" s="1"/>
      <c r="AG2511" s="2"/>
    </row>
    <row r="2512" spans="12:33" ht="49.95" customHeight="1" x14ac:dyDescent="0.3">
      <c r="L2512" s="2"/>
      <c r="M2512" s="2"/>
      <c r="N2512" s="2">
        <v>8672</v>
      </c>
      <c r="O2512" s="371" t="s">
        <v>2852</v>
      </c>
      <c r="P2512" s="16">
        <v>46212</v>
      </c>
      <c r="Q2512" s="371" t="s">
        <v>3405</v>
      </c>
      <c r="R2512" s="2" t="str">
        <f>VLOOKUP(SALIDAS111518[[#This Row],[CÓDIGO]],PRODUCTOS31316[],2,FALSE)</f>
        <v>17209/1265</v>
      </c>
      <c r="S2512" s="1" t="str">
        <f>VLOOKUP(SALIDAS111518[[#This Row],[CÓDIGO]],PRODUCTOS31316[],3,FALSE)</f>
        <v>PIPETA EQUINA DE 65 CM</v>
      </c>
      <c r="T2512" s="2">
        <v>1</v>
      </c>
      <c r="U2512" s="2"/>
      <c r="V2512" s="2"/>
      <c r="W2512" s="2"/>
      <c r="X2512" s="2"/>
      <c r="Y2512" s="7"/>
      <c r="Z2512" s="2"/>
      <c r="AA2512" s="1"/>
      <c r="AC2512" s="2"/>
      <c r="AE2512" s="1"/>
      <c r="AG2512" s="2"/>
    </row>
    <row r="2513" spans="12:33" ht="49.95" customHeight="1" x14ac:dyDescent="0.3">
      <c r="L2513" s="371" t="s">
        <v>3520</v>
      </c>
      <c r="M2513" s="371" t="s">
        <v>5071</v>
      </c>
      <c r="N2513" s="371" t="s">
        <v>5096</v>
      </c>
      <c r="O2513" s="371" t="s">
        <v>94</v>
      </c>
      <c r="P2513" s="16">
        <v>46212</v>
      </c>
      <c r="Q2513" s="371" t="s">
        <v>1681</v>
      </c>
      <c r="R2513" s="2">
        <f>VLOOKUP(SALIDAS111518[[#This Row],[CÓDIGO]],PRODUCTOS31316[],2,FALSE)</f>
        <v>347430</v>
      </c>
      <c r="S2513" s="1" t="str">
        <f>VLOOKUP(SALIDAS111518[[#This Row],[CÓDIGO]],PRODUCTOS31316[],3,FALSE)</f>
        <v>GOBLETS BLANCOS DE 10 MM</v>
      </c>
      <c r="T2513" s="2">
        <v>1</v>
      </c>
      <c r="U2513" s="373" t="s">
        <v>5097</v>
      </c>
      <c r="V2513" s="2"/>
      <c r="W2513" s="2"/>
      <c r="X2513" s="2"/>
      <c r="Y2513" s="7"/>
      <c r="Z2513" s="2"/>
      <c r="AA2513" s="1"/>
      <c r="AC2513" s="2"/>
      <c r="AE2513" s="1"/>
      <c r="AG2513" s="2"/>
    </row>
    <row r="2514" spans="12:33" ht="49.95" customHeight="1" x14ac:dyDescent="0.3">
      <c r="L2514" s="2"/>
      <c r="M2514" s="2"/>
      <c r="N2514" s="2">
        <v>8675</v>
      </c>
      <c r="O2514" s="371" t="s">
        <v>94</v>
      </c>
      <c r="P2514" s="16">
        <v>46212</v>
      </c>
      <c r="Q2514" s="371" t="s">
        <v>819</v>
      </c>
      <c r="R2514" s="2">
        <f>VLOOKUP(SALIDAS111518[[#This Row],[CÓDIGO]],PRODUCTOS31316[],2,FALSE)</f>
        <v>0</v>
      </c>
      <c r="S2514" s="1" t="str">
        <f>VLOOKUP(SALIDAS111518[[#This Row],[CÓDIGO]],PRODUCTOS31316[],3,FALSE)</f>
        <v>GOBLET DE 13 MM AMARILLO</v>
      </c>
      <c r="T2514" s="2">
        <v>1</v>
      </c>
      <c r="U2514" s="371"/>
      <c r="V2514" s="2"/>
      <c r="W2514" s="2"/>
      <c r="X2514" s="2"/>
      <c r="Y2514" s="7"/>
      <c r="Z2514" s="2"/>
      <c r="AA2514" s="1"/>
      <c r="AC2514" s="2"/>
      <c r="AE2514" s="1"/>
      <c r="AG2514" s="2"/>
    </row>
    <row r="2515" spans="12:33" ht="49.95" customHeight="1" x14ac:dyDescent="0.3">
      <c r="L2515" s="2"/>
      <c r="M2515" s="2"/>
      <c r="N2515" s="2">
        <v>8675</v>
      </c>
      <c r="O2515" s="371" t="s">
        <v>94</v>
      </c>
      <c r="P2515" s="16">
        <v>46212</v>
      </c>
      <c r="Q2515" s="371" t="s">
        <v>366</v>
      </c>
      <c r="R2515" s="2">
        <f>VLOOKUP(SALIDAS111518[[#This Row],[CÓDIGO]],PRODUCTOS31316[],2,FALSE)</f>
        <v>505003</v>
      </c>
      <c r="S2515" s="1" t="str">
        <f>VLOOKUP(SALIDAS111518[[#This Row],[CÓDIGO]],PRODUCTOS31316[],3,FALSE)</f>
        <v>LACRADOR REDONDO BLANCO</v>
      </c>
      <c r="T2515" s="2">
        <v>2</v>
      </c>
      <c r="U2515" s="371"/>
      <c r="V2515" s="2"/>
      <c r="W2515" s="2"/>
      <c r="X2515" s="2"/>
      <c r="Y2515" s="7"/>
      <c r="Z2515" s="2"/>
      <c r="AA2515" s="1"/>
      <c r="AC2515" s="2"/>
      <c r="AE2515" s="1"/>
      <c r="AG2515" s="2"/>
    </row>
    <row r="2516" spans="12:33" ht="49.95" customHeight="1" x14ac:dyDescent="0.3">
      <c r="L2516" s="2"/>
      <c r="M2516" s="2"/>
      <c r="N2516" s="2">
        <v>8675</v>
      </c>
      <c r="O2516" s="371" t="s">
        <v>94</v>
      </c>
      <c r="P2516" s="16">
        <v>46212</v>
      </c>
      <c r="Q2516" s="371" t="s">
        <v>360</v>
      </c>
      <c r="R2516" s="2">
        <f>VLOOKUP(SALIDAS111518[[#This Row],[CÓDIGO]],PRODUCTOS31316[],2,FALSE)</f>
        <v>505006</v>
      </c>
      <c r="S2516" s="1" t="str">
        <f>VLOOKUP(SALIDAS111518[[#This Row],[CÓDIGO]],PRODUCTOS31316[],3,FALSE)</f>
        <v>LACRADOR REDONDO AMARILLO</v>
      </c>
      <c r="T2516" s="2">
        <v>3</v>
      </c>
      <c r="U2516" s="371"/>
      <c r="V2516" s="2"/>
      <c r="W2516" s="2"/>
      <c r="X2516" s="2"/>
      <c r="Y2516" s="7"/>
      <c r="Z2516" s="2"/>
      <c r="AA2516" s="1"/>
      <c r="AC2516" s="2"/>
      <c r="AE2516" s="1"/>
      <c r="AG2516" s="2"/>
    </row>
    <row r="2517" spans="12:33" ht="49.95" customHeight="1" x14ac:dyDescent="0.3">
      <c r="L2517" s="2"/>
      <c r="M2517" s="2"/>
      <c r="N2517" s="2">
        <v>8675</v>
      </c>
      <c r="O2517" s="371" t="s">
        <v>94</v>
      </c>
      <c r="P2517" s="16">
        <v>46212</v>
      </c>
      <c r="Q2517" s="371" t="s">
        <v>2809</v>
      </c>
      <c r="R2517" s="2">
        <f>VLOOKUP(SALIDAS111518[[#This Row],[CÓDIGO]],PRODUCTOS31316[],2,FALSE)</f>
        <v>5565</v>
      </c>
      <c r="S2517" s="1" t="str">
        <f>VLOOKUP(SALIDAS111518[[#This Row],[CÓDIGO]],PRODUCTOS31316[],3,FALSE)</f>
        <v>PAJILLAS TRANSPARENTES 0,25</v>
      </c>
      <c r="T2517" s="2">
        <v>3</v>
      </c>
      <c r="U2517" s="2"/>
      <c r="V2517" s="2"/>
      <c r="W2517" s="2"/>
      <c r="X2517" s="2"/>
      <c r="Y2517" s="7"/>
      <c r="Z2517" s="2"/>
      <c r="AA2517" s="1"/>
      <c r="AC2517" s="2"/>
      <c r="AE2517" s="1"/>
      <c r="AG2517" s="2"/>
    </row>
    <row r="2518" spans="12:33" ht="49.95" customHeight="1" x14ac:dyDescent="0.3">
      <c r="L2518" s="2"/>
      <c r="M2518" s="2"/>
      <c r="N2518" s="2">
        <v>8675</v>
      </c>
      <c r="O2518" s="371" t="s">
        <v>94</v>
      </c>
      <c r="P2518" s="16">
        <v>46212</v>
      </c>
      <c r="Q2518" s="371" t="s">
        <v>4140</v>
      </c>
      <c r="R2518" s="2">
        <f>VLOOKUP(SALIDAS111518[[#This Row],[CÓDIGO]],PRODUCTOS31316[],2,FALSE)</f>
        <v>5575</v>
      </c>
      <c r="S2518" s="1" t="str">
        <f>VLOOKUP(SALIDAS111518[[#This Row],[CÓDIGO]],PRODUCTOS31316[],3,FALSE)</f>
        <v>PAJUELA AMARILLA 0.25/ PAQUETE X 2000</v>
      </c>
      <c r="T2518" s="2">
        <v>1</v>
      </c>
      <c r="U2518" s="2"/>
      <c r="V2518" s="2"/>
      <c r="W2518" s="2"/>
      <c r="X2518" s="123"/>
      <c r="Y2518" s="7"/>
      <c r="Z2518" s="2"/>
      <c r="AA2518" s="1"/>
      <c r="AC2518" s="2"/>
      <c r="AE2518" s="1"/>
      <c r="AG2518" s="2"/>
    </row>
    <row r="2519" spans="12:33" ht="49.95" customHeight="1" x14ac:dyDescent="0.3">
      <c r="L2519" s="2"/>
      <c r="M2519" s="2"/>
      <c r="N2519" s="2">
        <v>8675</v>
      </c>
      <c r="O2519" s="371" t="s">
        <v>94</v>
      </c>
      <c r="P2519" s="16">
        <v>46212</v>
      </c>
      <c r="Q2519" s="371" t="s">
        <v>2251</v>
      </c>
      <c r="R2519" s="2">
        <f>VLOOKUP(SALIDAS111518[[#This Row],[CÓDIGO]],PRODUCTOS31316[],2,FALSE)</f>
        <v>7240</v>
      </c>
      <c r="S2519" s="1" t="str">
        <f>VLOOKUP(SALIDAS111518[[#This Row],[CÓDIGO]],PRODUCTOS31316[],3,FALSE)</f>
        <v>PISTOLA DE TE 0,25 MARCA IMV</v>
      </c>
      <c r="T2519" s="2">
        <v>2</v>
      </c>
      <c r="U2519" s="2"/>
      <c r="V2519" s="2"/>
      <c r="W2519" s="2"/>
      <c r="X2519" s="2"/>
      <c r="Y2519" s="7"/>
      <c r="Z2519" s="2"/>
      <c r="AA2519" s="1"/>
      <c r="AC2519" s="2"/>
      <c r="AE2519" s="1"/>
      <c r="AG2519" s="2"/>
    </row>
    <row r="2520" spans="12:33" ht="49.95" customHeight="1" x14ac:dyDescent="0.3">
      <c r="L2520" s="2" t="s">
        <v>3520</v>
      </c>
      <c r="M2520" s="2" t="s">
        <v>5071</v>
      </c>
      <c r="N2520" s="371" t="s">
        <v>5092</v>
      </c>
      <c r="O2520" s="372" t="s">
        <v>5060</v>
      </c>
      <c r="P2520" s="16">
        <v>46212</v>
      </c>
      <c r="Q2520" s="371" t="s">
        <v>3431</v>
      </c>
      <c r="R2520" s="2">
        <f>VLOOKUP(SALIDAS111518[[#This Row],[CÓDIGO]],PRODUCTOS31316[],2,FALSE)</f>
        <v>9013005</v>
      </c>
      <c r="S2520" s="1" t="str">
        <f>VLOOKUP(SALIDAS111518[[#This Row],[CÓDIGO]],PRODUCTOS31316[],3,FALSE)</f>
        <v>TERMO DESCONGELADOR DE EMBRIONES Y SEMEN DSE-400 SIN BATERÍA BLACK/GRAY</v>
      </c>
      <c r="T2520" s="2">
        <v>1</v>
      </c>
      <c r="U2520" s="2">
        <v>1111</v>
      </c>
      <c r="V2520" s="2"/>
      <c r="W2520" s="2"/>
      <c r="X2520" s="2"/>
      <c r="Y2520" s="7"/>
      <c r="Z2520" s="2"/>
      <c r="AA2520" s="1"/>
      <c r="AC2520" s="2"/>
      <c r="AE2520" s="1"/>
      <c r="AG2520" s="2"/>
    </row>
    <row r="2521" spans="12:33" ht="49.95" customHeight="1" x14ac:dyDescent="0.3">
      <c r="L2521" s="2"/>
      <c r="M2521" s="2"/>
      <c r="N2521" s="2">
        <v>8673</v>
      </c>
      <c r="O2521" s="372" t="s">
        <v>5060</v>
      </c>
      <c r="P2521" s="16">
        <v>46212</v>
      </c>
      <c r="Q2521" s="371" t="s">
        <v>47</v>
      </c>
      <c r="R2521" s="2">
        <f>VLOOKUP(SALIDAS111518[[#This Row],[CÓDIGO]],PRODUCTOS31316[],2,FALSE)</f>
        <v>1135</v>
      </c>
      <c r="S2521" s="1" t="str">
        <f>VLOOKUP(SALIDAS111518[[#This Row],[CÓDIGO]],PRODUCTOS31316[],3,FALSE)</f>
        <v>TRILADYL</v>
      </c>
      <c r="T2521" s="2">
        <v>1</v>
      </c>
      <c r="U2521" s="2"/>
      <c r="V2521" s="2"/>
      <c r="W2521" s="2"/>
      <c r="X2521" s="2"/>
      <c r="Y2521" s="7"/>
      <c r="Z2521" s="2"/>
      <c r="AA2521" s="1"/>
      <c r="AC2521" s="2"/>
      <c r="AE2521" s="1"/>
      <c r="AG2521" s="2"/>
    </row>
    <row r="2522" spans="12:33" ht="49.95" customHeight="1" x14ac:dyDescent="0.3">
      <c r="L2522" s="2"/>
      <c r="M2522" s="2"/>
      <c r="N2522" s="2">
        <v>8673</v>
      </c>
      <c r="O2522" s="372" t="s">
        <v>5060</v>
      </c>
      <c r="P2522" s="16">
        <v>46212</v>
      </c>
      <c r="Q2522" s="371" t="s">
        <v>3398</v>
      </c>
      <c r="R2522" s="2">
        <f>VLOOKUP(SALIDAS111518[[#This Row],[CÓDIGO]],PRODUCTOS31316[],2,FALSE)</f>
        <v>13408</v>
      </c>
      <c r="S2522" s="1" t="str">
        <f>VLOOKUP(SALIDAS111518[[#This Row],[CÓDIGO]],PRODUCTOS31316[],3,FALSE)</f>
        <v>PAJILLAS TRANSPARENTES 0,50 MINITUBE</v>
      </c>
      <c r="T2522" s="2">
        <v>2</v>
      </c>
      <c r="U2522" s="2"/>
      <c r="V2522" s="2"/>
      <c r="W2522" s="2"/>
      <c r="X2522" s="2"/>
      <c r="Y2522" s="7"/>
      <c r="Z2522" s="2"/>
      <c r="AA2522" s="1"/>
      <c r="AC2522" s="2"/>
      <c r="AE2522" s="1"/>
      <c r="AG2522" s="2"/>
    </row>
    <row r="2523" spans="12:33" ht="49.95" customHeight="1" x14ac:dyDescent="0.3">
      <c r="L2523" s="2"/>
      <c r="M2523" s="2"/>
      <c r="N2523" s="2">
        <v>8673</v>
      </c>
      <c r="O2523" s="372" t="s">
        <v>5060</v>
      </c>
      <c r="P2523" s="16">
        <v>46212</v>
      </c>
      <c r="Q2523" s="371" t="s">
        <v>3457</v>
      </c>
      <c r="R2523" s="2">
        <f>VLOOKUP(SALIDAS111518[[#This Row],[CÓDIGO]],PRODUCTOS31316[],2,FALSE)</f>
        <v>0</v>
      </c>
      <c r="S2523" s="1" t="str">
        <f>VLOOKUP(SALIDAS111518[[#This Row],[CÓDIGO]],PRODUCTOS31316[],3,FALSE)</f>
        <v>AGUJAS PARA EMPACADORA SELLADORA</v>
      </c>
      <c r="T2523" s="2">
        <v>3</v>
      </c>
      <c r="U2523" s="2"/>
      <c r="V2523" s="2"/>
      <c r="W2523" s="2"/>
      <c r="X2523" s="2"/>
      <c r="Y2523" s="7"/>
      <c r="Z2523" s="2"/>
      <c r="AA2523" s="1"/>
      <c r="AC2523" s="2"/>
      <c r="AE2523" s="1"/>
      <c r="AG2523" s="2"/>
    </row>
    <row r="2524" spans="12:33" ht="49.95" customHeight="1" x14ac:dyDescent="0.3">
      <c r="L2524" s="2" t="s">
        <v>3520</v>
      </c>
      <c r="M2524" s="2" t="s">
        <v>5071</v>
      </c>
      <c r="N2524" s="371" t="s">
        <v>5089</v>
      </c>
      <c r="O2524" s="371" t="s">
        <v>3537</v>
      </c>
      <c r="P2524" s="16">
        <v>46212</v>
      </c>
      <c r="Q2524" s="371" t="s">
        <v>104</v>
      </c>
      <c r="R2524" s="2">
        <f>VLOOKUP(SALIDAS111518[[#This Row],[CÓDIGO]],PRODUCTOS31316[],2,FALSE)</f>
        <v>0</v>
      </c>
      <c r="S2524" s="1" t="str">
        <f>VLOOKUP(SALIDAS111518[[#This Row],[CÓDIGO]],PRODUCTOS31316[],3,FALSE)</f>
        <v>ISPERM CHIPS (500 TESTS PER BOX) PAQ. X 50 UND</v>
      </c>
      <c r="T2524" s="2">
        <v>2</v>
      </c>
      <c r="U2524" s="2">
        <v>1112</v>
      </c>
      <c r="V2524" s="2"/>
      <c r="W2524" s="2"/>
      <c r="X2524" s="2"/>
      <c r="Y2524" s="7"/>
      <c r="Z2524" s="2"/>
      <c r="AA2524" s="1"/>
      <c r="AC2524" s="2"/>
      <c r="AE2524" s="1"/>
      <c r="AG2524" s="2"/>
    </row>
    <row r="2525" spans="12:33" ht="49.95" customHeight="1" x14ac:dyDescent="0.3">
      <c r="L2525" s="2" t="s">
        <v>3520</v>
      </c>
      <c r="M2525" s="2" t="s">
        <v>5071</v>
      </c>
      <c r="N2525" s="371" t="s">
        <v>5093</v>
      </c>
      <c r="O2525" s="371" t="s">
        <v>2723</v>
      </c>
      <c r="P2525" s="16">
        <v>46212</v>
      </c>
      <c r="Q2525" s="371" t="s">
        <v>33</v>
      </c>
      <c r="R2525" s="2" t="str">
        <f>VLOOKUP(SALIDAS111518[[#This Row],[CÓDIGO]],PRODUCTOS31316[],2,FALSE)</f>
        <v>LA-120 /506003</v>
      </c>
      <c r="S2525" s="1" t="str">
        <f>VLOOKUP(SALIDAS111518[[#This Row],[CÓDIGO]],PRODUCTOS31316[],3,FALSE)</f>
        <v>LíNEA PARA OPU 1,2 METROS</v>
      </c>
      <c r="T2525" s="2">
        <v>4</v>
      </c>
      <c r="U2525" s="2">
        <v>1113</v>
      </c>
      <c r="V2525" s="2"/>
      <c r="W2525" s="2"/>
      <c r="X2525" s="2"/>
      <c r="Y2525" s="7"/>
      <c r="Z2525" s="2"/>
      <c r="AA2525" s="1"/>
      <c r="AC2525" s="2"/>
      <c r="AE2525" s="1"/>
      <c r="AG2525" s="2"/>
    </row>
    <row r="2526" spans="12:33" ht="49.95" customHeight="1" x14ac:dyDescent="0.3">
      <c r="L2526" s="2"/>
      <c r="M2526" s="2"/>
      <c r="N2526" s="2">
        <v>8677</v>
      </c>
      <c r="O2526" s="371" t="s">
        <v>2723</v>
      </c>
      <c r="P2526" s="16">
        <v>46212</v>
      </c>
      <c r="Q2526" s="371" t="s">
        <v>70</v>
      </c>
      <c r="R2526" s="2">
        <f>VLOOKUP(SALIDAS111518[[#This Row],[CÓDIGO]],PRODUCTOS31316[],2,FALSE)</f>
        <v>25458</v>
      </c>
      <c r="S2526" s="1" t="str">
        <f>VLOOKUP(SALIDAS111518[[#This Row],[CÓDIGO]],PRODUCTOS31316[],3,FALSE)</f>
        <v>FILTROS PARA OPU 100 UL</v>
      </c>
      <c r="T2526" s="2">
        <v>4</v>
      </c>
      <c r="U2526" s="2"/>
      <c r="V2526" s="2"/>
      <c r="W2526" s="2"/>
      <c r="X2526" s="2"/>
      <c r="Y2526" s="7"/>
      <c r="Z2526" s="2"/>
      <c r="AA2526" s="1"/>
      <c r="AC2526" s="2"/>
      <c r="AE2526" s="1"/>
      <c r="AG2526" s="2"/>
    </row>
    <row r="2527" spans="12:33" ht="49.95" customHeight="1" x14ac:dyDescent="0.3">
      <c r="L2527" s="2"/>
      <c r="M2527" s="2"/>
      <c r="N2527" s="2">
        <v>8677</v>
      </c>
      <c r="O2527" s="371" t="s">
        <v>2723</v>
      </c>
      <c r="P2527" s="16">
        <v>46212</v>
      </c>
      <c r="Q2527" s="371" t="s">
        <v>58</v>
      </c>
      <c r="R2527" s="2" t="str">
        <f>VLOOKUP(SALIDAS111518[[#This Row],[CÓDIGO]],PRODUCTOS31316[],2,FALSE)</f>
        <v>TNB-0001-16</v>
      </c>
      <c r="S2527" s="1" t="str">
        <f>VLOOKUP(SALIDAS111518[[#This Row],[CÓDIGO]],PRODUCTOS31316[],3,FALSE)</f>
        <v>CAMISA SANITARIA PARA OPU ASPIRACIÓN FOLICULAR</v>
      </c>
      <c r="T2527" s="2">
        <v>1</v>
      </c>
      <c r="U2527" s="2"/>
      <c r="V2527" s="2"/>
      <c r="W2527" s="2"/>
      <c r="X2527" s="2"/>
      <c r="Y2527" s="7"/>
      <c r="Z2527" s="2"/>
      <c r="AA2527" s="1"/>
      <c r="AC2527" s="2"/>
      <c r="AE2527" s="1"/>
      <c r="AG2527" s="2"/>
    </row>
    <row r="2528" spans="12:33" ht="49.95" customHeight="1" x14ac:dyDescent="0.3">
      <c r="L2528" s="2"/>
      <c r="M2528" s="2"/>
      <c r="N2528" s="2">
        <v>8677</v>
      </c>
      <c r="O2528" s="371" t="s">
        <v>2723</v>
      </c>
      <c r="P2528" s="16">
        <v>46212</v>
      </c>
      <c r="Q2528" s="371" t="s">
        <v>4386</v>
      </c>
      <c r="R2528" s="2">
        <f>VLOOKUP(SALIDAS111518[[#This Row],[CÓDIGO]],PRODUCTOS31316[],2,FALSE)</f>
        <v>754001</v>
      </c>
      <c r="S2528" s="1" t="str">
        <f>VLOOKUP(SALIDAS111518[[#This Row],[CÓDIGO]],PRODUCTOS31316[],3,FALSE)</f>
        <v>CAJA PETRI DESECHABLE ESTERIL 60X15MM MARCA: NEST</v>
      </c>
      <c r="T2528" s="2">
        <v>1</v>
      </c>
      <c r="U2528" s="2"/>
      <c r="V2528" s="2"/>
      <c r="W2528" s="2"/>
      <c r="X2528" s="2"/>
      <c r="Y2528" s="7"/>
      <c r="Z2528" s="2"/>
      <c r="AA2528" s="1"/>
      <c r="AC2528" s="2"/>
      <c r="AE2528" s="1"/>
      <c r="AG2528" s="2"/>
    </row>
    <row r="2529" spans="12:33" ht="49.95" customHeight="1" x14ac:dyDescent="0.3">
      <c r="L2529" s="2"/>
      <c r="M2529" s="2"/>
      <c r="N2529" s="2">
        <v>8677</v>
      </c>
      <c r="O2529" s="371" t="s">
        <v>2723</v>
      </c>
      <c r="P2529" s="16">
        <v>46212</v>
      </c>
      <c r="Q2529" s="371" t="s">
        <v>3237</v>
      </c>
      <c r="R2529" s="2" t="str">
        <f>VLOOKUP(SALIDAS111518[[#This Row],[CÓDIGO]],PRODUCTOS31316[],2,FALSE)</f>
        <v>1111-3800</v>
      </c>
      <c r="S2529" s="1" t="str">
        <f>VLOOKUP(SALIDAS111518[[#This Row],[CÓDIGO]],PRODUCTOS31316[],3,FALSE)</f>
        <v>RACK DE PUNTAS 10 UL NO ESTERIL/ LT N1394910O/ N139103M</v>
      </c>
      <c r="T2529" s="2">
        <v>2</v>
      </c>
      <c r="U2529" s="2"/>
      <c r="V2529" s="2"/>
      <c r="W2529" s="2"/>
      <c r="X2529" s="2"/>
      <c r="Y2529" s="7"/>
      <c r="Z2529" s="2"/>
      <c r="AA2529" s="1"/>
      <c r="AC2529" s="2"/>
      <c r="AE2529" s="1"/>
      <c r="AG2529" s="2"/>
    </row>
    <row r="2530" spans="12:33" ht="49.95" customHeight="1" x14ac:dyDescent="0.3">
      <c r="L2530" s="2" t="s">
        <v>3520</v>
      </c>
      <c r="M2530" s="2" t="s">
        <v>5071</v>
      </c>
      <c r="N2530" s="371" t="s">
        <v>5087</v>
      </c>
      <c r="O2530" s="371" t="s">
        <v>2204</v>
      </c>
      <c r="P2530" s="16">
        <v>46212</v>
      </c>
      <c r="Q2530" s="371" t="s">
        <v>58</v>
      </c>
      <c r="R2530" s="2" t="str">
        <f>VLOOKUP(SALIDAS111518[[#This Row],[CÓDIGO]],PRODUCTOS31316[],2,FALSE)</f>
        <v>TNB-0001-16</v>
      </c>
      <c r="S2530" s="1" t="str">
        <f>VLOOKUP(SALIDAS111518[[#This Row],[CÓDIGO]],PRODUCTOS31316[],3,FALSE)</f>
        <v>CAMISA SANITARIA PARA OPU ASPIRACIÓN FOLICULAR</v>
      </c>
      <c r="T2530" s="2">
        <v>3</v>
      </c>
      <c r="U2530" s="371" t="s">
        <v>5086</v>
      </c>
      <c r="V2530" s="2"/>
      <c r="W2530" s="2"/>
      <c r="X2530" s="2"/>
      <c r="Y2530" s="7"/>
      <c r="Z2530" s="2"/>
      <c r="AA2530" s="1"/>
      <c r="AC2530" s="2"/>
      <c r="AE2530" s="1"/>
      <c r="AG2530" s="2"/>
    </row>
    <row r="2531" spans="12:33" ht="49.95" customHeight="1" x14ac:dyDescent="0.3">
      <c r="L2531" s="2"/>
      <c r="M2531" s="2"/>
      <c r="N2531" s="371">
        <v>8678</v>
      </c>
      <c r="O2531" s="371" t="s">
        <v>2204</v>
      </c>
      <c r="P2531" s="16">
        <v>46212</v>
      </c>
      <c r="Q2531" s="371" t="s">
        <v>333</v>
      </c>
      <c r="R2531" s="2" t="str">
        <f>VLOOKUP(SALIDAS111518[[#This Row],[CÓDIGO]],PRODUCTOS31316[],2,FALSE)</f>
        <v>CTB15</v>
      </c>
      <c r="S2531" s="1" t="str">
        <f>VLOOKUP(SALIDAS111518[[#This Row],[CÓDIGO]],PRODUCTOS31316[],3,FALSE)</f>
        <v>TUBO CÓNICO DE 15 ML, TAPA ROSCA ESTÉRIL  RCF MAX: 10000xg, 
graduados, PCR puro. VENCE: 03/04/2028</v>
      </c>
      <c r="T2531" s="2">
        <v>7</v>
      </c>
      <c r="U2531" s="371"/>
      <c r="V2531" s="2"/>
      <c r="W2531" s="2"/>
      <c r="X2531" s="2"/>
      <c r="Y2531" s="7"/>
      <c r="Z2531" s="2"/>
      <c r="AA2531" s="1"/>
      <c r="AC2531" s="2"/>
      <c r="AE2531" s="1"/>
      <c r="AG2531" s="2"/>
    </row>
    <row r="2532" spans="12:33" ht="49.95" customHeight="1" x14ac:dyDescent="0.3">
      <c r="L2532" s="2"/>
      <c r="M2532" s="2"/>
      <c r="N2532" s="371">
        <v>8678</v>
      </c>
      <c r="O2532" s="371" t="s">
        <v>2204</v>
      </c>
      <c r="P2532" s="16">
        <v>46212</v>
      </c>
      <c r="Q2532" s="371" t="s">
        <v>341</v>
      </c>
      <c r="R2532" s="2" t="str">
        <f>VLOOKUP(SALIDAS111518[[#This Row],[CÓDIGO]],PRODUCTOS31316[],2,FALSE)</f>
        <v>CTB50</v>
      </c>
      <c r="S2532" s="1" t="str">
        <f>VLOOKUP(SALIDAS111518[[#This Row],[CÓDIGO]],PRODUCTOS31316[],3,FALSE)</f>
        <v>TUBO CÓNICO DE 50 mL, TAPA ROSCA, PRE ESTERILIZADO. RCF MAX: 10000xg, graduados, PCR puro.</v>
      </c>
      <c r="T2532" s="2">
        <v>2</v>
      </c>
      <c r="U2532" s="371"/>
      <c r="V2532" s="2"/>
      <c r="W2532" s="2"/>
      <c r="X2532" s="2"/>
      <c r="Y2532" s="7"/>
      <c r="Z2532" s="2"/>
      <c r="AA2532" s="1"/>
      <c r="AC2532" s="2"/>
      <c r="AE2532" s="1"/>
      <c r="AG2532" s="2"/>
    </row>
    <row r="2533" spans="12:33" ht="49.95" customHeight="1" x14ac:dyDescent="0.3">
      <c r="L2533" s="2"/>
      <c r="M2533" s="2"/>
      <c r="N2533" s="371">
        <v>8678</v>
      </c>
      <c r="O2533" s="371" t="s">
        <v>2204</v>
      </c>
      <c r="P2533" s="16">
        <v>46212</v>
      </c>
      <c r="Q2533" s="371" t="s">
        <v>272</v>
      </c>
      <c r="R2533" s="2">
        <f>VLOOKUP(SALIDAS111518[[#This Row],[CÓDIGO]],PRODUCTOS31316[],2,FALSE)</f>
        <v>627161</v>
      </c>
      <c r="S2533" s="1" t="str">
        <f>VLOOKUP(SALIDAS111518[[#This Row],[CÓDIGO]],PRODUCTOS31316[],3,FALSE)</f>
        <v xml:space="preserve">CAJA PETRI 35X10 ESTERIL </v>
      </c>
      <c r="T2533" s="2">
        <v>40</v>
      </c>
      <c r="U2533" s="371"/>
      <c r="V2533" s="2"/>
      <c r="W2533" s="2"/>
      <c r="X2533" s="2"/>
      <c r="Y2533" s="7"/>
      <c r="Z2533" s="2"/>
      <c r="AA2533" s="1"/>
      <c r="AC2533" s="2"/>
      <c r="AE2533" s="1"/>
      <c r="AG2533" s="2"/>
    </row>
    <row r="2534" spans="12:33" ht="49.95" customHeight="1" x14ac:dyDescent="0.3">
      <c r="L2534" s="2"/>
      <c r="M2534" s="2"/>
      <c r="N2534" s="371">
        <v>8678</v>
      </c>
      <c r="O2534" s="371" t="s">
        <v>2204</v>
      </c>
      <c r="P2534" s="16">
        <v>46212</v>
      </c>
      <c r="Q2534" s="371" t="s">
        <v>3168</v>
      </c>
      <c r="R2534" s="2" t="str">
        <f>VLOOKUP(SALIDAS111518[[#This Row],[CÓDIGO]],PRODUCTOS31316[],2,FALSE)</f>
        <v>MCTB015</v>
      </c>
      <c r="S2534" s="1" t="str">
        <f>VLOOKUP(SALIDAS111518[[#This Row],[CÓDIGO]],PRODUCTOS31316[],3,FALSE)</f>
        <v>TUBO CONICO DE 1,5ml PRE ESTERILIZADO LIBRE DE Rnasa y Dnasa No pirogenico No DNA Humano Tapa a Presion</v>
      </c>
      <c r="T2534" s="2">
        <v>3</v>
      </c>
      <c r="U2534" s="371"/>
      <c r="V2534" s="2"/>
      <c r="W2534" s="2"/>
      <c r="X2534" s="2"/>
      <c r="Y2534" s="7"/>
      <c r="Z2534" s="2"/>
      <c r="AA2534" s="1"/>
      <c r="AC2534" s="2"/>
      <c r="AE2534" s="1"/>
      <c r="AG2534" s="2"/>
    </row>
    <row r="2535" spans="12:33" ht="49.95" customHeight="1" x14ac:dyDescent="0.3">
      <c r="L2535" s="2"/>
      <c r="M2535" s="2"/>
      <c r="N2535" s="371">
        <v>8678</v>
      </c>
      <c r="O2535" s="371" t="s">
        <v>2204</v>
      </c>
      <c r="P2535" s="16">
        <v>46212</v>
      </c>
      <c r="Q2535" s="371" t="s">
        <v>247</v>
      </c>
      <c r="R2535" s="2">
        <f>VLOOKUP(SALIDAS111518[[#This Row],[CÓDIGO]],PRODUCTOS31316[],2,FALSE)</f>
        <v>352054</v>
      </c>
      <c r="S2535" s="1" t="str">
        <f>VLOOKUP(SALIDAS111518[[#This Row],[CÓDIGO]],PRODUCTOS31316[],3,FALSE)</f>
        <v>TUBO DE FONDO REDONDO DE 5ML 12X75MM , POLIESTIRENO</v>
      </c>
      <c r="T2535" s="2">
        <v>1</v>
      </c>
      <c r="U2535" s="371"/>
      <c r="V2535" s="2"/>
      <c r="W2535" s="2"/>
      <c r="X2535" s="2"/>
      <c r="Y2535" s="7"/>
      <c r="Z2535" s="2"/>
      <c r="AA2535" s="1"/>
      <c r="AC2535" s="2"/>
      <c r="AE2535" s="1"/>
      <c r="AG2535" s="2"/>
    </row>
    <row r="2536" spans="12:33" ht="49.95" customHeight="1" x14ac:dyDescent="0.3">
      <c r="L2536" s="2" t="s">
        <v>3520</v>
      </c>
      <c r="M2536" s="2" t="s">
        <v>5071</v>
      </c>
      <c r="N2536" s="371" t="s">
        <v>5080</v>
      </c>
      <c r="O2536" s="371" t="s">
        <v>2215</v>
      </c>
      <c r="P2536" s="16">
        <v>46212</v>
      </c>
      <c r="Q2536" s="371" t="s">
        <v>63</v>
      </c>
      <c r="R2536" s="2">
        <f>VLOOKUP(SALIDAS111518[[#This Row],[CÓDIGO]],PRODUCTOS31316[],2,FALSE)</f>
        <v>25458</v>
      </c>
      <c r="S2536" s="1" t="str">
        <f>VLOOKUP(SALIDAS111518[[#This Row],[CÓDIGO]],PRODUCTOS31316[],3,FALSE)</f>
        <v>FILTROS PARA OPU 100 UL</v>
      </c>
      <c r="T2536" s="2">
        <v>1</v>
      </c>
      <c r="U2536" s="2">
        <v>1115</v>
      </c>
      <c r="V2536" s="2"/>
      <c r="W2536" s="2"/>
      <c r="X2536" s="2"/>
      <c r="Y2536" s="7"/>
      <c r="Z2536" s="2"/>
      <c r="AA2536" s="1"/>
      <c r="AC2536" s="2"/>
      <c r="AE2536" s="1"/>
      <c r="AG2536" s="2"/>
    </row>
    <row r="2537" spans="12:33" ht="49.95" customHeight="1" x14ac:dyDescent="0.3">
      <c r="L2537" s="2"/>
      <c r="M2537" s="2"/>
      <c r="N2537" s="2">
        <v>8679</v>
      </c>
      <c r="O2537" s="371" t="s">
        <v>2215</v>
      </c>
      <c r="P2537" s="16">
        <v>46212</v>
      </c>
      <c r="Q2537" s="371" t="s">
        <v>33</v>
      </c>
      <c r="R2537" s="2" t="str">
        <f>VLOOKUP(SALIDAS111518[[#This Row],[CÓDIGO]],PRODUCTOS31316[],2,FALSE)</f>
        <v>LA-120 /506003</v>
      </c>
      <c r="S2537" s="1" t="str">
        <f>VLOOKUP(SALIDAS111518[[#This Row],[CÓDIGO]],PRODUCTOS31316[],3,FALSE)</f>
        <v>LíNEA PARA OPU 1,2 METROS</v>
      </c>
      <c r="T2537" s="2">
        <v>1</v>
      </c>
      <c r="U2537" s="2"/>
      <c r="V2537" s="2"/>
      <c r="W2537" s="2"/>
      <c r="X2537" s="2"/>
      <c r="Y2537" s="7"/>
      <c r="Z2537" s="2"/>
      <c r="AA2537" s="1"/>
      <c r="AC2537" s="2"/>
      <c r="AE2537" s="1"/>
      <c r="AG2537" s="2"/>
    </row>
    <row r="2538" spans="12:33" ht="49.95" customHeight="1" x14ac:dyDescent="0.3">
      <c r="L2538" s="2"/>
      <c r="M2538" s="2"/>
      <c r="N2538" s="2">
        <v>8679</v>
      </c>
      <c r="O2538" s="371" t="s">
        <v>2215</v>
      </c>
      <c r="P2538" s="16">
        <v>46212</v>
      </c>
      <c r="Q2538" s="371" t="s">
        <v>4386</v>
      </c>
      <c r="R2538" s="2">
        <f>VLOOKUP(SALIDAS111518[[#This Row],[CÓDIGO]],PRODUCTOS31316[],2,FALSE)</f>
        <v>754001</v>
      </c>
      <c r="S2538" s="1" t="str">
        <f>VLOOKUP(SALIDAS111518[[#This Row],[CÓDIGO]],PRODUCTOS31316[],3,FALSE)</f>
        <v>CAJA PETRI DESECHABLE ESTERIL 60X15MM MARCA: NEST</v>
      </c>
      <c r="T2538" s="2">
        <v>7</v>
      </c>
      <c r="U2538" s="2"/>
      <c r="V2538" s="2"/>
      <c r="W2538" s="2"/>
      <c r="X2538" s="2"/>
      <c r="Y2538" s="7"/>
      <c r="Z2538" s="2"/>
      <c r="AA2538" s="1"/>
      <c r="AC2538" s="2"/>
      <c r="AE2538" s="1"/>
      <c r="AG2538" s="2"/>
    </row>
    <row r="2539" spans="12:33" ht="49.95" customHeight="1" x14ac:dyDescent="0.3">
      <c r="L2539" s="2"/>
      <c r="M2539" s="2"/>
      <c r="N2539" s="2">
        <v>8679</v>
      </c>
      <c r="O2539" s="371" t="s">
        <v>2215</v>
      </c>
      <c r="P2539" s="16">
        <v>46212</v>
      </c>
      <c r="Q2539" s="371" t="s">
        <v>3355</v>
      </c>
      <c r="R2539" s="2">
        <f>VLOOKUP(SALIDAS111518[[#This Row],[CÓDIGO]],PRODUCTOS31316[],2,FALSE)</f>
        <v>140681</v>
      </c>
      <c r="S2539" s="1" t="str">
        <f>VLOOKUP(SALIDAS111518[[#This Row],[CÓDIGO]],PRODUCTOS31316[],3,FALSE)</f>
        <v>CAJA DE PETRI DESECHABLE ESTERIL 60x15MM.</v>
      </c>
      <c r="T2539" s="2">
        <v>3</v>
      </c>
      <c r="U2539" s="2"/>
      <c r="V2539" s="2"/>
      <c r="W2539" s="2"/>
      <c r="X2539" s="2"/>
      <c r="Y2539" s="7"/>
      <c r="Z2539" s="2"/>
      <c r="AA2539" s="1"/>
      <c r="AC2539" s="2"/>
      <c r="AE2539" s="1"/>
      <c r="AG2539" s="2"/>
    </row>
    <row r="2540" spans="12:33" ht="49.95" customHeight="1" x14ac:dyDescent="0.3">
      <c r="L2540" s="371" t="s">
        <v>3521</v>
      </c>
      <c r="M2540" s="371" t="s">
        <v>5071</v>
      </c>
      <c r="N2540" s="425" t="s">
        <v>5084</v>
      </c>
      <c r="O2540" s="425" t="s">
        <v>5081</v>
      </c>
      <c r="P2540" s="16">
        <v>46212</v>
      </c>
      <c r="Q2540" s="371" t="s">
        <v>3477</v>
      </c>
      <c r="R2540" s="2" t="str">
        <f>VLOOKUP(SALIDAS111518[[#This Row],[CÓDIGO]],PRODUCTOS31316[],2,FALSE)</f>
        <v>MX5A</v>
      </c>
      <c r="S2540" s="1" t="str">
        <f>VLOOKUP(SALIDAS111518[[#This Row],[CÓDIGO]],PRODUCTOS31316[],3,FALSE)</f>
        <v>ECOGRAFO MX5C CON SONDA LINEAL RECTAL/ BLANCO Y NEGRO</v>
      </c>
      <c r="T2540" s="2">
        <v>1</v>
      </c>
      <c r="U2540" s="372" t="s">
        <v>5082</v>
      </c>
      <c r="V2540" s="2"/>
      <c r="W2540" s="2" t="s">
        <v>3194</v>
      </c>
      <c r="X2540" s="2"/>
      <c r="Y2540" s="7"/>
      <c r="Z2540" s="2"/>
      <c r="AA2540" s="1"/>
      <c r="AC2540" s="2"/>
      <c r="AE2540" s="1"/>
      <c r="AG2540" s="2"/>
    </row>
    <row r="2541" spans="12:33" ht="49.95" customHeight="1" x14ac:dyDescent="0.3">
      <c r="L2541" s="2"/>
      <c r="M2541" s="2"/>
      <c r="N2541" s="2">
        <v>8674</v>
      </c>
      <c r="O2541" s="371" t="s">
        <v>5081</v>
      </c>
      <c r="P2541" s="16">
        <v>46212</v>
      </c>
      <c r="Q2541" s="371" t="s">
        <v>5083</v>
      </c>
      <c r="R2541" s="2">
        <f>VLOOKUP(SALIDAS111518[[#This Row],[CÓDIGO]],PRODUCTOS31316[],2,FALSE)</f>
        <v>0</v>
      </c>
      <c r="S2541" s="1" t="str">
        <f>VLOOKUP(SALIDAS111518[[#This Row],[CÓDIGO]],PRODUCTOS31316[],3,FALSE)</f>
        <v>TABLET SANSUNG GALAXY TAB A11+</v>
      </c>
      <c r="T2541" s="2">
        <v>1</v>
      </c>
      <c r="U2541" s="2"/>
      <c r="V2541" s="2"/>
      <c r="W2541" s="2"/>
      <c r="X2541" s="2"/>
      <c r="Y2541" s="7"/>
      <c r="Z2541" s="2"/>
      <c r="AA2541" s="1"/>
      <c r="AC2541" s="2"/>
      <c r="AE2541" s="1"/>
      <c r="AG2541" s="2"/>
    </row>
    <row r="2542" spans="12:33" ht="49.95" customHeight="1" x14ac:dyDescent="0.3">
      <c r="L2542" s="2"/>
      <c r="M2542" s="2"/>
      <c r="N2542" s="2">
        <v>8674</v>
      </c>
      <c r="O2542" s="371" t="s">
        <v>5081</v>
      </c>
      <c r="P2542" s="16">
        <v>46212</v>
      </c>
      <c r="Q2542" s="371" t="s">
        <v>3286</v>
      </c>
      <c r="R2542" s="2">
        <f>VLOOKUP(SALIDAS111518[[#This Row],[CÓDIGO]],PRODUCTOS31316[],2,FALSE)</f>
        <v>0</v>
      </c>
      <c r="S2542" s="1" t="str">
        <f>VLOOKUP(SALIDAS111518[[#This Row],[CÓDIGO]],PRODUCTOS31316[],3,FALSE)</f>
        <v>CARCASA TABLET BMV</v>
      </c>
      <c r="T2542" s="2">
        <v>1</v>
      </c>
      <c r="U2542" s="2"/>
      <c r="V2542" s="2"/>
      <c r="W2542" s="2"/>
      <c r="X2542" s="2"/>
      <c r="Y2542" s="7"/>
      <c r="Z2542" s="2"/>
      <c r="AA2542" s="1"/>
      <c r="AC2542" s="2"/>
      <c r="AE2542" s="1"/>
      <c r="AG2542" s="2"/>
    </row>
    <row r="2543" spans="12:33" ht="49.95" customHeight="1" x14ac:dyDescent="0.3">
      <c r="L2543" s="2"/>
      <c r="M2543" s="2"/>
      <c r="N2543" s="2">
        <v>8674</v>
      </c>
      <c r="O2543" s="371" t="s">
        <v>5081</v>
      </c>
      <c r="P2543" s="16">
        <v>46212</v>
      </c>
      <c r="Q2543" s="371" t="s">
        <v>3095</v>
      </c>
      <c r="R2543" s="2">
        <f>VLOOKUP(SALIDAS111518[[#This Row],[CÓDIGO]],PRODUCTOS31316[],2,FALSE)</f>
        <v>0</v>
      </c>
      <c r="S2543" s="1" t="str">
        <f>VLOOKUP(SALIDAS111518[[#This Row],[CÓDIGO]],PRODUCTOS31316[],3,FALSE)</f>
        <v>GORRA MAS CAMPO</v>
      </c>
      <c r="T2543" s="2">
        <v>2</v>
      </c>
      <c r="U2543" s="2"/>
      <c r="V2543" s="2"/>
      <c r="W2543" s="2"/>
      <c r="X2543" s="2"/>
      <c r="Y2543" s="7"/>
      <c r="Z2543" s="2"/>
      <c r="AA2543" s="1"/>
      <c r="AC2543" s="2"/>
      <c r="AE2543" s="1"/>
      <c r="AG2543" s="2"/>
    </row>
    <row r="2544" spans="12:33" ht="49.95" customHeight="1" x14ac:dyDescent="0.3">
      <c r="L2544" s="371" t="s">
        <v>3520</v>
      </c>
      <c r="M2544" s="371" t="s">
        <v>5071</v>
      </c>
      <c r="N2544" s="371" t="s">
        <v>5085</v>
      </c>
      <c r="O2544" s="372" t="s">
        <v>2922</v>
      </c>
      <c r="P2544" s="16">
        <v>46212</v>
      </c>
      <c r="Q2544" s="371" t="s">
        <v>36</v>
      </c>
      <c r="R2544" s="2">
        <f>VLOOKUP(SALIDAS111518[[#This Row],[CÓDIGO]],PRODUCTOS31316[],2,FALSE)</f>
        <v>1</v>
      </c>
      <c r="S2544" s="1" t="str">
        <f>VLOOKUP(SALIDAS111518[[#This Row],[CÓDIGO]],PRODUCTOS31316[],3,FALSE)</f>
        <v xml:space="preserve">PARCHE ESTROTECT </v>
      </c>
      <c r="T2544" s="2">
        <v>1</v>
      </c>
      <c r="U2544" s="2">
        <v>1118</v>
      </c>
      <c r="V2544" s="2"/>
      <c r="W2544" s="2"/>
      <c r="X2544" s="2"/>
      <c r="Y2544" s="7"/>
      <c r="Z2544" s="2"/>
      <c r="AA2544" s="1"/>
      <c r="AC2544" s="2"/>
      <c r="AE2544" s="1"/>
      <c r="AG2544" s="2"/>
    </row>
    <row r="2545" spans="12:33" ht="49.95" customHeight="1" x14ac:dyDescent="0.3">
      <c r="L2545" s="2"/>
      <c r="M2545" s="2"/>
      <c r="N2545" s="2">
        <v>8680</v>
      </c>
      <c r="O2545" s="372" t="s">
        <v>2922</v>
      </c>
      <c r="P2545" s="16">
        <v>46212</v>
      </c>
      <c r="Q2545" s="371" t="s">
        <v>2401</v>
      </c>
      <c r="R2545" s="2">
        <f>VLOOKUP(SALIDAS111518[[#This Row],[CÓDIGO]],PRODUCTOS31316[],2,FALSE)</f>
        <v>5540</v>
      </c>
      <c r="S2545" s="1" t="str">
        <f>VLOOKUP(SALIDAS111518[[#This Row],[CÓDIGO]],PRODUCTOS31316[],3,FALSE)</f>
        <v xml:space="preserve">FUNDAS DE TRANSFERENCIA AZUL PUNTA METÁLICA 21"                 </v>
      </c>
      <c r="T2545" s="2">
        <v>3</v>
      </c>
      <c r="U2545" s="2"/>
      <c r="V2545" s="2"/>
      <c r="W2545" s="2"/>
      <c r="X2545" s="2"/>
      <c r="Y2545" s="7"/>
      <c r="Z2545" s="2"/>
      <c r="AA2545" s="1"/>
      <c r="AC2545" s="2"/>
      <c r="AE2545" s="1"/>
      <c r="AG2545" s="2"/>
    </row>
    <row r="2546" spans="12:33" ht="49.95" customHeight="1" x14ac:dyDescent="0.3">
      <c r="L2546" s="371" t="s">
        <v>3520</v>
      </c>
      <c r="M2546" s="371" t="s">
        <v>5071</v>
      </c>
      <c r="N2546" s="2">
        <v>8681</v>
      </c>
      <c r="O2546" s="372" t="s">
        <v>2836</v>
      </c>
      <c r="P2546" s="16">
        <v>46212</v>
      </c>
      <c r="Q2546" s="371" t="s">
        <v>4402</v>
      </c>
      <c r="R2546" s="2">
        <f>VLOOKUP(SALIDAS111518[[#This Row],[CÓDIGO]],PRODUCTOS31316[],2,FALSE)</f>
        <v>0</v>
      </c>
      <c r="S2546" s="1" t="str">
        <f>VLOOKUP(SALIDAS111518[[#This Row],[CÓDIGO]],PRODUCTOS31316[],3,FALSE)</f>
        <v>PAJILLA TRANSPARENTE DE 0.5 IMV PAQ.X 200 UND</v>
      </c>
      <c r="T2546" s="2">
        <v>2</v>
      </c>
      <c r="U2546" s="2">
        <v>1119</v>
      </c>
      <c r="V2546" s="2"/>
      <c r="W2546" s="2"/>
      <c r="X2546" s="2"/>
      <c r="Y2546" s="7"/>
      <c r="Z2546" s="2"/>
      <c r="AA2546" s="1"/>
      <c r="AC2546" s="2"/>
      <c r="AE2546" s="1"/>
      <c r="AG2546" s="2"/>
    </row>
    <row r="2547" spans="12:33" ht="49.95" customHeight="1" x14ac:dyDescent="0.3">
      <c r="L2547" s="371" t="s">
        <v>3521</v>
      </c>
      <c r="M2547" s="371" t="s">
        <v>5071</v>
      </c>
      <c r="N2547" s="420" t="s">
        <v>5632</v>
      </c>
      <c r="O2547" s="418" t="s">
        <v>5079</v>
      </c>
      <c r="P2547" s="16">
        <v>46226</v>
      </c>
      <c r="Q2547" s="371" t="s">
        <v>3287</v>
      </c>
      <c r="R2547" s="2">
        <f>VLOOKUP(SALIDAS111518[[#This Row],[CÓDIGO]],PRODUCTOS31316[],2,FALSE)</f>
        <v>0</v>
      </c>
      <c r="S2547" s="1" t="str">
        <f>VLOOKUP(SALIDAS111518[[#This Row],[CÓDIGO]],PRODUCTOS31316[],3,FALSE)</f>
        <v>ECÓGRAFO BETSCAN S9 VET CON SONDA LINEAL</v>
      </c>
      <c r="T2547" s="2">
        <v>1</v>
      </c>
      <c r="U2547" s="393" t="s">
        <v>5633</v>
      </c>
      <c r="V2547" s="2"/>
      <c r="W2547" s="371" t="s">
        <v>3194</v>
      </c>
      <c r="X2547" s="2"/>
      <c r="Y2547" s="7"/>
      <c r="Z2547" s="2"/>
      <c r="AA2547" s="1"/>
      <c r="AC2547" s="2"/>
      <c r="AE2547" s="1"/>
      <c r="AG2547" s="2"/>
    </row>
    <row r="2548" spans="12:33" ht="49.95" customHeight="1" x14ac:dyDescent="0.3">
      <c r="L2548" s="2"/>
      <c r="M2548" s="2"/>
      <c r="N2548" s="2">
        <v>8726</v>
      </c>
      <c r="O2548" s="391" t="s">
        <v>5079</v>
      </c>
      <c r="P2548" s="16">
        <v>46226</v>
      </c>
      <c r="Q2548" s="371" t="s">
        <v>3095</v>
      </c>
      <c r="R2548" s="2">
        <f>VLOOKUP(SALIDAS111518[[#This Row],[CÓDIGO]],PRODUCTOS31316[],2,FALSE)</f>
        <v>0</v>
      </c>
      <c r="S2548" s="1" t="str">
        <f>VLOOKUP(SALIDAS111518[[#This Row],[CÓDIGO]],PRODUCTOS31316[],3,FALSE)</f>
        <v>GORRA MAS CAMPO</v>
      </c>
      <c r="T2548" s="2">
        <v>1</v>
      </c>
      <c r="U2548" s="2"/>
      <c r="V2548" s="2"/>
      <c r="W2548" s="2"/>
      <c r="X2548" s="2"/>
      <c r="Y2548" s="7"/>
      <c r="Z2548" s="2"/>
      <c r="AA2548" s="1"/>
      <c r="AC2548" s="2"/>
      <c r="AE2548" s="1"/>
      <c r="AG2548" s="2"/>
    </row>
    <row r="2549" spans="12:33" ht="49.95" customHeight="1" x14ac:dyDescent="0.3">
      <c r="L2549" s="2" t="s">
        <v>3520</v>
      </c>
      <c r="M2549" s="2" t="s">
        <v>5071</v>
      </c>
      <c r="N2549" s="1" t="s">
        <v>5072</v>
      </c>
      <c r="O2549" s="2" t="s">
        <v>2692</v>
      </c>
      <c r="P2549" s="16">
        <v>46213</v>
      </c>
      <c r="Q2549" s="2" t="s">
        <v>341</v>
      </c>
      <c r="R2549" s="2" t="str">
        <f>VLOOKUP(SALIDAS111518[[#This Row],[CÓDIGO]],PRODUCTOS31316[],2,FALSE)</f>
        <v>CTB50</v>
      </c>
      <c r="S2549" s="1" t="str">
        <f>VLOOKUP(SALIDAS111518[[#This Row],[CÓDIGO]],PRODUCTOS31316[],3,FALSE)</f>
        <v>TUBO CÓNICO DE 50 mL, TAPA ROSCA, PRE ESTERILIZADO. RCF MAX: 10000xg, graduados, PCR puro.</v>
      </c>
      <c r="T2549" s="2">
        <v>3</v>
      </c>
      <c r="U2549" s="2">
        <v>1121</v>
      </c>
      <c r="V2549" s="2"/>
      <c r="W2549" s="2"/>
      <c r="X2549" s="2"/>
      <c r="Y2549" s="7"/>
      <c r="Z2549" s="2"/>
      <c r="AA2549" s="1"/>
      <c r="AC2549" s="2"/>
      <c r="AE2549" s="1"/>
      <c r="AG2549" s="2"/>
    </row>
    <row r="2550" spans="12:33" ht="49.95" customHeight="1" x14ac:dyDescent="0.3">
      <c r="L2550" s="2"/>
      <c r="M2550" s="2"/>
      <c r="N2550" s="2">
        <v>8682</v>
      </c>
      <c r="O2550" s="2" t="s">
        <v>2692</v>
      </c>
      <c r="P2550" s="16">
        <v>46213</v>
      </c>
      <c r="Q2550" s="2" t="s">
        <v>2232</v>
      </c>
      <c r="R2550" s="2">
        <f>VLOOKUP(SALIDAS111518[[#This Row],[CÓDIGO]],PRODUCTOS31316[],2,FALSE)</f>
        <v>0</v>
      </c>
      <c r="S2550" s="1" t="str">
        <f>VLOOKUP(SALIDAS111518[[#This Row],[CÓDIGO]],PRODUCTOS31316[],3,FALSE)</f>
        <v>CONO RECOLECTOR</v>
      </c>
      <c r="T2550" s="2">
        <v>2</v>
      </c>
      <c r="U2550" s="2"/>
      <c r="V2550" s="2"/>
      <c r="W2550" s="2"/>
      <c r="X2550" s="2"/>
      <c r="Y2550" s="7"/>
      <c r="Z2550" s="2"/>
      <c r="AA2550" s="1"/>
      <c r="AC2550" s="2"/>
      <c r="AE2550" s="1"/>
      <c r="AG2550" s="2"/>
    </row>
    <row r="2551" spans="12:33" ht="49.95" customHeight="1" x14ac:dyDescent="0.3">
      <c r="L2551" s="2" t="s">
        <v>3520</v>
      </c>
      <c r="M2551" s="2" t="s">
        <v>5071</v>
      </c>
      <c r="N2551" s="1" t="s">
        <v>5073</v>
      </c>
      <c r="O2551" s="2" t="s">
        <v>2871</v>
      </c>
      <c r="P2551" s="16">
        <v>46213</v>
      </c>
      <c r="Q2551" s="2" t="s">
        <v>2232</v>
      </c>
      <c r="R2551" s="2">
        <f>VLOOKUP(SALIDAS111518[[#This Row],[CÓDIGO]],PRODUCTOS31316[],2,FALSE)</f>
        <v>0</v>
      </c>
      <c r="S2551" s="1" t="str">
        <f>VLOOKUP(SALIDAS111518[[#This Row],[CÓDIGO]],PRODUCTOS31316[],3,FALSE)</f>
        <v>CONO RECOLECTOR</v>
      </c>
      <c r="T2551" s="2">
        <v>1</v>
      </c>
      <c r="U2551" s="2">
        <v>1120</v>
      </c>
      <c r="V2551" s="2"/>
      <c r="W2551" s="2"/>
      <c r="X2551" s="2"/>
      <c r="Y2551" s="7"/>
      <c r="Z2551" s="2"/>
      <c r="AA2551" s="1"/>
      <c r="AC2551" s="2"/>
      <c r="AE2551" s="1"/>
      <c r="AG2551" s="2"/>
    </row>
    <row r="2552" spans="12:33" ht="49.95" customHeight="1" x14ac:dyDescent="0.3">
      <c r="L2552" s="2" t="s">
        <v>3520</v>
      </c>
      <c r="M2552" s="2" t="s">
        <v>5071</v>
      </c>
      <c r="N2552" s="372" t="s">
        <v>5076</v>
      </c>
      <c r="O2552" s="413" t="s">
        <v>2710</v>
      </c>
      <c r="P2552" s="16">
        <v>46213</v>
      </c>
      <c r="Q2552" s="2" t="s">
        <v>36</v>
      </c>
      <c r="R2552" s="2">
        <f>VLOOKUP(SALIDAS111518[[#This Row],[CÓDIGO]],PRODUCTOS31316[],2,FALSE)</f>
        <v>1</v>
      </c>
      <c r="S2552" s="1" t="str">
        <f>VLOOKUP(SALIDAS111518[[#This Row],[CÓDIGO]],PRODUCTOS31316[],3,FALSE)</f>
        <v xml:space="preserve">PARCHE ESTROTECT </v>
      </c>
      <c r="T2552" s="2">
        <v>2</v>
      </c>
      <c r="U2552" s="371" t="s">
        <v>5075</v>
      </c>
      <c r="V2552" s="2"/>
      <c r="W2552" s="2"/>
      <c r="X2552" s="2"/>
      <c r="Y2552" s="7"/>
      <c r="Z2552" s="2"/>
      <c r="AA2552" s="1"/>
      <c r="AC2552" s="2"/>
      <c r="AE2552" s="1"/>
      <c r="AG2552" s="2"/>
    </row>
    <row r="2553" spans="12:33" ht="49.95" customHeight="1" x14ac:dyDescent="0.3">
      <c r="L2553" s="2" t="s">
        <v>3520</v>
      </c>
      <c r="M2553" s="2" t="s">
        <v>5071</v>
      </c>
      <c r="N2553" s="420" t="s">
        <v>5077</v>
      </c>
      <c r="O2553" s="2" t="s">
        <v>3657</v>
      </c>
      <c r="P2553" s="16">
        <v>46213</v>
      </c>
      <c r="Q2553" s="2" t="s">
        <v>3398</v>
      </c>
      <c r="R2553" s="2">
        <f>VLOOKUP(SALIDAS111518[[#This Row],[CÓDIGO]],PRODUCTOS31316[],2,FALSE)</f>
        <v>13408</v>
      </c>
      <c r="S2553" s="1" t="str">
        <f>VLOOKUP(SALIDAS111518[[#This Row],[CÓDIGO]],PRODUCTOS31316[],3,FALSE)</f>
        <v>PAJILLAS TRANSPARENTES 0,50 MINITUBE</v>
      </c>
      <c r="T2553" s="2">
        <v>1</v>
      </c>
      <c r="U2553" s="2">
        <v>1123</v>
      </c>
      <c r="V2553" s="2"/>
      <c r="W2553" s="2" t="s">
        <v>3412</v>
      </c>
      <c r="X2553" s="2"/>
      <c r="Y2553" s="7"/>
      <c r="Z2553" s="2"/>
      <c r="AA2553" s="1"/>
      <c r="AC2553" s="2"/>
      <c r="AE2553" s="1"/>
      <c r="AG2553" s="2"/>
    </row>
    <row r="2554" spans="12:33" ht="49.95" customHeight="1" x14ac:dyDescent="0.3">
      <c r="L2554" s="2"/>
      <c r="M2554" s="2"/>
      <c r="N2554" s="2">
        <v>8685</v>
      </c>
      <c r="O2554" s="2" t="s">
        <v>3657</v>
      </c>
      <c r="P2554" s="16">
        <v>46213</v>
      </c>
      <c r="Q2554" s="2" t="s">
        <v>455</v>
      </c>
      <c r="R2554" s="2">
        <f>VLOOKUP(SALIDAS111518[[#This Row],[CÓDIGO]],PRODUCTOS31316[],2,FALSE)</f>
        <v>0</v>
      </c>
      <c r="S2554" s="1" t="str">
        <f>VLOOKUP(SALIDAS111518[[#This Row],[CÓDIGO]],PRODUCTOS31316[],3,FALSE)</f>
        <v>ESCALERILLAS PARA GOBLETS DE 13 MM</v>
      </c>
      <c r="T2554" s="2">
        <v>1</v>
      </c>
      <c r="U2554" s="31" t="s">
        <v>5074</v>
      </c>
      <c r="V2554" s="2"/>
      <c r="W2554" s="2"/>
      <c r="X2554" s="2"/>
      <c r="Y2554" s="7"/>
      <c r="Z2554" s="2"/>
      <c r="AA2554" s="1"/>
      <c r="AC2554" s="2"/>
      <c r="AE2554" s="1"/>
      <c r="AG2554" s="2"/>
    </row>
    <row r="2555" spans="12:33" ht="49.95" customHeight="1" x14ac:dyDescent="0.3">
      <c r="L2555" s="2"/>
      <c r="M2555" s="2"/>
      <c r="N2555" s="2">
        <v>8685</v>
      </c>
      <c r="O2555" s="2" t="s">
        <v>3657</v>
      </c>
      <c r="P2555" s="16">
        <v>46213</v>
      </c>
      <c r="Q2555" s="2" t="s">
        <v>819</v>
      </c>
      <c r="R2555" s="2">
        <f>VLOOKUP(SALIDAS111518[[#This Row],[CÓDIGO]],PRODUCTOS31316[],2,FALSE)</f>
        <v>0</v>
      </c>
      <c r="S2555" s="1" t="str">
        <f>VLOOKUP(SALIDAS111518[[#This Row],[CÓDIGO]],PRODUCTOS31316[],3,FALSE)</f>
        <v>GOBLET DE 13 MM AMARILLO</v>
      </c>
      <c r="T2555" s="2">
        <v>1</v>
      </c>
      <c r="U2555" s="2"/>
      <c r="V2555" s="2"/>
      <c r="W2555" s="2"/>
      <c r="X2555" s="2"/>
      <c r="Y2555" s="7"/>
      <c r="Z2555" s="2"/>
      <c r="AA2555" s="1"/>
      <c r="AC2555" s="2"/>
      <c r="AE2555" s="1"/>
      <c r="AG2555" s="2"/>
    </row>
    <row r="2556" spans="12:33" ht="49.95" customHeight="1" x14ac:dyDescent="0.3">
      <c r="L2556" s="2"/>
      <c r="M2556" s="2"/>
      <c r="N2556" s="2">
        <v>8685</v>
      </c>
      <c r="O2556" s="2" t="s">
        <v>3657</v>
      </c>
      <c r="P2556" s="16">
        <v>46213</v>
      </c>
      <c r="Q2556" s="2" t="s">
        <v>3397</v>
      </c>
      <c r="R2556" s="2">
        <f>VLOOKUP(SALIDAS111518[[#This Row],[CÓDIGO]],PRODUCTOS31316[],2,FALSE)</f>
        <v>13407</v>
      </c>
      <c r="S2556" s="1" t="str">
        <f>VLOOKUP(SALIDAS111518[[#This Row],[CÓDIGO]],PRODUCTOS31316[],3,FALSE)</f>
        <v>PAJILLAS TRANSPARENTES 0,25 MINITUBE</v>
      </c>
      <c r="T2556" s="2">
        <v>1</v>
      </c>
      <c r="U2556" s="2"/>
      <c r="V2556" s="2"/>
      <c r="W2556" s="2"/>
      <c r="X2556" s="2"/>
      <c r="Y2556" s="7"/>
      <c r="Z2556" s="2"/>
      <c r="AA2556" s="1"/>
      <c r="AC2556" s="2"/>
      <c r="AE2556" s="1"/>
      <c r="AG2556" s="2"/>
    </row>
    <row r="2557" spans="12:33" ht="49.95" customHeight="1" x14ac:dyDescent="0.3">
      <c r="L2557" s="2" t="s">
        <v>3520</v>
      </c>
      <c r="M2557" s="2" t="s">
        <v>5071</v>
      </c>
      <c r="N2557" s="372" t="s">
        <v>5078</v>
      </c>
      <c r="O2557" s="2" t="s">
        <v>2444</v>
      </c>
      <c r="P2557" s="16">
        <v>46213</v>
      </c>
      <c r="Q2557" s="2" t="s">
        <v>341</v>
      </c>
      <c r="R2557" s="2" t="str">
        <f>VLOOKUP(SALIDAS111518[[#This Row],[CÓDIGO]],PRODUCTOS31316[],2,FALSE)</f>
        <v>CTB50</v>
      </c>
      <c r="S2557" s="1" t="str">
        <f>VLOOKUP(SALIDAS111518[[#This Row],[CÓDIGO]],PRODUCTOS31316[],3,FALSE)</f>
        <v>TUBO CÓNICO DE 50 mL, TAPA ROSCA, PRE ESTERILIZADO. RCF MAX: 10000xg, graduados, PCR puro.</v>
      </c>
      <c r="T2557" s="2">
        <v>20</v>
      </c>
      <c r="U2557" s="2">
        <v>1124</v>
      </c>
      <c r="V2557" s="2"/>
      <c r="W2557" s="2"/>
      <c r="X2557" s="2"/>
      <c r="Y2557" s="7"/>
      <c r="Z2557" s="2"/>
      <c r="AA2557" s="1"/>
      <c r="AC2557" s="2"/>
      <c r="AE2557" s="1"/>
      <c r="AG2557" s="2"/>
    </row>
    <row r="2558" spans="12:33" ht="49.95" customHeight="1" x14ac:dyDescent="0.3">
      <c r="L2558" s="374" t="s">
        <v>3521</v>
      </c>
      <c r="M2558" s="374" t="s">
        <v>5071</v>
      </c>
      <c r="N2558" s="420" t="s">
        <v>5799</v>
      </c>
      <c r="O2558" s="407" t="s">
        <v>5631</v>
      </c>
      <c r="P2558" s="16">
        <v>46226</v>
      </c>
      <c r="Q2558" s="374" t="s">
        <v>3211</v>
      </c>
      <c r="R2558" s="2" t="str">
        <f>VLOOKUP(SALIDAS111518[[#This Row],[CÓDIGO]],PRODUCTOS31316[],2,FALSE)</f>
        <v>S7</v>
      </c>
      <c r="S2558" s="1" t="str">
        <f>VLOOKUP(SALIDAS111518[[#This Row],[CÓDIGO]],PRODUCTOS31316[],3,FALSE)</f>
        <v>SONDA S7 PLUS DOPPLER COLOR</v>
      </c>
      <c r="T2558" s="2">
        <v>1</v>
      </c>
      <c r="U2558" s="2">
        <v>1170</v>
      </c>
      <c r="V2558" s="2"/>
      <c r="W2558" s="374" t="s">
        <v>2823</v>
      </c>
      <c r="X2558" s="2"/>
      <c r="Y2558" s="7"/>
      <c r="Z2558" s="2"/>
      <c r="AA2558" s="1"/>
      <c r="AC2558" s="2"/>
      <c r="AE2558" s="1"/>
      <c r="AG2558" s="2"/>
    </row>
    <row r="2559" spans="12:33" ht="49.95" customHeight="1" x14ac:dyDescent="0.3">
      <c r="L2559" s="2"/>
      <c r="M2559" s="2"/>
      <c r="N2559" s="371">
        <v>8572</v>
      </c>
      <c r="O2559" s="391" t="s">
        <v>5631</v>
      </c>
      <c r="P2559" s="16">
        <v>46226</v>
      </c>
      <c r="Q2559" s="374" t="s">
        <v>5083</v>
      </c>
      <c r="R2559" s="2">
        <f>VLOOKUP(SALIDAS111518[[#This Row],[CÓDIGO]],PRODUCTOS31316[],2,FALSE)</f>
        <v>0</v>
      </c>
      <c r="S2559" s="1" t="str">
        <f>VLOOKUP(SALIDAS111518[[#This Row],[CÓDIGO]],PRODUCTOS31316[],3,FALSE)</f>
        <v>TABLET SANSUNG GALAXY TAB A11+</v>
      </c>
      <c r="T2559" s="2">
        <v>1</v>
      </c>
      <c r="U2559" s="2"/>
      <c r="V2559" s="2"/>
      <c r="W2559" s="2"/>
      <c r="X2559" s="2"/>
      <c r="Y2559" s="7"/>
      <c r="Z2559" s="2"/>
      <c r="AA2559" s="1"/>
      <c r="AC2559" s="2"/>
      <c r="AE2559" s="1"/>
      <c r="AG2559" s="2"/>
    </row>
    <row r="2560" spans="12:33" ht="49.95" customHeight="1" x14ac:dyDescent="0.3">
      <c r="L2560" s="2"/>
      <c r="M2560" s="2"/>
      <c r="N2560" s="371">
        <v>8572</v>
      </c>
      <c r="O2560" s="391" t="s">
        <v>5631</v>
      </c>
      <c r="P2560" s="16">
        <v>46226</v>
      </c>
      <c r="Q2560" s="374" t="s">
        <v>3286</v>
      </c>
      <c r="R2560" s="2">
        <f>VLOOKUP(SALIDAS111518[[#This Row],[CÓDIGO]],PRODUCTOS31316[],2,FALSE)</f>
        <v>0</v>
      </c>
      <c r="S2560" s="1" t="str">
        <f>VLOOKUP(SALIDAS111518[[#This Row],[CÓDIGO]],PRODUCTOS31316[],3,FALSE)</f>
        <v>CARCASA TABLET BMV</v>
      </c>
      <c r="T2560" s="2">
        <v>1</v>
      </c>
      <c r="U2560" s="2"/>
      <c r="V2560" s="2"/>
      <c r="W2560" s="2"/>
      <c r="X2560" s="2"/>
      <c r="Y2560" s="7"/>
      <c r="Z2560" s="2"/>
      <c r="AA2560" s="1"/>
      <c r="AC2560" s="2"/>
      <c r="AE2560" s="1"/>
      <c r="AG2560" s="2"/>
    </row>
    <row r="2561" spans="12:33" ht="49.95" customHeight="1" x14ac:dyDescent="0.3">
      <c r="L2561" s="374" t="s">
        <v>3521</v>
      </c>
      <c r="M2561" s="374" t="s">
        <v>5071</v>
      </c>
      <c r="N2561" s="419" t="s">
        <v>5796</v>
      </c>
      <c r="O2561" s="377" t="s">
        <v>5509</v>
      </c>
      <c r="P2561" s="46">
        <v>46239</v>
      </c>
      <c r="Q2561" s="374" t="s">
        <v>3211</v>
      </c>
      <c r="R2561" s="2" t="str">
        <f>VLOOKUP(SALIDAS111518[[#This Row],[CÓDIGO]],PRODUCTOS31316[],2,FALSE)</f>
        <v>S7</v>
      </c>
      <c r="S2561" s="1" t="str">
        <f>VLOOKUP(SALIDAS111518[[#This Row],[CÓDIGO]],PRODUCTOS31316[],3,FALSE)</f>
        <v>SONDA S7 PLUS DOPPLER COLOR</v>
      </c>
      <c r="T2561" s="2">
        <v>1</v>
      </c>
      <c r="U2561" s="2">
        <v>1255</v>
      </c>
      <c r="V2561" s="2"/>
      <c r="W2561" s="2"/>
      <c r="X2561" s="2"/>
      <c r="Y2561" s="7"/>
      <c r="Z2561" s="2"/>
      <c r="AA2561" s="1"/>
      <c r="AC2561" s="2"/>
      <c r="AE2561" s="1"/>
      <c r="AG2561" s="2"/>
    </row>
    <row r="2562" spans="12:33" ht="49.95" customHeight="1" x14ac:dyDescent="0.3">
      <c r="L2562" s="2"/>
      <c r="M2562" s="2"/>
      <c r="N2562" s="371">
        <v>8805</v>
      </c>
      <c r="O2562" s="375" t="s">
        <v>5509</v>
      </c>
      <c r="P2562" s="16">
        <v>46239</v>
      </c>
      <c r="Q2562" s="374" t="s">
        <v>5083</v>
      </c>
      <c r="R2562" s="2">
        <f>VLOOKUP(SALIDAS111518[[#This Row],[CÓDIGO]],PRODUCTOS31316[],2,FALSE)</f>
        <v>0</v>
      </c>
      <c r="S2562" s="1" t="str">
        <f>VLOOKUP(SALIDAS111518[[#This Row],[CÓDIGO]],PRODUCTOS31316[],3,FALSE)</f>
        <v>TABLET SANSUNG GALAXY TAB A11+</v>
      </c>
      <c r="T2562" s="2">
        <v>1</v>
      </c>
      <c r="U2562" s="2"/>
      <c r="V2562" s="2"/>
      <c r="W2562" s="2"/>
      <c r="X2562" s="2"/>
      <c r="Y2562" s="7"/>
      <c r="Z2562" s="2"/>
      <c r="AA2562" s="1"/>
      <c r="AC2562" s="2"/>
      <c r="AE2562" s="1"/>
      <c r="AG2562" s="2"/>
    </row>
    <row r="2563" spans="12:33" ht="49.95" customHeight="1" x14ac:dyDescent="0.3">
      <c r="L2563" s="2"/>
      <c r="M2563" s="2"/>
      <c r="N2563" s="371">
        <v>8805</v>
      </c>
      <c r="O2563" s="375" t="s">
        <v>5509</v>
      </c>
      <c r="P2563" s="16">
        <v>46239</v>
      </c>
      <c r="Q2563" s="374" t="s">
        <v>3286</v>
      </c>
      <c r="R2563" s="2">
        <f>VLOOKUP(SALIDAS111518[[#This Row],[CÓDIGO]],PRODUCTOS31316[],2,FALSE)</f>
        <v>0</v>
      </c>
      <c r="S2563" s="1" t="str">
        <f>VLOOKUP(SALIDAS111518[[#This Row],[CÓDIGO]],PRODUCTOS31316[],3,FALSE)</f>
        <v>CARCASA TABLET BMV</v>
      </c>
      <c r="T2563" s="2">
        <v>1</v>
      </c>
      <c r="U2563" s="2"/>
      <c r="V2563" s="2"/>
      <c r="W2563" s="2"/>
      <c r="X2563" s="2"/>
      <c r="Y2563" s="7"/>
      <c r="Z2563" s="2"/>
      <c r="AA2563" s="1"/>
      <c r="AC2563" s="2"/>
      <c r="AE2563" s="1"/>
      <c r="AG2563" s="2"/>
    </row>
    <row r="2564" spans="12:33" ht="49.95" customHeight="1" x14ac:dyDescent="0.3">
      <c r="L2564" s="2"/>
      <c r="M2564" s="2"/>
      <c r="N2564" s="371">
        <v>8805</v>
      </c>
      <c r="O2564" s="375" t="s">
        <v>5509</v>
      </c>
      <c r="P2564" s="16">
        <v>46239</v>
      </c>
      <c r="Q2564" s="374" t="s">
        <v>1381</v>
      </c>
      <c r="R2564" s="2" t="str">
        <f>VLOOKUP(SALIDAS111518[[#This Row],[CÓDIGO]],PRODUCTOS31316[],2,FALSE)</f>
        <v>6906-25</v>
      </c>
      <c r="S2564" s="1" t="str">
        <f>VLOOKUP(SALIDAS111518[[#This Row],[CÓDIGO]],PRODUCTOS31316[],3,FALSE)</f>
        <v>ELECTROJAC COMPLETE W/2,5" PROBE</v>
      </c>
      <c r="T2564" s="2">
        <v>1</v>
      </c>
      <c r="U2564" s="2"/>
      <c r="V2564" s="2"/>
      <c r="W2564" s="2"/>
      <c r="X2564" s="2"/>
      <c r="Y2564" s="7"/>
      <c r="Z2564" s="2"/>
      <c r="AA2564" s="1"/>
      <c r="AC2564" s="2"/>
      <c r="AE2564" s="1"/>
      <c r="AG2564" s="2"/>
    </row>
    <row r="2565" spans="12:33" ht="49.95" customHeight="1" x14ac:dyDescent="0.3">
      <c r="L2565" s="2"/>
      <c r="M2565" s="2"/>
      <c r="N2565" s="371"/>
      <c r="O2565" s="375" t="s">
        <v>5509</v>
      </c>
      <c r="P2565" s="16"/>
      <c r="Q2565" s="31" t="s">
        <v>5510</v>
      </c>
      <c r="R2565" s="31" t="e">
        <f>VLOOKUP(SALIDAS111518[[#This Row],[CÓDIGO]],PRODUCTOS31316[],2,FALSE)</f>
        <v>#N/A</v>
      </c>
      <c r="S2565" s="150" t="e">
        <f>VLOOKUP(SALIDAS111518[[#This Row],[CÓDIGO]],PRODUCTOS31316[],3,FALSE)</f>
        <v>#N/A</v>
      </c>
      <c r="T2565" s="31">
        <v>1</v>
      </c>
      <c r="U2565" s="2"/>
      <c r="V2565" s="2"/>
      <c r="W2565" s="2"/>
      <c r="X2565" s="2"/>
      <c r="Y2565" s="7"/>
      <c r="Z2565" s="2"/>
      <c r="AA2565" s="1"/>
      <c r="AC2565" s="2"/>
      <c r="AE2565" s="1"/>
      <c r="AG2565" s="2"/>
    </row>
    <row r="2566" spans="12:33" ht="49.95" customHeight="1" x14ac:dyDescent="0.3">
      <c r="L2566" s="2"/>
      <c r="M2566" s="2"/>
      <c r="N2566" s="371">
        <v>8805</v>
      </c>
      <c r="O2566" s="375" t="s">
        <v>5509</v>
      </c>
      <c r="P2566" s="16">
        <v>46239</v>
      </c>
      <c r="Q2566" s="374" t="s">
        <v>3417</v>
      </c>
      <c r="R2566" s="2" t="str">
        <f>VLOOKUP(SALIDAS111518[[#This Row],[CÓDIGO]],PRODUCTOS31316[],2,FALSE)</f>
        <v>FT2000AU/0,5</v>
      </c>
      <c r="S2566" s="1" t="str">
        <f>VLOOKUP(SALIDAS111518[[#This Row],[CÓDIGO]],PRODUCTOS31316[],3,FALSE)</f>
        <v>EMPACADORA Y SELLADORA AUTOMATICA DE PAJILLAS 0.50</v>
      </c>
      <c r="T2566" s="2">
        <v>1</v>
      </c>
      <c r="U2566" s="2"/>
      <c r="V2566" s="2"/>
      <c r="W2566" s="2"/>
      <c r="X2566" s="2"/>
      <c r="Y2566" s="7"/>
      <c r="Z2566" s="2"/>
      <c r="AA2566" s="1"/>
      <c r="AC2566" s="2"/>
      <c r="AE2566" s="1"/>
      <c r="AG2566" s="2"/>
    </row>
    <row r="2567" spans="12:33" ht="49.95" customHeight="1" x14ac:dyDescent="0.3">
      <c r="L2567" s="2"/>
      <c r="M2567" s="2"/>
      <c r="N2567" s="371">
        <v>8805</v>
      </c>
      <c r="O2567" s="375" t="s">
        <v>5509</v>
      </c>
      <c r="P2567" s="16">
        <v>46239</v>
      </c>
      <c r="Q2567" s="374" t="s">
        <v>43</v>
      </c>
      <c r="R2567" s="2">
        <f>VLOOKUP(SALIDAS111518[[#This Row],[CÓDIGO]],PRODUCTOS31316[],2,FALSE)</f>
        <v>1601</v>
      </c>
      <c r="S2567" s="1" t="str">
        <f>VLOOKUP(SALIDAS111518[[#This Row],[CÓDIGO]],PRODUCTOS31316[],3,FALSE)</f>
        <v>LAPAROSCOPIO CON LENTE (5mm) 0 GRADOS</v>
      </c>
      <c r="T2567" s="2">
        <v>1</v>
      </c>
      <c r="U2567" s="2"/>
      <c r="V2567" s="2"/>
      <c r="W2567" s="2"/>
      <c r="X2567" s="2"/>
      <c r="Y2567" s="7"/>
      <c r="Z2567" s="2"/>
      <c r="AA2567" s="1"/>
      <c r="AC2567" s="2"/>
      <c r="AE2567" s="1"/>
      <c r="AG2567" s="2"/>
    </row>
    <row r="2568" spans="12:33" ht="49.95" customHeight="1" x14ac:dyDescent="0.3">
      <c r="L2568" s="2"/>
      <c r="M2568" s="2"/>
      <c r="N2568" s="371">
        <v>8805</v>
      </c>
      <c r="O2568" s="375" t="s">
        <v>5509</v>
      </c>
      <c r="P2568" s="16">
        <v>46239</v>
      </c>
      <c r="Q2568" s="374" t="s">
        <v>37</v>
      </c>
      <c r="R2568" s="2" t="str">
        <f>VLOOKUP(SALIDAS111518[[#This Row],[CÓDIGO]],PRODUCTOS31316[],2,FALSE)</f>
        <v>HF6518.905.1</v>
      </c>
      <c r="S2568" s="1" t="str">
        <f>VLOOKUP(SALIDAS111518[[#This Row],[CÓDIGO]],PRODUCTOS31316[],3,FALSE)</f>
        <v>KIT FUENTE DE LUZ PORTÁTIL</v>
      </c>
      <c r="T2568" s="2">
        <v>1</v>
      </c>
      <c r="U2568" s="2"/>
      <c r="V2568" s="2"/>
      <c r="W2568" s="2"/>
      <c r="X2568" s="2"/>
      <c r="Y2568" s="7"/>
      <c r="Z2568" s="2"/>
      <c r="AA2568" s="1"/>
      <c r="AC2568" s="2"/>
      <c r="AE2568" s="1"/>
      <c r="AG2568" s="2"/>
    </row>
    <row r="2569" spans="12:33" ht="49.95" customHeight="1" x14ac:dyDescent="0.3">
      <c r="L2569" s="2"/>
      <c r="M2569" s="2"/>
      <c r="N2569" s="371">
        <v>8805</v>
      </c>
      <c r="O2569" s="375" t="s">
        <v>5509</v>
      </c>
      <c r="P2569" s="16">
        <v>46239</v>
      </c>
      <c r="Q2569" s="374" t="s">
        <v>21</v>
      </c>
      <c r="R2569" s="2" t="str">
        <f>VLOOKUP(SALIDAS111518[[#This Row],[CÓDIGO]],PRODUCTOS31316[],2,FALSE)</f>
        <v>HF6518.010.1</v>
      </c>
      <c r="S2569" s="1" t="str">
        <f>VLOOKUP(SALIDAS111518[[#This Row],[CÓDIGO]],PRODUCTOS31316[],3,FALSE)</f>
        <v>TROCAR Y VAINA PRINCIPAL (INOX)</v>
      </c>
      <c r="T2569" s="2">
        <v>1</v>
      </c>
      <c r="U2569" s="2"/>
      <c r="V2569" s="2"/>
      <c r="W2569" s="2"/>
      <c r="X2569" s="2"/>
      <c r="Y2569" s="7"/>
      <c r="Z2569" s="2"/>
      <c r="AA2569" s="1"/>
      <c r="AC2569" s="2"/>
      <c r="AE2569" s="1"/>
      <c r="AG2569" s="2"/>
    </row>
    <row r="2570" spans="12:33" ht="49.95" customHeight="1" x14ac:dyDescent="0.3">
      <c r="L2570" s="2"/>
      <c r="M2570" s="2"/>
      <c r="N2570" s="371">
        <v>8805</v>
      </c>
      <c r="O2570" s="375" t="s">
        <v>5509</v>
      </c>
      <c r="P2570" s="16">
        <v>46239</v>
      </c>
      <c r="Q2570" s="374" t="s">
        <v>26</v>
      </c>
      <c r="R2570" s="2" t="str">
        <f>VLOOKUP(SALIDAS111518[[#This Row],[CÓDIGO]],PRODUCTOS31316[],2,FALSE)</f>
        <v>HF6518.010.1</v>
      </c>
      <c r="S2570" s="1" t="str">
        <f>VLOOKUP(SALIDAS111518[[#This Row],[CÓDIGO]],PRODUCTOS31316[],3,FALSE)</f>
        <v>TROCAR Y VAINA SECUNDARIA (INOX)</v>
      </c>
      <c r="T2570" s="2">
        <v>1</v>
      </c>
      <c r="U2570" s="2"/>
      <c r="V2570" s="2"/>
      <c r="W2570" s="2"/>
      <c r="X2570" s="2"/>
      <c r="Y2570" s="7"/>
      <c r="Z2570" s="2"/>
      <c r="AA2570" s="1"/>
      <c r="AC2570" s="2"/>
      <c r="AE2570" s="1"/>
      <c r="AG2570" s="2"/>
    </row>
    <row r="2571" spans="12:33" ht="49.95" customHeight="1" x14ac:dyDescent="0.3">
      <c r="L2571" s="2"/>
      <c r="M2571" s="2"/>
      <c r="N2571" s="371">
        <v>8805</v>
      </c>
      <c r="O2571" s="375" t="s">
        <v>5509</v>
      </c>
      <c r="P2571" s="16">
        <v>46239</v>
      </c>
      <c r="Q2571" s="374" t="s">
        <v>32</v>
      </c>
      <c r="R2571" s="2" t="str">
        <f>VLOOKUP(SALIDAS111518[[#This Row],[CÓDIGO]],PRODUCTOS31316[],2,FALSE)</f>
        <v>HF6518.945</v>
      </c>
      <c r="S2571" s="1" t="str">
        <f>VLOOKUP(SALIDAS111518[[#This Row],[CÓDIGO]],PRODUCTOS31316[],3,FALSE)</f>
        <v>CONECTOR LAPAROSCOPIO</v>
      </c>
      <c r="T2571" s="2">
        <v>2</v>
      </c>
      <c r="U2571" s="2"/>
      <c r="V2571" s="2"/>
      <c r="W2571" s="2"/>
      <c r="X2571" s="2"/>
      <c r="Y2571" s="7"/>
      <c r="Z2571" s="2"/>
      <c r="AA2571" s="1"/>
      <c r="AC2571" s="2"/>
      <c r="AE2571" s="1"/>
      <c r="AG2571" s="2"/>
    </row>
    <row r="2572" spans="12:33" ht="49.95" customHeight="1" x14ac:dyDescent="0.3">
      <c r="L2572" s="2"/>
      <c r="M2572" s="2"/>
      <c r="N2572" s="371">
        <v>8805</v>
      </c>
      <c r="O2572" s="375" t="s">
        <v>5509</v>
      </c>
      <c r="P2572" s="16">
        <v>46239</v>
      </c>
      <c r="Q2572" s="374" t="s">
        <v>2412</v>
      </c>
      <c r="R2572" s="2" t="str">
        <f>VLOOKUP(SALIDAS111518[[#This Row],[CÓDIGO]],PRODUCTOS31316[],2,FALSE)</f>
        <v>PTC</v>
      </c>
      <c r="S2572" s="1" t="str">
        <f>VLOOKUP(SALIDAS111518[[#This Row],[CÓDIGO]],PRODUCTOS31316[],3,FALSE)</f>
        <v>PISTOLA DE INSEMINACIÓN ARTIFICIAL CON CÁMARA</v>
      </c>
      <c r="T2572" s="2">
        <v>1</v>
      </c>
      <c r="U2572" s="2"/>
      <c r="V2572" s="2"/>
      <c r="W2572" s="2"/>
      <c r="X2572" s="2"/>
      <c r="Y2572" s="7"/>
      <c r="Z2572" s="2"/>
      <c r="AA2572" s="1"/>
      <c r="AC2572" s="2"/>
      <c r="AE2572" s="1"/>
      <c r="AG2572" s="2"/>
    </row>
    <row r="2573" spans="12:33" ht="49.95" customHeight="1" x14ac:dyDescent="0.3">
      <c r="L2573" s="2"/>
      <c r="M2573" s="2"/>
      <c r="N2573" s="371"/>
      <c r="O2573" s="375" t="s">
        <v>5509</v>
      </c>
      <c r="P2573" s="16"/>
      <c r="Q2573" s="31" t="s">
        <v>3601</v>
      </c>
      <c r="R2573" s="31">
        <f>VLOOKUP(SALIDAS111518[[#This Row],[CÓDIGO]],PRODUCTOS31316[],2,FALSE)</f>
        <v>77053</v>
      </c>
      <c r="S2573" s="150" t="str">
        <f>VLOOKUP(SALIDAS111518[[#This Row],[CÓDIGO]],PRODUCTOS31316[],3,FALSE)</f>
        <v>DETECTOR DE ESTRO PARA VACAS Y YEGUAS EDC2</v>
      </c>
      <c r="T2573" s="31">
        <v>1</v>
      </c>
      <c r="U2573" s="2"/>
      <c r="V2573" s="2"/>
      <c r="W2573" s="2"/>
      <c r="X2573" s="2"/>
      <c r="Y2573" s="7"/>
      <c r="Z2573" s="2"/>
      <c r="AA2573" s="1"/>
      <c r="AC2573" s="2"/>
      <c r="AE2573" s="1"/>
      <c r="AG2573" s="2"/>
    </row>
    <row r="2574" spans="12:33" ht="49.95" customHeight="1" x14ac:dyDescent="0.3">
      <c r="L2574" s="2"/>
      <c r="M2574" s="2"/>
      <c r="N2574" s="371">
        <v>8805</v>
      </c>
      <c r="O2574" s="375" t="s">
        <v>5509</v>
      </c>
      <c r="P2574" s="16">
        <v>46239</v>
      </c>
      <c r="Q2574" s="374" t="s">
        <v>378</v>
      </c>
      <c r="R2574" s="2">
        <f>VLOOKUP(SALIDAS111518[[#This Row],[CÓDIGO]],PRODUCTOS31316[],2,FALSE)</f>
        <v>0</v>
      </c>
      <c r="S2574" s="1" t="str">
        <f>VLOOKUP(SALIDAS111518[[#This Row],[CÓDIGO]],PRODUCTOS31316[],3,FALSE)</f>
        <v>ISPERM KIT (WITH 50 INCLUIDED CHIPS, EXS M5)</v>
      </c>
      <c r="T2574" s="2">
        <v>1</v>
      </c>
      <c r="U2574" s="2"/>
      <c r="V2574" s="2"/>
      <c r="W2574" s="2"/>
      <c r="X2574" s="2"/>
      <c r="Y2574" s="7"/>
      <c r="Z2574" s="2"/>
      <c r="AA2574" s="1"/>
      <c r="AC2574" s="2"/>
      <c r="AE2574" s="1"/>
      <c r="AG2574" s="2"/>
    </row>
    <row r="2575" spans="12:33" ht="49.95" customHeight="1" x14ac:dyDescent="0.3">
      <c r="L2575" s="2"/>
      <c r="M2575" s="2"/>
      <c r="N2575" s="371">
        <v>8805</v>
      </c>
      <c r="O2575" s="375" t="s">
        <v>5509</v>
      </c>
      <c r="P2575" s="16">
        <v>46239</v>
      </c>
      <c r="Q2575" s="374" t="s">
        <v>985</v>
      </c>
      <c r="R2575" s="2">
        <f>VLOOKUP(SALIDAS111518[[#This Row],[CÓDIGO]],PRODUCTOS31316[],2,FALSE)</f>
        <v>0</v>
      </c>
      <c r="S2575" s="1" t="str">
        <f>VLOOKUP(SALIDAS111518[[#This Row],[CÓDIGO]],PRODUCTOS31316[],3,FALSE)</f>
        <v>ISPERM SOFTWARE INICIAL ( UNA APLICACIÓN)</v>
      </c>
      <c r="T2575" s="2">
        <v>1</v>
      </c>
      <c r="U2575" s="2"/>
      <c r="V2575" s="2"/>
      <c r="W2575" s="2"/>
      <c r="X2575" s="2"/>
      <c r="Y2575" s="7"/>
      <c r="Z2575" s="2"/>
      <c r="AA2575" s="1"/>
      <c r="AC2575" s="2"/>
      <c r="AE2575" s="1"/>
      <c r="AG2575" s="2"/>
    </row>
    <row r="2576" spans="12:33" ht="49.95" customHeight="1" x14ac:dyDescent="0.3">
      <c r="L2576" s="2"/>
      <c r="M2576" s="2"/>
      <c r="N2576" s="371"/>
      <c r="O2576" s="375" t="s">
        <v>5509</v>
      </c>
      <c r="P2576" s="16"/>
      <c r="Q2576" s="31" t="s">
        <v>3275</v>
      </c>
      <c r="R2576" s="31">
        <f>VLOOKUP(SALIDAS111518[[#This Row],[CÓDIGO]],PRODUCTOS31316[],2,FALSE)</f>
        <v>0</v>
      </c>
      <c r="S2576" s="150" t="str">
        <f>VLOOKUP(SALIDAS111518[[#This Row],[CÓDIGO]],PRODUCTOS31316[],3,FALSE)</f>
        <v>IPAD MINI 7.9" PLATA 128 GB</v>
      </c>
      <c r="T2576" s="31">
        <v>1</v>
      </c>
      <c r="U2576" s="2"/>
      <c r="V2576" s="2"/>
      <c r="W2576" s="2"/>
      <c r="X2576" s="2"/>
      <c r="Y2576" s="7"/>
      <c r="Z2576" s="2"/>
      <c r="AA2576" s="1"/>
      <c r="AC2576" s="2"/>
      <c r="AE2576" s="1"/>
      <c r="AG2576" s="2"/>
    </row>
    <row r="2577" spans="12:33" ht="49.95" customHeight="1" x14ac:dyDescent="0.3">
      <c r="L2577" s="2"/>
      <c r="M2577" s="2"/>
      <c r="N2577" s="371">
        <v>8805</v>
      </c>
      <c r="O2577" s="421" t="s">
        <v>5509</v>
      </c>
      <c r="P2577" s="16">
        <v>46239</v>
      </c>
      <c r="Q2577" s="374" t="s">
        <v>443</v>
      </c>
      <c r="R2577" s="2">
        <f>VLOOKUP(SALIDAS111518[[#This Row],[CÓDIGO]],PRODUCTOS31316[],2,FALSE)</f>
        <v>23064</v>
      </c>
      <c r="S2577" s="1" t="str">
        <f>VLOOKUP(SALIDAS111518[[#This Row],[CÓDIGO]],PRODUCTOS31316[],3,FALSE)</f>
        <v>TERMO DESCONGELADOR DE SEMEN DE EMBRIONES AZUL</v>
      </c>
      <c r="T2577" s="2">
        <v>1</v>
      </c>
      <c r="U2577" s="2"/>
      <c r="V2577" s="2"/>
      <c r="W2577" s="2"/>
      <c r="X2577" s="2"/>
      <c r="Y2577" s="7"/>
      <c r="Z2577" s="2"/>
      <c r="AA2577" s="1"/>
      <c r="AC2577" s="2"/>
      <c r="AE2577" s="1"/>
      <c r="AG2577" s="2"/>
    </row>
    <row r="2578" spans="12:33" ht="49.95" customHeight="1" x14ac:dyDescent="0.3">
      <c r="L2578" s="2" t="s">
        <v>3520</v>
      </c>
      <c r="M2578" s="2" t="s">
        <v>5071</v>
      </c>
      <c r="N2578" s="412" t="s">
        <v>5764</v>
      </c>
      <c r="O2578" s="412" t="s">
        <v>5761</v>
      </c>
      <c r="P2578" s="16">
        <v>46233</v>
      </c>
      <c r="Q2578" s="380" t="s">
        <v>909</v>
      </c>
      <c r="R2578" s="2" t="str">
        <f>VLOOKUP(SALIDAS111518[[#This Row],[CÓDIGO]],PRODUCTOS31316[],2,FALSE)</f>
        <v>26-0</v>
      </c>
      <c r="S2578" s="1" t="str">
        <f>VLOOKUP(SALIDAS111518[[#This Row],[CÓDIGO]],PRODUCTOS31316[],3,FALSE)</f>
        <v>ELECTRO PARA OVINO- CAPRINO/ PROBE 1 1/4" DE DIÁMETRO FUNCIONA CON 2 BATERIAS 9V</v>
      </c>
      <c r="T2578" s="2">
        <v>1</v>
      </c>
      <c r="U2578" s="2">
        <v>1231</v>
      </c>
      <c r="V2578" s="2"/>
      <c r="W2578" s="2"/>
      <c r="X2578" s="2"/>
      <c r="Y2578" s="7"/>
      <c r="Z2578" s="2"/>
      <c r="AA2578" s="1"/>
      <c r="AC2578" s="2"/>
      <c r="AE2578" s="1"/>
      <c r="AG2578" s="2"/>
    </row>
    <row r="2579" spans="12:33" ht="49.95" customHeight="1" x14ac:dyDescent="0.3">
      <c r="L2579" s="2" t="s">
        <v>3520</v>
      </c>
      <c r="M2579" s="2" t="s">
        <v>5071</v>
      </c>
      <c r="N2579" s="412" t="s">
        <v>5763</v>
      </c>
      <c r="O2579" s="412" t="s">
        <v>5760</v>
      </c>
      <c r="P2579" s="16">
        <v>46210</v>
      </c>
      <c r="Q2579" s="380" t="s">
        <v>587</v>
      </c>
      <c r="R2579" s="2">
        <f>VLOOKUP(SALIDAS111518[[#This Row],[CÓDIGO]],PRODUCTOS31316[],2,FALSE)</f>
        <v>20435</v>
      </c>
      <c r="S2579" s="1" t="str">
        <f>VLOOKUP(SALIDAS111518[[#This Row],[CÓDIGO]],PRODUCTOS31316[],3,FALSE)</f>
        <v>PLATINA TERMICA COMPACTA</v>
      </c>
      <c r="T2579" s="2">
        <v>1</v>
      </c>
      <c r="U2579" s="2">
        <v>1230</v>
      </c>
      <c r="V2579" s="2"/>
      <c r="W2579" s="2"/>
      <c r="X2579" s="2"/>
      <c r="Y2579" s="7"/>
      <c r="Z2579" s="2"/>
      <c r="AA2579" s="1"/>
      <c r="AC2579" s="2"/>
      <c r="AE2579" s="1"/>
      <c r="AG2579" s="2"/>
    </row>
    <row r="2580" spans="12:33" ht="49.95" customHeight="1" x14ac:dyDescent="0.3">
      <c r="L2580" s="2"/>
      <c r="M2580" s="2"/>
      <c r="N2580" s="371">
        <v>8782</v>
      </c>
      <c r="O2580" s="412" t="s">
        <v>5760</v>
      </c>
      <c r="P2580" s="16">
        <v>46210</v>
      </c>
      <c r="Q2580" s="380" t="s">
        <v>3097</v>
      </c>
      <c r="R2580" s="2">
        <f>VLOOKUP(SALIDAS111518[[#This Row],[CÓDIGO]],PRODUCTOS31316[],2,FALSE)</f>
        <v>0</v>
      </c>
      <c r="S2580" s="1" t="str">
        <f>VLOOKUP(SALIDAS111518[[#This Row],[CÓDIGO]],PRODUCTOS31316[],3,FALSE)</f>
        <v>PLATINA TERMICA PARA MICROSCOPIO PT0805</v>
      </c>
      <c r="T2580" s="2">
        <v>1</v>
      </c>
      <c r="U2580" s="2"/>
      <c r="V2580" s="2"/>
      <c r="W2580" s="2"/>
      <c r="X2580" s="2"/>
      <c r="Y2580" s="7"/>
      <c r="Z2580" s="2"/>
      <c r="AA2580" s="1"/>
      <c r="AC2580" s="2"/>
      <c r="AE2580" s="1"/>
      <c r="AG2580" s="2"/>
    </row>
    <row r="2581" spans="12:33" ht="49.95" customHeight="1" x14ac:dyDescent="0.3">
      <c r="L2581" s="2"/>
      <c r="M2581" s="2"/>
      <c r="N2581" s="371">
        <v>8782</v>
      </c>
      <c r="O2581" s="412" t="s">
        <v>5760</v>
      </c>
      <c r="P2581" s="16">
        <v>46210</v>
      </c>
      <c r="Q2581" s="380" t="s">
        <v>149</v>
      </c>
      <c r="R2581" s="2">
        <f>VLOOKUP(SALIDAS111518[[#This Row],[CÓDIGO]],PRODUCTOS31316[],2,FALSE)</f>
        <v>18621</v>
      </c>
      <c r="S2581" s="1" t="str">
        <f>VLOOKUP(SALIDAS111518[[#This Row],[CÓDIGO]],PRODUCTOS31316[],3,FALSE)</f>
        <v>TERMO DESCONGELADOR DE SEMEN DE EMBRIONES ROJO</v>
      </c>
      <c r="T2581" s="2">
        <v>1</v>
      </c>
      <c r="U2581" s="2"/>
      <c r="V2581" s="2"/>
      <c r="W2581" s="2"/>
      <c r="X2581" s="2"/>
      <c r="Y2581" s="7"/>
      <c r="Z2581" s="2"/>
      <c r="AA2581" s="1"/>
      <c r="AC2581" s="2"/>
      <c r="AE2581" s="1"/>
      <c r="AG2581" s="2"/>
    </row>
    <row r="2582" spans="12:33" ht="49.95" customHeight="1" x14ac:dyDescent="0.3">
      <c r="L2582" s="2"/>
      <c r="M2582" s="2"/>
      <c r="N2582" s="371">
        <v>8782</v>
      </c>
      <c r="O2582" s="412" t="s">
        <v>5760</v>
      </c>
      <c r="P2582" s="16">
        <v>46210</v>
      </c>
      <c r="Q2582" s="380" t="s">
        <v>3233</v>
      </c>
      <c r="R2582" s="2" t="str">
        <f>VLOOKUP(SALIDAS111518[[#This Row],[CÓDIGO]],PRODUCTOS31316[],2,FALSE)</f>
        <v>JA3022</v>
      </c>
      <c r="S2582" s="1" t="str">
        <f>VLOOKUP(SALIDAS111518[[#This Row],[CÓDIGO]],PRODUCTOS31316[],3,FALSE)</f>
        <v>PIPETA AUTOMÁTICA VOLUMEN DE 0.5A 10UL</v>
      </c>
      <c r="T2582" s="2">
        <v>1</v>
      </c>
      <c r="U2582" s="2"/>
      <c r="V2582" s="2"/>
      <c r="W2582" s="2"/>
      <c r="X2582" s="2"/>
      <c r="Y2582" s="7"/>
      <c r="Z2582" s="2"/>
      <c r="AA2582" s="1"/>
      <c r="AC2582" s="2"/>
      <c r="AE2582" s="1"/>
      <c r="AG2582" s="2"/>
    </row>
    <row r="2583" spans="12:33" ht="49.95" customHeight="1" x14ac:dyDescent="0.3">
      <c r="L2583" s="2"/>
      <c r="M2583" s="2"/>
      <c r="N2583" s="371">
        <v>8782</v>
      </c>
      <c r="O2583" s="412" t="s">
        <v>5760</v>
      </c>
      <c r="P2583" s="16">
        <v>46210</v>
      </c>
      <c r="Q2583" s="386" t="s">
        <v>5113</v>
      </c>
      <c r="R2583" s="2">
        <f>VLOOKUP(SALIDAS111518[[#This Row],[CÓDIGO]],PRODUCTOS31316[],2,FALSE)</f>
        <v>0</v>
      </c>
      <c r="S2583" s="1" t="str">
        <f>VLOOKUP(SALIDAS111518[[#This Row],[CÓDIGO]],PRODUCTOS31316[],3,FALSE)</f>
        <v>MICROPIPETA AUTOMATICA VOLUMEN VARIABLE DE 20 - 200 UL MARCA: JOAN LAB</v>
      </c>
      <c r="T2583" s="2">
        <v>1</v>
      </c>
      <c r="U2583" s="2"/>
      <c r="V2583" s="2"/>
      <c r="W2583" s="2"/>
      <c r="X2583" s="2"/>
      <c r="Y2583" s="7"/>
      <c r="Z2583" s="2"/>
      <c r="AA2583" s="1"/>
      <c r="AC2583" s="2"/>
      <c r="AE2583" s="1"/>
      <c r="AG2583" s="2"/>
    </row>
    <row r="2584" spans="12:33" ht="49.95" customHeight="1" x14ac:dyDescent="0.3">
      <c r="L2584" s="374" t="s">
        <v>3521</v>
      </c>
      <c r="M2584" s="374" t="s">
        <v>5071</v>
      </c>
      <c r="N2584" s="373">
        <v>14535</v>
      </c>
      <c r="O2584" s="419" t="s">
        <v>5798</v>
      </c>
      <c r="P2584" s="46"/>
      <c r="Q2584" s="418" t="s">
        <v>3211</v>
      </c>
      <c r="R2584" s="2" t="str">
        <f>VLOOKUP(SALIDAS111518[[#This Row],[CÓDIGO]],PRODUCTOS31316[],2,FALSE)</f>
        <v>S7</v>
      </c>
      <c r="S2584" s="1" t="str">
        <f>VLOOKUP(SALIDAS111518[[#This Row],[CÓDIGO]],PRODUCTOS31316[],3,FALSE)</f>
        <v>SONDA S7 PLUS DOPPLER COLOR</v>
      </c>
      <c r="T2584" s="2">
        <v>1</v>
      </c>
      <c r="U2584" s="2"/>
      <c r="V2584" s="2"/>
      <c r="W2584" s="418" t="s">
        <v>2823</v>
      </c>
      <c r="X2584" s="2"/>
      <c r="Y2584" s="7"/>
      <c r="Z2584" s="2"/>
      <c r="AA2584" s="1"/>
      <c r="AC2584" s="2"/>
      <c r="AE2584" s="1"/>
      <c r="AG2584" s="2"/>
    </row>
    <row r="2585" spans="12:33" ht="49.95" customHeight="1" x14ac:dyDescent="0.3">
      <c r="L2585" s="2"/>
      <c r="M2585" s="2"/>
      <c r="N2585" s="371"/>
      <c r="O2585" s="420" t="s">
        <v>5798</v>
      </c>
      <c r="P2585" s="16"/>
      <c r="Q2585" s="418" t="s">
        <v>5083</v>
      </c>
      <c r="R2585" s="2">
        <f>VLOOKUP(SALIDAS111518[[#This Row],[CÓDIGO]],PRODUCTOS31316[],2,FALSE)</f>
        <v>0</v>
      </c>
      <c r="S2585" s="1" t="str">
        <f>VLOOKUP(SALIDAS111518[[#This Row],[CÓDIGO]],PRODUCTOS31316[],3,FALSE)</f>
        <v>TABLET SANSUNG GALAXY TAB A11+</v>
      </c>
      <c r="T2585" s="2">
        <v>1</v>
      </c>
      <c r="U2585" s="2"/>
      <c r="V2585" s="2"/>
      <c r="W2585" s="2"/>
      <c r="X2585" s="2"/>
      <c r="Y2585" s="7"/>
      <c r="Z2585" s="2"/>
      <c r="AA2585" s="1"/>
      <c r="AC2585" s="2"/>
      <c r="AE2585" s="1"/>
      <c r="AG2585" s="2"/>
    </row>
    <row r="2586" spans="12:33" ht="49.95" customHeight="1" x14ac:dyDescent="0.3">
      <c r="L2586" s="2"/>
      <c r="M2586" s="2"/>
      <c r="N2586" s="371"/>
      <c r="O2586" s="420" t="s">
        <v>5798</v>
      </c>
      <c r="P2586" s="16"/>
      <c r="Q2586" s="418" t="s">
        <v>3286</v>
      </c>
      <c r="R2586" s="2">
        <f>VLOOKUP(SALIDAS111518[[#This Row],[CÓDIGO]],PRODUCTOS31316[],2,FALSE)</f>
        <v>0</v>
      </c>
      <c r="S2586" s="1" t="str">
        <f>VLOOKUP(SALIDAS111518[[#This Row],[CÓDIGO]],PRODUCTOS31316[],3,FALSE)</f>
        <v>CARCASA TABLET BMV</v>
      </c>
      <c r="T2586" s="2">
        <v>1</v>
      </c>
      <c r="U2586" s="2"/>
      <c r="V2586" s="2"/>
      <c r="W2586" s="2"/>
      <c r="X2586" s="2"/>
      <c r="Y2586" s="7"/>
      <c r="Z2586" s="2"/>
      <c r="AA2586" s="1"/>
      <c r="AC2586" s="2"/>
      <c r="AE2586" s="1"/>
      <c r="AG2586" s="2"/>
    </row>
    <row r="2587" spans="12:33" ht="49.95" customHeight="1" x14ac:dyDescent="0.3">
      <c r="L2587" s="2"/>
      <c r="M2587" s="2"/>
      <c r="N2587" s="371"/>
      <c r="O2587" s="420" t="s">
        <v>5798</v>
      </c>
      <c r="P2587" s="16"/>
      <c r="Q2587" s="418" t="s">
        <v>3095</v>
      </c>
      <c r="R2587" s="2">
        <f>VLOOKUP(SALIDAS111518[[#This Row],[CÓDIGO]],PRODUCTOS31316[],2,FALSE)</f>
        <v>0</v>
      </c>
      <c r="S2587" s="1" t="str">
        <f>VLOOKUP(SALIDAS111518[[#This Row],[CÓDIGO]],PRODUCTOS31316[],3,FALSE)</f>
        <v>GORRA MAS CAMPO</v>
      </c>
      <c r="T2587" s="2">
        <v>1</v>
      </c>
      <c r="U2587" s="2"/>
      <c r="V2587" s="2"/>
      <c r="W2587" s="2"/>
      <c r="X2587" s="2"/>
      <c r="Y2587" s="7"/>
      <c r="Z2587" s="2"/>
      <c r="AA2587" s="1"/>
      <c r="AC2587" s="2"/>
      <c r="AE2587" s="1"/>
      <c r="AG2587" s="2"/>
    </row>
    <row r="2588" spans="12:33" ht="49.95" customHeight="1" x14ac:dyDescent="0.3">
      <c r="L2588" s="374" t="s">
        <v>3521</v>
      </c>
      <c r="M2588" s="374" t="s">
        <v>5071</v>
      </c>
      <c r="N2588" s="381" t="s">
        <v>5535</v>
      </c>
      <c r="O2588" s="371" t="s">
        <v>5088</v>
      </c>
      <c r="P2588" s="16">
        <v>46214</v>
      </c>
      <c r="Q2588" s="371" t="s">
        <v>3282</v>
      </c>
      <c r="R2588" s="2" t="str">
        <f>VLOOKUP(SALIDAS111518[[#This Row],[CÓDIGO]],PRODUCTOS31316[],2,FALSE)</f>
        <v>S7/B-W</v>
      </c>
      <c r="S2588" s="1" t="str">
        <f>VLOOKUP(SALIDAS111518[[#This Row],[CÓDIGO]],PRODUCTOS31316[],3,FALSE)</f>
        <v>ECÓGRAFO S7 B/W ( BLANCO Y NEGRO) BMV - Plataforma BLANCO Y NEGRO CON BATERÍA</v>
      </c>
      <c r="T2588" s="2">
        <v>1</v>
      </c>
      <c r="U2588" s="380" t="s">
        <v>5534</v>
      </c>
      <c r="V2588" s="2"/>
      <c r="W2588" s="2"/>
      <c r="X2588" s="2"/>
      <c r="Y2588" s="7"/>
      <c r="Z2588" s="2"/>
      <c r="AA2588" s="1"/>
      <c r="AC2588" s="2"/>
      <c r="AE2588" s="1"/>
      <c r="AG2588" s="2"/>
    </row>
    <row r="2589" spans="12:33" ht="49.95" customHeight="1" x14ac:dyDescent="0.3">
      <c r="L2589" s="2"/>
      <c r="M2589" s="2"/>
      <c r="N2589" s="2">
        <v>8687</v>
      </c>
      <c r="O2589" s="371" t="s">
        <v>5088</v>
      </c>
      <c r="P2589" s="16">
        <v>46214</v>
      </c>
      <c r="Q2589" s="371" t="s">
        <v>5083</v>
      </c>
      <c r="R2589" s="2">
        <f>VLOOKUP(SALIDAS111518[[#This Row],[CÓDIGO]],PRODUCTOS31316[],2,FALSE)</f>
        <v>0</v>
      </c>
      <c r="S2589" s="1" t="str">
        <f>VLOOKUP(SALIDAS111518[[#This Row],[CÓDIGO]],PRODUCTOS31316[],3,FALSE)</f>
        <v>TABLET SANSUNG GALAXY TAB A11+</v>
      </c>
      <c r="T2589" s="2">
        <v>1</v>
      </c>
      <c r="U2589" s="2"/>
      <c r="V2589" s="2"/>
      <c r="W2589" s="2"/>
      <c r="X2589" s="2"/>
      <c r="Y2589" s="7"/>
      <c r="Z2589" s="2"/>
      <c r="AA2589" s="1"/>
      <c r="AC2589" s="2"/>
      <c r="AE2589" s="1"/>
      <c r="AG2589" s="2"/>
    </row>
    <row r="2590" spans="12:33" ht="49.95" customHeight="1" x14ac:dyDescent="0.3">
      <c r="L2590" s="2"/>
      <c r="M2590" s="2"/>
      <c r="N2590" s="2">
        <v>8687</v>
      </c>
      <c r="O2590" s="371" t="s">
        <v>5088</v>
      </c>
      <c r="P2590" s="16">
        <v>46214</v>
      </c>
      <c r="Q2590" s="371" t="s">
        <v>3286</v>
      </c>
      <c r="R2590" s="2">
        <f>VLOOKUP(SALIDAS111518[[#This Row],[CÓDIGO]],PRODUCTOS31316[],2,FALSE)</f>
        <v>0</v>
      </c>
      <c r="S2590" s="1" t="str">
        <f>VLOOKUP(SALIDAS111518[[#This Row],[CÓDIGO]],PRODUCTOS31316[],3,FALSE)</f>
        <v>CARCASA TABLET BMV</v>
      </c>
      <c r="T2590" s="2">
        <v>1</v>
      </c>
      <c r="U2590" s="2"/>
      <c r="V2590" s="2"/>
      <c r="W2590" s="2"/>
      <c r="X2590" s="2"/>
      <c r="Y2590" s="7"/>
      <c r="Z2590" s="2"/>
      <c r="AA2590" s="1"/>
      <c r="AC2590" s="2"/>
      <c r="AE2590" s="1"/>
      <c r="AG2590" s="2"/>
    </row>
    <row r="2591" spans="12:33" ht="49.95" customHeight="1" x14ac:dyDescent="0.3">
      <c r="L2591" s="2"/>
      <c r="M2591" s="2"/>
      <c r="N2591" s="2">
        <v>8687</v>
      </c>
      <c r="O2591" s="380" t="s">
        <v>5088</v>
      </c>
      <c r="P2591" s="16">
        <v>46204</v>
      </c>
      <c r="Q2591" s="371" t="s">
        <v>3095</v>
      </c>
      <c r="R2591" s="2">
        <f>VLOOKUP(SALIDAS111518[[#This Row],[CÓDIGO]],PRODUCTOS31316[],2,FALSE)</f>
        <v>0</v>
      </c>
      <c r="S2591" s="1" t="str">
        <f>VLOOKUP(SALIDAS111518[[#This Row],[CÓDIGO]],PRODUCTOS31316[],3,FALSE)</f>
        <v>GORRA MAS CAMPO</v>
      </c>
      <c r="T2591" s="2">
        <v>1</v>
      </c>
      <c r="U2591" s="2"/>
      <c r="V2591" s="2"/>
      <c r="W2591" s="2"/>
      <c r="X2591" s="2"/>
      <c r="Y2591" s="7"/>
      <c r="Z2591" s="2"/>
      <c r="AA2591" s="1"/>
      <c r="AC2591" s="2"/>
      <c r="AE2591" s="1"/>
      <c r="AG2591" s="2"/>
    </row>
    <row r="2592" spans="12:33" ht="49.95" customHeight="1" x14ac:dyDescent="0.3">
      <c r="L2592" s="2" t="s">
        <v>3520</v>
      </c>
      <c r="M2592" s="2" t="s">
        <v>5071</v>
      </c>
      <c r="N2592" s="381" t="s">
        <v>5536</v>
      </c>
      <c r="O2592" s="380" t="s">
        <v>2662</v>
      </c>
      <c r="P2592" s="16">
        <v>46217</v>
      </c>
      <c r="Q2592" s="2" t="s">
        <v>168</v>
      </c>
      <c r="R2592" s="2">
        <f>VLOOKUP(SALIDAS111518[[#This Row],[CÓDIGO]],PRODUCTOS31316[],2,FALSE)</f>
        <v>4840</v>
      </c>
      <c r="S2592" s="1" t="str">
        <f>VLOOKUP(SALIDAS111518[[#This Row],[CÓDIGO]],PRODUCTOS31316[],3,FALSE)</f>
        <v>PUNTAS BLANCAS UNIVERSALES, PLÁSTICAS, LIBRES DE DNASAS, RNASA Y PIROGENOS, RANGO DE 0.1 A 10UL. (CORTAS).</v>
      </c>
      <c r="T2592" s="2">
        <v>2</v>
      </c>
      <c r="U2592" s="2">
        <v>1126</v>
      </c>
      <c r="V2592" s="2"/>
      <c r="W2592" s="2"/>
      <c r="X2592" s="2"/>
      <c r="Y2592" s="7"/>
      <c r="Z2592" s="2"/>
      <c r="AA2592" s="1"/>
      <c r="AC2592" s="2"/>
      <c r="AE2592" s="1"/>
      <c r="AG2592" s="2"/>
    </row>
    <row r="2593" spans="12:33" ht="49.95" customHeight="1" x14ac:dyDescent="0.3">
      <c r="L2593" s="2"/>
      <c r="M2593" s="2"/>
      <c r="N2593" s="2">
        <v>8688</v>
      </c>
      <c r="O2593" s="2" t="s">
        <v>2662</v>
      </c>
      <c r="P2593" s="16">
        <v>46217</v>
      </c>
      <c r="Q2593" s="2" t="s">
        <v>602</v>
      </c>
      <c r="R2593" s="2">
        <f>VLOOKUP(SALIDAS111518[[#This Row],[CÓDIGO]],PRODUCTOS31316[],2,FALSE)</f>
        <v>4845</v>
      </c>
      <c r="S2593" s="1" t="str">
        <f>VLOOKUP(SALIDAS111518[[#This Row],[CÓDIGO]],PRODUCTOS31316[],3,FALSE)</f>
        <v>PUNTAS AMARILLAS, UNIVERSALES. PLASTICAS, NO ESTERIL. LIBRES DE RNASE, DNASE Y PYROGENOS. RANGO DE 1-200UL. BOLSA X1000UDS.</v>
      </c>
      <c r="T2593" s="2">
        <v>2</v>
      </c>
      <c r="U2593" s="2"/>
      <c r="V2593" s="2"/>
      <c r="W2593" s="2"/>
      <c r="X2593" s="2"/>
      <c r="Y2593" s="7"/>
      <c r="Z2593" s="2"/>
      <c r="AA2593" s="1"/>
      <c r="AC2593" s="2"/>
      <c r="AE2593" s="1"/>
      <c r="AG2593" s="2"/>
    </row>
    <row r="2594" spans="12:33" ht="49.95" customHeight="1" x14ac:dyDescent="0.3">
      <c r="L2594" s="2"/>
      <c r="M2594" s="2"/>
      <c r="N2594" s="2">
        <v>8688</v>
      </c>
      <c r="O2594" s="2" t="s">
        <v>2662</v>
      </c>
      <c r="P2594" s="16">
        <v>46217</v>
      </c>
      <c r="Q2594" s="2" t="s">
        <v>33</v>
      </c>
      <c r="R2594" s="2" t="str">
        <f>VLOOKUP(SALIDAS111518[[#This Row],[CÓDIGO]],PRODUCTOS31316[],2,FALSE)</f>
        <v>LA-120 /506003</v>
      </c>
      <c r="S2594" s="1" t="str">
        <f>VLOOKUP(SALIDAS111518[[#This Row],[CÓDIGO]],PRODUCTOS31316[],3,FALSE)</f>
        <v>LíNEA PARA OPU 1,2 METROS</v>
      </c>
      <c r="T2594" s="2">
        <v>6</v>
      </c>
      <c r="U2594" s="2"/>
      <c r="V2594" s="2"/>
      <c r="W2594" s="2"/>
      <c r="X2594" s="2"/>
      <c r="Y2594" s="7"/>
      <c r="Z2594" s="2"/>
      <c r="AA2594" s="1"/>
      <c r="AC2594" s="2"/>
      <c r="AE2594" s="1"/>
      <c r="AG2594" s="2"/>
    </row>
    <row r="2595" spans="12:33" ht="49.95" customHeight="1" x14ac:dyDescent="0.3">
      <c r="L2595" s="2" t="s">
        <v>3520</v>
      </c>
      <c r="M2595" s="2" t="s">
        <v>5071</v>
      </c>
      <c r="N2595" s="381" t="s">
        <v>5538</v>
      </c>
      <c r="O2595" s="2" t="s">
        <v>3484</v>
      </c>
      <c r="P2595" s="16">
        <v>46217</v>
      </c>
      <c r="Q2595" s="2" t="s">
        <v>4254</v>
      </c>
      <c r="R2595" s="2">
        <f>VLOOKUP(SALIDAS111518[[#This Row],[CÓDIGO]],PRODUCTOS31316[],2,FALSE)</f>
        <v>0</v>
      </c>
      <c r="S2595" s="1" t="str">
        <f>VLOOKUP(SALIDAS111518[[#This Row],[CÓDIGO]],PRODUCTOS31316[],3,FALSE)</f>
        <v>TUBO 0.50 PARA PISTOLA DE INSEMINACIÓN CON CÁMARA BMV</v>
      </c>
      <c r="T2595" s="2">
        <v>1</v>
      </c>
      <c r="U2595" s="2">
        <v>1127</v>
      </c>
      <c r="V2595" s="2"/>
      <c r="W2595" s="2"/>
      <c r="X2595" s="2"/>
      <c r="Y2595" s="7"/>
      <c r="Z2595" s="2"/>
      <c r="AA2595" s="1"/>
      <c r="AC2595" s="2"/>
      <c r="AE2595" s="1"/>
      <c r="AG2595" s="2"/>
    </row>
    <row r="2596" spans="12:33" ht="49.95" customHeight="1" x14ac:dyDescent="0.3">
      <c r="L2596" s="2"/>
      <c r="M2596" s="2"/>
      <c r="N2596" s="2">
        <v>8689</v>
      </c>
      <c r="O2596" s="380" t="s">
        <v>3484</v>
      </c>
      <c r="P2596" s="16">
        <v>46217</v>
      </c>
      <c r="Q2596" s="2" t="s">
        <v>2419</v>
      </c>
      <c r="R2596" s="2">
        <f>VLOOKUP(SALIDAS111518[[#This Row],[CÓDIGO]],PRODUCTOS31316[],2,FALSE)</f>
        <v>0</v>
      </c>
      <c r="S2596" s="1" t="str">
        <f>VLOOKUP(SALIDAS111518[[#This Row],[CÓDIGO]],PRODUCTOS31316[],3,FALSE)</f>
        <v>TUBO PLÁSTICO PARA PISTOLA DE INSEMINACIÓN</v>
      </c>
      <c r="T2596" s="2">
        <v>3</v>
      </c>
      <c r="U2596" s="2"/>
      <c r="V2596" s="2"/>
      <c r="W2596" s="2"/>
      <c r="X2596" s="2"/>
      <c r="Y2596" s="7"/>
      <c r="Z2596" s="2"/>
      <c r="AA2596" s="1"/>
      <c r="AC2596" s="2"/>
      <c r="AE2596" s="1"/>
      <c r="AG2596" s="2"/>
    </row>
    <row r="2597" spans="12:33" ht="49.95" customHeight="1" x14ac:dyDescent="0.3">
      <c r="L2597" s="2"/>
      <c r="M2597" s="2"/>
      <c r="N2597" s="2">
        <v>8689</v>
      </c>
      <c r="O2597" s="2" t="s">
        <v>3484</v>
      </c>
      <c r="P2597" s="16">
        <v>46217</v>
      </c>
      <c r="Q2597" s="2" t="s">
        <v>2755</v>
      </c>
      <c r="R2597" s="2" t="str">
        <f>VLOOKUP(SALIDAS111518[[#This Row],[CÓDIGO]],PRODUCTOS31316[],2,FALSE)</f>
        <v>MSLDO05</v>
      </c>
      <c r="S2597" s="1" t="str">
        <f>VLOOKUP(SALIDAS111518[[#This Row],[CÓDIGO]],PRODUCTOS31316[],3,FALSE)</f>
        <v>TERMO DE RECOLECCIÓN DE SEMEN/ USO VETERINARIO</v>
      </c>
      <c r="T2597" s="2">
        <v>1</v>
      </c>
      <c r="U2597" s="2"/>
      <c r="V2597" s="2"/>
      <c r="W2597" s="2"/>
      <c r="X2597" s="2"/>
      <c r="Y2597" s="7"/>
      <c r="Z2597" s="2"/>
      <c r="AA2597" s="1"/>
      <c r="AC2597" s="2"/>
      <c r="AE2597" s="1"/>
      <c r="AG2597" s="2"/>
    </row>
    <row r="2598" spans="12:33" ht="49.95" customHeight="1" x14ac:dyDescent="0.3">
      <c r="L2598" s="2" t="s">
        <v>3521</v>
      </c>
      <c r="M2598" s="2" t="s">
        <v>5071</v>
      </c>
      <c r="N2598" s="381" t="s">
        <v>5539</v>
      </c>
      <c r="O2598" s="380" t="s">
        <v>5513</v>
      </c>
      <c r="P2598" s="16">
        <v>46217</v>
      </c>
      <c r="Q2598" s="2" t="s">
        <v>2755</v>
      </c>
      <c r="R2598" s="2" t="str">
        <f>VLOOKUP(SALIDAS111518[[#This Row],[CÓDIGO]],PRODUCTOS31316[],2,FALSE)</f>
        <v>MSLDO05</v>
      </c>
      <c r="S2598" s="1" t="str">
        <f>VLOOKUP(SALIDAS111518[[#This Row],[CÓDIGO]],PRODUCTOS31316[],3,FALSE)</f>
        <v>TERMO DE RECOLECCIÓN DE SEMEN/ USO VETERINARIO</v>
      </c>
      <c r="T2598" s="2">
        <v>1</v>
      </c>
      <c r="U2598" s="2">
        <v>1128</v>
      </c>
      <c r="V2598" s="2"/>
      <c r="W2598" s="2"/>
      <c r="X2598" s="2"/>
      <c r="Y2598" s="7"/>
      <c r="Z2598" s="2"/>
      <c r="AA2598" s="1"/>
      <c r="AC2598" s="2"/>
      <c r="AE2598" s="1"/>
      <c r="AG2598" s="2"/>
    </row>
    <row r="2599" spans="12:33" ht="49.95" customHeight="1" x14ac:dyDescent="0.3">
      <c r="L2599" s="2" t="s">
        <v>3520</v>
      </c>
      <c r="M2599" s="2" t="s">
        <v>5071</v>
      </c>
      <c r="N2599" s="381" t="s">
        <v>5542</v>
      </c>
      <c r="O2599" s="421" t="s">
        <v>2735</v>
      </c>
      <c r="P2599" s="16">
        <v>46217</v>
      </c>
      <c r="Q2599" s="2" t="s">
        <v>5098</v>
      </c>
      <c r="R2599" s="2">
        <f>VLOOKUP(SALIDAS111518[[#This Row],[CÓDIGO]],PRODUCTOS31316[],2,FALSE)</f>
        <v>0</v>
      </c>
      <c r="S2599" s="1" t="str">
        <f>VLOOKUP(SALIDAS111518[[#This Row],[CÓDIGO]],PRODUCTOS31316[],3,FALSE)</f>
        <v>FUNDA DE TRANSFERENCIA DE EMBRIONES 0.25 PUNTA PLÁSTICA MARCA TED</v>
      </c>
      <c r="T2599" s="2">
        <v>60</v>
      </c>
      <c r="U2599" s="380" t="s">
        <v>5541</v>
      </c>
      <c r="V2599" s="2"/>
      <c r="W2599" s="2"/>
      <c r="X2599" s="2"/>
      <c r="Y2599" s="7"/>
      <c r="Z2599" s="2"/>
      <c r="AA2599" s="1"/>
      <c r="AC2599" s="2"/>
      <c r="AE2599" s="1"/>
      <c r="AG2599" s="2"/>
    </row>
    <row r="2600" spans="12:33" ht="49.95" customHeight="1" x14ac:dyDescent="0.3">
      <c r="L2600" s="2" t="s">
        <v>3521</v>
      </c>
      <c r="M2600" s="2" t="s">
        <v>5071</v>
      </c>
      <c r="N2600" s="420" t="s">
        <v>5600</v>
      </c>
      <c r="O2600" s="420" t="s">
        <v>5540</v>
      </c>
      <c r="P2600" s="16">
        <v>46224</v>
      </c>
      <c r="Q2600" s="380" t="s">
        <v>3346</v>
      </c>
      <c r="R2600" s="2" t="str">
        <f>VLOOKUP(SALIDAS111518[[#This Row],[CÓDIGO]],PRODUCTOS31316[],2,FALSE)</f>
        <v>S7PRO</v>
      </c>
      <c r="S2600" s="1" t="str">
        <f>VLOOKUP(SALIDAS111518[[#This Row],[CÓDIGO]],PRODUCTOS31316[],3,FALSE)</f>
        <v>ECÓGRAFO S7 PRO VET CON SONDA LINEAL RECTAL</v>
      </c>
      <c r="T2600" s="2">
        <v>1</v>
      </c>
      <c r="U2600" s="388" t="s">
        <v>5599</v>
      </c>
      <c r="V2600" s="2"/>
      <c r="W2600" s="380" t="s">
        <v>3412</v>
      </c>
      <c r="X2600" s="2"/>
      <c r="Y2600" s="7"/>
      <c r="Z2600" s="2"/>
      <c r="AA2600" s="1"/>
      <c r="AC2600" s="2"/>
      <c r="AE2600" s="1"/>
      <c r="AG2600" s="2"/>
    </row>
    <row r="2601" spans="12:33" ht="49.95" customHeight="1" x14ac:dyDescent="0.3">
      <c r="L2601" s="2"/>
      <c r="M2601" s="2"/>
      <c r="N2601" s="2">
        <v>8716</v>
      </c>
      <c r="O2601" s="381" t="s">
        <v>5540</v>
      </c>
      <c r="P2601" s="16">
        <v>46224</v>
      </c>
      <c r="Q2601" s="380" t="s">
        <v>5083</v>
      </c>
      <c r="R2601" s="2">
        <f>VLOOKUP(SALIDAS111518[[#This Row],[CÓDIGO]],PRODUCTOS31316[],2,FALSE)</f>
        <v>0</v>
      </c>
      <c r="S2601" s="1" t="str">
        <f>VLOOKUP(SALIDAS111518[[#This Row],[CÓDIGO]],PRODUCTOS31316[],3,FALSE)</f>
        <v>TABLET SANSUNG GALAXY TAB A11+</v>
      </c>
      <c r="T2601" s="2">
        <v>1</v>
      </c>
      <c r="U2601" s="2"/>
      <c r="V2601" s="2"/>
      <c r="W2601" s="2"/>
      <c r="X2601" s="2"/>
      <c r="Y2601" s="7"/>
      <c r="Z2601" s="2"/>
      <c r="AA2601" s="1"/>
      <c r="AC2601" s="2"/>
      <c r="AE2601" s="1"/>
      <c r="AG2601" s="2"/>
    </row>
    <row r="2602" spans="12:33" ht="49.95" customHeight="1" x14ac:dyDescent="0.3">
      <c r="L2602" s="2"/>
      <c r="M2602" s="2"/>
      <c r="N2602" s="2">
        <v>8716</v>
      </c>
      <c r="O2602" s="381" t="s">
        <v>5540</v>
      </c>
      <c r="P2602" s="16">
        <v>46224</v>
      </c>
      <c r="Q2602" s="380" t="s">
        <v>3286</v>
      </c>
      <c r="R2602" s="2">
        <f>VLOOKUP(SALIDAS111518[[#This Row],[CÓDIGO]],PRODUCTOS31316[],2,FALSE)</f>
        <v>0</v>
      </c>
      <c r="S2602" s="1" t="str">
        <f>VLOOKUP(SALIDAS111518[[#This Row],[CÓDIGO]],PRODUCTOS31316[],3,FALSE)</f>
        <v>CARCASA TABLET BMV</v>
      </c>
      <c r="T2602" s="2">
        <v>1</v>
      </c>
      <c r="U2602" s="2"/>
      <c r="V2602" s="2"/>
      <c r="W2602" s="2"/>
      <c r="X2602" s="2"/>
      <c r="Y2602" s="7"/>
      <c r="Z2602" s="2"/>
      <c r="AA2602" s="1"/>
      <c r="AC2602" s="2"/>
      <c r="AE2602" s="1"/>
      <c r="AG2602" s="2"/>
    </row>
    <row r="2603" spans="12:33" ht="49.95" customHeight="1" x14ac:dyDescent="0.3">
      <c r="L2603" s="2"/>
      <c r="M2603" s="2"/>
      <c r="N2603" s="2">
        <v>8716</v>
      </c>
      <c r="O2603" s="381" t="s">
        <v>5540</v>
      </c>
      <c r="P2603" s="16">
        <v>46224</v>
      </c>
      <c r="Q2603" s="388" t="s">
        <v>3095</v>
      </c>
      <c r="R2603" s="2">
        <f>VLOOKUP(SALIDAS111518[[#This Row],[CÓDIGO]],PRODUCTOS31316[],2,FALSE)</f>
        <v>0</v>
      </c>
      <c r="S2603" s="1" t="str">
        <f>VLOOKUP(SALIDAS111518[[#This Row],[CÓDIGO]],PRODUCTOS31316[],3,FALSE)</f>
        <v>GORRA MAS CAMPO</v>
      </c>
      <c r="T2603" s="2">
        <v>1</v>
      </c>
      <c r="U2603" s="2"/>
      <c r="V2603" s="2"/>
      <c r="W2603" s="2"/>
      <c r="X2603" s="2"/>
      <c r="Y2603" s="7"/>
      <c r="Z2603" s="2"/>
      <c r="AA2603" s="1"/>
      <c r="AC2603" s="2"/>
      <c r="AE2603" s="1"/>
      <c r="AG2603" s="2"/>
    </row>
    <row r="2604" spans="12:33" ht="49.95" customHeight="1" x14ac:dyDescent="0.3">
      <c r="L2604" s="2" t="s">
        <v>3521</v>
      </c>
      <c r="M2604" s="2" t="s">
        <v>5071</v>
      </c>
      <c r="N2604" s="381" t="s">
        <v>5544</v>
      </c>
      <c r="O2604" s="380" t="s">
        <v>5537</v>
      </c>
      <c r="P2604" s="16">
        <v>46217</v>
      </c>
      <c r="Q2604" s="380" t="s">
        <v>378</v>
      </c>
      <c r="R2604" s="2">
        <f>VLOOKUP(SALIDAS111518[[#This Row],[CÓDIGO]],PRODUCTOS31316[],2,FALSE)</f>
        <v>0</v>
      </c>
      <c r="S2604" s="1" t="str">
        <f>VLOOKUP(SALIDAS111518[[#This Row],[CÓDIGO]],PRODUCTOS31316[],3,FALSE)</f>
        <v>ISPERM KIT (WITH 50 INCLUIDED CHIPS, EXS M5)</v>
      </c>
      <c r="T2604" s="2">
        <v>1</v>
      </c>
      <c r="U2604" s="2">
        <v>1132</v>
      </c>
      <c r="V2604" s="2"/>
      <c r="W2604" s="2"/>
      <c r="X2604" s="2"/>
      <c r="Y2604" s="7"/>
      <c r="Z2604" s="2"/>
      <c r="AA2604" s="1"/>
      <c r="AC2604" s="2"/>
      <c r="AE2604" s="1"/>
      <c r="AG2604" s="2"/>
    </row>
    <row r="2605" spans="12:33" ht="49.95" customHeight="1" x14ac:dyDescent="0.3">
      <c r="L2605" s="2"/>
      <c r="M2605" s="2"/>
      <c r="N2605" s="2">
        <v>8693</v>
      </c>
      <c r="O2605" s="380" t="s">
        <v>5537</v>
      </c>
      <c r="P2605" s="16">
        <v>46217</v>
      </c>
      <c r="Q2605" s="380" t="s">
        <v>985</v>
      </c>
      <c r="R2605" s="2">
        <f>VLOOKUP(SALIDAS111518[[#This Row],[CÓDIGO]],PRODUCTOS31316[],2,FALSE)</f>
        <v>0</v>
      </c>
      <c r="S2605" s="1" t="str">
        <f>VLOOKUP(SALIDAS111518[[#This Row],[CÓDIGO]],PRODUCTOS31316[],3,FALSE)</f>
        <v>ISPERM SOFTWARE INICIAL ( UNA APLICACIÓN)</v>
      </c>
      <c r="T2605" s="2">
        <v>1</v>
      </c>
      <c r="U2605" s="2"/>
      <c r="V2605" s="2"/>
      <c r="W2605" s="2"/>
      <c r="X2605" s="2"/>
      <c r="Y2605" s="7"/>
      <c r="Z2605" s="2"/>
      <c r="AA2605" s="1"/>
      <c r="AC2605" s="2"/>
      <c r="AE2605" s="1"/>
      <c r="AG2605" s="2"/>
    </row>
    <row r="2606" spans="12:33" ht="49.95" customHeight="1" x14ac:dyDescent="0.3">
      <c r="L2606" s="2"/>
      <c r="M2606" s="2"/>
      <c r="N2606" s="2">
        <v>8693</v>
      </c>
      <c r="O2606" s="380" t="s">
        <v>5537</v>
      </c>
      <c r="P2606" s="16">
        <v>46217</v>
      </c>
      <c r="Q2606" s="380" t="s">
        <v>3275</v>
      </c>
      <c r="R2606" s="2">
        <f>VLOOKUP(SALIDAS111518[[#This Row],[CÓDIGO]],PRODUCTOS31316[],2,FALSE)</f>
        <v>0</v>
      </c>
      <c r="S2606" s="1" t="str">
        <f>VLOOKUP(SALIDAS111518[[#This Row],[CÓDIGO]],PRODUCTOS31316[],3,FALSE)</f>
        <v>IPAD MINI 7.9" PLATA 128 GB</v>
      </c>
      <c r="T2606" s="2">
        <v>1</v>
      </c>
      <c r="U2606" s="2"/>
      <c r="V2606" s="2"/>
      <c r="W2606" s="2"/>
      <c r="X2606" s="2"/>
      <c r="Y2606" s="7"/>
      <c r="Z2606" s="2"/>
      <c r="AA2606" s="1"/>
      <c r="AC2606" s="2"/>
      <c r="AE2606" s="1"/>
      <c r="AG2606" s="2"/>
    </row>
    <row r="2607" spans="12:33" ht="49.95" customHeight="1" x14ac:dyDescent="0.3">
      <c r="L2607" s="2"/>
      <c r="M2607" s="2"/>
      <c r="N2607" s="2">
        <v>8693</v>
      </c>
      <c r="O2607" s="380" t="s">
        <v>5537</v>
      </c>
      <c r="P2607" s="16">
        <v>46217</v>
      </c>
      <c r="Q2607" s="380" t="s">
        <v>3095</v>
      </c>
      <c r="R2607" s="2">
        <f>VLOOKUP(SALIDAS111518[[#This Row],[CÓDIGO]],PRODUCTOS31316[],2,FALSE)</f>
        <v>0</v>
      </c>
      <c r="S2607" s="1" t="str">
        <f>VLOOKUP(SALIDAS111518[[#This Row],[CÓDIGO]],PRODUCTOS31316[],3,FALSE)</f>
        <v>GORRA MAS CAMPO</v>
      </c>
      <c r="T2607" s="2">
        <v>1</v>
      </c>
      <c r="U2607" s="2"/>
      <c r="V2607" s="2"/>
      <c r="W2607" s="2"/>
      <c r="X2607" s="2"/>
      <c r="Y2607" s="7"/>
      <c r="Z2607" s="2"/>
      <c r="AA2607" s="1"/>
      <c r="AC2607" s="2"/>
      <c r="AE2607" s="1"/>
      <c r="AG2607" s="2"/>
    </row>
    <row r="2608" spans="12:33" ht="49.95" customHeight="1" x14ac:dyDescent="0.3">
      <c r="L2608" s="380" t="s">
        <v>3520</v>
      </c>
      <c r="M2608" s="380" t="s">
        <v>5071</v>
      </c>
      <c r="N2608" s="381" t="s">
        <v>5543</v>
      </c>
      <c r="O2608" s="381" t="s">
        <v>3153</v>
      </c>
      <c r="P2608" s="16">
        <v>46217</v>
      </c>
      <c r="Q2608" s="380" t="s">
        <v>36</v>
      </c>
      <c r="R2608" s="2">
        <f>VLOOKUP(SALIDAS111518[[#This Row],[CÓDIGO]],PRODUCTOS31316[],2,FALSE)</f>
        <v>1</v>
      </c>
      <c r="S2608" s="1" t="str">
        <f>VLOOKUP(SALIDAS111518[[#This Row],[CÓDIGO]],PRODUCTOS31316[],3,FALSE)</f>
        <v xml:space="preserve">PARCHE ESTROTECT </v>
      </c>
      <c r="T2608" s="2">
        <v>2</v>
      </c>
      <c r="U2608" s="2">
        <v>1131</v>
      </c>
      <c r="V2608" s="2"/>
      <c r="W2608" s="2"/>
      <c r="X2608" s="2"/>
      <c r="Y2608" s="7"/>
      <c r="Z2608" s="2"/>
      <c r="AA2608" s="1"/>
      <c r="AC2608" s="2"/>
      <c r="AE2608" s="1"/>
      <c r="AG2608" s="2"/>
    </row>
    <row r="2609" spans="12:33" ht="49.95" customHeight="1" x14ac:dyDescent="0.3">
      <c r="L2609" s="2" t="s">
        <v>3520</v>
      </c>
      <c r="M2609" s="2" t="s">
        <v>5071</v>
      </c>
      <c r="N2609" s="1" t="s">
        <v>5547</v>
      </c>
      <c r="O2609" s="2" t="s">
        <v>2344</v>
      </c>
      <c r="P2609" s="16">
        <v>46218</v>
      </c>
      <c r="Q2609" s="2" t="s">
        <v>2755</v>
      </c>
      <c r="R2609" s="2" t="str">
        <f>VLOOKUP(SALIDAS111518[[#This Row],[CÓDIGO]],PRODUCTOS31316[],2,FALSE)</f>
        <v>MSLDO05</v>
      </c>
      <c r="S2609" s="1" t="str">
        <f>VLOOKUP(SALIDAS111518[[#This Row],[CÓDIGO]],PRODUCTOS31316[],3,FALSE)</f>
        <v>TERMO DE RECOLECCIÓN DE SEMEN/ USO VETERINARIO</v>
      </c>
      <c r="T2609" s="2">
        <v>5</v>
      </c>
      <c r="U2609" s="382" t="s">
        <v>5546</v>
      </c>
      <c r="V2609" s="2"/>
      <c r="W2609" s="2"/>
      <c r="X2609" s="2"/>
      <c r="Y2609" s="7"/>
      <c r="Z2609" s="2"/>
      <c r="AA2609" s="1"/>
      <c r="AC2609" s="2"/>
      <c r="AE2609" s="1"/>
      <c r="AG2609" s="2"/>
    </row>
    <row r="2610" spans="12:33" ht="49.95" customHeight="1" x14ac:dyDescent="0.3">
      <c r="L2610" s="2"/>
      <c r="M2610" s="2"/>
      <c r="N2610" s="2">
        <v>8694</v>
      </c>
      <c r="O2610" s="2" t="s">
        <v>2344</v>
      </c>
      <c r="P2610" s="16">
        <v>46218</v>
      </c>
      <c r="Q2610" s="2" t="s">
        <v>27</v>
      </c>
      <c r="R2610" s="2" t="str">
        <f>VLOOKUP(SALIDAS111518[[#This Row],[CÓDIGO]],PRODUCTOS31316[],2,FALSE)</f>
        <v>INO-025/ 508001</v>
      </c>
      <c r="S2610" s="1" t="str">
        <f>VLOOKUP(SALIDAS111518[[#This Row],[CÓDIGO]],PRODUCTOS31316[],3,FALSE)</f>
        <v>PISTOLA DE TRANSFERENCIA DE EMBRIONES</v>
      </c>
      <c r="T2610" s="2">
        <v>2</v>
      </c>
      <c r="U2610" s="2"/>
      <c r="V2610" s="2"/>
      <c r="W2610" s="2"/>
      <c r="X2610" s="2"/>
      <c r="Y2610" s="7"/>
      <c r="Z2610" s="2"/>
      <c r="AA2610" s="1"/>
      <c r="AC2610" s="2"/>
      <c r="AE2610" s="1"/>
      <c r="AG2610" s="2"/>
    </row>
    <row r="2611" spans="12:33" ht="49.95" customHeight="1" x14ac:dyDescent="0.3">
      <c r="L2611" s="2"/>
      <c r="M2611" s="2"/>
      <c r="N2611" s="2">
        <v>8694</v>
      </c>
      <c r="O2611" s="2" t="s">
        <v>2344</v>
      </c>
      <c r="P2611" s="16">
        <v>46218</v>
      </c>
      <c r="Q2611" s="382" t="s">
        <v>2251</v>
      </c>
      <c r="R2611" s="2">
        <f>VLOOKUP(SALIDAS111518[[#This Row],[CÓDIGO]],PRODUCTOS31316[],2,FALSE)</f>
        <v>7240</v>
      </c>
      <c r="S2611" s="1" t="str">
        <f>VLOOKUP(SALIDAS111518[[#This Row],[CÓDIGO]],PRODUCTOS31316[],3,FALSE)</f>
        <v>PISTOLA DE TE 0,25 MARCA IMV</v>
      </c>
      <c r="T2611" s="2">
        <v>1</v>
      </c>
      <c r="U2611" s="2"/>
      <c r="V2611" s="2"/>
      <c r="W2611" s="2"/>
      <c r="X2611" s="2"/>
      <c r="Y2611" s="7"/>
      <c r="Z2611" s="2"/>
      <c r="AA2611" s="1"/>
      <c r="AC2611" s="2"/>
      <c r="AE2611" s="1"/>
      <c r="AG2611" s="2"/>
    </row>
    <row r="2612" spans="12:33" ht="49.95" customHeight="1" x14ac:dyDescent="0.3">
      <c r="L2612" s="2" t="s">
        <v>3520</v>
      </c>
      <c r="M2612" s="2" t="s">
        <v>5071</v>
      </c>
      <c r="N2612" s="1" t="s">
        <v>5548</v>
      </c>
      <c r="O2612" s="383" t="s">
        <v>2725</v>
      </c>
      <c r="P2612" s="16">
        <v>46218</v>
      </c>
      <c r="Q2612" s="382" t="s">
        <v>63</v>
      </c>
      <c r="R2612" s="2">
        <f>VLOOKUP(SALIDAS111518[[#This Row],[CÓDIGO]],PRODUCTOS31316[],2,FALSE)</f>
        <v>25458</v>
      </c>
      <c r="S2612" s="1" t="str">
        <f>VLOOKUP(SALIDAS111518[[#This Row],[CÓDIGO]],PRODUCTOS31316[],3,FALSE)</f>
        <v>FILTROS PARA OPU 100 UL</v>
      </c>
      <c r="T2612" s="2">
        <v>1</v>
      </c>
      <c r="U2612" s="2">
        <v>1134</v>
      </c>
      <c r="V2612" s="2"/>
      <c r="W2612" s="2"/>
      <c r="X2612" s="2"/>
      <c r="Y2612" s="7"/>
      <c r="Z2612" s="2"/>
      <c r="AA2612" s="1"/>
      <c r="AC2612" s="2"/>
      <c r="AE2612" s="1"/>
      <c r="AG2612" s="2"/>
    </row>
    <row r="2613" spans="12:33" ht="49.95" customHeight="1" x14ac:dyDescent="0.3">
      <c r="L2613" s="2" t="s">
        <v>3520</v>
      </c>
      <c r="M2613" s="2" t="s">
        <v>5071</v>
      </c>
      <c r="N2613" s="1" t="s">
        <v>5549</v>
      </c>
      <c r="O2613" s="1" t="s">
        <v>3482</v>
      </c>
      <c r="P2613" s="16">
        <v>46218</v>
      </c>
      <c r="Q2613" s="2" t="s">
        <v>2829</v>
      </c>
      <c r="R2613" s="2">
        <f>VLOOKUP(SALIDAS111518[[#This Row],[CÓDIGO]],PRODUCTOS31316[],2,FALSE)</f>
        <v>5565</v>
      </c>
      <c r="S2613" s="1" t="str">
        <f>VLOOKUP(SALIDAS111518[[#This Row],[CÓDIGO]],PRODUCTOS31316[],3,FALSE)</f>
        <v>PAJILLAS TRANSPARENTES 0,25</v>
      </c>
      <c r="T2613" s="2">
        <v>2</v>
      </c>
      <c r="U2613" s="2">
        <v>1135</v>
      </c>
      <c r="V2613" s="2"/>
      <c r="W2613" s="2"/>
      <c r="X2613" s="2"/>
      <c r="Y2613" s="7"/>
      <c r="Z2613" s="2"/>
      <c r="AA2613" s="1"/>
      <c r="AC2613" s="2"/>
      <c r="AE2613" s="1"/>
      <c r="AG2613" s="2"/>
    </row>
    <row r="2614" spans="12:33" ht="49.95" customHeight="1" x14ac:dyDescent="0.3">
      <c r="L2614" s="2" t="s">
        <v>3521</v>
      </c>
      <c r="M2614" s="2" t="s">
        <v>5071</v>
      </c>
      <c r="N2614" s="420" t="s">
        <v>5699</v>
      </c>
      <c r="O2614" s="418" t="s">
        <v>5553</v>
      </c>
      <c r="P2614" s="16">
        <v>46231</v>
      </c>
      <c r="Q2614" s="2" t="s">
        <v>648</v>
      </c>
      <c r="R2614" s="2" t="str">
        <f>VLOOKUP(SALIDAS111518[[#This Row],[CÓDIGO]],PRODUCTOS31316[],2,FALSE)</f>
        <v>S5</v>
      </c>
      <c r="S2614" s="1" t="str">
        <f>VLOOKUP(SALIDAS111518[[#This Row],[CÓDIGO]],PRODUCTOS31316[],3,FALSE)</f>
        <v>SONDA S5 UNIDAD PRINCIPAL CON SONDA LINEAL RECTAL</v>
      </c>
      <c r="T2614" s="2">
        <v>1</v>
      </c>
      <c r="U2614" s="2">
        <v>1204</v>
      </c>
      <c r="V2614" s="2"/>
      <c r="W2614" s="2" t="s">
        <v>2823</v>
      </c>
      <c r="X2614" s="2"/>
      <c r="Y2614" s="7"/>
      <c r="Z2614" s="2"/>
      <c r="AA2614" s="1"/>
      <c r="AC2614" s="2"/>
      <c r="AE2614" s="1"/>
      <c r="AG2614" s="2"/>
    </row>
    <row r="2615" spans="12:33" ht="49.95" customHeight="1" x14ac:dyDescent="0.3">
      <c r="L2615" s="2"/>
      <c r="M2615" s="2"/>
      <c r="N2615" s="2">
        <v>8758</v>
      </c>
      <c r="O2615" s="2" t="s">
        <v>5553</v>
      </c>
      <c r="P2615" s="16">
        <v>46231</v>
      </c>
      <c r="Q2615" s="2" t="s">
        <v>5083</v>
      </c>
      <c r="R2615" s="2">
        <f>VLOOKUP(SALIDAS111518[[#This Row],[CÓDIGO]],PRODUCTOS31316[],2,FALSE)</f>
        <v>0</v>
      </c>
      <c r="S2615" s="1" t="str">
        <f>VLOOKUP(SALIDAS111518[[#This Row],[CÓDIGO]],PRODUCTOS31316[],3,FALSE)</f>
        <v>TABLET SANSUNG GALAXY TAB A11+</v>
      </c>
      <c r="T2615" s="2">
        <v>1</v>
      </c>
      <c r="U2615" s="2"/>
      <c r="V2615" s="2"/>
      <c r="W2615" s="2"/>
      <c r="X2615" s="2"/>
      <c r="Y2615" s="7"/>
      <c r="Z2615" s="2"/>
      <c r="AA2615" s="1"/>
      <c r="AC2615" s="2"/>
      <c r="AE2615" s="1"/>
      <c r="AG2615" s="2"/>
    </row>
    <row r="2616" spans="12:33" ht="49.95" customHeight="1" x14ac:dyDescent="0.3">
      <c r="L2616" s="2"/>
      <c r="M2616" s="2"/>
      <c r="N2616" s="2">
        <v>8758</v>
      </c>
      <c r="O2616" s="2" t="s">
        <v>5553</v>
      </c>
      <c r="P2616" s="16">
        <v>46231</v>
      </c>
      <c r="Q2616" s="2" t="s">
        <v>3286</v>
      </c>
      <c r="R2616" s="2">
        <f>VLOOKUP(SALIDAS111518[[#This Row],[CÓDIGO]],PRODUCTOS31316[],2,FALSE)</f>
        <v>0</v>
      </c>
      <c r="S2616" s="1" t="str">
        <f>VLOOKUP(SALIDAS111518[[#This Row],[CÓDIGO]],PRODUCTOS31316[],3,FALSE)</f>
        <v>CARCASA TABLET BMV</v>
      </c>
      <c r="T2616" s="2">
        <v>1</v>
      </c>
      <c r="U2616" s="2"/>
      <c r="V2616" s="2"/>
      <c r="W2616" s="2"/>
      <c r="X2616" s="2"/>
      <c r="Y2616" s="7"/>
      <c r="Z2616" s="2"/>
      <c r="AA2616" s="1"/>
      <c r="AC2616" s="2"/>
      <c r="AE2616" s="1"/>
      <c r="AG2616" s="2"/>
    </row>
    <row r="2617" spans="12:33" ht="49.95" customHeight="1" x14ac:dyDescent="0.3">
      <c r="L2617" s="2"/>
      <c r="M2617" s="2"/>
      <c r="N2617" s="2">
        <v>8758</v>
      </c>
      <c r="O2617" s="2" t="s">
        <v>5553</v>
      </c>
      <c r="P2617" s="16">
        <v>46231</v>
      </c>
      <c r="Q2617" s="2" t="s">
        <v>3095</v>
      </c>
      <c r="R2617" s="2">
        <f>VLOOKUP(SALIDAS111518[[#This Row],[CÓDIGO]],PRODUCTOS31316[],2,FALSE)</f>
        <v>0</v>
      </c>
      <c r="S2617" s="1" t="str">
        <f>VLOOKUP(SALIDAS111518[[#This Row],[CÓDIGO]],PRODUCTOS31316[],3,FALSE)</f>
        <v>GORRA MAS CAMPO</v>
      </c>
      <c r="T2617" s="2">
        <v>1</v>
      </c>
      <c r="U2617" s="2"/>
      <c r="V2617" s="2"/>
      <c r="W2617" s="2"/>
      <c r="X2617" s="2"/>
      <c r="Y2617" s="7"/>
      <c r="Z2617" s="2"/>
      <c r="AA2617" s="1"/>
      <c r="AC2617" s="2"/>
      <c r="AE2617" s="1"/>
      <c r="AG2617" s="2"/>
    </row>
    <row r="2618" spans="12:33" ht="49.95" customHeight="1" x14ac:dyDescent="0.3">
      <c r="L2618" s="2" t="s">
        <v>3520</v>
      </c>
      <c r="M2618" s="2" t="s">
        <v>5071</v>
      </c>
      <c r="N2618" s="1" t="s">
        <v>5555</v>
      </c>
      <c r="O2618" s="2" t="s">
        <v>2344</v>
      </c>
      <c r="P2618" s="16">
        <v>46218</v>
      </c>
      <c r="Q2618" s="2" t="s">
        <v>5098</v>
      </c>
      <c r="R2618" s="2">
        <f>VLOOKUP(SALIDAS111518[[#This Row],[CÓDIGO]],PRODUCTOS31316[],2,FALSE)</f>
        <v>0</v>
      </c>
      <c r="S2618" s="1" t="str">
        <f>VLOOKUP(SALIDAS111518[[#This Row],[CÓDIGO]],PRODUCTOS31316[],3,FALSE)</f>
        <v>FUNDA DE TRANSFERENCIA DE EMBRIONES 0.25 PUNTA PLÁSTICA MARCA TED</v>
      </c>
      <c r="T2618" s="2">
        <v>50</v>
      </c>
      <c r="U2618" s="2" t="s">
        <v>5554</v>
      </c>
      <c r="V2618" s="2"/>
      <c r="W2618" s="2"/>
      <c r="X2618" s="2"/>
      <c r="Y2618" s="7"/>
      <c r="Z2618" s="2"/>
      <c r="AA2618" s="1"/>
      <c r="AC2618" s="2"/>
      <c r="AE2618" s="1"/>
      <c r="AG2618" s="2"/>
    </row>
    <row r="2619" spans="12:33" ht="49.95" customHeight="1" x14ac:dyDescent="0.3">
      <c r="L2619" s="2" t="s">
        <v>3520</v>
      </c>
      <c r="M2619" s="2" t="s">
        <v>5071</v>
      </c>
      <c r="N2619" s="1" t="s">
        <v>5556</v>
      </c>
      <c r="O2619" s="2" t="s">
        <v>2803</v>
      </c>
      <c r="P2619" s="16">
        <v>46219</v>
      </c>
      <c r="Q2619" s="2" t="s">
        <v>3075</v>
      </c>
      <c r="R2619" s="2">
        <f>VLOOKUP(SALIDAS111518[[#This Row],[CÓDIGO]],PRODUCTOS31316[],2,FALSE)</f>
        <v>0</v>
      </c>
      <c r="S2619" s="1" t="str">
        <f>VLOOKUP(SALIDAS111518[[#This Row],[CÓDIGO]],PRODUCTOS31316[],3,FALSE)</f>
        <v>AUTOJAC V3 ELECTROEYACUALADOR MANUAL Y AUTOMÁTICO</v>
      </c>
      <c r="T2619" s="2">
        <v>1</v>
      </c>
      <c r="U2619" s="2">
        <v>1137</v>
      </c>
      <c r="V2619" s="2"/>
      <c r="W2619" s="2"/>
      <c r="X2619" s="2"/>
      <c r="Y2619" s="7"/>
      <c r="Z2619" s="2"/>
      <c r="AA2619" s="1"/>
      <c r="AC2619" s="2"/>
      <c r="AE2619" s="1"/>
      <c r="AG2619" s="2"/>
    </row>
    <row r="2620" spans="12:33" ht="49.95" customHeight="1" x14ac:dyDescent="0.3">
      <c r="L2620" s="2" t="s">
        <v>3520</v>
      </c>
      <c r="M2620" s="2" t="s">
        <v>5071</v>
      </c>
      <c r="N2620" s="385" t="s">
        <v>5563</v>
      </c>
      <c r="O2620" s="382" t="s">
        <v>2256</v>
      </c>
      <c r="P2620" s="16">
        <v>46219</v>
      </c>
      <c r="Q2620" s="382" t="s">
        <v>969</v>
      </c>
      <c r="R2620" s="2">
        <f>VLOOKUP(SALIDAS111518[[#This Row],[CÓDIGO]],PRODUCTOS31316[],2,FALSE)</f>
        <v>13316</v>
      </c>
      <c r="S2620" s="1" t="str">
        <f>VLOOKUP(SALIDAS111518[[#This Row],[CÓDIGO]],PRODUCTOS31316[],3,FALSE)</f>
        <v>AGUJA PARA ASPIRACIÓN 20G</v>
      </c>
      <c r="T2620" s="2">
        <v>20</v>
      </c>
      <c r="U2620" s="2">
        <v>1138</v>
      </c>
      <c r="V2620" s="2"/>
      <c r="W2620" s="2"/>
      <c r="X2620" s="124"/>
      <c r="Y2620" s="7"/>
      <c r="Z2620" s="2"/>
      <c r="AA2620" s="1"/>
      <c r="AC2620" s="2"/>
      <c r="AE2620" s="1"/>
      <c r="AG2620" s="2"/>
    </row>
    <row r="2621" spans="12:33" ht="49.95" customHeight="1" x14ac:dyDescent="0.3">
      <c r="L2621" s="2"/>
      <c r="M2621" s="2"/>
      <c r="N2621" s="2">
        <v>8699</v>
      </c>
      <c r="O2621" s="382" t="s">
        <v>2256</v>
      </c>
      <c r="P2621" s="16">
        <v>46219</v>
      </c>
      <c r="Q2621" s="382" t="s">
        <v>1198</v>
      </c>
      <c r="R2621" s="2">
        <f>VLOOKUP(SALIDAS111518[[#This Row],[CÓDIGO]],PRODUCTOS31316[],2,FALSE)</f>
        <v>21789</v>
      </c>
      <c r="S2621" s="1" t="str">
        <f>VLOOKUP(SALIDAS111518[[#This Row],[CÓDIGO]],PRODUCTOS31316[],3,FALSE)</f>
        <v>SISTEMA OPU 1,20 M</v>
      </c>
      <c r="T2621" s="2">
        <v>4</v>
      </c>
      <c r="U2621" s="2"/>
      <c r="V2621" s="2"/>
      <c r="W2621" s="2"/>
      <c r="X2621" s="2"/>
      <c r="Y2621" s="7"/>
      <c r="Z2621" s="2"/>
      <c r="AA2621" s="1"/>
      <c r="AC2621" s="2"/>
      <c r="AE2621" s="1"/>
      <c r="AG2621" s="2"/>
    </row>
    <row r="2622" spans="12:33" ht="49.95" customHeight="1" x14ac:dyDescent="0.3">
      <c r="L2622" s="384" t="s">
        <v>3521</v>
      </c>
      <c r="M2622" s="2" t="s">
        <v>5071</v>
      </c>
      <c r="N2622" s="15">
        <v>15741</v>
      </c>
      <c r="O2622" s="417" t="s">
        <v>5557</v>
      </c>
      <c r="P2622" s="15"/>
      <c r="Q2622" s="384" t="s">
        <v>2412</v>
      </c>
      <c r="R2622" s="2" t="str">
        <f>VLOOKUP(SALIDAS111518[[#This Row],[CÓDIGO]],PRODUCTOS31316[],2,FALSE)</f>
        <v>PTC</v>
      </c>
      <c r="S2622" s="1" t="str">
        <f>VLOOKUP(SALIDAS111518[[#This Row],[CÓDIGO]],PRODUCTOS31316[],3,FALSE)</f>
        <v>PISTOLA DE INSEMINACIÓN ARTIFICIAL CON CÁMARA</v>
      </c>
      <c r="T2622" s="2">
        <v>1</v>
      </c>
      <c r="U2622" s="15"/>
      <c r="V2622" s="2"/>
      <c r="W2622" s="384" t="s">
        <v>3194</v>
      </c>
      <c r="X2622" s="2"/>
      <c r="Y2622" s="7"/>
      <c r="Z2622" s="2"/>
      <c r="AA2622" s="1"/>
      <c r="AC2622" s="2"/>
      <c r="AE2622" s="1"/>
      <c r="AG2622" s="2"/>
    </row>
    <row r="2623" spans="12:33" ht="49.95" customHeight="1" x14ac:dyDescent="0.3">
      <c r="L2623" s="384" t="s">
        <v>3521</v>
      </c>
      <c r="M2623" s="2" t="s">
        <v>5071</v>
      </c>
      <c r="N2623" s="398" t="s">
        <v>5688</v>
      </c>
      <c r="O2623" s="384" t="s">
        <v>5558</v>
      </c>
      <c r="P2623" s="16">
        <v>46224</v>
      </c>
      <c r="Q2623" s="384" t="s">
        <v>5098</v>
      </c>
      <c r="R2623" s="2">
        <f>VLOOKUP(SALIDAS111518[[#This Row],[CÓDIGO]],PRODUCTOS31316[],2,FALSE)</f>
        <v>0</v>
      </c>
      <c r="S2623" s="1" t="str">
        <f>VLOOKUP(SALIDAS111518[[#This Row],[CÓDIGO]],PRODUCTOS31316[],3,FALSE)</f>
        <v>FUNDA DE TRANSFERENCIA DE EMBRIONES 0.25 PUNTA PLÁSTICA MARCA TED</v>
      </c>
      <c r="T2623" s="2">
        <v>50</v>
      </c>
      <c r="U2623" s="385" t="s">
        <v>5565</v>
      </c>
      <c r="V2623" s="2"/>
      <c r="W2623" s="2"/>
      <c r="X2623" s="2"/>
      <c r="Y2623" s="7"/>
      <c r="Z2623" s="2"/>
      <c r="AA2623" s="1"/>
      <c r="AC2623" s="2"/>
      <c r="AE2623" s="1"/>
      <c r="AG2623" s="2"/>
    </row>
    <row r="2624" spans="12:33" ht="49.95" customHeight="1" x14ac:dyDescent="0.3">
      <c r="L2624" s="2"/>
      <c r="M2624" s="2"/>
      <c r="N2624" s="2">
        <v>8752</v>
      </c>
      <c r="O2624" s="384" t="s">
        <v>5558</v>
      </c>
      <c r="P2624" s="16">
        <v>46224</v>
      </c>
      <c r="Q2624" s="384" t="s">
        <v>2755</v>
      </c>
      <c r="R2624" s="2" t="str">
        <f>VLOOKUP(SALIDAS111518[[#This Row],[CÓDIGO]],PRODUCTOS31316[],2,FALSE)</f>
        <v>MSLDO05</v>
      </c>
      <c r="S2624" s="1" t="str">
        <f>VLOOKUP(SALIDAS111518[[#This Row],[CÓDIGO]],PRODUCTOS31316[],3,FALSE)</f>
        <v>TERMO DE RECOLECCIÓN DE SEMEN/ USO VETERINARIO</v>
      </c>
      <c r="T2624" s="2">
        <v>2</v>
      </c>
      <c r="U2624" s="2"/>
      <c r="V2624" s="2"/>
      <c r="W2624" s="2"/>
      <c r="X2624" s="2"/>
      <c r="Y2624" s="7"/>
      <c r="Z2624" s="2"/>
      <c r="AA2624" s="1"/>
      <c r="AC2624" s="2"/>
      <c r="AE2624" s="1"/>
      <c r="AG2624" s="2"/>
    </row>
    <row r="2625" spans="12:33" ht="49.95" customHeight="1" x14ac:dyDescent="0.3">
      <c r="L2625" s="2" t="s">
        <v>3520</v>
      </c>
      <c r="M2625" s="2" t="s">
        <v>5071</v>
      </c>
      <c r="N2625" s="385" t="s">
        <v>5564</v>
      </c>
      <c r="O2625" s="384" t="s">
        <v>5559</v>
      </c>
      <c r="P2625" s="16">
        <v>46219</v>
      </c>
      <c r="Q2625" s="384" t="s">
        <v>3427</v>
      </c>
      <c r="R2625" s="2">
        <f>VLOOKUP(SALIDAS111518[[#This Row],[CÓDIGO]],PRODUCTOS31316[],2,FALSE)</f>
        <v>0</v>
      </c>
      <c r="S2625" s="1" t="str">
        <f>VLOOKUP(SALIDAS111518[[#This Row],[CÓDIGO]],PRODUCTOS31316[],3,FALSE)</f>
        <v>PROTECTOR SOLAR ECÓGRAFO DAWEI S1</v>
      </c>
      <c r="T2625" s="2">
        <v>1</v>
      </c>
      <c r="U2625" s="2">
        <v>1139</v>
      </c>
      <c r="V2625" s="2"/>
      <c r="W2625" s="2"/>
      <c r="X2625" s="2"/>
      <c r="Y2625" s="7"/>
      <c r="Z2625" s="2"/>
      <c r="AA2625" s="1"/>
      <c r="AC2625" s="2"/>
      <c r="AE2625" s="1"/>
      <c r="AG2625" s="2"/>
    </row>
    <row r="2626" spans="12:33" ht="49.95" customHeight="1" x14ac:dyDescent="0.3">
      <c r="L2626" s="384" t="s">
        <v>3521</v>
      </c>
      <c r="M2626" s="2" t="s">
        <v>5071</v>
      </c>
      <c r="N2626" s="385" t="s">
        <v>5568</v>
      </c>
      <c r="O2626" s="385" t="s">
        <v>5560</v>
      </c>
      <c r="P2626" s="16">
        <v>46219</v>
      </c>
      <c r="Q2626" s="384" t="s">
        <v>2401</v>
      </c>
      <c r="R2626" s="2">
        <f>VLOOKUP(SALIDAS111518[[#This Row],[CÓDIGO]],PRODUCTOS31316[],2,FALSE)</f>
        <v>5540</v>
      </c>
      <c r="S2626" s="1" t="str">
        <f>VLOOKUP(SALIDAS111518[[#This Row],[CÓDIGO]],PRODUCTOS31316[],3,FALSE)</f>
        <v xml:space="preserve">FUNDAS DE TRANSFERENCIA AZUL PUNTA METÁLICA 21"                 </v>
      </c>
      <c r="T2626" s="2">
        <v>15</v>
      </c>
      <c r="U2626" s="2">
        <v>1141</v>
      </c>
      <c r="V2626" s="2"/>
      <c r="W2626" s="2"/>
      <c r="X2626" s="2"/>
      <c r="Y2626" s="7"/>
      <c r="Z2626" s="2"/>
      <c r="AA2626" s="1"/>
      <c r="AC2626" s="2"/>
      <c r="AE2626" s="1"/>
      <c r="AG2626" s="2"/>
    </row>
    <row r="2627" spans="12:33" ht="49.95" customHeight="1" x14ac:dyDescent="0.3">
      <c r="L2627" s="2"/>
      <c r="M2627" s="2"/>
      <c r="N2627" s="2">
        <v>8701</v>
      </c>
      <c r="O2627" s="385" t="s">
        <v>5560</v>
      </c>
      <c r="P2627" s="16">
        <v>46218</v>
      </c>
      <c r="Q2627" s="384" t="s">
        <v>1779</v>
      </c>
      <c r="R2627" s="2">
        <f>VLOOKUP(SALIDAS111518[[#This Row],[CÓDIGO]],PRODUCTOS31316[],2,FALSE)</f>
        <v>5563</v>
      </c>
      <c r="S2627" s="1" t="str">
        <f>VLOOKUP(SALIDAS111518[[#This Row],[CÓDIGO]],PRODUCTOS31316[],3,FALSE)</f>
        <v>CAMISA SANITARIA ROLLO X 80</v>
      </c>
      <c r="T2627" s="2">
        <v>2</v>
      </c>
      <c r="U2627" s="2"/>
      <c r="V2627" s="2"/>
      <c r="W2627" s="2"/>
      <c r="X2627" s="2"/>
      <c r="Y2627" s="7"/>
      <c r="Z2627" s="2"/>
      <c r="AA2627" s="1"/>
      <c r="AC2627" s="2"/>
      <c r="AE2627" s="1"/>
      <c r="AG2627" s="2"/>
    </row>
    <row r="2628" spans="12:33" ht="49.95" customHeight="1" x14ac:dyDescent="0.3">
      <c r="L2628" s="2" t="s">
        <v>3520</v>
      </c>
      <c r="M2628" s="2" t="s">
        <v>5071</v>
      </c>
      <c r="N2628" s="385" t="s">
        <v>5569</v>
      </c>
      <c r="O2628" s="384" t="s">
        <v>2803</v>
      </c>
      <c r="P2628" s="16">
        <v>46219</v>
      </c>
      <c r="Q2628" s="384" t="s">
        <v>273</v>
      </c>
      <c r="R2628" s="2">
        <f>VLOOKUP(SALIDAS111518[[#This Row],[CÓDIGO]],PRODUCTOS31316[],2,FALSE)</f>
        <v>1003514</v>
      </c>
      <c r="S2628" s="1" t="str">
        <f>VLOOKUP(SALIDAS111518[[#This Row],[CÓDIGO]],PRODUCTOS31316[],3,FALSE)</f>
        <v>JALEA CONDUCTIVA (GEL ULTRASONICO) GALON X 3785 ML AZUL</v>
      </c>
      <c r="T2628" s="2">
        <v>1</v>
      </c>
      <c r="U2628" s="2">
        <v>1142</v>
      </c>
      <c r="V2628" s="2"/>
      <c r="W2628" s="2"/>
      <c r="X2628" s="2"/>
      <c r="Y2628" s="7"/>
      <c r="Z2628" s="2"/>
      <c r="AA2628" s="1"/>
      <c r="AC2628" s="2"/>
      <c r="AE2628" s="1"/>
      <c r="AG2628" s="2"/>
    </row>
    <row r="2629" spans="12:33" ht="49.95" customHeight="1" x14ac:dyDescent="0.3">
      <c r="L2629" s="2" t="s">
        <v>3520</v>
      </c>
      <c r="M2629" s="2" t="s">
        <v>5071</v>
      </c>
      <c r="N2629" s="385" t="s">
        <v>5570</v>
      </c>
      <c r="O2629" s="384" t="s">
        <v>94</v>
      </c>
      <c r="P2629" s="16">
        <v>46219</v>
      </c>
      <c r="Q2629" s="384" t="s">
        <v>1779</v>
      </c>
      <c r="R2629" s="2">
        <f>VLOOKUP(SALIDAS111518[[#This Row],[CÓDIGO]],PRODUCTOS31316[],2,FALSE)</f>
        <v>5563</v>
      </c>
      <c r="S2629" s="1" t="str">
        <f>VLOOKUP(SALIDAS111518[[#This Row],[CÓDIGO]],PRODUCTOS31316[],3,FALSE)</f>
        <v>CAMISA SANITARIA ROLLO X 80</v>
      </c>
      <c r="T2629" s="2">
        <v>6</v>
      </c>
      <c r="U2629" s="384" t="s">
        <v>5571</v>
      </c>
      <c r="V2629" s="2"/>
      <c r="W2629" s="2"/>
      <c r="X2629" s="2"/>
      <c r="Y2629" s="7"/>
      <c r="Z2629" s="2"/>
      <c r="AA2629" s="1"/>
      <c r="AC2629" s="2"/>
      <c r="AE2629" s="1"/>
      <c r="AG2629" s="2"/>
    </row>
    <row r="2630" spans="12:33" ht="49.95" customHeight="1" x14ac:dyDescent="0.3">
      <c r="L2630" s="2"/>
      <c r="M2630" s="2"/>
      <c r="N2630" s="2">
        <v>8703</v>
      </c>
      <c r="O2630" s="384" t="s">
        <v>94</v>
      </c>
      <c r="P2630" s="16">
        <v>46219</v>
      </c>
      <c r="Q2630" s="384" t="s">
        <v>1681</v>
      </c>
      <c r="R2630" s="2">
        <f>VLOOKUP(SALIDAS111518[[#This Row],[CÓDIGO]],PRODUCTOS31316[],2,FALSE)</f>
        <v>347430</v>
      </c>
      <c r="S2630" s="1" t="str">
        <f>VLOOKUP(SALIDAS111518[[#This Row],[CÓDIGO]],PRODUCTOS31316[],3,FALSE)</f>
        <v>GOBLETS BLANCOS DE 10 MM</v>
      </c>
      <c r="T2630" s="2">
        <v>1</v>
      </c>
      <c r="U2630" s="2"/>
      <c r="V2630" s="2"/>
      <c r="W2630" s="2"/>
      <c r="X2630" s="2"/>
      <c r="Y2630" s="7"/>
      <c r="Z2630" s="2"/>
      <c r="AA2630" s="1"/>
      <c r="AC2630" s="2"/>
      <c r="AE2630" s="1"/>
      <c r="AG2630" s="2"/>
    </row>
    <row r="2631" spans="12:33" ht="49.95" customHeight="1" x14ac:dyDescent="0.3">
      <c r="L2631" s="2"/>
      <c r="M2631" s="2"/>
      <c r="N2631" s="2">
        <v>8703</v>
      </c>
      <c r="O2631" s="384" t="s">
        <v>94</v>
      </c>
      <c r="P2631" s="16">
        <v>46219</v>
      </c>
      <c r="Q2631" s="384" t="s">
        <v>3142</v>
      </c>
      <c r="R2631" s="2">
        <f>VLOOKUP(SALIDAS111518[[#This Row],[CÓDIGO]],PRODUCTOS31316[],2,FALSE)</f>
        <v>16301</v>
      </c>
      <c r="S2631" s="1" t="str">
        <f>VLOOKUP(SALIDAS111518[[#This Row],[CÓDIGO]],PRODUCTOS31316[],3,FALSE)</f>
        <v>PISTOLA DE TRANSFERENCIA DE EMBRIONES 0,25 DE MANGO DE ALUMINIO</v>
      </c>
      <c r="T2631" s="2">
        <v>3</v>
      </c>
      <c r="U2631" s="2"/>
      <c r="V2631" s="2"/>
      <c r="W2631" s="2"/>
      <c r="X2631" s="2"/>
      <c r="Y2631" s="7"/>
      <c r="Z2631" s="2"/>
      <c r="AA2631" s="1"/>
      <c r="AC2631" s="2"/>
      <c r="AE2631" s="1"/>
      <c r="AG2631" s="2"/>
    </row>
    <row r="2632" spans="12:33" ht="49.95" customHeight="1" x14ac:dyDescent="0.3">
      <c r="L2632" s="2" t="s">
        <v>3520</v>
      </c>
      <c r="M2632" s="2" t="s">
        <v>5071</v>
      </c>
      <c r="N2632" s="385" t="s">
        <v>5572</v>
      </c>
      <c r="O2632" s="384" t="s">
        <v>2781</v>
      </c>
      <c r="P2632" s="16">
        <v>46219</v>
      </c>
      <c r="Q2632" s="384" t="s">
        <v>272</v>
      </c>
      <c r="R2632" s="2">
        <f>VLOOKUP(SALIDAS111518[[#This Row],[CÓDIGO]],PRODUCTOS31316[],2,FALSE)</f>
        <v>627161</v>
      </c>
      <c r="S2632" s="1" t="str">
        <f>VLOOKUP(SALIDAS111518[[#This Row],[CÓDIGO]],PRODUCTOS31316[],3,FALSE)</f>
        <v xml:space="preserve">CAJA PETRI 35X10 ESTERIL </v>
      </c>
      <c r="T2632" s="2">
        <v>10</v>
      </c>
      <c r="U2632" s="2">
        <v>1145</v>
      </c>
      <c r="V2632" s="2"/>
      <c r="W2632" s="2"/>
      <c r="X2632" s="2"/>
      <c r="Y2632" s="7"/>
      <c r="Z2632" s="2"/>
      <c r="AA2632" s="1"/>
      <c r="AC2632" s="2"/>
      <c r="AE2632" s="1"/>
      <c r="AG2632" s="2"/>
    </row>
    <row r="2633" spans="12:33" ht="49.95" customHeight="1" x14ac:dyDescent="0.3">
      <c r="L2633" s="2" t="s">
        <v>3520</v>
      </c>
      <c r="M2633" s="2" t="s">
        <v>5071</v>
      </c>
      <c r="N2633" s="385" t="s">
        <v>5573</v>
      </c>
      <c r="O2633" s="384" t="s">
        <v>5566</v>
      </c>
      <c r="P2633" s="16">
        <v>46219</v>
      </c>
      <c r="Q2633" s="384" t="s">
        <v>3142</v>
      </c>
      <c r="R2633" s="2">
        <f>VLOOKUP(SALIDAS111518[[#This Row],[CÓDIGO]],PRODUCTOS31316[],2,FALSE)</f>
        <v>16301</v>
      </c>
      <c r="S2633" s="1" t="str">
        <f>VLOOKUP(SALIDAS111518[[#This Row],[CÓDIGO]],PRODUCTOS31316[],3,FALSE)</f>
        <v>PISTOLA DE TRANSFERENCIA DE EMBRIONES 0,25 DE MANGO DE ALUMINIO</v>
      </c>
      <c r="T2633" s="2">
        <v>1</v>
      </c>
      <c r="U2633" s="2">
        <v>1146</v>
      </c>
      <c r="V2633" s="2"/>
      <c r="W2633" s="2"/>
      <c r="X2633" s="2"/>
      <c r="Y2633" s="7"/>
      <c r="Z2633" s="2"/>
      <c r="AA2633" s="1"/>
      <c r="AC2633" s="2"/>
      <c r="AE2633" s="1"/>
      <c r="AG2633" s="2"/>
    </row>
    <row r="2634" spans="12:33" ht="49.95" customHeight="1" x14ac:dyDescent="0.3">
      <c r="L2634" s="2"/>
      <c r="M2634" s="2"/>
      <c r="N2634" s="2">
        <v>8705</v>
      </c>
      <c r="O2634" s="384" t="s">
        <v>5566</v>
      </c>
      <c r="P2634" s="16">
        <v>46219</v>
      </c>
      <c r="Q2634" s="384" t="s">
        <v>5098</v>
      </c>
      <c r="R2634" s="2">
        <f>VLOOKUP(SALIDAS111518[[#This Row],[CÓDIGO]],PRODUCTOS31316[],2,FALSE)</f>
        <v>0</v>
      </c>
      <c r="S2634" s="1" t="str">
        <f>VLOOKUP(SALIDAS111518[[#This Row],[CÓDIGO]],PRODUCTOS31316[],3,FALSE)</f>
        <v>FUNDA DE TRANSFERENCIA DE EMBRIONES 0.25 PUNTA PLÁSTICA MARCA TED</v>
      </c>
      <c r="T2634" s="2">
        <v>6</v>
      </c>
      <c r="U2634" s="2"/>
      <c r="V2634" s="2"/>
      <c r="W2634" s="2"/>
      <c r="X2634" s="2"/>
      <c r="Y2634" s="7"/>
      <c r="Z2634" s="2"/>
      <c r="AA2634" s="1"/>
      <c r="AC2634" s="2"/>
      <c r="AE2634" s="1"/>
      <c r="AG2634" s="2"/>
    </row>
    <row r="2635" spans="12:33" ht="49.95" customHeight="1" x14ac:dyDescent="0.3">
      <c r="L2635" s="384" t="s">
        <v>3521</v>
      </c>
      <c r="M2635" s="384" t="s">
        <v>5071</v>
      </c>
      <c r="N2635" s="385" t="s">
        <v>5577</v>
      </c>
      <c r="O2635" s="385" t="s">
        <v>5567</v>
      </c>
      <c r="P2635" s="16">
        <v>46219</v>
      </c>
      <c r="Q2635" s="384" t="s">
        <v>3157</v>
      </c>
      <c r="R2635" s="2" t="str">
        <f>VLOOKUP(SALIDAS111518[[#This Row],[CÓDIGO]],PRODUCTOS31316[],2,FALSE)</f>
        <v>SLIGHT</v>
      </c>
      <c r="S2635" s="1" t="str">
        <f>VLOOKUP(SALIDAS111518[[#This Row],[CÓDIGO]],PRODUCTOS31316[],3,FALSE)</f>
        <v>ECOGRAFO SLITES S 1</v>
      </c>
      <c r="T2635" s="2">
        <v>1</v>
      </c>
      <c r="U2635" s="2">
        <v>1149</v>
      </c>
      <c r="V2635" s="2"/>
      <c r="W2635" s="2"/>
      <c r="X2635" s="2"/>
      <c r="Y2635" s="7"/>
      <c r="Z2635" s="2"/>
      <c r="AA2635" s="1"/>
      <c r="AC2635" s="2"/>
      <c r="AE2635" s="1"/>
      <c r="AG2635" s="2"/>
    </row>
    <row r="2636" spans="12:33" ht="49.95" customHeight="1" x14ac:dyDescent="0.3">
      <c r="L2636" s="2"/>
      <c r="M2636" s="2"/>
      <c r="N2636" s="2">
        <v>8707</v>
      </c>
      <c r="O2636" s="385" t="s">
        <v>5567</v>
      </c>
      <c r="P2636" s="16">
        <v>46219</v>
      </c>
      <c r="Q2636" s="384" t="s">
        <v>3095</v>
      </c>
      <c r="R2636" s="2">
        <f>VLOOKUP(SALIDAS111518[[#This Row],[CÓDIGO]],PRODUCTOS31316[],2,FALSE)</f>
        <v>0</v>
      </c>
      <c r="S2636" s="1" t="str">
        <f>VLOOKUP(SALIDAS111518[[#This Row],[CÓDIGO]],PRODUCTOS31316[],3,FALSE)</f>
        <v>GORRA MAS CAMPO</v>
      </c>
      <c r="T2636" s="2">
        <v>2</v>
      </c>
      <c r="U2636" s="2"/>
      <c r="V2636" s="2"/>
      <c r="W2636" s="2"/>
      <c r="X2636" s="2"/>
      <c r="Y2636" s="7"/>
      <c r="Z2636" s="2"/>
      <c r="AA2636" s="1"/>
      <c r="AC2636" s="2"/>
      <c r="AE2636" s="1"/>
      <c r="AG2636" s="2"/>
    </row>
    <row r="2637" spans="12:33" ht="49.95" customHeight="1" x14ac:dyDescent="0.3">
      <c r="L2637" s="2" t="s">
        <v>3520</v>
      </c>
      <c r="M2637" s="2" t="s">
        <v>5071</v>
      </c>
      <c r="N2637" s="420" t="s">
        <v>5574</v>
      </c>
      <c r="O2637" s="420" t="s">
        <v>3120</v>
      </c>
      <c r="P2637" s="16">
        <v>46219</v>
      </c>
      <c r="Q2637" s="384" t="s">
        <v>3303</v>
      </c>
      <c r="R2637" s="2">
        <f>VLOOKUP(SALIDAS111518[[#This Row],[CÓDIGO]],PRODUCTOS31316[],2,FALSE)</f>
        <v>10</v>
      </c>
      <c r="S2637" s="1" t="str">
        <f>VLOOKUP(SALIDAS111518[[#This Row],[CÓDIGO]],PRODUCTOS31316[],3,FALSE)</f>
        <v>CAJA PETRI 4 POZOS / 3,026X3,026 CM</v>
      </c>
      <c r="T2637" s="2">
        <v>3</v>
      </c>
      <c r="U2637" s="2">
        <v>1147</v>
      </c>
      <c r="V2637" s="2"/>
      <c r="W2637" s="384" t="s">
        <v>3412</v>
      </c>
      <c r="X2637" s="2"/>
      <c r="Y2637" s="7"/>
      <c r="Z2637" s="2"/>
      <c r="AA2637" s="1"/>
      <c r="AC2637" s="2"/>
      <c r="AE2637" s="1"/>
      <c r="AG2637" s="2"/>
    </row>
    <row r="2638" spans="12:33" ht="49.95" customHeight="1" x14ac:dyDescent="0.3">
      <c r="L2638" s="2"/>
      <c r="M2638" s="2"/>
      <c r="N2638" s="2">
        <v>8706</v>
      </c>
      <c r="O2638" s="385" t="s">
        <v>3120</v>
      </c>
      <c r="P2638" s="16">
        <v>46219</v>
      </c>
      <c r="Q2638" s="384" t="s">
        <v>5098</v>
      </c>
      <c r="R2638" s="2">
        <f>VLOOKUP(SALIDAS111518[[#This Row],[CÓDIGO]],PRODUCTOS31316[],2,FALSE)</f>
        <v>0</v>
      </c>
      <c r="S2638" s="1" t="str">
        <f>VLOOKUP(SALIDAS111518[[#This Row],[CÓDIGO]],PRODUCTOS31316[],3,FALSE)</f>
        <v>FUNDA DE TRANSFERENCIA DE EMBRIONES 0.25 PUNTA PLÁSTICA MARCA TED</v>
      </c>
      <c r="T2638" s="2">
        <v>4</v>
      </c>
      <c r="U2638" s="2"/>
      <c r="V2638" s="2"/>
      <c r="W2638" s="2"/>
      <c r="X2638" s="2"/>
      <c r="Y2638" s="7"/>
      <c r="Z2638" s="2"/>
      <c r="AA2638" s="1"/>
      <c r="AC2638" s="2"/>
      <c r="AE2638" s="1"/>
      <c r="AG2638" s="2"/>
    </row>
    <row r="2639" spans="12:33" ht="49.95" customHeight="1" x14ac:dyDescent="0.3">
      <c r="L2639" s="2"/>
      <c r="M2639" s="2"/>
      <c r="N2639" s="2">
        <v>8706</v>
      </c>
      <c r="O2639" s="385" t="s">
        <v>3120</v>
      </c>
      <c r="P2639" s="16">
        <v>46219</v>
      </c>
      <c r="Q2639" s="384" t="s">
        <v>1585</v>
      </c>
      <c r="R2639" s="2">
        <f>VLOOKUP(SALIDAS111518[[#This Row],[CÓDIGO]],PRODUCTOS31316[],2,FALSE)</f>
        <v>131630</v>
      </c>
      <c r="S2639" s="1" t="str">
        <f>VLOOKUP(SALIDAS111518[[#This Row],[CÓDIGO]],PRODUCTOS31316[],3,FALSE)</f>
        <v>CATÉTER FOLLEY DE SILICONA (ABT) 16FR. X 30CC X 22</v>
      </c>
      <c r="T2639" s="2">
        <v>1</v>
      </c>
      <c r="U2639" s="2"/>
      <c r="V2639" s="2"/>
      <c r="W2639" s="2"/>
      <c r="X2639" s="2"/>
      <c r="Y2639" s="7"/>
      <c r="Z2639" s="2"/>
      <c r="AA2639" s="1"/>
      <c r="AC2639" s="2"/>
      <c r="AE2639" s="1"/>
      <c r="AG2639" s="2"/>
    </row>
    <row r="2640" spans="12:33" ht="49.95" customHeight="1" x14ac:dyDescent="0.3">
      <c r="L2640" s="2"/>
      <c r="M2640" s="2"/>
      <c r="N2640" s="2">
        <v>8706</v>
      </c>
      <c r="O2640" s="385" t="s">
        <v>3120</v>
      </c>
      <c r="P2640" s="16">
        <v>46219</v>
      </c>
      <c r="Q2640" s="384" t="s">
        <v>387</v>
      </c>
      <c r="R2640" s="2">
        <f>VLOOKUP(SALIDAS111518[[#This Row],[CÓDIGO]],PRODUCTOS31316[],2,FALSE)</f>
        <v>131830</v>
      </c>
      <c r="S2640" s="1" t="str">
        <f>VLOOKUP(SALIDAS111518[[#This Row],[CÓDIGO]],PRODUCTOS31316[],3,FALSE)</f>
        <v>CATÉTER FOLLEY DE SILICONA (ABT) 18FR. X 30CC X 22</v>
      </c>
      <c r="T2640" s="2">
        <v>1</v>
      </c>
      <c r="U2640" s="2"/>
      <c r="V2640" s="2"/>
      <c r="W2640" s="2"/>
      <c r="X2640" s="2"/>
      <c r="Y2640" s="7"/>
      <c r="Z2640" s="2"/>
      <c r="AA2640" s="1"/>
      <c r="AC2640" s="2"/>
      <c r="AE2640" s="1"/>
      <c r="AG2640" s="2"/>
    </row>
    <row r="2641" spans="12:33" ht="49.95" customHeight="1" x14ac:dyDescent="0.3">
      <c r="L2641" s="2"/>
      <c r="M2641" s="2"/>
      <c r="N2641" s="2">
        <v>8706</v>
      </c>
      <c r="O2641" s="385" t="s">
        <v>3120</v>
      </c>
      <c r="P2641" s="16">
        <v>46219</v>
      </c>
      <c r="Q2641" s="384" t="s">
        <v>272</v>
      </c>
      <c r="R2641" s="2">
        <f>VLOOKUP(SALIDAS111518[[#This Row],[CÓDIGO]],PRODUCTOS31316[],2,FALSE)</f>
        <v>627161</v>
      </c>
      <c r="S2641" s="1" t="str">
        <f>VLOOKUP(SALIDAS111518[[#This Row],[CÓDIGO]],PRODUCTOS31316[],3,FALSE)</f>
        <v xml:space="preserve">CAJA PETRI 35X10 ESTERIL </v>
      </c>
      <c r="T2641" s="2">
        <v>1</v>
      </c>
      <c r="U2641" s="2"/>
      <c r="V2641" s="2"/>
      <c r="W2641" s="2"/>
      <c r="X2641" s="2"/>
      <c r="Y2641" s="7"/>
      <c r="Z2641" s="2"/>
      <c r="AA2641" s="1"/>
      <c r="AC2641" s="2"/>
      <c r="AE2641" s="1"/>
      <c r="AG2641" s="2"/>
    </row>
    <row r="2642" spans="12:33" ht="49.95" customHeight="1" x14ac:dyDescent="0.3">
      <c r="L2642" s="2" t="s">
        <v>3520</v>
      </c>
      <c r="M2642" s="2" t="s">
        <v>5071</v>
      </c>
      <c r="N2642" s="1" t="s">
        <v>5579</v>
      </c>
      <c r="O2642" s="2" t="s">
        <v>2871</v>
      </c>
      <c r="P2642" s="16">
        <v>46220</v>
      </c>
      <c r="Q2642" s="2" t="s">
        <v>2811</v>
      </c>
      <c r="R2642" s="2">
        <f>VLOOKUP(SALIDAS111518[[#This Row],[CÓDIGO]],PRODUCTOS31316[],2,FALSE)</f>
        <v>5569</v>
      </c>
      <c r="S2642" s="1" t="str">
        <f>VLOOKUP(SALIDAS111518[[#This Row],[CÓDIGO]],PRODUCTOS31316[],3,FALSE)</f>
        <v>PAJILLAS TRANSPARENTES 0,50</v>
      </c>
      <c r="T2642" s="2">
        <v>1</v>
      </c>
      <c r="U2642" s="2">
        <v>1151</v>
      </c>
      <c r="V2642" s="2"/>
      <c r="W2642" s="2"/>
      <c r="X2642" s="130"/>
      <c r="Y2642" s="7"/>
      <c r="Z2642" s="2"/>
      <c r="AA2642" s="1"/>
      <c r="AC2642" s="2"/>
      <c r="AE2642" s="1"/>
      <c r="AG2642" s="2"/>
    </row>
    <row r="2643" spans="12:33" ht="49.95" customHeight="1" x14ac:dyDescent="0.3">
      <c r="L2643" s="2" t="s">
        <v>3521</v>
      </c>
      <c r="M2643" s="2" t="s">
        <v>5071</v>
      </c>
      <c r="N2643" s="412" t="s">
        <v>5767</v>
      </c>
      <c r="O2643" s="412" t="s">
        <v>5765</v>
      </c>
      <c r="P2643" s="16">
        <v>46230</v>
      </c>
      <c r="Q2643" s="2" t="s">
        <v>3346</v>
      </c>
      <c r="R2643" s="2" t="str">
        <f>VLOOKUP(SALIDAS111518[[#This Row],[CÓDIGO]],PRODUCTOS31316[],2,FALSE)</f>
        <v>S7PRO</v>
      </c>
      <c r="S2643" s="1" t="str">
        <f>VLOOKUP(SALIDAS111518[[#This Row],[CÓDIGO]],PRODUCTOS31316[],3,FALSE)</f>
        <v>ECÓGRAFO S7 PRO VET CON SONDA LINEAL RECTAL</v>
      </c>
      <c r="T2643" s="2">
        <v>1</v>
      </c>
      <c r="U2643" s="413" t="s">
        <v>5768</v>
      </c>
      <c r="V2643" s="2"/>
      <c r="W2643" s="2"/>
      <c r="X2643" s="130"/>
      <c r="Y2643" s="7"/>
      <c r="Z2643" s="2"/>
      <c r="AA2643" s="1"/>
      <c r="AC2643" s="2"/>
      <c r="AE2643" s="1"/>
      <c r="AG2643" s="2"/>
    </row>
    <row r="2644" spans="12:33" ht="49.95" customHeight="1" x14ac:dyDescent="0.3">
      <c r="L2644" s="2"/>
      <c r="M2644" s="2"/>
      <c r="N2644" s="2">
        <v>8784</v>
      </c>
      <c r="O2644" s="413" t="s">
        <v>5766</v>
      </c>
      <c r="P2644" s="16">
        <v>46230</v>
      </c>
      <c r="Q2644" s="2" t="s">
        <v>5083</v>
      </c>
      <c r="R2644" s="2">
        <f>VLOOKUP(SALIDAS111518[[#This Row],[CÓDIGO]],PRODUCTOS31316[],2,FALSE)</f>
        <v>0</v>
      </c>
      <c r="S2644" s="1" t="str">
        <f>VLOOKUP(SALIDAS111518[[#This Row],[CÓDIGO]],PRODUCTOS31316[],3,FALSE)</f>
        <v>TABLET SANSUNG GALAXY TAB A11+</v>
      </c>
      <c r="T2644" s="2">
        <v>1</v>
      </c>
      <c r="U2644" s="2"/>
      <c r="V2644" s="2"/>
      <c r="W2644" s="2"/>
      <c r="X2644" s="2"/>
      <c r="Y2644" s="7"/>
      <c r="Z2644" s="2"/>
      <c r="AA2644" s="1"/>
      <c r="AC2644" s="2"/>
      <c r="AE2644" s="1"/>
      <c r="AG2644" s="2"/>
    </row>
    <row r="2645" spans="12:33" ht="49.95" customHeight="1" x14ac:dyDescent="0.3">
      <c r="L2645" s="2"/>
      <c r="M2645" s="2"/>
      <c r="N2645" s="2">
        <v>8784</v>
      </c>
      <c r="O2645" s="413" t="s">
        <v>5766</v>
      </c>
      <c r="P2645" s="16">
        <v>46230</v>
      </c>
      <c r="Q2645" s="2" t="s">
        <v>3286</v>
      </c>
      <c r="R2645" s="2">
        <f>VLOOKUP(SALIDAS111518[[#This Row],[CÓDIGO]],PRODUCTOS31316[],2,FALSE)</f>
        <v>0</v>
      </c>
      <c r="S2645" s="1" t="str">
        <f>VLOOKUP(SALIDAS111518[[#This Row],[CÓDIGO]],PRODUCTOS31316[],3,FALSE)</f>
        <v>CARCASA TABLET BMV</v>
      </c>
      <c r="T2645" s="2">
        <v>1</v>
      </c>
      <c r="U2645" s="2"/>
      <c r="V2645" s="2"/>
      <c r="W2645" s="2"/>
      <c r="X2645" s="2"/>
      <c r="Y2645" s="7"/>
      <c r="Z2645" s="2"/>
      <c r="AA2645" s="1"/>
      <c r="AC2645" s="2"/>
      <c r="AE2645" s="1"/>
      <c r="AG2645" s="2"/>
    </row>
    <row r="2646" spans="12:33" ht="49.95" customHeight="1" x14ac:dyDescent="0.3">
      <c r="L2646" s="2"/>
      <c r="M2646" s="2"/>
      <c r="N2646" s="2">
        <v>8784</v>
      </c>
      <c r="O2646" s="413" t="s">
        <v>5766</v>
      </c>
      <c r="P2646" s="16">
        <v>46230</v>
      </c>
      <c r="Q2646" s="2" t="s">
        <v>3095</v>
      </c>
      <c r="R2646" s="2">
        <f>VLOOKUP(SALIDAS111518[[#This Row],[CÓDIGO]],PRODUCTOS31316[],2,FALSE)</f>
        <v>0</v>
      </c>
      <c r="S2646" s="1" t="str">
        <f>VLOOKUP(SALIDAS111518[[#This Row],[CÓDIGO]],PRODUCTOS31316[],3,FALSE)</f>
        <v>GORRA MAS CAMPO</v>
      </c>
      <c r="T2646" s="2">
        <v>1</v>
      </c>
      <c r="U2646" s="2"/>
      <c r="V2646" s="2"/>
      <c r="W2646" s="2"/>
      <c r="X2646" s="2"/>
      <c r="Y2646" s="7"/>
      <c r="Z2646" s="2"/>
      <c r="AA2646" s="1"/>
      <c r="AC2646" s="2"/>
      <c r="AE2646" s="1"/>
      <c r="AG2646" s="2"/>
    </row>
    <row r="2647" spans="12:33" ht="49.95" customHeight="1" x14ac:dyDescent="0.3">
      <c r="L2647" s="2" t="s">
        <v>3520</v>
      </c>
      <c r="M2647" s="2" t="s">
        <v>5071</v>
      </c>
      <c r="N2647" s="420" t="s">
        <v>5580</v>
      </c>
      <c r="O2647" s="418" t="s">
        <v>3276</v>
      </c>
      <c r="P2647" s="16">
        <v>46220</v>
      </c>
      <c r="Q2647" s="2" t="s">
        <v>2401</v>
      </c>
      <c r="R2647" s="2">
        <f>VLOOKUP(SALIDAS111518[[#This Row],[CÓDIGO]],PRODUCTOS31316[],2,FALSE)</f>
        <v>5540</v>
      </c>
      <c r="S2647" s="1" t="str">
        <f>VLOOKUP(SALIDAS111518[[#This Row],[CÓDIGO]],PRODUCTOS31316[],3,FALSE)</f>
        <v xml:space="preserve">FUNDAS DE TRANSFERENCIA AZUL PUNTA METÁLICA 21"                 </v>
      </c>
      <c r="T2647" s="2">
        <v>4</v>
      </c>
      <c r="U2647" s="2">
        <v>1152</v>
      </c>
      <c r="V2647" s="2"/>
      <c r="W2647" s="2" t="s">
        <v>2823</v>
      </c>
      <c r="X2647" s="2"/>
      <c r="Y2647" s="7"/>
      <c r="Z2647" s="2"/>
      <c r="AA2647" s="1"/>
      <c r="AC2647" s="2"/>
      <c r="AE2647" s="1"/>
      <c r="AG2647" s="2"/>
    </row>
    <row r="2648" spans="12:33" ht="49.95" customHeight="1" x14ac:dyDescent="0.3">
      <c r="L2648" s="2"/>
      <c r="M2648" s="2"/>
      <c r="N2648" s="2">
        <v>8709</v>
      </c>
      <c r="O2648" s="2" t="s">
        <v>3276</v>
      </c>
      <c r="P2648" s="16">
        <v>46220</v>
      </c>
      <c r="Q2648" s="2" t="s">
        <v>1779</v>
      </c>
      <c r="R2648" s="2">
        <f>VLOOKUP(SALIDAS111518[[#This Row],[CÓDIGO]],PRODUCTOS31316[],2,FALSE)</f>
        <v>5563</v>
      </c>
      <c r="S2648" s="1" t="str">
        <f>VLOOKUP(SALIDAS111518[[#This Row],[CÓDIGO]],PRODUCTOS31316[],3,FALSE)</f>
        <v>CAMISA SANITARIA ROLLO X 80</v>
      </c>
      <c r="T2648" s="2">
        <v>1</v>
      </c>
      <c r="U2648" s="2"/>
      <c r="V2648" s="2"/>
      <c r="W2648" s="2"/>
      <c r="X2648" s="2"/>
      <c r="Y2648" s="7"/>
      <c r="Z2648" s="2"/>
      <c r="AA2648" s="1"/>
      <c r="AC2648" s="2"/>
      <c r="AE2648" s="1"/>
      <c r="AG2648" s="2"/>
    </row>
    <row r="2649" spans="12:33" ht="49.95" customHeight="1" x14ac:dyDescent="0.3">
      <c r="L2649" s="2" t="s">
        <v>3520</v>
      </c>
      <c r="M2649" s="2" t="s">
        <v>5071</v>
      </c>
      <c r="N2649" s="15">
        <v>15779</v>
      </c>
      <c r="O2649" s="392" t="s">
        <v>4519</v>
      </c>
      <c r="P2649" s="15"/>
      <c r="Q2649" s="1" t="s">
        <v>5581</v>
      </c>
      <c r="R2649" s="2" t="e">
        <f>VLOOKUP(SALIDAS111518[[#This Row],[CÓDIGO]],PRODUCTOS31316[],2,FALSE)</f>
        <v>#N/A</v>
      </c>
      <c r="S2649" s="1" t="e">
        <f>VLOOKUP(SALIDAS111518[[#This Row],[CÓDIGO]],PRODUCTOS31316[],3,FALSE)</f>
        <v>#N/A</v>
      </c>
      <c r="T2649" s="2"/>
      <c r="U2649" s="2"/>
      <c r="V2649" s="2"/>
      <c r="W2649" s="2"/>
      <c r="X2649" s="2"/>
      <c r="Y2649" s="7"/>
      <c r="Z2649" s="2"/>
      <c r="AA2649" s="1"/>
      <c r="AC2649" s="2"/>
      <c r="AE2649" s="1"/>
      <c r="AG2649" s="2"/>
    </row>
    <row r="2650" spans="12:33" ht="49.95" customHeight="1" x14ac:dyDescent="0.3">
      <c r="L2650" s="2" t="s">
        <v>3520</v>
      </c>
      <c r="M2650" s="2" t="s">
        <v>5071</v>
      </c>
      <c r="N2650" s="1" t="s">
        <v>5584</v>
      </c>
      <c r="O2650" s="1" t="s">
        <v>5582</v>
      </c>
      <c r="P2650" s="16">
        <v>46220</v>
      </c>
      <c r="Q2650" s="2" t="s">
        <v>153</v>
      </c>
      <c r="R2650" s="2">
        <f>VLOOKUP(SALIDAS111518[[#This Row],[CÓDIGO]],PRODUCTOS31316[],2,FALSE)</f>
        <v>1132</v>
      </c>
      <c r="S2650" s="1" t="str">
        <f>VLOOKUP(SALIDAS111518[[#This Row],[CÓDIGO]],PRODUCTOS31316[],3,FALSE)</f>
        <v>PISTOLA QUICKLOCK CLASIC</v>
      </c>
      <c r="T2650" s="2">
        <v>1</v>
      </c>
      <c r="U2650" s="2" t="s">
        <v>5583</v>
      </c>
      <c r="V2650" s="2"/>
      <c r="W2650" s="2"/>
      <c r="X2650" s="2"/>
      <c r="Y2650" s="7"/>
      <c r="Z2650" s="2"/>
      <c r="AA2650" s="1"/>
      <c r="AC2650" s="2"/>
      <c r="AE2650" s="1"/>
      <c r="AG2650" s="2"/>
    </row>
    <row r="2651" spans="12:33" ht="49.95" customHeight="1" x14ac:dyDescent="0.3">
      <c r="L2651" s="2"/>
      <c r="M2651" s="2"/>
      <c r="N2651" s="2">
        <v>8710</v>
      </c>
      <c r="O2651" s="1" t="s">
        <v>5582</v>
      </c>
      <c r="P2651" s="16">
        <v>46220</v>
      </c>
      <c r="Q2651" s="2" t="s">
        <v>210</v>
      </c>
      <c r="R2651" s="2">
        <f>VLOOKUP(SALIDAS111518[[#This Row],[CÓDIGO]],PRODUCTOS31316[],2,FALSE)</f>
        <v>101257</v>
      </c>
      <c r="S2651" s="1" t="str">
        <f>VLOOKUP(SALIDAS111518[[#This Row],[CÓDIGO]],PRODUCTOS31316[],3,FALSE)</f>
        <v>MANGA DESECHABLE SUPER SENSITIVA</v>
      </c>
      <c r="T2651" s="2">
        <v>1</v>
      </c>
      <c r="U2651" s="2"/>
      <c r="V2651" s="2"/>
      <c r="W2651" s="2"/>
      <c r="X2651" s="111"/>
      <c r="Y2651" s="7"/>
      <c r="Z2651" s="2"/>
      <c r="AA2651" s="1"/>
      <c r="AC2651" s="2"/>
      <c r="AE2651" s="1"/>
      <c r="AG2651" s="2"/>
    </row>
    <row r="2652" spans="12:33" ht="49.95" customHeight="1" x14ac:dyDescent="0.3">
      <c r="L2652" s="2" t="s">
        <v>3520</v>
      </c>
      <c r="M2652" s="2" t="s">
        <v>5071</v>
      </c>
      <c r="N2652" s="1" t="s">
        <v>5673</v>
      </c>
      <c r="O2652" s="2" t="s">
        <v>2204</v>
      </c>
      <c r="P2652" s="16">
        <v>46230</v>
      </c>
      <c r="Q2652" s="2" t="s">
        <v>4447</v>
      </c>
      <c r="R2652" s="2">
        <f>VLOOKUP(SALIDAS111518[[#This Row],[CÓDIGO]],PRODUCTOS31316[],2,FALSE)</f>
        <v>0</v>
      </c>
      <c r="S2652" s="1" t="str">
        <f>VLOOKUP(SALIDAS111518[[#This Row],[CÓDIGO]],PRODUCTOS31316[],3,FALSE)</f>
        <v>DISPOSITIVO DE SEPARACIÓN DE ESPERMA EQUINO VETMOTL 850 UL</v>
      </c>
      <c r="T2652" s="2">
        <v>50</v>
      </c>
      <c r="U2652" s="2">
        <v>1189</v>
      </c>
      <c r="V2652" s="2"/>
      <c r="W2652" s="2"/>
      <c r="X2652" s="2"/>
      <c r="Y2652" s="7"/>
      <c r="Z2652" s="2"/>
      <c r="AA2652" s="1"/>
      <c r="AC2652" s="2"/>
      <c r="AE2652" s="1"/>
      <c r="AG2652" s="2"/>
    </row>
    <row r="2653" spans="12:33" ht="49.95" customHeight="1" x14ac:dyDescent="0.3">
      <c r="L2653" s="2" t="s">
        <v>3521</v>
      </c>
      <c r="M2653" s="2" t="s">
        <v>5071</v>
      </c>
      <c r="N2653" s="1" t="s">
        <v>5602</v>
      </c>
      <c r="O2653" s="412" t="s">
        <v>5586</v>
      </c>
      <c r="P2653" s="16">
        <v>46224</v>
      </c>
      <c r="Q2653" s="2" t="s">
        <v>1006</v>
      </c>
      <c r="R2653" s="2" t="str">
        <f>VLOOKUP(SALIDAS111518[[#This Row],[CÓDIGO]],PRODUCTOS31316[],2,FALSE)</f>
        <v>44-0200</v>
      </c>
      <c r="S2653" s="1" t="str">
        <f>VLOOKUP(SALIDAS111518[[#This Row],[CÓDIGO]],PRODUCTOS31316[],3,FALSE)</f>
        <v>POLVO SELLADOR DE PAJILLAS COLOR BLANCO, 750GR</v>
      </c>
      <c r="T2653" s="2">
        <v>1</v>
      </c>
      <c r="U2653" s="2" t="s">
        <v>5590</v>
      </c>
      <c r="V2653" s="2"/>
      <c r="W2653" s="2"/>
      <c r="X2653" s="2"/>
      <c r="Y2653" s="7"/>
      <c r="Z2653" s="2"/>
      <c r="AA2653" s="1"/>
      <c r="AC2653" s="2"/>
      <c r="AE2653" s="1"/>
      <c r="AG2653" s="2"/>
    </row>
    <row r="2654" spans="12:33" ht="49.95" customHeight="1" x14ac:dyDescent="0.3">
      <c r="L2654" s="2"/>
      <c r="M2654" s="2"/>
      <c r="N2654" s="2">
        <v>8717</v>
      </c>
      <c r="O2654" s="2" t="s">
        <v>5585</v>
      </c>
      <c r="P2654" s="16">
        <v>46224</v>
      </c>
      <c r="Q2654" s="2" t="s">
        <v>47</v>
      </c>
      <c r="R2654" s="2">
        <f>VLOOKUP(SALIDAS111518[[#This Row],[CÓDIGO]],PRODUCTOS31316[],2,FALSE)</f>
        <v>1135</v>
      </c>
      <c r="S2654" s="1" t="str">
        <f>VLOOKUP(SALIDAS111518[[#This Row],[CÓDIGO]],PRODUCTOS31316[],3,FALSE)</f>
        <v>TRILADYL</v>
      </c>
      <c r="T2654" s="2">
        <v>1</v>
      </c>
      <c r="U2654" s="2"/>
      <c r="V2654" s="2"/>
      <c r="W2654" s="2"/>
      <c r="X2654" s="2"/>
      <c r="Y2654" s="7"/>
      <c r="Z2654" s="2"/>
      <c r="AA2654" s="1"/>
      <c r="AC2654" s="2"/>
      <c r="AE2654" s="1"/>
      <c r="AG2654" s="2"/>
    </row>
    <row r="2655" spans="12:33" ht="49.95" customHeight="1" x14ac:dyDescent="0.3">
      <c r="L2655" s="2"/>
      <c r="M2655" s="2"/>
      <c r="N2655" s="2">
        <v>8717</v>
      </c>
      <c r="O2655" s="2" t="s">
        <v>5585</v>
      </c>
      <c r="P2655" s="16">
        <v>46224</v>
      </c>
      <c r="Q2655" s="2" t="s">
        <v>2809</v>
      </c>
      <c r="R2655" s="2">
        <f>VLOOKUP(SALIDAS111518[[#This Row],[CÓDIGO]],PRODUCTOS31316[],2,FALSE)</f>
        <v>5565</v>
      </c>
      <c r="S2655" s="1" t="str">
        <f>VLOOKUP(SALIDAS111518[[#This Row],[CÓDIGO]],PRODUCTOS31316[],3,FALSE)</f>
        <v>PAJILLAS TRANSPARENTES 0,25</v>
      </c>
      <c r="T2655" s="2">
        <v>1</v>
      </c>
      <c r="U2655" s="2"/>
      <c r="V2655" s="2"/>
      <c r="W2655" s="2"/>
      <c r="X2655" s="2"/>
      <c r="Y2655" s="7"/>
      <c r="Z2655" s="2"/>
      <c r="AA2655" s="1"/>
      <c r="AC2655" s="2"/>
      <c r="AE2655" s="1"/>
      <c r="AG2655" s="2"/>
    </row>
    <row r="2656" spans="12:33" ht="49.95" customHeight="1" x14ac:dyDescent="0.3">
      <c r="L2656" s="2"/>
      <c r="M2656" s="2"/>
      <c r="N2656" s="2">
        <v>8717</v>
      </c>
      <c r="O2656" s="2" t="s">
        <v>5585</v>
      </c>
      <c r="P2656" s="16">
        <v>46224</v>
      </c>
      <c r="Q2656" s="2" t="s">
        <v>27</v>
      </c>
      <c r="R2656" s="2" t="str">
        <f>VLOOKUP(SALIDAS111518[[#This Row],[CÓDIGO]],PRODUCTOS31316[],2,FALSE)</f>
        <v>INO-025/ 508001</v>
      </c>
      <c r="S2656" s="1" t="str">
        <f>VLOOKUP(SALIDAS111518[[#This Row],[CÓDIGO]],PRODUCTOS31316[],3,FALSE)</f>
        <v>PISTOLA DE TRANSFERENCIA DE EMBRIONES</v>
      </c>
      <c r="T2656" s="2">
        <v>1</v>
      </c>
      <c r="U2656" s="2"/>
      <c r="V2656" s="2"/>
      <c r="W2656" s="2"/>
      <c r="X2656" s="2"/>
      <c r="Y2656" s="7"/>
      <c r="Z2656" s="2"/>
      <c r="AA2656" s="1"/>
      <c r="AC2656" s="2"/>
      <c r="AE2656" s="1"/>
      <c r="AG2656" s="2"/>
    </row>
    <row r="2657" spans="12:33" ht="49.95" customHeight="1" x14ac:dyDescent="0.3">
      <c r="L2657" s="2"/>
      <c r="M2657" s="2"/>
      <c r="N2657" s="2">
        <v>8717</v>
      </c>
      <c r="O2657" s="2" t="s">
        <v>5585</v>
      </c>
      <c r="P2657" s="16">
        <v>46224</v>
      </c>
      <c r="Q2657" s="2" t="s">
        <v>438</v>
      </c>
      <c r="R2657" s="2">
        <f>VLOOKUP(SALIDAS111518[[#This Row],[CÓDIGO]],PRODUCTOS31316[],2,FALSE)</f>
        <v>18421</v>
      </c>
      <c r="S2657" s="1" t="str">
        <f>VLOOKUP(SALIDAS111518[[#This Row],[CÓDIGO]],PRODUCTOS31316[],3,FALSE)</f>
        <v xml:space="preserve">PISTOLA DE TRANSFERENCIA DE EMBRIONES 0,25 / BLOQUEO AUTOMÁTICO </v>
      </c>
      <c r="T2657" s="2">
        <v>1</v>
      </c>
      <c r="U2657" s="2"/>
      <c r="V2657" s="2"/>
      <c r="W2657" s="2"/>
      <c r="X2657" s="2"/>
      <c r="Y2657" s="7"/>
      <c r="Z2657" s="2"/>
      <c r="AA2657" s="1"/>
      <c r="AC2657" s="2"/>
      <c r="AE2657" s="1"/>
      <c r="AG2657" s="2"/>
    </row>
    <row r="2658" spans="12:33" ht="49.95" customHeight="1" x14ac:dyDescent="0.3">
      <c r="L2658" s="2" t="s">
        <v>3521</v>
      </c>
      <c r="M2658" s="2" t="s">
        <v>5071</v>
      </c>
      <c r="N2658" s="1" t="s">
        <v>5592</v>
      </c>
      <c r="O2658" s="1" t="s">
        <v>5587</v>
      </c>
      <c r="P2658" s="16">
        <v>46224</v>
      </c>
      <c r="Q2658" s="2" t="s">
        <v>2812</v>
      </c>
      <c r="R2658" s="2">
        <f>VLOOKUP(SALIDAS111518[[#This Row],[CÓDIGO]],PRODUCTOS31316[],2,FALSE)</f>
        <v>5417</v>
      </c>
      <c r="S2658" s="1" t="str">
        <f>VLOOKUP(SALIDAS111518[[#This Row],[CÓDIGO]],PRODUCTOS31316[],3,FALSE)</f>
        <v>VAGINA ARTIFICIAL BOVINA</v>
      </c>
      <c r="T2658" s="2">
        <v>1</v>
      </c>
      <c r="U2658" s="2" t="s">
        <v>5591</v>
      </c>
      <c r="V2658" s="2"/>
      <c r="W2658" s="2"/>
      <c r="X2658" s="2"/>
      <c r="Y2658" s="7"/>
      <c r="Z2658" s="2"/>
      <c r="AA2658" s="1"/>
      <c r="AC2658" s="2"/>
      <c r="AE2658" s="1"/>
      <c r="AG2658" s="2"/>
    </row>
    <row r="2659" spans="12:33" ht="49.95" customHeight="1" x14ac:dyDescent="0.3">
      <c r="L2659" s="2"/>
      <c r="M2659" s="2"/>
      <c r="N2659" s="2">
        <v>8711</v>
      </c>
      <c r="O2659" s="2" t="s">
        <v>5585</v>
      </c>
      <c r="P2659" s="16">
        <v>46224</v>
      </c>
      <c r="Q2659" s="2" t="s">
        <v>2814</v>
      </c>
      <c r="R2659" s="2">
        <f>VLOOKUP(SALIDAS111518[[#This Row],[CÓDIGO]],PRODUCTOS31316[],2,FALSE)</f>
        <v>5204</v>
      </c>
      <c r="S2659" s="1" t="str">
        <f>VLOOKUP(SALIDAS111518[[#This Row],[CÓDIGO]],PRODUCTOS31316[],3,FALSE)</f>
        <v>CONO VAGINA ARTIFICIAL BOVINA</v>
      </c>
      <c r="T2659" s="2">
        <v>1</v>
      </c>
      <c r="U2659" s="2"/>
      <c r="V2659" s="2"/>
      <c r="W2659" s="2"/>
      <c r="X2659" s="2"/>
      <c r="Y2659" s="7"/>
      <c r="Z2659" s="2"/>
      <c r="AA2659" s="1"/>
      <c r="AC2659" s="2"/>
      <c r="AE2659" s="1"/>
      <c r="AG2659" s="2"/>
    </row>
    <row r="2660" spans="12:33" ht="49.95" customHeight="1" x14ac:dyDescent="0.3">
      <c r="L2660" s="2"/>
      <c r="M2660" s="2"/>
      <c r="N2660" s="2">
        <v>8711</v>
      </c>
      <c r="O2660" s="2" t="s">
        <v>5585</v>
      </c>
      <c r="P2660" s="16">
        <v>46224</v>
      </c>
      <c r="Q2660" s="2" t="s">
        <v>2815</v>
      </c>
      <c r="R2660" s="2">
        <f>VLOOKUP(SALIDAS111518[[#This Row],[CÓDIGO]],PRODUCTOS31316[],2,FALSE)</f>
        <v>26541</v>
      </c>
      <c r="S2660" s="1" t="str">
        <f>VLOOKUP(SALIDAS111518[[#This Row],[CÓDIGO]],PRODUCTOS31316[],3,FALSE)</f>
        <v>LINER MEMBRANA ESTRIADA LATEX BOVINA</v>
      </c>
      <c r="T2660" s="2">
        <v>1</v>
      </c>
      <c r="U2660" s="2"/>
      <c r="V2660" s="2"/>
      <c r="W2660" s="2"/>
      <c r="X2660" s="2"/>
      <c r="Y2660" s="7"/>
      <c r="Z2660" s="2"/>
      <c r="AA2660" s="1"/>
      <c r="AC2660" s="2"/>
      <c r="AE2660" s="1"/>
      <c r="AG2660" s="2"/>
    </row>
    <row r="2661" spans="12:33" ht="49.95" customHeight="1" x14ac:dyDescent="0.3">
      <c r="L2661" s="2"/>
      <c r="M2661" s="2"/>
      <c r="N2661" s="2">
        <v>8711</v>
      </c>
      <c r="O2661" s="2" t="s">
        <v>5585</v>
      </c>
      <c r="P2661" s="16">
        <v>46224</v>
      </c>
      <c r="Q2661" s="2" t="s">
        <v>2927</v>
      </c>
      <c r="R2661" s="2">
        <f>VLOOKUP(SALIDAS111518[[#This Row],[CÓDIGO]],PRODUCTOS31316[],2,FALSE)</f>
        <v>0</v>
      </c>
      <c r="S2661" s="1" t="str">
        <f>VLOOKUP(SALIDAS111518[[#This Row],[CÓDIGO]],PRODUCTOS31316[],3,FALSE)</f>
        <v>KIT VAGINOSCOPIO</v>
      </c>
      <c r="T2661" s="2">
        <v>1</v>
      </c>
      <c r="U2661" s="2"/>
      <c r="V2661" s="2"/>
      <c r="W2661" s="2"/>
      <c r="X2661" s="2"/>
      <c r="Y2661" s="7"/>
      <c r="Z2661" s="2"/>
      <c r="AA2661" s="1"/>
      <c r="AC2661" s="2"/>
      <c r="AE2661" s="1"/>
      <c r="AG2661" s="2"/>
    </row>
    <row r="2662" spans="12:33" ht="49.95" customHeight="1" x14ac:dyDescent="0.3">
      <c r="L2662" s="2" t="s">
        <v>3520</v>
      </c>
      <c r="M2662" s="2" t="s">
        <v>5071</v>
      </c>
      <c r="N2662" s="389" t="s">
        <v>5594</v>
      </c>
      <c r="O2662" s="2" t="s">
        <v>2925</v>
      </c>
      <c r="P2662" s="16">
        <v>46230</v>
      </c>
      <c r="Q2662" s="2" t="s">
        <v>36</v>
      </c>
      <c r="R2662" s="2">
        <f>VLOOKUP(SALIDAS111518[[#This Row],[CÓDIGO]],PRODUCTOS31316[],2,FALSE)</f>
        <v>1</v>
      </c>
      <c r="S2662" s="1" t="str">
        <f>VLOOKUP(SALIDAS111518[[#This Row],[CÓDIGO]],PRODUCTOS31316[],3,FALSE)</f>
        <v xml:space="preserve">PARCHE ESTROTECT </v>
      </c>
      <c r="T2662" s="2">
        <v>24</v>
      </c>
      <c r="U2662" s="388" t="s">
        <v>5593</v>
      </c>
      <c r="V2662" s="2"/>
      <c r="W2662" s="2"/>
      <c r="X2662" s="2"/>
      <c r="Y2662" s="7"/>
      <c r="Z2662" s="2"/>
      <c r="AA2662" s="1"/>
      <c r="AC2662" s="2"/>
      <c r="AE2662" s="1"/>
      <c r="AG2662" s="2"/>
    </row>
    <row r="2663" spans="12:33" ht="49.95" customHeight="1" x14ac:dyDescent="0.3">
      <c r="L2663" s="2" t="s">
        <v>3520</v>
      </c>
      <c r="M2663" s="2" t="s">
        <v>5071</v>
      </c>
      <c r="N2663" s="389" t="s">
        <v>5595</v>
      </c>
      <c r="O2663" s="2" t="s">
        <v>1358</v>
      </c>
      <c r="P2663" s="16">
        <v>46224</v>
      </c>
      <c r="Q2663" s="2" t="s">
        <v>104</v>
      </c>
      <c r="R2663" s="2">
        <f>VLOOKUP(SALIDAS111518[[#This Row],[CÓDIGO]],PRODUCTOS31316[],2,FALSE)</f>
        <v>0</v>
      </c>
      <c r="S2663" s="1" t="str">
        <f>VLOOKUP(SALIDAS111518[[#This Row],[CÓDIGO]],PRODUCTOS31316[],3,FALSE)</f>
        <v>ISPERM CHIPS (500 TESTS PER BOX) PAQ. X 50 UND</v>
      </c>
      <c r="T2663" s="2">
        <v>2</v>
      </c>
      <c r="U2663" s="2">
        <v>1157</v>
      </c>
      <c r="V2663" s="2"/>
      <c r="W2663" s="2"/>
      <c r="X2663" s="2"/>
      <c r="Y2663" s="7"/>
      <c r="Z2663" s="2"/>
      <c r="AA2663" s="1"/>
      <c r="AC2663" s="2"/>
      <c r="AE2663" s="1"/>
      <c r="AG2663" s="2"/>
    </row>
    <row r="2664" spans="12:33" ht="49.95" customHeight="1" x14ac:dyDescent="0.3">
      <c r="L2664" s="2"/>
      <c r="M2664" s="2"/>
      <c r="N2664" s="2">
        <v>8713</v>
      </c>
      <c r="O2664" s="2" t="s">
        <v>1358</v>
      </c>
      <c r="P2664" s="16">
        <v>46224</v>
      </c>
      <c r="Q2664" s="2" t="s">
        <v>153</v>
      </c>
      <c r="R2664" s="2">
        <f>VLOOKUP(SALIDAS111518[[#This Row],[CÓDIGO]],PRODUCTOS31316[],2,FALSE)</f>
        <v>1132</v>
      </c>
      <c r="S2664" s="1" t="str">
        <f>VLOOKUP(SALIDAS111518[[#This Row],[CÓDIGO]],PRODUCTOS31316[],3,FALSE)</f>
        <v>PISTOLA QUICKLOCK CLASIC</v>
      </c>
      <c r="T2664" s="2">
        <v>0</v>
      </c>
      <c r="U2664" s="2"/>
      <c r="V2664" s="2"/>
      <c r="W2664" s="2"/>
      <c r="X2664" s="2"/>
      <c r="Y2664" s="7"/>
      <c r="Z2664" s="2"/>
      <c r="AA2664" s="1"/>
      <c r="AC2664" s="2"/>
      <c r="AE2664" s="1"/>
      <c r="AG2664" s="2"/>
    </row>
    <row r="2665" spans="12:33" ht="49.95" customHeight="1" x14ac:dyDescent="0.3">
      <c r="L2665" s="2" t="s">
        <v>3521</v>
      </c>
      <c r="M2665" s="2" t="s">
        <v>5071</v>
      </c>
      <c r="N2665" s="420" t="s">
        <v>5634</v>
      </c>
      <c r="O2665" s="420" t="s">
        <v>5588</v>
      </c>
      <c r="P2665" s="16">
        <v>46225</v>
      </c>
      <c r="Q2665" s="2" t="s">
        <v>3354</v>
      </c>
      <c r="R2665" s="2" t="str">
        <f>VLOOKUP(SALIDAS111518[[#This Row],[CÓDIGO]],PRODUCTOS31316[],2,FALSE)</f>
        <v>MX5C</v>
      </c>
      <c r="S2665" s="1" t="str">
        <f>VLOOKUP(SALIDAS111518[[#This Row],[CÓDIGO]],PRODUCTOS31316[],3,FALSE)</f>
        <v>ECOGRAFO MX5C CON SONDA LINEAL RECTAL/DOPLLER COLOR</v>
      </c>
      <c r="T2665" s="2">
        <v>1</v>
      </c>
      <c r="U2665" s="2">
        <v>1172</v>
      </c>
      <c r="V2665" s="2"/>
      <c r="W2665" s="2" t="s">
        <v>2823</v>
      </c>
      <c r="X2665" s="2"/>
      <c r="Y2665" s="7"/>
      <c r="Z2665" s="2"/>
      <c r="AA2665" s="1"/>
      <c r="AC2665" s="2"/>
      <c r="AE2665" s="1"/>
      <c r="AG2665" s="2"/>
    </row>
    <row r="2666" spans="12:33" ht="49.95" customHeight="1" x14ac:dyDescent="0.3">
      <c r="L2666" s="2"/>
      <c r="M2666" s="2"/>
      <c r="N2666" s="2">
        <v>8727</v>
      </c>
      <c r="O2666" s="389" t="s">
        <v>5588</v>
      </c>
      <c r="P2666" s="16">
        <v>46225</v>
      </c>
      <c r="Q2666" s="2" t="s">
        <v>5083</v>
      </c>
      <c r="R2666" s="2">
        <f>VLOOKUP(SALIDAS111518[[#This Row],[CÓDIGO]],PRODUCTOS31316[],2,FALSE)</f>
        <v>0</v>
      </c>
      <c r="S2666" s="1" t="str">
        <f>VLOOKUP(SALIDAS111518[[#This Row],[CÓDIGO]],PRODUCTOS31316[],3,FALSE)</f>
        <v>TABLET SANSUNG GALAXY TAB A11+</v>
      </c>
      <c r="T2666" s="2">
        <v>1</v>
      </c>
      <c r="U2666" s="2"/>
      <c r="V2666" s="2"/>
      <c r="W2666" s="2"/>
      <c r="X2666" s="2"/>
      <c r="Y2666" s="7"/>
      <c r="Z2666" s="2"/>
      <c r="AA2666" s="1"/>
      <c r="AC2666" s="2"/>
      <c r="AE2666" s="1"/>
      <c r="AG2666" s="2"/>
    </row>
    <row r="2667" spans="12:33" ht="49.95" customHeight="1" x14ac:dyDescent="0.3">
      <c r="L2667" s="2"/>
      <c r="M2667" s="2"/>
      <c r="N2667" s="2">
        <v>8727</v>
      </c>
      <c r="O2667" s="1" t="s">
        <v>5588</v>
      </c>
      <c r="P2667" s="16">
        <v>46225</v>
      </c>
      <c r="Q2667" s="2" t="s">
        <v>3286</v>
      </c>
      <c r="R2667" s="2">
        <f>VLOOKUP(SALIDAS111518[[#This Row],[CÓDIGO]],PRODUCTOS31316[],2,FALSE)</f>
        <v>0</v>
      </c>
      <c r="S2667" s="1" t="str">
        <f>VLOOKUP(SALIDAS111518[[#This Row],[CÓDIGO]],PRODUCTOS31316[],3,FALSE)</f>
        <v>CARCASA TABLET BMV</v>
      </c>
      <c r="T2667" s="2">
        <v>1</v>
      </c>
      <c r="U2667" s="2"/>
      <c r="V2667" s="2"/>
      <c r="W2667" s="2"/>
      <c r="X2667" s="2"/>
      <c r="Y2667" s="7"/>
      <c r="Z2667" s="2"/>
      <c r="AA2667" s="1"/>
      <c r="AC2667" s="2"/>
      <c r="AE2667" s="1"/>
      <c r="AG2667" s="2"/>
    </row>
    <row r="2668" spans="12:33" ht="49.95" customHeight="1" x14ac:dyDescent="0.3">
      <c r="L2668" s="2"/>
      <c r="M2668" s="2"/>
      <c r="N2668" s="2">
        <v>8727</v>
      </c>
      <c r="O2668" s="1" t="s">
        <v>5588</v>
      </c>
      <c r="P2668" s="16">
        <v>46225</v>
      </c>
      <c r="Q2668" s="2" t="s">
        <v>438</v>
      </c>
      <c r="R2668" s="2">
        <f>VLOOKUP(SALIDAS111518[[#This Row],[CÓDIGO]],PRODUCTOS31316[],2,FALSE)</f>
        <v>18421</v>
      </c>
      <c r="S2668" s="1" t="str">
        <f>VLOOKUP(SALIDAS111518[[#This Row],[CÓDIGO]],PRODUCTOS31316[],3,FALSE)</f>
        <v xml:space="preserve">PISTOLA DE TRANSFERENCIA DE EMBRIONES 0,25 / BLOQUEO AUTOMÁTICO </v>
      </c>
      <c r="T2668" s="2">
        <v>2</v>
      </c>
      <c r="U2668" s="2"/>
      <c r="V2668" s="2"/>
      <c r="W2668" s="2"/>
      <c r="X2668" s="2"/>
      <c r="Y2668" s="7"/>
      <c r="Z2668" s="2"/>
      <c r="AA2668" s="1"/>
      <c r="AC2668" s="2"/>
      <c r="AE2668" s="1"/>
      <c r="AG2668" s="2"/>
    </row>
    <row r="2669" spans="12:33" ht="49.95" customHeight="1" x14ac:dyDescent="0.3">
      <c r="L2669" s="2"/>
      <c r="M2669" s="2"/>
      <c r="N2669" s="2">
        <v>8727</v>
      </c>
      <c r="O2669" s="1" t="s">
        <v>5588</v>
      </c>
      <c r="P2669" s="16">
        <v>46225</v>
      </c>
      <c r="Q2669" s="2" t="s">
        <v>5098</v>
      </c>
      <c r="R2669" s="2">
        <f>VLOOKUP(SALIDAS111518[[#This Row],[CÓDIGO]],PRODUCTOS31316[],2,FALSE)</f>
        <v>0</v>
      </c>
      <c r="S2669" s="1" t="str">
        <f>VLOOKUP(SALIDAS111518[[#This Row],[CÓDIGO]],PRODUCTOS31316[],3,FALSE)</f>
        <v>FUNDA DE TRANSFERENCIA DE EMBRIONES 0.25 PUNTA PLÁSTICA MARCA TED</v>
      </c>
      <c r="T2669" s="2">
        <v>20</v>
      </c>
      <c r="U2669" s="2"/>
      <c r="V2669" s="2"/>
      <c r="W2669" s="2"/>
      <c r="X2669" s="2"/>
      <c r="Y2669" s="7"/>
      <c r="Z2669" s="2"/>
      <c r="AA2669" s="1"/>
      <c r="AC2669" s="2"/>
      <c r="AE2669" s="1"/>
      <c r="AG2669" s="2"/>
    </row>
    <row r="2670" spans="12:33" ht="49.95" customHeight="1" x14ac:dyDescent="0.3">
      <c r="L2670" s="2"/>
      <c r="M2670" s="2"/>
      <c r="N2670" s="2">
        <v>8727</v>
      </c>
      <c r="O2670" s="1" t="s">
        <v>5588</v>
      </c>
      <c r="P2670" s="16">
        <v>46225</v>
      </c>
      <c r="Q2670" s="2" t="s">
        <v>3095</v>
      </c>
      <c r="R2670" s="2">
        <f>VLOOKUP(SALIDAS111518[[#This Row],[CÓDIGO]],PRODUCTOS31316[],2,FALSE)</f>
        <v>0</v>
      </c>
      <c r="S2670" s="1" t="str">
        <f>VLOOKUP(SALIDAS111518[[#This Row],[CÓDIGO]],PRODUCTOS31316[],3,FALSE)</f>
        <v>GORRA MAS CAMPO</v>
      </c>
      <c r="T2670" s="2">
        <v>1</v>
      </c>
      <c r="U2670" s="2"/>
      <c r="V2670" s="2"/>
      <c r="W2670" s="2"/>
      <c r="X2670" s="2"/>
      <c r="Y2670" s="7"/>
      <c r="Z2670" s="2"/>
      <c r="AA2670" s="1"/>
      <c r="AC2670" s="2"/>
      <c r="AE2670" s="1"/>
      <c r="AG2670" s="2"/>
    </row>
    <row r="2671" spans="12:33" ht="49.95" customHeight="1" x14ac:dyDescent="0.3">
      <c r="L2671" s="2" t="s">
        <v>3521</v>
      </c>
      <c r="M2671" s="2" t="s">
        <v>5071</v>
      </c>
      <c r="N2671" s="420" t="s">
        <v>5596</v>
      </c>
      <c r="O2671" s="418" t="s">
        <v>5589</v>
      </c>
      <c r="P2671" s="16">
        <v>46224</v>
      </c>
      <c r="Q2671" s="2" t="s">
        <v>273</v>
      </c>
      <c r="R2671" s="2">
        <f>VLOOKUP(SALIDAS111518[[#This Row],[CÓDIGO]],PRODUCTOS31316[],2,FALSE)</f>
        <v>1003514</v>
      </c>
      <c r="S2671" s="1" t="str">
        <f>VLOOKUP(SALIDAS111518[[#This Row],[CÓDIGO]],PRODUCTOS31316[],3,FALSE)</f>
        <v>JALEA CONDUCTIVA (GEL ULTRASONICO) GALON X 3785 ML AZUL</v>
      </c>
      <c r="T2671" s="2">
        <v>2</v>
      </c>
      <c r="U2671" s="2">
        <v>1158</v>
      </c>
      <c r="V2671" s="2"/>
      <c r="W2671" s="2" t="s">
        <v>2823</v>
      </c>
      <c r="X2671" s="2"/>
      <c r="Y2671" s="7"/>
      <c r="Z2671" s="2"/>
      <c r="AA2671" s="1"/>
      <c r="AC2671" s="2"/>
      <c r="AE2671" s="1"/>
      <c r="AG2671" s="2"/>
    </row>
    <row r="2672" spans="12:33" ht="49.95" customHeight="1" x14ac:dyDescent="0.3">
      <c r="L2672" s="2" t="s">
        <v>3520</v>
      </c>
      <c r="M2672" s="2" t="s">
        <v>5071</v>
      </c>
      <c r="N2672" s="389" t="s">
        <v>5598</v>
      </c>
      <c r="O2672" s="1" t="s">
        <v>2281</v>
      </c>
      <c r="P2672" s="16">
        <v>46224</v>
      </c>
      <c r="Q2672" s="2" t="s">
        <v>36</v>
      </c>
      <c r="R2672" s="2">
        <f>VLOOKUP(SALIDAS111518[[#This Row],[CÓDIGO]],PRODUCTOS31316[],2,FALSE)</f>
        <v>1</v>
      </c>
      <c r="S2672" s="1" t="str">
        <f>VLOOKUP(SALIDAS111518[[#This Row],[CÓDIGO]],PRODUCTOS31316[],3,FALSE)</f>
        <v xml:space="preserve">PARCHE ESTROTECT </v>
      </c>
      <c r="T2672" s="2">
        <v>1</v>
      </c>
      <c r="U2672" s="388" t="s">
        <v>5597</v>
      </c>
      <c r="V2672" s="2"/>
      <c r="W2672" s="2"/>
      <c r="X2672" s="2"/>
      <c r="Y2672" s="7"/>
      <c r="Z2672" s="2"/>
      <c r="AA2672" s="1"/>
      <c r="AC2672" s="2"/>
      <c r="AE2672" s="1"/>
      <c r="AG2672" s="2"/>
    </row>
    <row r="2673" spans="12:33" ht="49.95" customHeight="1" x14ac:dyDescent="0.3">
      <c r="L2673" s="2"/>
      <c r="M2673" s="2"/>
      <c r="N2673" s="2">
        <v>8715</v>
      </c>
      <c r="O2673" s="1" t="s">
        <v>2281</v>
      </c>
      <c r="P2673" s="16">
        <v>46224</v>
      </c>
      <c r="Q2673" s="388" t="s">
        <v>210</v>
      </c>
      <c r="R2673" s="2">
        <f>VLOOKUP(SALIDAS111518[[#This Row],[CÓDIGO]],PRODUCTOS31316[],2,FALSE)</f>
        <v>101257</v>
      </c>
      <c r="S2673" s="1" t="str">
        <f>VLOOKUP(SALIDAS111518[[#This Row],[CÓDIGO]],PRODUCTOS31316[],3,FALSE)</f>
        <v>MANGA DESECHABLE SUPER SENSITIVA</v>
      </c>
      <c r="T2673" s="2">
        <v>2</v>
      </c>
      <c r="U2673" s="2"/>
      <c r="V2673" s="2"/>
      <c r="W2673" s="2"/>
      <c r="X2673" s="2"/>
      <c r="Y2673" s="7"/>
      <c r="Z2673" s="2"/>
      <c r="AA2673" s="1"/>
      <c r="AC2673" s="2"/>
      <c r="AE2673" s="1"/>
      <c r="AG2673" s="2"/>
    </row>
    <row r="2674" spans="12:33" ht="49.95" customHeight="1" x14ac:dyDescent="0.3">
      <c r="L2674" s="2"/>
      <c r="M2674" s="2"/>
      <c r="N2674" s="2">
        <v>8715</v>
      </c>
      <c r="O2674" s="1" t="s">
        <v>2281</v>
      </c>
      <c r="P2674" s="16">
        <v>46224</v>
      </c>
      <c r="Q2674" s="388" t="s">
        <v>236</v>
      </c>
      <c r="R2674" s="2">
        <f>VLOOKUP(SALIDAS111518[[#This Row],[CÓDIGO]],PRODUCTOS31316[],2,FALSE)</f>
        <v>0</v>
      </c>
      <c r="S2674" s="1" t="str">
        <f>VLOOKUP(SALIDAS111518[[#This Row],[CÓDIGO]],PRODUCTOS31316[],3,FALSE)</f>
        <v>TERMO METÁLICO DESCONGELADOR</v>
      </c>
      <c r="T2674" s="2">
        <v>1</v>
      </c>
      <c r="U2674" s="2"/>
      <c r="V2674" s="2"/>
      <c r="W2674" s="2"/>
      <c r="X2674" s="2"/>
      <c r="Y2674" s="7"/>
      <c r="Z2674" s="2"/>
      <c r="AA2674" s="1"/>
      <c r="AC2674" s="2"/>
      <c r="AE2674" s="1"/>
      <c r="AG2674" s="2"/>
    </row>
    <row r="2675" spans="12:33" ht="49.95" customHeight="1" x14ac:dyDescent="0.3">
      <c r="L2675" s="2"/>
      <c r="M2675" s="2"/>
      <c r="N2675" s="2">
        <v>8715</v>
      </c>
      <c r="O2675" s="1" t="s">
        <v>2281</v>
      </c>
      <c r="P2675" s="16">
        <v>46224</v>
      </c>
      <c r="Q2675" s="388" t="s">
        <v>273</v>
      </c>
      <c r="R2675" s="2">
        <f>VLOOKUP(SALIDAS111518[[#This Row],[CÓDIGO]],PRODUCTOS31316[],2,FALSE)</f>
        <v>1003514</v>
      </c>
      <c r="S2675" s="1" t="str">
        <f>VLOOKUP(SALIDAS111518[[#This Row],[CÓDIGO]],PRODUCTOS31316[],3,FALSE)</f>
        <v>JALEA CONDUCTIVA (GEL ULTRASONICO) GALON X 3785 ML AZUL</v>
      </c>
      <c r="T2675" s="2">
        <v>1</v>
      </c>
      <c r="U2675" s="2"/>
      <c r="V2675" s="2"/>
      <c r="W2675" s="2"/>
      <c r="X2675" s="2"/>
      <c r="Y2675" s="7"/>
      <c r="Z2675" s="2"/>
      <c r="AA2675" s="1"/>
      <c r="AC2675" s="2"/>
      <c r="AE2675" s="1"/>
      <c r="AG2675" s="2"/>
    </row>
    <row r="2676" spans="12:33" ht="49.95" customHeight="1" x14ac:dyDescent="0.3">
      <c r="L2676" s="2" t="s">
        <v>3521</v>
      </c>
      <c r="M2676" s="2" t="s">
        <v>5071</v>
      </c>
      <c r="N2676" s="1" t="s">
        <v>5604</v>
      </c>
      <c r="O2676" s="2" t="s">
        <v>5601</v>
      </c>
      <c r="P2676" s="16">
        <v>46044</v>
      </c>
      <c r="Q2676" s="2" t="s">
        <v>378</v>
      </c>
      <c r="R2676" s="2">
        <f>VLOOKUP(SALIDAS111518[[#This Row],[CÓDIGO]],PRODUCTOS31316[],2,FALSE)</f>
        <v>0</v>
      </c>
      <c r="S2676" s="1" t="str">
        <f>VLOOKUP(SALIDAS111518[[#This Row],[CÓDIGO]],PRODUCTOS31316[],3,FALSE)</f>
        <v>ISPERM KIT (WITH 50 INCLUIDED CHIPS, EXS M5)</v>
      </c>
      <c r="T2676" s="2">
        <v>1</v>
      </c>
      <c r="U2676" s="2">
        <v>1161</v>
      </c>
      <c r="V2676" s="2"/>
      <c r="W2676" s="2"/>
      <c r="X2676" s="2"/>
      <c r="Y2676" s="7"/>
      <c r="Z2676" s="2"/>
      <c r="AA2676" s="1"/>
      <c r="AC2676" s="2"/>
      <c r="AE2676" s="1"/>
      <c r="AG2676" s="2"/>
    </row>
    <row r="2677" spans="12:33" ht="49.95" customHeight="1" x14ac:dyDescent="0.3">
      <c r="L2677" s="2"/>
      <c r="M2677" s="2"/>
      <c r="N2677" s="2">
        <v>8718</v>
      </c>
      <c r="O2677" s="2" t="s">
        <v>5601</v>
      </c>
      <c r="P2677" s="16">
        <v>46225</v>
      </c>
      <c r="Q2677" s="2" t="s">
        <v>985</v>
      </c>
      <c r="R2677" s="2">
        <f>VLOOKUP(SALIDAS111518[[#This Row],[CÓDIGO]],PRODUCTOS31316[],2,FALSE)</f>
        <v>0</v>
      </c>
      <c r="S2677" s="1" t="str">
        <f>VLOOKUP(SALIDAS111518[[#This Row],[CÓDIGO]],PRODUCTOS31316[],3,FALSE)</f>
        <v>ISPERM SOFTWARE INICIAL ( UNA APLICACIÓN)</v>
      </c>
      <c r="T2677" s="2">
        <v>1</v>
      </c>
      <c r="U2677" s="2"/>
      <c r="V2677" s="2"/>
      <c r="W2677" s="2"/>
      <c r="X2677" s="2"/>
      <c r="Y2677" s="7"/>
      <c r="Z2677" s="2"/>
      <c r="AA2677" s="1"/>
      <c r="AC2677" s="2"/>
      <c r="AE2677" s="1"/>
      <c r="AG2677" s="2"/>
    </row>
    <row r="2678" spans="12:33" ht="49.95" customHeight="1" x14ac:dyDescent="0.3">
      <c r="L2678" s="2"/>
      <c r="M2678" s="2"/>
      <c r="N2678" s="2">
        <v>8718</v>
      </c>
      <c r="O2678" s="2" t="s">
        <v>5601</v>
      </c>
      <c r="P2678" s="16">
        <v>46225</v>
      </c>
      <c r="Q2678" s="2" t="s">
        <v>3075</v>
      </c>
      <c r="R2678" s="2">
        <f>VLOOKUP(SALIDAS111518[[#This Row],[CÓDIGO]],PRODUCTOS31316[],2,FALSE)</f>
        <v>0</v>
      </c>
      <c r="S2678" s="1" t="str">
        <f>VLOOKUP(SALIDAS111518[[#This Row],[CÓDIGO]],PRODUCTOS31316[],3,FALSE)</f>
        <v>AUTOJAC V3 ELECTROEYACUALADOR MANUAL Y AUTOMÁTICO</v>
      </c>
      <c r="T2678" s="2">
        <v>1</v>
      </c>
      <c r="U2678" s="2"/>
      <c r="V2678" s="2"/>
      <c r="W2678" s="2"/>
      <c r="X2678" s="2"/>
      <c r="Y2678" s="7"/>
      <c r="Z2678" s="2"/>
      <c r="AA2678" s="1"/>
      <c r="AC2678" s="2"/>
      <c r="AE2678" s="1"/>
      <c r="AG2678" s="2"/>
    </row>
    <row r="2679" spans="12:33" ht="49.95" customHeight="1" x14ac:dyDescent="0.3">
      <c r="L2679" s="2"/>
      <c r="M2679" s="2"/>
      <c r="N2679" s="2">
        <v>8718</v>
      </c>
      <c r="O2679" s="2" t="s">
        <v>5601</v>
      </c>
      <c r="P2679" s="16">
        <v>46225</v>
      </c>
      <c r="Q2679" s="2" t="s">
        <v>3498</v>
      </c>
      <c r="R2679" s="2">
        <f>VLOOKUP(SALIDAS111518[[#This Row],[CÓDIGO]],PRODUCTOS31316[],2,FALSE)</f>
        <v>6985</v>
      </c>
      <c r="S2679" s="1" t="str">
        <f>VLOOKUP(SALIDAS111518[[#This Row],[CÓDIGO]],PRODUCTOS31316[],3,FALSE)</f>
        <v>MANGO DE RECOLECCIÓN DE SEMEN</v>
      </c>
      <c r="T2679" s="2">
        <v>1</v>
      </c>
      <c r="U2679" s="2"/>
      <c r="V2679" s="2"/>
      <c r="W2679" s="2"/>
      <c r="X2679" s="2"/>
      <c r="Y2679" s="7"/>
      <c r="Z2679" s="2"/>
      <c r="AA2679" s="1"/>
      <c r="AC2679" s="2"/>
      <c r="AE2679" s="1"/>
      <c r="AG2679" s="2"/>
    </row>
    <row r="2680" spans="12:33" ht="49.95" customHeight="1" x14ac:dyDescent="0.3">
      <c r="L2680" s="2"/>
      <c r="M2680" s="2"/>
      <c r="N2680" s="2">
        <v>8718</v>
      </c>
      <c r="O2680" s="2" t="s">
        <v>5601</v>
      </c>
      <c r="P2680" s="16">
        <v>46225</v>
      </c>
      <c r="Q2680" s="2" t="s">
        <v>3190</v>
      </c>
      <c r="R2680" s="2">
        <f>VLOOKUP(SALIDAS111518[[#This Row],[CÓDIGO]],PRODUCTOS31316[],2,FALSE)</f>
        <v>0</v>
      </c>
      <c r="S2680" s="1" t="str">
        <f>VLOOKUP(SALIDAS111518[[#This Row],[CÓDIGO]],PRODUCTOS31316[],3,FALSE)</f>
        <v>IPAD MINI 6/ 64 GB</v>
      </c>
      <c r="T2680" s="2">
        <v>1</v>
      </c>
      <c r="U2680" s="2"/>
      <c r="V2680" s="2"/>
      <c r="W2680" s="2"/>
      <c r="X2680" s="2"/>
      <c r="Y2680" s="7"/>
      <c r="Z2680" s="2"/>
      <c r="AA2680" s="1"/>
      <c r="AC2680" s="2"/>
      <c r="AE2680" s="1"/>
      <c r="AG2680" s="2"/>
    </row>
    <row r="2681" spans="12:33" ht="49.95" customHeight="1" x14ac:dyDescent="0.3">
      <c r="L2681" s="2" t="s">
        <v>3520</v>
      </c>
      <c r="M2681" s="2" t="s">
        <v>5071</v>
      </c>
      <c r="N2681" s="397" t="s">
        <v>5691</v>
      </c>
      <c r="O2681" s="2" t="s">
        <v>3067</v>
      </c>
      <c r="P2681" s="16">
        <v>46224</v>
      </c>
      <c r="Q2681" s="1" t="s">
        <v>4440</v>
      </c>
      <c r="R2681" s="2">
        <f>VLOOKUP(SALIDAS111518[[#This Row],[CÓDIGO]],PRODUCTOS31316[],2,FALSE)</f>
        <v>0</v>
      </c>
      <c r="S2681" s="1" t="str">
        <f>VLOOKUP(SALIDAS111518[[#This Row],[CÓDIGO]],PRODUCTOS31316[],3,FALSE)</f>
        <v>MUESTRA DISPOSITIVO DE SEPACIÓN DE ESPERMA PARA BOVINOS</v>
      </c>
      <c r="T2681" s="2">
        <v>1</v>
      </c>
      <c r="U2681" s="2">
        <v>1198</v>
      </c>
      <c r="V2681" s="2"/>
      <c r="W2681" s="2"/>
      <c r="X2681" s="2"/>
      <c r="Y2681" s="7"/>
      <c r="Z2681" s="2"/>
      <c r="AA2681" s="1"/>
      <c r="AC2681" s="2"/>
      <c r="AE2681" s="1"/>
      <c r="AG2681" s="2"/>
    </row>
    <row r="2682" spans="12:33" ht="49.95" customHeight="1" x14ac:dyDescent="0.3">
      <c r="L2682" s="2" t="s">
        <v>3520</v>
      </c>
      <c r="M2682" s="2" t="s">
        <v>5071</v>
      </c>
      <c r="N2682" s="390" t="s">
        <v>5612</v>
      </c>
      <c r="O2682" s="1" t="s">
        <v>2705</v>
      </c>
      <c r="P2682" s="16">
        <v>46225</v>
      </c>
      <c r="Q2682" s="2" t="s">
        <v>2232</v>
      </c>
      <c r="R2682" s="2">
        <f>VLOOKUP(SALIDAS111518[[#This Row],[CÓDIGO]],PRODUCTOS31316[],2,FALSE)</f>
        <v>0</v>
      </c>
      <c r="S2682" s="1" t="str">
        <f>VLOOKUP(SALIDAS111518[[#This Row],[CÓDIGO]],PRODUCTOS31316[],3,FALSE)</f>
        <v>CONO RECOLECTOR</v>
      </c>
      <c r="T2682" s="2">
        <v>1</v>
      </c>
      <c r="U2682" s="2" t="s">
        <v>5611</v>
      </c>
      <c r="V2682" s="2"/>
      <c r="W2682" s="2"/>
      <c r="X2682" s="2"/>
      <c r="Y2682" s="7"/>
      <c r="Z2682" s="2"/>
      <c r="AA2682" s="1"/>
      <c r="AC2682" s="2"/>
      <c r="AE2682" s="1"/>
      <c r="AG2682" s="2"/>
    </row>
    <row r="2683" spans="12:33" ht="49.95" customHeight="1" x14ac:dyDescent="0.3">
      <c r="L2683" s="2"/>
      <c r="M2683" s="2"/>
      <c r="N2683" s="2">
        <v>8720</v>
      </c>
      <c r="O2683" s="1" t="s">
        <v>2705</v>
      </c>
      <c r="P2683" s="16">
        <v>46225</v>
      </c>
      <c r="Q2683" s="2" t="s">
        <v>104</v>
      </c>
      <c r="R2683" s="2">
        <f>VLOOKUP(SALIDAS111518[[#This Row],[CÓDIGO]],PRODUCTOS31316[],2,FALSE)</f>
        <v>0</v>
      </c>
      <c r="S2683" s="1" t="str">
        <f>VLOOKUP(SALIDAS111518[[#This Row],[CÓDIGO]],PRODUCTOS31316[],3,FALSE)</f>
        <v>ISPERM CHIPS (500 TESTS PER BOX) PAQ. X 50 UND</v>
      </c>
      <c r="T2683" s="2">
        <v>1</v>
      </c>
      <c r="U2683" s="2"/>
      <c r="V2683" s="2"/>
      <c r="W2683" s="2"/>
      <c r="X2683" s="2"/>
      <c r="Y2683" s="7"/>
      <c r="Z2683" s="2"/>
      <c r="AA2683" s="1"/>
      <c r="AC2683" s="2"/>
      <c r="AE2683" s="1"/>
      <c r="AG2683" s="2"/>
    </row>
    <row r="2684" spans="12:33" ht="49.95" customHeight="1" x14ac:dyDescent="0.3">
      <c r="L2684" s="2"/>
      <c r="M2684" s="2"/>
      <c r="N2684" s="2">
        <v>8720</v>
      </c>
      <c r="O2684" s="1" t="s">
        <v>2705</v>
      </c>
      <c r="P2684" s="16">
        <v>46225</v>
      </c>
      <c r="Q2684" s="2" t="s">
        <v>658</v>
      </c>
      <c r="R2684" s="2">
        <f>VLOOKUP(SALIDAS111518[[#This Row],[CÓDIGO]],PRODUCTOS31316[],2,FALSE)</f>
        <v>0</v>
      </c>
      <c r="S2684" s="1" t="str">
        <f>VLOOKUP(SALIDAS111518[[#This Row],[CÓDIGO]],PRODUCTOS31316[],3,FALSE)</f>
        <v>CATETER TALADRO TRANSPARENTE 18"</v>
      </c>
      <c r="T2684" s="2">
        <v>1</v>
      </c>
      <c r="U2684" s="2"/>
      <c r="V2684" s="2"/>
      <c r="W2684" s="2"/>
      <c r="X2684" s="2"/>
      <c r="Y2684" s="7"/>
      <c r="Z2684" s="2"/>
      <c r="AA2684" s="1"/>
      <c r="AC2684" s="2"/>
      <c r="AE2684" s="1"/>
      <c r="AG2684" s="2"/>
    </row>
    <row r="2685" spans="12:33" ht="49.95" customHeight="1" x14ac:dyDescent="0.3">
      <c r="L2685" s="2"/>
      <c r="M2685" s="2"/>
      <c r="N2685" s="2">
        <v>8720</v>
      </c>
      <c r="O2685" s="1" t="s">
        <v>2705</v>
      </c>
      <c r="P2685" s="16">
        <v>46225</v>
      </c>
      <c r="Q2685" s="2" t="s">
        <v>2295</v>
      </c>
      <c r="R2685" s="2" t="str">
        <f>VLOOKUP(SALIDAS111518[[#This Row],[CÓDIGO]],PRODUCTOS31316[],2,FALSE)</f>
        <v>B00992</v>
      </c>
      <c r="S2685" s="1" t="str">
        <f>VLOOKUP(SALIDAS111518[[#This Row],[CÓDIGO]],PRODUCTOS31316[],3,FALSE)</f>
        <v>BOLSA WHRIL-PAK 7 OZ</v>
      </c>
      <c r="T2685" s="2">
        <v>50</v>
      </c>
      <c r="U2685" s="2"/>
      <c r="V2685" s="2"/>
      <c r="W2685" s="2"/>
      <c r="X2685" s="2"/>
      <c r="Y2685" s="7"/>
      <c r="Z2685" s="2"/>
      <c r="AA2685" s="1"/>
      <c r="AC2685" s="2"/>
      <c r="AE2685" s="1"/>
      <c r="AG2685" s="2"/>
    </row>
    <row r="2686" spans="12:33" ht="49.95" customHeight="1" x14ac:dyDescent="0.3">
      <c r="L2686" s="2"/>
      <c r="M2686" s="2"/>
      <c r="N2686" s="2">
        <v>8720</v>
      </c>
      <c r="O2686" s="1" t="s">
        <v>2705</v>
      </c>
      <c r="P2686" s="16">
        <v>46225</v>
      </c>
      <c r="Q2686" s="2" t="s">
        <v>333</v>
      </c>
      <c r="R2686" s="2" t="str">
        <f>VLOOKUP(SALIDAS111518[[#This Row],[CÓDIGO]],PRODUCTOS31316[],2,FALSE)</f>
        <v>CTB15</v>
      </c>
      <c r="S2686" s="1" t="str">
        <f>VLOOKUP(SALIDAS111518[[#This Row],[CÓDIGO]],PRODUCTOS31316[],3,FALSE)</f>
        <v>TUBO CÓNICO DE 15 ML, TAPA ROSCA ESTÉRIL  RCF MAX: 10000xg, 
graduados, PCR puro. VENCE: 03/04/2028</v>
      </c>
      <c r="T2686" s="2">
        <v>1</v>
      </c>
      <c r="U2686" s="2"/>
      <c r="V2686" s="2"/>
      <c r="W2686" s="2"/>
      <c r="X2686" s="2"/>
      <c r="Y2686" s="7"/>
      <c r="Z2686" s="2"/>
      <c r="AA2686" s="1"/>
      <c r="AC2686" s="2"/>
      <c r="AE2686" s="1"/>
      <c r="AG2686" s="2"/>
    </row>
    <row r="2687" spans="12:33" ht="49.95" customHeight="1" x14ac:dyDescent="0.3">
      <c r="L2687" s="2" t="s">
        <v>3520</v>
      </c>
      <c r="M2687" s="2" t="s">
        <v>5071</v>
      </c>
      <c r="N2687" s="394" t="s">
        <v>5635</v>
      </c>
      <c r="O2687" s="2" t="s">
        <v>4450</v>
      </c>
      <c r="P2687" s="16">
        <v>46226</v>
      </c>
      <c r="Q2687" s="2" t="s">
        <v>3024</v>
      </c>
      <c r="R2687" s="2" t="str">
        <f>VLOOKUP(SALIDAS111518[[#This Row],[CÓDIGO]],PRODUCTOS31316[],2,FALSE)</f>
        <v>MCTB005</v>
      </c>
      <c r="S2687" s="1" t="str">
        <f>VLOOKUP(SALIDAS111518[[#This Row],[CÓDIGO]],PRODUCTOS31316[],3,FALSE)</f>
        <v>TUBO EPPENDORF DE 0,5 ML</v>
      </c>
      <c r="T2687" s="2">
        <v>1</v>
      </c>
      <c r="U2687" s="2">
        <v>1164</v>
      </c>
      <c r="V2687" s="2"/>
      <c r="W2687" s="2"/>
      <c r="X2687" s="2"/>
      <c r="Y2687" s="7"/>
      <c r="Z2687" s="2"/>
      <c r="AA2687" s="1"/>
      <c r="AC2687" s="2"/>
      <c r="AE2687" s="1"/>
      <c r="AG2687" s="2"/>
    </row>
    <row r="2688" spans="12:33" ht="49.95" customHeight="1" x14ac:dyDescent="0.3">
      <c r="L2688" s="2"/>
      <c r="M2688" s="2"/>
      <c r="N2688" s="2">
        <v>8728</v>
      </c>
      <c r="O2688" s="2" t="s">
        <v>4450</v>
      </c>
      <c r="P2688" s="16">
        <v>46226</v>
      </c>
      <c r="Q2688" s="2" t="s">
        <v>167</v>
      </c>
      <c r="R2688" s="2" t="str">
        <f>VLOOKUP(SALIDAS111518[[#This Row],[CÓDIGO]],PRODUCTOS31316[],2,FALSE)</f>
        <v>50050-1</v>
      </c>
      <c r="S2688" s="1" t="str">
        <f>VLOOKUP(SALIDAS111518[[#This Row],[CÓDIGO]],PRODUCTOS31316[],3,FALSE)</f>
        <v>TUBO CONICO PLUG, AUTOCLAVABLE ESTERIL  TAPA ROSCA DE 50 ML</v>
      </c>
      <c r="T2688" s="2">
        <v>12</v>
      </c>
      <c r="U2688" s="2"/>
      <c r="V2688" s="2"/>
      <c r="W2688" s="2"/>
      <c r="X2688" s="2"/>
      <c r="Y2688" s="7"/>
      <c r="Z2688" s="2"/>
      <c r="AA2688" s="1"/>
      <c r="AC2688" s="2"/>
      <c r="AE2688" s="1"/>
      <c r="AG2688" s="2"/>
    </row>
    <row r="2689" spans="12:33" ht="49.95" customHeight="1" x14ac:dyDescent="0.3">
      <c r="L2689" s="2"/>
      <c r="M2689" s="2"/>
      <c r="N2689" s="2">
        <v>8728</v>
      </c>
      <c r="O2689" s="2" t="s">
        <v>4450</v>
      </c>
      <c r="P2689" s="16">
        <v>46226</v>
      </c>
      <c r="Q2689" s="2" t="s">
        <v>333</v>
      </c>
      <c r="R2689" s="2" t="str">
        <f>VLOOKUP(SALIDAS111518[[#This Row],[CÓDIGO]],PRODUCTOS31316[],2,FALSE)</f>
        <v>CTB15</v>
      </c>
      <c r="S2689" s="1" t="str">
        <f>VLOOKUP(SALIDAS111518[[#This Row],[CÓDIGO]],PRODUCTOS31316[],3,FALSE)</f>
        <v>TUBO CÓNICO DE 15 ML, TAPA ROSCA ESTÉRIL  RCF MAX: 10000xg, 
graduados, PCR puro. VENCE: 03/04/2028</v>
      </c>
      <c r="T2689" s="2">
        <v>8</v>
      </c>
      <c r="U2689" s="2"/>
      <c r="V2689" s="2"/>
      <c r="W2689" s="2"/>
      <c r="X2689" s="2"/>
      <c r="Y2689" s="7"/>
      <c r="Z2689" s="2"/>
      <c r="AA2689" s="1"/>
      <c r="AC2689" s="2"/>
      <c r="AE2689" s="1"/>
      <c r="AG2689" s="2"/>
    </row>
    <row r="2690" spans="12:33" ht="49.95" customHeight="1" x14ac:dyDescent="0.3">
      <c r="L2690" s="2"/>
      <c r="M2690" s="2"/>
      <c r="N2690" s="2">
        <v>8728</v>
      </c>
      <c r="O2690" s="2" t="s">
        <v>4450</v>
      </c>
      <c r="P2690" s="16">
        <v>46226</v>
      </c>
      <c r="Q2690" s="2" t="s">
        <v>602</v>
      </c>
      <c r="R2690" s="2">
        <f>VLOOKUP(SALIDAS111518[[#This Row],[CÓDIGO]],PRODUCTOS31316[],2,FALSE)</f>
        <v>4845</v>
      </c>
      <c r="S2690" s="1" t="str">
        <f>VLOOKUP(SALIDAS111518[[#This Row],[CÓDIGO]],PRODUCTOS31316[],3,FALSE)</f>
        <v>PUNTAS AMARILLAS, UNIVERSALES. PLASTICAS, NO ESTERIL. LIBRES DE RNASE, DNASE Y PYROGENOS. RANGO DE 1-200UL. BOLSA X1000UDS.</v>
      </c>
      <c r="T2690" s="2">
        <v>2</v>
      </c>
      <c r="U2690" s="2"/>
      <c r="V2690" s="2"/>
      <c r="W2690" s="2"/>
      <c r="X2690" s="2"/>
      <c r="Y2690" s="7"/>
      <c r="Z2690" s="2"/>
      <c r="AA2690" s="1"/>
      <c r="AC2690" s="2"/>
      <c r="AE2690" s="1"/>
      <c r="AG2690" s="2"/>
    </row>
    <row r="2691" spans="12:33" ht="49.95" customHeight="1" x14ac:dyDescent="0.3">
      <c r="L2691" s="2"/>
      <c r="M2691" s="2"/>
      <c r="N2691" s="2">
        <v>8728</v>
      </c>
      <c r="O2691" s="2" t="s">
        <v>4450</v>
      </c>
      <c r="P2691" s="16">
        <v>46226</v>
      </c>
      <c r="Q2691" s="2" t="s">
        <v>168</v>
      </c>
      <c r="R2691" s="2">
        <f>VLOOKUP(SALIDAS111518[[#This Row],[CÓDIGO]],PRODUCTOS31316[],2,FALSE)</f>
        <v>4840</v>
      </c>
      <c r="S2691" s="1" t="str">
        <f>VLOOKUP(SALIDAS111518[[#This Row],[CÓDIGO]],PRODUCTOS31316[],3,FALSE)</f>
        <v>PUNTAS BLANCAS UNIVERSALES, PLÁSTICAS, LIBRES DE DNASAS, RNASA Y PIROGENOS, RANGO DE 0.1 A 10UL. (CORTAS).</v>
      </c>
      <c r="T2691" s="2">
        <v>6</v>
      </c>
      <c r="U2691" s="2"/>
      <c r="V2691" s="2"/>
      <c r="W2691" s="2"/>
      <c r="X2691" s="2"/>
      <c r="Y2691" s="7"/>
      <c r="Z2691" s="2"/>
      <c r="AA2691" s="1"/>
      <c r="AC2691" s="2"/>
      <c r="AE2691" s="1"/>
      <c r="AG2691" s="2"/>
    </row>
    <row r="2692" spans="12:33" ht="49.95" customHeight="1" x14ac:dyDescent="0.3">
      <c r="L2692" s="2"/>
      <c r="M2692" s="2"/>
      <c r="N2692" s="2">
        <v>8728</v>
      </c>
      <c r="O2692" s="2" t="s">
        <v>4450</v>
      </c>
      <c r="P2692" s="16">
        <v>46226</v>
      </c>
      <c r="Q2692" s="2" t="s">
        <v>1799</v>
      </c>
      <c r="R2692" s="2">
        <f>VLOOKUP(SALIDAS111518[[#This Row],[CÓDIGO]],PRODUCTOS31316[],2,FALSE)</f>
        <v>4846</v>
      </c>
      <c r="S2692" s="1" t="str">
        <f>VLOOKUP(SALIDAS111518[[#This Row],[CÓDIGO]],PRODUCTOS31316[],3,FALSE)</f>
        <v>PUNTA AZULES UNIVERSALES 100- 1000 UL</v>
      </c>
      <c r="T2692" s="2">
        <v>1</v>
      </c>
      <c r="U2692" s="2"/>
      <c r="V2692" s="2"/>
      <c r="W2692" s="2"/>
      <c r="X2692" s="2"/>
      <c r="Y2692" s="7"/>
      <c r="Z2692" s="2"/>
      <c r="AA2692" s="1"/>
      <c r="AC2692" s="2"/>
      <c r="AE2692" s="1"/>
      <c r="AG2692" s="2"/>
    </row>
    <row r="2693" spans="12:33" ht="49.95" customHeight="1" x14ac:dyDescent="0.3">
      <c r="L2693" s="2"/>
      <c r="M2693" s="2"/>
      <c r="N2693" s="2">
        <v>8728</v>
      </c>
      <c r="O2693" s="2" t="s">
        <v>4450</v>
      </c>
      <c r="P2693" s="16">
        <v>46226</v>
      </c>
      <c r="Q2693" s="2" t="s">
        <v>5123</v>
      </c>
      <c r="R2693" s="2">
        <f>VLOOKUP(SALIDAS111518[[#This Row],[CÓDIGO]],PRODUCTOS31316[],2,FALSE)</f>
        <v>0</v>
      </c>
      <c r="S2693" s="1" t="str">
        <f>VLOOKUP(SALIDAS111518[[#This Row],[CÓDIGO]],PRODUCTOS31316[],3,FALSE)</f>
        <v>MICROFILTRO 0,90 UM  PAQ. X 20 UND MARCA: TED</v>
      </c>
      <c r="T2693" s="2">
        <v>3</v>
      </c>
      <c r="U2693" s="2"/>
      <c r="V2693" s="2"/>
      <c r="W2693" s="2"/>
      <c r="X2693" s="2"/>
      <c r="Y2693" s="7"/>
      <c r="Z2693" s="2"/>
      <c r="AA2693" s="1"/>
      <c r="AC2693" s="2"/>
      <c r="AE2693" s="1"/>
      <c r="AG2693" s="2"/>
    </row>
    <row r="2694" spans="12:33" ht="49.95" customHeight="1" x14ac:dyDescent="0.3">
      <c r="L2694" s="2" t="s">
        <v>3521</v>
      </c>
      <c r="M2694" s="2" t="s">
        <v>5071</v>
      </c>
      <c r="N2694" s="390" t="s">
        <v>5613</v>
      </c>
      <c r="O2694" s="2" t="s">
        <v>5603</v>
      </c>
      <c r="P2694" s="16">
        <v>46225</v>
      </c>
      <c r="Q2694" s="2" t="s">
        <v>104</v>
      </c>
      <c r="R2694" s="2">
        <f>VLOOKUP(SALIDAS111518[[#This Row],[CÓDIGO]],PRODUCTOS31316[],2,FALSE)</f>
        <v>0</v>
      </c>
      <c r="S2694" s="1" t="str">
        <f>VLOOKUP(SALIDAS111518[[#This Row],[CÓDIGO]],PRODUCTOS31316[],3,FALSE)</f>
        <v>ISPERM CHIPS (500 TESTS PER BOX) PAQ. X 50 UND</v>
      </c>
      <c r="T2694" s="2">
        <v>1</v>
      </c>
      <c r="U2694" s="2">
        <v>1165</v>
      </c>
      <c r="V2694" s="2"/>
      <c r="W2694" s="2"/>
      <c r="X2694" s="2"/>
      <c r="Y2694" s="7"/>
      <c r="Z2694" s="2"/>
      <c r="AA2694" s="1"/>
      <c r="AC2694" s="2"/>
      <c r="AE2694" s="1"/>
      <c r="AG2694" s="2"/>
    </row>
    <row r="2695" spans="12:33" ht="49.95" customHeight="1" x14ac:dyDescent="0.3">
      <c r="L2695" s="2" t="s">
        <v>3521</v>
      </c>
      <c r="M2695" s="2" t="s">
        <v>5071</v>
      </c>
      <c r="N2695" s="390" t="s">
        <v>5615</v>
      </c>
      <c r="O2695" s="391" t="s">
        <v>5608</v>
      </c>
      <c r="P2695" s="16">
        <v>46225</v>
      </c>
      <c r="Q2695" s="2" t="s">
        <v>3181</v>
      </c>
      <c r="R2695" s="2">
        <f>VLOOKUP(SALIDAS111518[[#This Row],[CÓDIGO]],PRODUCTOS31316[],2,FALSE)</f>
        <v>7416</v>
      </c>
      <c r="S2695" s="1" t="str">
        <f>VLOOKUP(SALIDAS111518[[#This Row],[CÓDIGO]],PRODUCTOS31316[],3,FALSE)</f>
        <v>CAJA PLÁSTICA DE 22" DE TRANSPORTE</v>
      </c>
      <c r="T2695" s="2">
        <v>1</v>
      </c>
      <c r="U2695" s="391" t="s">
        <v>5614</v>
      </c>
      <c r="V2695" s="2"/>
      <c r="W2695" s="2"/>
      <c r="X2695" s="2"/>
      <c r="Y2695" s="7"/>
      <c r="Z2695" s="2"/>
      <c r="AA2695" s="1"/>
      <c r="AC2695" s="2"/>
      <c r="AE2695" s="1"/>
      <c r="AG2695" s="2"/>
    </row>
    <row r="2696" spans="12:33" ht="49.95" customHeight="1" x14ac:dyDescent="0.3">
      <c r="L2696" s="2"/>
      <c r="M2696" s="2"/>
      <c r="N2696" s="2">
        <v>8722</v>
      </c>
      <c r="O2696" s="2" t="s">
        <v>5608</v>
      </c>
      <c r="P2696" s="16">
        <v>46225</v>
      </c>
      <c r="Q2696" s="2" t="s">
        <v>153</v>
      </c>
      <c r="R2696" s="2">
        <f>VLOOKUP(SALIDAS111518[[#This Row],[CÓDIGO]],PRODUCTOS31316[],2,FALSE)</f>
        <v>1132</v>
      </c>
      <c r="S2696" s="1" t="str">
        <f>VLOOKUP(SALIDAS111518[[#This Row],[CÓDIGO]],PRODUCTOS31316[],3,FALSE)</f>
        <v>PISTOLA QUICKLOCK CLASIC</v>
      </c>
      <c r="T2696" s="2">
        <v>1</v>
      </c>
      <c r="U2696" s="2"/>
      <c r="V2696" s="2"/>
      <c r="W2696" s="2"/>
      <c r="X2696" s="2"/>
      <c r="Y2696" s="7"/>
      <c r="Z2696" s="2"/>
      <c r="AA2696" s="1"/>
      <c r="AC2696" s="2"/>
      <c r="AE2696" s="1"/>
      <c r="AG2696" s="2"/>
    </row>
    <row r="2697" spans="12:33" ht="49.95" customHeight="1" x14ac:dyDescent="0.3">
      <c r="L2697" s="2"/>
      <c r="M2697" s="2"/>
      <c r="N2697" s="2">
        <v>8722</v>
      </c>
      <c r="O2697" s="2" t="s">
        <v>5608</v>
      </c>
      <c r="P2697" s="16">
        <v>46225</v>
      </c>
      <c r="Q2697" s="2" t="s">
        <v>369</v>
      </c>
      <c r="R2697" s="2">
        <f>VLOOKUP(SALIDAS111518[[#This Row],[CÓDIGO]],PRODUCTOS31316[],2,FALSE)</f>
        <v>0</v>
      </c>
      <c r="S2697" s="1" t="str">
        <f>VLOOKUP(SALIDAS111518[[#This Row],[CÓDIGO]],PRODUCTOS31316[],3,FALSE)</f>
        <v>FUNDA UNIVERSAL PARA I.A. RANURADA</v>
      </c>
      <c r="T2697" s="2">
        <v>1</v>
      </c>
      <c r="U2697" s="2"/>
      <c r="V2697" s="2"/>
      <c r="W2697" s="2"/>
      <c r="X2697" s="2"/>
      <c r="Y2697" s="7"/>
      <c r="Z2697" s="2"/>
      <c r="AA2697" s="1"/>
      <c r="AC2697" s="2"/>
      <c r="AE2697" s="1"/>
      <c r="AG2697" s="2"/>
    </row>
    <row r="2698" spans="12:33" ht="49.95" customHeight="1" x14ac:dyDescent="0.3">
      <c r="L2698" s="2"/>
      <c r="M2698" s="2"/>
      <c r="N2698" s="2">
        <v>8722</v>
      </c>
      <c r="O2698" s="2" t="s">
        <v>5608</v>
      </c>
      <c r="P2698" s="16">
        <v>46225</v>
      </c>
      <c r="Q2698" s="2" t="s">
        <v>658</v>
      </c>
      <c r="R2698" s="2">
        <f>VLOOKUP(SALIDAS111518[[#This Row],[CÓDIGO]],PRODUCTOS31316[],2,FALSE)</f>
        <v>0</v>
      </c>
      <c r="S2698" s="1" t="str">
        <f>VLOOKUP(SALIDAS111518[[#This Row],[CÓDIGO]],PRODUCTOS31316[],3,FALSE)</f>
        <v>CATETER TALADRO TRANSPARENTE 18"</v>
      </c>
      <c r="T2698" s="2">
        <v>1</v>
      </c>
      <c r="U2698" s="2"/>
      <c r="V2698" s="2"/>
      <c r="W2698" s="2"/>
      <c r="X2698" s="2"/>
      <c r="Y2698" s="7"/>
      <c r="Z2698" s="2"/>
      <c r="AA2698" s="1"/>
      <c r="AC2698" s="2"/>
      <c r="AE2698" s="1"/>
      <c r="AG2698" s="2"/>
    </row>
    <row r="2699" spans="12:33" ht="49.95" customHeight="1" x14ac:dyDescent="0.3">
      <c r="L2699" s="2"/>
      <c r="M2699" s="2"/>
      <c r="N2699" s="2">
        <v>8722</v>
      </c>
      <c r="O2699" s="2" t="s">
        <v>5608</v>
      </c>
      <c r="P2699" s="16">
        <v>46225</v>
      </c>
      <c r="Q2699" s="2" t="s">
        <v>382</v>
      </c>
      <c r="R2699" s="2">
        <f>VLOOKUP(SALIDAS111518[[#This Row],[CÓDIGO]],PRODUCTOS31316[],2,FALSE)</f>
        <v>605032</v>
      </c>
      <c r="S2699" s="1" t="str">
        <f>VLOOKUP(SALIDAS111518[[#This Row],[CÓDIGO]],PRODUCTOS31316[],3,FALSE)</f>
        <v>LUBRICANTE OB, NO ESPERMICIDA</v>
      </c>
      <c r="T2699" s="2">
        <v>1</v>
      </c>
      <c r="U2699" s="2"/>
      <c r="V2699" s="2"/>
      <c r="W2699" s="2"/>
      <c r="X2699" s="2"/>
      <c r="Y2699" s="7"/>
      <c r="Z2699" s="2"/>
      <c r="AA2699" s="1"/>
      <c r="AC2699" s="2"/>
      <c r="AE2699" s="1"/>
      <c r="AG2699" s="2"/>
    </row>
    <row r="2700" spans="12:33" ht="49.95" customHeight="1" x14ac:dyDescent="0.3">
      <c r="L2700" s="2"/>
      <c r="M2700" s="2"/>
      <c r="N2700" s="2">
        <v>8722</v>
      </c>
      <c r="O2700" s="2" t="s">
        <v>5608</v>
      </c>
      <c r="P2700" s="16">
        <v>46225</v>
      </c>
      <c r="Q2700" s="2" t="s">
        <v>236</v>
      </c>
      <c r="R2700" s="2">
        <f>VLOOKUP(SALIDAS111518[[#This Row],[CÓDIGO]],PRODUCTOS31316[],2,FALSE)</f>
        <v>0</v>
      </c>
      <c r="S2700" s="1" t="str">
        <f>VLOOKUP(SALIDAS111518[[#This Row],[CÓDIGO]],PRODUCTOS31316[],3,FALSE)</f>
        <v>TERMO METÁLICO DESCONGELADOR</v>
      </c>
      <c r="T2700" s="2">
        <v>1</v>
      </c>
      <c r="U2700" s="2"/>
      <c r="V2700" s="2"/>
      <c r="W2700" s="2"/>
      <c r="X2700" s="2"/>
      <c r="Y2700" s="7"/>
      <c r="Z2700" s="2"/>
      <c r="AA2700" s="1"/>
      <c r="AC2700" s="2"/>
      <c r="AE2700" s="1"/>
      <c r="AG2700" s="2"/>
    </row>
    <row r="2701" spans="12:33" ht="49.95" customHeight="1" x14ac:dyDescent="0.3">
      <c r="L2701" s="2"/>
      <c r="M2701" s="2"/>
      <c r="N2701" s="2">
        <v>8722</v>
      </c>
      <c r="O2701" s="2" t="s">
        <v>5608</v>
      </c>
      <c r="P2701" s="16">
        <v>46225</v>
      </c>
      <c r="Q2701" s="2" t="s">
        <v>210</v>
      </c>
      <c r="R2701" s="2">
        <f>VLOOKUP(SALIDAS111518[[#This Row],[CÓDIGO]],PRODUCTOS31316[],2,FALSE)</f>
        <v>101257</v>
      </c>
      <c r="S2701" s="1" t="str">
        <f>VLOOKUP(SALIDAS111518[[#This Row],[CÓDIGO]],PRODUCTOS31316[],3,FALSE)</f>
        <v>MANGA DESECHABLE SUPER SENSITIVA</v>
      </c>
      <c r="T2701" s="2">
        <v>1</v>
      </c>
      <c r="U2701" s="2"/>
      <c r="V2701" s="2"/>
      <c r="W2701" s="2"/>
      <c r="X2701" s="2"/>
      <c r="Y2701" s="7"/>
      <c r="Z2701" s="2"/>
      <c r="AA2701" s="1"/>
      <c r="AC2701" s="2"/>
      <c r="AE2701" s="1"/>
      <c r="AG2701" s="2"/>
    </row>
    <row r="2702" spans="12:33" ht="49.95" customHeight="1" x14ac:dyDescent="0.3">
      <c r="L2702" s="2"/>
      <c r="M2702" s="2"/>
      <c r="N2702" s="2">
        <v>8722</v>
      </c>
      <c r="O2702" s="2" t="s">
        <v>5608</v>
      </c>
      <c r="P2702" s="16">
        <v>46225</v>
      </c>
      <c r="Q2702" s="2" t="s">
        <v>581</v>
      </c>
      <c r="R2702" s="2">
        <f>VLOOKUP(SALIDAS111518[[#This Row],[CÓDIGO]],PRODUCTOS31316[],2,FALSE)</f>
        <v>11571</v>
      </c>
      <c r="S2702" s="1" t="str">
        <f>VLOOKUP(SALIDAS111518[[#This Row],[CÓDIGO]],PRODUCTOS31316[],3,FALSE)</f>
        <v>PINZA COGEPAJILLA</v>
      </c>
      <c r="T2702" s="2">
        <v>1</v>
      </c>
      <c r="U2702" s="2"/>
      <c r="V2702" s="2"/>
      <c r="W2702" s="2"/>
      <c r="X2702" s="2"/>
      <c r="Y2702" s="7"/>
      <c r="Z2702" s="2"/>
      <c r="AA2702" s="1"/>
      <c r="AC2702" s="2"/>
      <c r="AE2702" s="1"/>
      <c r="AG2702" s="2"/>
    </row>
    <row r="2703" spans="12:33" ht="49.95" customHeight="1" x14ac:dyDescent="0.3">
      <c r="L2703" s="2"/>
      <c r="M2703" s="2"/>
      <c r="N2703" s="2">
        <v>8722</v>
      </c>
      <c r="O2703" s="2" t="s">
        <v>5608</v>
      </c>
      <c r="P2703" s="16">
        <v>46225</v>
      </c>
      <c r="Q2703" s="2" t="s">
        <v>2364</v>
      </c>
      <c r="R2703" s="2">
        <f>VLOOKUP(SALIDAS111518[[#This Row],[CÓDIGO]],PRODUCTOS31316[],2,FALSE)</f>
        <v>0</v>
      </c>
      <c r="S2703" s="1" t="str">
        <f>VLOOKUP(SALIDAS111518[[#This Row],[CÓDIGO]],PRODUCTOS31316[],3,FALSE)</f>
        <v>CORTAPAJILLAS WTA</v>
      </c>
      <c r="T2703" s="2">
        <v>1</v>
      </c>
      <c r="U2703" s="2"/>
      <c r="V2703" s="2"/>
      <c r="W2703" s="2"/>
      <c r="X2703" s="2"/>
      <c r="Y2703" s="7"/>
      <c r="Z2703" s="2"/>
      <c r="AA2703" s="1"/>
      <c r="AC2703" s="2"/>
      <c r="AE2703" s="1"/>
      <c r="AG2703" s="2"/>
    </row>
    <row r="2704" spans="12:33" ht="49.95" customHeight="1" x14ac:dyDescent="0.3">
      <c r="L2704" s="2"/>
      <c r="M2704" s="2"/>
      <c r="N2704" s="2">
        <v>8722</v>
      </c>
      <c r="O2704" s="2" t="s">
        <v>5608</v>
      </c>
      <c r="P2704" s="16">
        <v>46225</v>
      </c>
      <c r="Q2704" s="2" t="s">
        <v>1779</v>
      </c>
      <c r="R2704" s="2">
        <f>VLOOKUP(SALIDAS111518[[#This Row],[CÓDIGO]],PRODUCTOS31316[],2,FALSE)</f>
        <v>5563</v>
      </c>
      <c r="S2704" s="1" t="str">
        <f>VLOOKUP(SALIDAS111518[[#This Row],[CÓDIGO]],PRODUCTOS31316[],3,FALSE)</f>
        <v>CAMISA SANITARIA ROLLO X 80</v>
      </c>
      <c r="T2704" s="2">
        <v>1</v>
      </c>
      <c r="U2704" s="2"/>
      <c r="V2704" s="2"/>
      <c r="W2704" s="2"/>
      <c r="X2704" s="2"/>
      <c r="Y2704" s="7"/>
      <c r="Z2704" s="2"/>
      <c r="AA2704" s="1"/>
      <c r="AC2704" s="2"/>
      <c r="AE2704" s="1"/>
      <c r="AG2704" s="2"/>
    </row>
    <row r="2705" spans="12:33" ht="49.95" customHeight="1" x14ac:dyDescent="0.3">
      <c r="L2705" s="2" t="s">
        <v>5610</v>
      </c>
      <c r="M2705" s="2" t="s">
        <v>5071</v>
      </c>
      <c r="N2705" s="420" t="s">
        <v>5620</v>
      </c>
      <c r="O2705" s="1" t="s">
        <v>5609</v>
      </c>
      <c r="P2705" s="16">
        <v>46225</v>
      </c>
      <c r="Q2705" s="2" t="s">
        <v>3181</v>
      </c>
      <c r="R2705" s="2">
        <f>VLOOKUP(SALIDAS111518[[#This Row],[CÓDIGO]],PRODUCTOS31316[],2,FALSE)</f>
        <v>7416</v>
      </c>
      <c r="S2705" s="1" t="str">
        <f>VLOOKUP(SALIDAS111518[[#This Row],[CÓDIGO]],PRODUCTOS31316[],3,FALSE)</f>
        <v>CAJA PLÁSTICA DE 22" DE TRANSPORTE</v>
      </c>
      <c r="T2705" s="2">
        <v>1</v>
      </c>
      <c r="U2705" s="391" t="s">
        <v>5621</v>
      </c>
      <c r="V2705" s="2"/>
      <c r="W2705" s="2" t="s">
        <v>3412</v>
      </c>
      <c r="X2705" s="2"/>
      <c r="Y2705" s="7"/>
      <c r="Z2705" s="2"/>
      <c r="AA2705" s="1"/>
      <c r="AC2705" s="2"/>
      <c r="AE2705" s="1"/>
      <c r="AG2705" s="2"/>
    </row>
    <row r="2706" spans="12:33" ht="49.95" customHeight="1" x14ac:dyDescent="0.3">
      <c r="L2706" s="2"/>
      <c r="M2706" s="2"/>
      <c r="N2706" s="2">
        <v>8724</v>
      </c>
      <c r="O2706" s="1" t="s">
        <v>5609</v>
      </c>
      <c r="P2706" s="16">
        <v>46225</v>
      </c>
      <c r="Q2706" s="2" t="s">
        <v>153</v>
      </c>
      <c r="R2706" s="2">
        <f>VLOOKUP(SALIDAS111518[[#This Row],[CÓDIGO]],PRODUCTOS31316[],2,FALSE)</f>
        <v>1132</v>
      </c>
      <c r="S2706" s="1" t="str">
        <f>VLOOKUP(SALIDAS111518[[#This Row],[CÓDIGO]],PRODUCTOS31316[],3,FALSE)</f>
        <v>PISTOLA QUICKLOCK CLASIC</v>
      </c>
      <c r="T2706" s="2">
        <v>1</v>
      </c>
      <c r="U2706" s="2"/>
      <c r="V2706" s="2"/>
      <c r="W2706" s="2"/>
      <c r="X2706" s="2"/>
      <c r="Y2706" s="7"/>
      <c r="Z2706" s="2"/>
      <c r="AA2706" s="1"/>
      <c r="AC2706" s="2"/>
      <c r="AE2706" s="1"/>
      <c r="AG2706" s="2"/>
    </row>
    <row r="2707" spans="12:33" ht="49.95" customHeight="1" x14ac:dyDescent="0.3">
      <c r="L2707" s="2"/>
      <c r="M2707" s="2"/>
      <c r="N2707" s="2">
        <v>8724</v>
      </c>
      <c r="O2707" s="1" t="s">
        <v>5609</v>
      </c>
      <c r="P2707" s="16">
        <v>46225</v>
      </c>
      <c r="Q2707" s="2" t="s">
        <v>369</v>
      </c>
      <c r="R2707" s="2">
        <f>VLOOKUP(SALIDAS111518[[#This Row],[CÓDIGO]],PRODUCTOS31316[],2,FALSE)</f>
        <v>0</v>
      </c>
      <c r="S2707" s="1" t="str">
        <f>VLOOKUP(SALIDAS111518[[#This Row],[CÓDIGO]],PRODUCTOS31316[],3,FALSE)</f>
        <v>FUNDA UNIVERSAL PARA I.A. RANURADA</v>
      </c>
      <c r="T2707" s="2">
        <v>1</v>
      </c>
      <c r="U2707" s="2"/>
      <c r="V2707" s="2"/>
      <c r="W2707" s="2"/>
      <c r="X2707" s="2"/>
      <c r="Y2707" s="7"/>
      <c r="Z2707" s="2"/>
      <c r="AA2707" s="1"/>
      <c r="AC2707" s="2"/>
      <c r="AE2707" s="1"/>
      <c r="AG2707" s="2"/>
    </row>
    <row r="2708" spans="12:33" ht="49.95" customHeight="1" x14ac:dyDescent="0.3">
      <c r="L2708" s="2"/>
      <c r="M2708" s="2"/>
      <c r="N2708" s="2">
        <v>8724</v>
      </c>
      <c r="O2708" s="1" t="s">
        <v>5609</v>
      </c>
      <c r="P2708" s="16">
        <v>46225</v>
      </c>
      <c r="Q2708" s="2" t="s">
        <v>658</v>
      </c>
      <c r="R2708" s="2">
        <f>VLOOKUP(SALIDAS111518[[#This Row],[CÓDIGO]],PRODUCTOS31316[],2,FALSE)</f>
        <v>0</v>
      </c>
      <c r="S2708" s="1" t="str">
        <f>VLOOKUP(SALIDAS111518[[#This Row],[CÓDIGO]],PRODUCTOS31316[],3,FALSE)</f>
        <v>CATETER TALADRO TRANSPARENTE 18"</v>
      </c>
      <c r="T2708" s="2">
        <v>1</v>
      </c>
      <c r="U2708" s="2"/>
      <c r="V2708" s="2"/>
      <c r="W2708" s="2"/>
      <c r="X2708" s="2"/>
      <c r="Y2708" s="7"/>
      <c r="Z2708" s="2"/>
      <c r="AA2708" s="1"/>
      <c r="AC2708" s="2"/>
      <c r="AE2708" s="1"/>
      <c r="AG2708" s="2"/>
    </row>
    <row r="2709" spans="12:33" ht="49.95" customHeight="1" x14ac:dyDescent="0.3">
      <c r="L2709" s="2"/>
      <c r="M2709" s="2"/>
      <c r="N2709" s="2">
        <v>8724</v>
      </c>
      <c r="O2709" s="1" t="s">
        <v>5609</v>
      </c>
      <c r="P2709" s="16">
        <v>46225</v>
      </c>
      <c r="Q2709" s="2" t="s">
        <v>382</v>
      </c>
      <c r="R2709" s="2">
        <f>VLOOKUP(SALIDAS111518[[#This Row],[CÓDIGO]],PRODUCTOS31316[],2,FALSE)</f>
        <v>605032</v>
      </c>
      <c r="S2709" s="1" t="str">
        <f>VLOOKUP(SALIDAS111518[[#This Row],[CÓDIGO]],PRODUCTOS31316[],3,FALSE)</f>
        <v>LUBRICANTE OB, NO ESPERMICIDA</v>
      </c>
      <c r="T2709" s="2">
        <v>1</v>
      </c>
      <c r="U2709" s="2"/>
      <c r="V2709" s="2"/>
      <c r="W2709" s="2"/>
      <c r="X2709" s="2"/>
      <c r="Y2709" s="7"/>
      <c r="Z2709" s="2"/>
      <c r="AA2709" s="1"/>
      <c r="AC2709" s="2"/>
      <c r="AE2709" s="1"/>
      <c r="AG2709" s="2"/>
    </row>
    <row r="2710" spans="12:33" ht="49.95" customHeight="1" x14ac:dyDescent="0.3">
      <c r="L2710" s="2"/>
      <c r="M2710" s="2"/>
      <c r="N2710" s="2">
        <v>8724</v>
      </c>
      <c r="O2710" s="1" t="s">
        <v>5609</v>
      </c>
      <c r="P2710" s="16">
        <v>46225</v>
      </c>
      <c r="Q2710" s="2" t="s">
        <v>236</v>
      </c>
      <c r="R2710" s="2">
        <f>VLOOKUP(SALIDAS111518[[#This Row],[CÓDIGO]],PRODUCTOS31316[],2,FALSE)</f>
        <v>0</v>
      </c>
      <c r="S2710" s="1" t="str">
        <f>VLOOKUP(SALIDAS111518[[#This Row],[CÓDIGO]],PRODUCTOS31316[],3,FALSE)</f>
        <v>TERMO METÁLICO DESCONGELADOR</v>
      </c>
      <c r="T2710" s="2">
        <v>1</v>
      </c>
      <c r="U2710" s="2"/>
      <c r="V2710" s="2"/>
      <c r="W2710" s="2"/>
      <c r="X2710" s="2"/>
      <c r="Y2710" s="7"/>
      <c r="Z2710" s="2"/>
      <c r="AA2710" s="1"/>
      <c r="AC2710" s="2"/>
      <c r="AE2710" s="1"/>
      <c r="AG2710" s="2"/>
    </row>
    <row r="2711" spans="12:33" ht="49.95" customHeight="1" x14ac:dyDescent="0.3">
      <c r="L2711" s="2"/>
      <c r="M2711" s="2"/>
      <c r="N2711" s="2">
        <v>8724</v>
      </c>
      <c r="O2711" s="1" t="s">
        <v>5609</v>
      </c>
      <c r="P2711" s="16">
        <v>46225</v>
      </c>
      <c r="Q2711" s="2" t="s">
        <v>210</v>
      </c>
      <c r="R2711" s="2">
        <f>VLOOKUP(SALIDAS111518[[#This Row],[CÓDIGO]],PRODUCTOS31316[],2,FALSE)</f>
        <v>101257</v>
      </c>
      <c r="S2711" s="1" t="str">
        <f>VLOOKUP(SALIDAS111518[[#This Row],[CÓDIGO]],PRODUCTOS31316[],3,FALSE)</f>
        <v>MANGA DESECHABLE SUPER SENSITIVA</v>
      </c>
      <c r="T2711" s="2">
        <v>1</v>
      </c>
      <c r="U2711" s="2"/>
      <c r="V2711" s="2"/>
      <c r="W2711" s="2"/>
      <c r="X2711" s="2"/>
      <c r="Y2711" s="7"/>
      <c r="Z2711" s="2"/>
      <c r="AA2711" s="1"/>
      <c r="AC2711" s="2"/>
      <c r="AE2711" s="1"/>
      <c r="AG2711" s="2"/>
    </row>
    <row r="2712" spans="12:33" ht="49.95" customHeight="1" x14ac:dyDescent="0.3">
      <c r="L2712" s="2"/>
      <c r="M2712" s="2"/>
      <c r="N2712" s="2">
        <v>8724</v>
      </c>
      <c r="O2712" s="1" t="s">
        <v>5609</v>
      </c>
      <c r="P2712" s="16">
        <v>46225</v>
      </c>
      <c r="Q2712" s="2" t="s">
        <v>581</v>
      </c>
      <c r="R2712" s="2">
        <f>VLOOKUP(SALIDAS111518[[#This Row],[CÓDIGO]],PRODUCTOS31316[],2,FALSE)</f>
        <v>11571</v>
      </c>
      <c r="S2712" s="1" t="str">
        <f>VLOOKUP(SALIDAS111518[[#This Row],[CÓDIGO]],PRODUCTOS31316[],3,FALSE)</f>
        <v>PINZA COGEPAJILLA</v>
      </c>
      <c r="T2712" s="2">
        <v>1</v>
      </c>
      <c r="U2712" s="2"/>
      <c r="V2712" s="2"/>
      <c r="W2712" s="2"/>
      <c r="X2712" s="2"/>
      <c r="Y2712" s="7"/>
      <c r="Z2712" s="2"/>
      <c r="AA2712" s="1"/>
      <c r="AC2712" s="2"/>
      <c r="AE2712" s="1"/>
      <c r="AG2712" s="2"/>
    </row>
    <row r="2713" spans="12:33" ht="49.95" customHeight="1" x14ac:dyDescent="0.3">
      <c r="L2713" s="2"/>
      <c r="M2713" s="2"/>
      <c r="N2713" s="2">
        <v>8724</v>
      </c>
      <c r="O2713" s="1" t="s">
        <v>5609</v>
      </c>
      <c r="P2713" s="16">
        <v>46225</v>
      </c>
      <c r="Q2713" s="2" t="s">
        <v>2364</v>
      </c>
      <c r="R2713" s="2">
        <f>VLOOKUP(SALIDAS111518[[#This Row],[CÓDIGO]],PRODUCTOS31316[],2,FALSE)</f>
        <v>0</v>
      </c>
      <c r="S2713" s="1" t="str">
        <f>VLOOKUP(SALIDAS111518[[#This Row],[CÓDIGO]],PRODUCTOS31316[],3,FALSE)</f>
        <v>CORTAPAJILLAS WTA</v>
      </c>
      <c r="T2713" s="2">
        <v>1</v>
      </c>
      <c r="U2713" s="2"/>
      <c r="V2713" s="2"/>
      <c r="W2713" s="2"/>
      <c r="X2713" s="2"/>
      <c r="Y2713" s="7"/>
      <c r="Z2713" s="2"/>
      <c r="AA2713" s="1"/>
      <c r="AC2713" s="2"/>
      <c r="AE2713" s="1"/>
      <c r="AG2713" s="2"/>
    </row>
    <row r="2714" spans="12:33" ht="49.95" customHeight="1" x14ac:dyDescent="0.3">
      <c r="L2714" s="2"/>
      <c r="M2714" s="2"/>
      <c r="N2714" s="2">
        <v>8724</v>
      </c>
      <c r="O2714" s="1" t="s">
        <v>5609</v>
      </c>
      <c r="P2714" s="16">
        <v>46225</v>
      </c>
      <c r="Q2714" s="2" t="s">
        <v>1779</v>
      </c>
      <c r="R2714" s="2">
        <f>VLOOKUP(SALIDAS111518[[#This Row],[CÓDIGO]],PRODUCTOS31316[],2,FALSE)</f>
        <v>5563</v>
      </c>
      <c r="S2714" s="1" t="str">
        <f>VLOOKUP(SALIDAS111518[[#This Row],[CÓDIGO]],PRODUCTOS31316[],3,FALSE)</f>
        <v>CAMISA SANITARIA ROLLO X 80</v>
      </c>
      <c r="T2714" s="2">
        <v>1</v>
      </c>
      <c r="U2714" s="2"/>
      <c r="V2714" s="2"/>
      <c r="W2714" s="2"/>
      <c r="X2714" s="2"/>
      <c r="Y2714" s="7"/>
      <c r="Z2714" s="2"/>
      <c r="AA2714" s="1"/>
      <c r="AC2714" s="2"/>
      <c r="AE2714" s="1"/>
      <c r="AG2714" s="2"/>
    </row>
    <row r="2715" spans="12:33" ht="49.95" customHeight="1" x14ac:dyDescent="0.3">
      <c r="L2715" s="2"/>
      <c r="M2715" s="2"/>
      <c r="N2715" s="2">
        <v>8724</v>
      </c>
      <c r="O2715" s="1" t="s">
        <v>5609</v>
      </c>
      <c r="P2715" s="16">
        <v>46225</v>
      </c>
      <c r="Q2715" s="2" t="s">
        <v>648</v>
      </c>
      <c r="R2715" s="2" t="str">
        <f>VLOOKUP(SALIDAS111518[[#This Row],[CÓDIGO]],PRODUCTOS31316[],2,FALSE)</f>
        <v>S5</v>
      </c>
      <c r="S2715" s="1" t="str">
        <f>VLOOKUP(SALIDAS111518[[#This Row],[CÓDIGO]],PRODUCTOS31316[],3,FALSE)</f>
        <v>SONDA S5 UNIDAD PRINCIPAL CON SONDA LINEAL RECTAL</v>
      </c>
      <c r="T2715" s="2">
        <v>1</v>
      </c>
      <c r="U2715" s="2"/>
      <c r="V2715" s="2"/>
      <c r="W2715" s="2"/>
      <c r="X2715" s="2"/>
      <c r="Y2715" s="7"/>
      <c r="Z2715" s="2"/>
      <c r="AA2715" s="1"/>
      <c r="AC2715" s="2"/>
      <c r="AE2715" s="1"/>
      <c r="AG2715" s="2"/>
    </row>
    <row r="2716" spans="12:33" ht="49.95" customHeight="1" x14ac:dyDescent="0.3">
      <c r="L2716" s="2"/>
      <c r="M2716" s="2"/>
      <c r="N2716" s="2">
        <v>8724</v>
      </c>
      <c r="O2716" s="1" t="s">
        <v>5609</v>
      </c>
      <c r="P2716" s="16">
        <v>46225</v>
      </c>
      <c r="Q2716" s="2" t="s">
        <v>5083</v>
      </c>
      <c r="R2716" s="2">
        <f>VLOOKUP(SALIDAS111518[[#This Row],[CÓDIGO]],PRODUCTOS31316[],2,FALSE)</f>
        <v>0</v>
      </c>
      <c r="S2716" s="1" t="str">
        <f>VLOOKUP(SALIDAS111518[[#This Row],[CÓDIGO]],PRODUCTOS31316[],3,FALSE)</f>
        <v>TABLET SANSUNG GALAXY TAB A11+</v>
      </c>
      <c r="T2716" s="2">
        <v>1</v>
      </c>
      <c r="U2716" s="2"/>
      <c r="V2716" s="2"/>
      <c r="W2716" s="2"/>
      <c r="X2716" s="2"/>
      <c r="Y2716" s="7"/>
      <c r="Z2716" s="2"/>
      <c r="AA2716" s="1"/>
      <c r="AC2716" s="2"/>
      <c r="AE2716" s="1"/>
      <c r="AG2716" s="2"/>
    </row>
    <row r="2717" spans="12:33" ht="49.95" customHeight="1" x14ac:dyDescent="0.3">
      <c r="L2717" s="2"/>
      <c r="M2717" s="2"/>
      <c r="N2717" s="2">
        <v>8724</v>
      </c>
      <c r="O2717" s="1" t="s">
        <v>5609</v>
      </c>
      <c r="P2717" s="16">
        <v>46225</v>
      </c>
      <c r="Q2717" s="2" t="s">
        <v>3286</v>
      </c>
      <c r="R2717" s="2">
        <f>VLOOKUP(SALIDAS111518[[#This Row],[CÓDIGO]],PRODUCTOS31316[],2,FALSE)</f>
        <v>0</v>
      </c>
      <c r="S2717" s="1" t="str">
        <f>VLOOKUP(SALIDAS111518[[#This Row],[CÓDIGO]],PRODUCTOS31316[],3,FALSE)</f>
        <v>CARCASA TABLET BMV</v>
      </c>
      <c r="T2717" s="2">
        <v>1</v>
      </c>
      <c r="U2717" s="2"/>
      <c r="V2717" s="2"/>
      <c r="W2717" s="2"/>
      <c r="X2717" s="2"/>
      <c r="Y2717" s="7"/>
      <c r="Z2717" s="2"/>
      <c r="AA2717" s="1"/>
      <c r="AC2717" s="2"/>
      <c r="AE2717" s="1"/>
      <c r="AG2717" s="2"/>
    </row>
    <row r="2718" spans="12:33" ht="49.95" customHeight="1" x14ac:dyDescent="0.3">
      <c r="L2718" s="2"/>
      <c r="M2718" s="2"/>
      <c r="N2718" s="2">
        <v>8724</v>
      </c>
      <c r="O2718" s="390" t="s">
        <v>5609</v>
      </c>
      <c r="P2718" s="16">
        <v>46225</v>
      </c>
      <c r="Q2718" s="2" t="s">
        <v>3095</v>
      </c>
      <c r="R2718" s="2">
        <f>VLOOKUP(SALIDAS111518[[#This Row],[CÓDIGO]],PRODUCTOS31316[],2,FALSE)</f>
        <v>0</v>
      </c>
      <c r="S2718" s="1" t="str">
        <f>VLOOKUP(SALIDAS111518[[#This Row],[CÓDIGO]],PRODUCTOS31316[],3,FALSE)</f>
        <v>GORRA MAS CAMPO</v>
      </c>
      <c r="T2718" s="2">
        <v>1</v>
      </c>
      <c r="U2718" s="2"/>
      <c r="V2718" s="2"/>
      <c r="W2718" s="2"/>
      <c r="X2718" s="125"/>
      <c r="Y2718" s="7"/>
      <c r="Z2718" s="2"/>
      <c r="AA2718" s="1"/>
      <c r="AC2718" s="2"/>
      <c r="AE2718" s="1"/>
      <c r="AG2718" s="2"/>
    </row>
    <row r="2719" spans="12:33" ht="49.95" customHeight="1" x14ac:dyDescent="0.3">
      <c r="L2719" s="391" t="s">
        <v>3520</v>
      </c>
      <c r="M2719" s="391" t="s">
        <v>5071</v>
      </c>
      <c r="N2719" s="390" t="s">
        <v>5616</v>
      </c>
      <c r="O2719" s="391" t="s">
        <v>2213</v>
      </c>
      <c r="P2719" s="16">
        <v>46225</v>
      </c>
      <c r="Q2719" s="391" t="s">
        <v>3142</v>
      </c>
      <c r="R2719" s="2">
        <f>VLOOKUP(SALIDAS111518[[#This Row],[CÓDIGO]],PRODUCTOS31316[],2,FALSE)</f>
        <v>16301</v>
      </c>
      <c r="S2719" s="1" t="str">
        <f>VLOOKUP(SALIDAS111518[[#This Row],[CÓDIGO]],PRODUCTOS31316[],3,FALSE)</f>
        <v>PISTOLA DE TRANSFERENCIA DE EMBRIONES 0,25 DE MANGO DE ALUMINIO</v>
      </c>
      <c r="T2719" s="2">
        <v>1</v>
      </c>
      <c r="U2719" s="2">
        <v>1167</v>
      </c>
      <c r="V2719" s="2"/>
      <c r="W2719" s="2"/>
      <c r="X2719" s="2"/>
      <c r="Y2719" s="7"/>
      <c r="Z2719" s="2"/>
      <c r="AA2719" s="1"/>
      <c r="AC2719" s="2"/>
      <c r="AE2719" s="1"/>
      <c r="AG2719" s="2"/>
    </row>
    <row r="2720" spans="12:33" ht="49.95" customHeight="1" x14ac:dyDescent="0.3">
      <c r="L2720" s="391" t="s">
        <v>3520</v>
      </c>
      <c r="M2720" s="391" t="s">
        <v>5071</v>
      </c>
      <c r="N2720" s="394" t="s">
        <v>5642</v>
      </c>
      <c r="O2720" s="390" t="s">
        <v>3162</v>
      </c>
      <c r="P2720" s="16">
        <v>46225</v>
      </c>
      <c r="Q2720" s="391" t="s">
        <v>5618</v>
      </c>
      <c r="R2720" s="2">
        <f>VLOOKUP(SALIDAS111518[[#This Row],[CÓDIGO]],PRODUCTOS31316[],2,FALSE)</f>
        <v>0</v>
      </c>
      <c r="S2720" s="1" t="str">
        <f>VLOOKUP(SALIDAS111518[[#This Row],[CÓDIGO]],PRODUCTOS31316[],3,FALSE)</f>
        <v>GAFAS ECOGRAFO CTS 800</v>
      </c>
      <c r="T2720" s="2">
        <v>1</v>
      </c>
      <c r="U2720" s="393" t="s">
        <v>5641</v>
      </c>
      <c r="V2720" s="2"/>
      <c r="W2720" s="2"/>
      <c r="X2720" s="2"/>
      <c r="Y2720" s="7"/>
      <c r="Z2720" s="2"/>
      <c r="AA2720" s="1"/>
      <c r="AC2720" s="2"/>
      <c r="AE2720" s="1"/>
      <c r="AG2720" s="2"/>
    </row>
    <row r="2721" spans="12:33" ht="49.95" customHeight="1" x14ac:dyDescent="0.3">
      <c r="L2721" s="391" t="s">
        <v>3521</v>
      </c>
      <c r="M2721" s="391" t="s">
        <v>5071</v>
      </c>
      <c r="N2721" s="390" t="s">
        <v>5623</v>
      </c>
      <c r="O2721" s="391" t="s">
        <v>5617</v>
      </c>
      <c r="P2721" s="16">
        <v>46225</v>
      </c>
      <c r="Q2721" s="391" t="s">
        <v>3393</v>
      </c>
      <c r="R2721" s="2">
        <f>VLOOKUP(SALIDAS111518[[#This Row],[CÓDIGO]],PRODUCTOS31316[],2,FALSE)</f>
        <v>17026</v>
      </c>
      <c r="S2721" s="1" t="str">
        <f>VLOOKUP(SALIDAS111518[[#This Row],[CÓDIGO]],PRODUCTOS31316[],3,FALSE)</f>
        <v>PISTOLA DE INSEMINACION QUICKLOCK 2000 MINITUBE</v>
      </c>
      <c r="T2721" s="2">
        <v>1</v>
      </c>
      <c r="U2721" s="2">
        <v>1169</v>
      </c>
      <c r="V2721" s="2"/>
      <c r="W2721" s="2"/>
      <c r="X2721" s="2"/>
      <c r="Y2721" s="7"/>
      <c r="Z2721" s="2"/>
      <c r="AA2721" s="1"/>
      <c r="AC2721" s="2"/>
      <c r="AE2721" s="1"/>
      <c r="AG2721" s="2"/>
    </row>
    <row r="2722" spans="12:33" ht="49.95" customHeight="1" x14ac:dyDescent="0.3">
      <c r="L2722" s="2"/>
      <c r="M2722" s="2"/>
      <c r="N2722" s="2">
        <v>8725</v>
      </c>
      <c r="O2722" s="391" t="s">
        <v>5617</v>
      </c>
      <c r="P2722" s="16">
        <v>46225</v>
      </c>
      <c r="Q2722" s="391" t="s">
        <v>2364</v>
      </c>
      <c r="R2722" s="2">
        <f>VLOOKUP(SALIDAS111518[[#This Row],[CÓDIGO]],PRODUCTOS31316[],2,FALSE)</f>
        <v>0</v>
      </c>
      <c r="S2722" s="1" t="str">
        <f>VLOOKUP(SALIDAS111518[[#This Row],[CÓDIGO]],PRODUCTOS31316[],3,FALSE)</f>
        <v>CORTAPAJILLAS WTA</v>
      </c>
      <c r="T2722" s="2">
        <v>1</v>
      </c>
      <c r="U2722" s="2"/>
      <c r="V2722" s="2"/>
      <c r="W2722" s="2"/>
      <c r="X2722" s="2"/>
      <c r="Y2722" s="7"/>
      <c r="Z2722" s="2"/>
      <c r="AA2722" s="1"/>
      <c r="AC2722" s="2"/>
      <c r="AE2722" s="1"/>
      <c r="AG2722" s="2"/>
    </row>
    <row r="2723" spans="12:33" ht="49.95" customHeight="1" x14ac:dyDescent="0.3">
      <c r="L2723" s="391" t="s">
        <v>3520</v>
      </c>
      <c r="M2723" s="391" t="s">
        <v>5071</v>
      </c>
      <c r="N2723" s="394" t="s">
        <v>5637</v>
      </c>
      <c r="O2723" s="394" t="s">
        <v>5622</v>
      </c>
      <c r="P2723" s="16">
        <v>46225</v>
      </c>
      <c r="Q2723" s="391" t="s">
        <v>47</v>
      </c>
      <c r="R2723" s="2">
        <f>VLOOKUP(SALIDAS111518[[#This Row],[CÓDIGO]],PRODUCTOS31316[],2,FALSE)</f>
        <v>1135</v>
      </c>
      <c r="S2723" s="1" t="str">
        <f>VLOOKUP(SALIDAS111518[[#This Row],[CÓDIGO]],PRODUCTOS31316[],3,FALSE)</f>
        <v>TRILADYL</v>
      </c>
      <c r="T2723" s="2">
        <v>1</v>
      </c>
      <c r="U2723" s="393" t="s">
        <v>5636</v>
      </c>
      <c r="V2723" s="2"/>
      <c r="W2723" s="2"/>
      <c r="X2723" s="2"/>
      <c r="Y2723" s="7"/>
      <c r="Z2723" s="2"/>
      <c r="AA2723" s="1"/>
      <c r="AC2723" s="2"/>
      <c r="AE2723" s="1"/>
      <c r="AG2723" s="2"/>
    </row>
    <row r="2724" spans="12:33" ht="49.95" customHeight="1" x14ac:dyDescent="0.3">
      <c r="L2724" s="391" t="s">
        <v>3520</v>
      </c>
      <c r="M2724" s="391" t="s">
        <v>5071</v>
      </c>
      <c r="N2724" s="394" t="s">
        <v>5638</v>
      </c>
      <c r="O2724" s="391" t="s">
        <v>2733</v>
      </c>
      <c r="P2724" s="16">
        <v>46226</v>
      </c>
      <c r="Q2724" s="391" t="s">
        <v>2253</v>
      </c>
      <c r="R2724" s="2">
        <f>VLOOKUP(SALIDAS111518[[#This Row],[CÓDIGO]],PRODUCTOS31316[],2,FALSE)</f>
        <v>26218</v>
      </c>
      <c r="S2724" s="1" t="str">
        <f>VLOOKUP(SALIDAS111518[[#This Row],[CÓDIGO]],PRODUCTOS31316[],3,FALSE)</f>
        <v>OPTIXCELL 250 ML</v>
      </c>
      <c r="T2724" s="2">
        <v>1</v>
      </c>
      <c r="U2724" s="2">
        <v>1174</v>
      </c>
      <c r="V2724" s="2"/>
      <c r="W2724" s="2"/>
      <c r="X2724" s="2"/>
      <c r="Y2724" s="7"/>
      <c r="Z2724" s="2"/>
      <c r="AA2724" s="1"/>
      <c r="AC2724" s="2"/>
      <c r="AE2724" s="1"/>
      <c r="AG2724" s="2"/>
    </row>
    <row r="2725" spans="12:33" ht="49.95" customHeight="1" x14ac:dyDescent="0.3">
      <c r="L2725" s="391" t="s">
        <v>3520</v>
      </c>
      <c r="M2725" s="391" t="s">
        <v>5071</v>
      </c>
      <c r="N2725" s="412" t="s">
        <v>5759</v>
      </c>
      <c r="O2725" s="413" t="s">
        <v>5630</v>
      </c>
      <c r="P2725" s="16">
        <v>46226</v>
      </c>
      <c r="Q2725" s="391" t="s">
        <v>36</v>
      </c>
      <c r="R2725" s="2">
        <f>VLOOKUP(SALIDAS111518[[#This Row],[CÓDIGO]],PRODUCTOS31316[],2,FALSE)</f>
        <v>1</v>
      </c>
      <c r="S2725" s="1" t="str">
        <f>VLOOKUP(SALIDAS111518[[#This Row],[CÓDIGO]],PRODUCTOS31316[],3,FALSE)</f>
        <v xml:space="preserve">PARCHE ESTROTECT </v>
      </c>
      <c r="T2725" s="2">
        <v>60</v>
      </c>
      <c r="U2725" s="415" t="s">
        <v>5758</v>
      </c>
      <c r="V2725" s="2"/>
      <c r="W2725" s="2"/>
      <c r="X2725" s="2"/>
      <c r="Y2725" s="7"/>
      <c r="Z2725" s="2"/>
      <c r="AA2725" s="1"/>
      <c r="AC2725" s="2"/>
      <c r="AE2725" s="1"/>
      <c r="AG2725" s="2"/>
    </row>
    <row r="2726" spans="12:33" ht="49.95" customHeight="1" x14ac:dyDescent="0.3">
      <c r="L2726" s="391" t="s">
        <v>3520</v>
      </c>
      <c r="M2726" s="391" t="s">
        <v>5071</v>
      </c>
      <c r="N2726" s="394" t="s">
        <v>5645</v>
      </c>
      <c r="O2726" s="394" t="s">
        <v>2379</v>
      </c>
      <c r="P2726" s="16">
        <v>46225</v>
      </c>
      <c r="Q2726" s="393" t="s">
        <v>5098</v>
      </c>
      <c r="R2726" s="2">
        <f>VLOOKUP(SALIDAS111518[[#This Row],[CÓDIGO]],PRODUCTOS31316[],2,FALSE)</f>
        <v>0</v>
      </c>
      <c r="S2726" s="1" t="str">
        <f>VLOOKUP(SALIDAS111518[[#This Row],[CÓDIGO]],PRODUCTOS31316[],3,FALSE)</f>
        <v>FUNDA DE TRANSFERENCIA DE EMBRIONES 0.25 PUNTA PLÁSTICA MARCA TED</v>
      </c>
      <c r="T2726" s="2">
        <v>4</v>
      </c>
      <c r="U2726" s="2">
        <v>1179</v>
      </c>
      <c r="V2726" s="2"/>
      <c r="W2726" s="2"/>
      <c r="X2726" s="2"/>
      <c r="Y2726" s="7"/>
      <c r="Z2726" s="2"/>
      <c r="AA2726" s="1"/>
      <c r="AC2726" s="2"/>
      <c r="AE2726" s="1"/>
      <c r="AG2726" s="2"/>
    </row>
    <row r="2727" spans="12:33" ht="49.95" customHeight="1" x14ac:dyDescent="0.3">
      <c r="L2727" s="2"/>
      <c r="M2727" s="2"/>
      <c r="N2727" s="2">
        <v>8734</v>
      </c>
      <c r="O2727" s="394" t="s">
        <v>2379</v>
      </c>
      <c r="P2727" s="16">
        <v>46225</v>
      </c>
      <c r="Q2727" s="393" t="s">
        <v>2755</v>
      </c>
      <c r="R2727" s="2" t="str">
        <f>VLOOKUP(SALIDAS111518[[#This Row],[CÓDIGO]],PRODUCTOS31316[],2,FALSE)</f>
        <v>MSLDO05</v>
      </c>
      <c r="S2727" s="1" t="str">
        <f>VLOOKUP(SALIDAS111518[[#This Row],[CÓDIGO]],PRODUCTOS31316[],3,FALSE)</f>
        <v>TERMO DE RECOLECCIÓN DE SEMEN/ USO VETERINARIO</v>
      </c>
      <c r="T2727" s="2">
        <v>1</v>
      </c>
      <c r="U2727" s="2"/>
      <c r="V2727" s="2"/>
      <c r="W2727" s="2"/>
      <c r="X2727" s="2"/>
      <c r="Y2727" s="7"/>
      <c r="Z2727" s="2"/>
      <c r="AA2727" s="1"/>
      <c r="AC2727" s="2"/>
      <c r="AE2727" s="1"/>
      <c r="AG2727" s="2"/>
    </row>
    <row r="2728" spans="12:33" ht="49.95" customHeight="1" x14ac:dyDescent="0.3">
      <c r="L2728" s="2"/>
      <c r="M2728" s="2"/>
      <c r="N2728" s="2">
        <v>8734</v>
      </c>
      <c r="O2728" s="394" t="s">
        <v>2379</v>
      </c>
      <c r="P2728" s="16">
        <v>46225</v>
      </c>
      <c r="Q2728" s="393" t="s">
        <v>36</v>
      </c>
      <c r="R2728" s="2">
        <f>VLOOKUP(SALIDAS111518[[#This Row],[CÓDIGO]],PRODUCTOS31316[],2,FALSE)</f>
        <v>1</v>
      </c>
      <c r="S2728" s="1" t="str">
        <f>VLOOKUP(SALIDAS111518[[#This Row],[CÓDIGO]],PRODUCTOS31316[],3,FALSE)</f>
        <v xml:space="preserve">PARCHE ESTROTECT </v>
      </c>
      <c r="T2728" s="2">
        <v>1</v>
      </c>
      <c r="U2728" s="2"/>
      <c r="V2728" s="2"/>
      <c r="W2728" s="2"/>
      <c r="X2728" s="2"/>
      <c r="Y2728" s="7"/>
      <c r="Z2728" s="2"/>
      <c r="AA2728" s="1"/>
      <c r="AC2728" s="2"/>
      <c r="AE2728" s="1"/>
      <c r="AG2728" s="2"/>
    </row>
    <row r="2729" spans="12:33" ht="49.95" customHeight="1" x14ac:dyDescent="0.3">
      <c r="L2729" s="391" t="s">
        <v>3520</v>
      </c>
      <c r="M2729" s="391" t="s">
        <v>5071</v>
      </c>
      <c r="N2729" s="394" t="s">
        <v>5640</v>
      </c>
      <c r="O2729" s="394" t="s">
        <v>3195</v>
      </c>
      <c r="P2729" s="16">
        <v>46226</v>
      </c>
      <c r="Q2729" s="393" t="s">
        <v>5098</v>
      </c>
      <c r="R2729" s="2">
        <f>VLOOKUP(SALIDAS111518[[#This Row],[CÓDIGO]],PRODUCTOS31316[],2,FALSE)</f>
        <v>0</v>
      </c>
      <c r="S2729" s="1" t="str">
        <f>VLOOKUP(SALIDAS111518[[#This Row],[CÓDIGO]],PRODUCTOS31316[],3,FALSE)</f>
        <v>FUNDA DE TRANSFERENCIA DE EMBRIONES 0.25 PUNTA PLÁSTICA MARCA TED</v>
      </c>
      <c r="T2729" s="2">
        <v>40</v>
      </c>
      <c r="U2729" s="393" t="s">
        <v>5639</v>
      </c>
      <c r="V2729" s="2"/>
      <c r="W2729" s="2"/>
      <c r="X2729" s="2"/>
      <c r="Y2729" s="7"/>
      <c r="Z2729" s="2"/>
      <c r="AA2729" s="1"/>
      <c r="AC2729" s="2"/>
      <c r="AE2729" s="1"/>
      <c r="AG2729" s="2"/>
    </row>
    <row r="2730" spans="12:33" ht="49.95" customHeight="1" x14ac:dyDescent="0.3">
      <c r="L2730" s="2"/>
      <c r="M2730" s="2"/>
      <c r="N2730" s="2">
        <v>8731</v>
      </c>
      <c r="O2730" s="394" t="s">
        <v>3195</v>
      </c>
      <c r="P2730" s="16">
        <v>46226</v>
      </c>
      <c r="Q2730" s="393" t="s">
        <v>1779</v>
      </c>
      <c r="R2730" s="2">
        <f>VLOOKUP(SALIDAS111518[[#This Row],[CÓDIGO]],PRODUCTOS31316[],2,FALSE)</f>
        <v>5563</v>
      </c>
      <c r="S2730" s="1" t="str">
        <f>VLOOKUP(SALIDAS111518[[#This Row],[CÓDIGO]],PRODUCTOS31316[],3,FALSE)</f>
        <v>CAMISA SANITARIA ROLLO X 80</v>
      </c>
      <c r="T2730" s="2">
        <v>3</v>
      </c>
      <c r="U2730" s="2"/>
      <c r="V2730" s="2"/>
      <c r="W2730" s="2"/>
      <c r="X2730" s="2"/>
      <c r="Y2730" s="7"/>
      <c r="Z2730" s="2"/>
      <c r="AA2730" s="1"/>
      <c r="AC2730" s="2"/>
      <c r="AE2730" s="1"/>
      <c r="AG2730" s="2"/>
    </row>
    <row r="2731" spans="12:33" ht="49.95" customHeight="1" x14ac:dyDescent="0.3">
      <c r="L2731" s="391" t="s">
        <v>3520</v>
      </c>
      <c r="M2731" s="391" t="s">
        <v>5071</v>
      </c>
      <c r="N2731" s="394" t="s">
        <v>5644</v>
      </c>
      <c r="O2731" s="393" t="s">
        <v>3159</v>
      </c>
      <c r="P2731" s="16">
        <v>46226</v>
      </c>
      <c r="Q2731" s="393" t="s">
        <v>5098</v>
      </c>
      <c r="R2731" s="2">
        <f>VLOOKUP(SALIDAS111518[[#This Row],[CÓDIGO]],PRODUCTOS31316[],2,FALSE)</f>
        <v>0</v>
      </c>
      <c r="S2731" s="1" t="str">
        <f>VLOOKUP(SALIDAS111518[[#This Row],[CÓDIGO]],PRODUCTOS31316[],3,FALSE)</f>
        <v>FUNDA DE TRANSFERENCIA DE EMBRIONES 0.25 PUNTA PLÁSTICA MARCA TED</v>
      </c>
      <c r="T2731" s="2">
        <v>400</v>
      </c>
      <c r="U2731" s="393" t="s">
        <v>5643</v>
      </c>
      <c r="V2731" s="2"/>
      <c r="W2731" s="2"/>
      <c r="X2731" s="2"/>
      <c r="Y2731" s="7"/>
      <c r="Z2731" s="2"/>
      <c r="AA2731" s="1"/>
      <c r="AC2731" s="2"/>
      <c r="AE2731" s="1"/>
      <c r="AG2731" s="2"/>
    </row>
    <row r="2732" spans="12:33" ht="49.95" customHeight="1" x14ac:dyDescent="0.3">
      <c r="L2732" s="393" t="s">
        <v>3521</v>
      </c>
      <c r="M2732" s="393" t="s">
        <v>5071</v>
      </c>
      <c r="N2732" s="394" t="s">
        <v>5647</v>
      </c>
      <c r="O2732" s="393" t="s">
        <v>5646</v>
      </c>
      <c r="P2732" s="16">
        <v>46226</v>
      </c>
      <c r="Q2732" s="393" t="s">
        <v>2253</v>
      </c>
      <c r="R2732" s="2">
        <f>VLOOKUP(SALIDAS111518[[#This Row],[CÓDIGO]],PRODUCTOS31316[],2,FALSE)</f>
        <v>26218</v>
      </c>
      <c r="S2732" s="1" t="str">
        <f>VLOOKUP(SALIDAS111518[[#This Row],[CÓDIGO]],PRODUCTOS31316[],3,FALSE)</f>
        <v>OPTIXCELL 250 ML</v>
      </c>
      <c r="T2732" s="2">
        <v>1</v>
      </c>
      <c r="U2732" s="2">
        <v>1180</v>
      </c>
      <c r="V2732" s="2"/>
      <c r="W2732" s="2"/>
      <c r="X2732" s="2"/>
      <c r="Y2732" s="7"/>
      <c r="Z2732" s="2"/>
      <c r="AA2732" s="1"/>
      <c r="AC2732" s="2"/>
      <c r="AE2732" s="1"/>
      <c r="AG2732" s="2"/>
    </row>
    <row r="2733" spans="12:33" ht="49.95" customHeight="1" x14ac:dyDescent="0.3">
      <c r="L2733" s="393" t="s">
        <v>3521</v>
      </c>
      <c r="M2733" s="393" t="s">
        <v>5071</v>
      </c>
      <c r="N2733" s="1" t="s">
        <v>5656</v>
      </c>
      <c r="O2733" s="393" t="s">
        <v>3609</v>
      </c>
      <c r="P2733" s="16">
        <v>46227</v>
      </c>
      <c r="Q2733" s="393" t="s">
        <v>648</v>
      </c>
      <c r="R2733" s="2" t="str">
        <f>VLOOKUP(SALIDAS111518[[#This Row],[CÓDIGO]],PRODUCTOS31316[],2,FALSE)</f>
        <v>S5</v>
      </c>
      <c r="S2733" s="1" t="str">
        <f>VLOOKUP(SALIDAS111518[[#This Row],[CÓDIGO]],PRODUCTOS31316[],3,FALSE)</f>
        <v>SONDA S5 UNIDAD PRINCIPAL CON SONDA LINEAL RECTAL</v>
      </c>
      <c r="T2733" s="2">
        <v>3</v>
      </c>
      <c r="U2733" s="2" t="s">
        <v>5657</v>
      </c>
      <c r="V2733" s="2"/>
      <c r="W2733" s="393" t="s">
        <v>3194</v>
      </c>
      <c r="X2733" s="2"/>
      <c r="Y2733" s="7"/>
      <c r="Z2733" s="2"/>
      <c r="AA2733" s="1"/>
      <c r="AC2733" s="2"/>
      <c r="AE2733" s="1"/>
      <c r="AG2733" s="2"/>
    </row>
    <row r="2734" spans="12:33" ht="49.95" customHeight="1" x14ac:dyDescent="0.3">
      <c r="L2734" s="2"/>
      <c r="M2734" s="2"/>
      <c r="N2734" s="2">
        <v>8739</v>
      </c>
      <c r="O2734" s="393" t="s">
        <v>3609</v>
      </c>
      <c r="P2734" s="16">
        <v>46227</v>
      </c>
      <c r="Q2734" s="393" t="s">
        <v>5083</v>
      </c>
      <c r="R2734" s="2">
        <f>VLOOKUP(SALIDAS111518[[#This Row],[CÓDIGO]],PRODUCTOS31316[],2,FALSE)</f>
        <v>0</v>
      </c>
      <c r="S2734" s="1" t="str">
        <f>VLOOKUP(SALIDAS111518[[#This Row],[CÓDIGO]],PRODUCTOS31316[],3,FALSE)</f>
        <v>TABLET SANSUNG GALAXY TAB A11+</v>
      </c>
      <c r="T2734" s="2">
        <v>3</v>
      </c>
      <c r="U2734" s="2"/>
      <c r="V2734" s="2"/>
      <c r="W2734" s="2"/>
      <c r="X2734" s="2"/>
      <c r="Y2734" s="7"/>
      <c r="Z2734" s="2"/>
      <c r="AA2734" s="1"/>
      <c r="AC2734" s="2"/>
      <c r="AE2734" s="1"/>
      <c r="AG2734" s="2"/>
    </row>
    <row r="2735" spans="12:33" ht="49.95" customHeight="1" x14ac:dyDescent="0.3">
      <c r="L2735" s="2"/>
      <c r="M2735" s="2"/>
      <c r="N2735" s="2">
        <v>8739</v>
      </c>
      <c r="O2735" s="393" t="s">
        <v>3609</v>
      </c>
      <c r="P2735" s="16">
        <v>46227</v>
      </c>
      <c r="Q2735" s="393" t="s">
        <v>3286</v>
      </c>
      <c r="R2735" s="2">
        <f>VLOOKUP(SALIDAS111518[[#This Row],[CÓDIGO]],PRODUCTOS31316[],2,FALSE)</f>
        <v>0</v>
      </c>
      <c r="S2735" s="1" t="str">
        <f>VLOOKUP(SALIDAS111518[[#This Row],[CÓDIGO]],PRODUCTOS31316[],3,FALSE)</f>
        <v>CARCASA TABLET BMV</v>
      </c>
      <c r="T2735" s="2">
        <v>3</v>
      </c>
      <c r="U2735" s="2"/>
      <c r="V2735" s="2"/>
      <c r="W2735" s="2"/>
      <c r="X2735" s="2"/>
      <c r="Y2735" s="7"/>
      <c r="Z2735" s="2"/>
      <c r="AA2735" s="1"/>
      <c r="AC2735" s="2"/>
      <c r="AE2735" s="1"/>
      <c r="AG2735" s="2"/>
    </row>
    <row r="2736" spans="12:33" ht="49.95" customHeight="1" x14ac:dyDescent="0.3">
      <c r="L2736" s="2"/>
      <c r="M2736" s="2"/>
      <c r="N2736" s="2">
        <v>8739</v>
      </c>
      <c r="O2736" s="393" t="s">
        <v>3609</v>
      </c>
      <c r="P2736" s="16">
        <v>46227</v>
      </c>
      <c r="Q2736" s="393" t="s">
        <v>3095</v>
      </c>
      <c r="R2736" s="2">
        <f>VLOOKUP(SALIDAS111518[[#This Row],[CÓDIGO]],PRODUCTOS31316[],2,FALSE)</f>
        <v>0</v>
      </c>
      <c r="S2736" s="1" t="str">
        <f>VLOOKUP(SALIDAS111518[[#This Row],[CÓDIGO]],PRODUCTOS31316[],3,FALSE)</f>
        <v>GORRA MAS CAMPO</v>
      </c>
      <c r="T2736" s="2">
        <v>3</v>
      </c>
      <c r="U2736" s="2"/>
      <c r="V2736" s="2"/>
      <c r="W2736" s="2"/>
      <c r="X2736" s="2"/>
      <c r="Y2736" s="7"/>
      <c r="Z2736" s="2"/>
      <c r="AA2736" s="1"/>
      <c r="AC2736" s="2"/>
      <c r="AE2736" s="1"/>
      <c r="AG2736" s="2"/>
    </row>
    <row r="2737" spans="12:33" ht="49.95" customHeight="1" x14ac:dyDescent="0.3">
      <c r="L2737" s="391" t="s">
        <v>3520</v>
      </c>
      <c r="M2737" s="391" t="s">
        <v>5071</v>
      </c>
      <c r="N2737" s="394" t="s">
        <v>5648</v>
      </c>
      <c r="O2737" s="393" t="s">
        <v>2706</v>
      </c>
      <c r="P2737" s="16">
        <v>46226</v>
      </c>
      <c r="Q2737" s="393" t="s">
        <v>247</v>
      </c>
      <c r="R2737" s="2">
        <f>VLOOKUP(SALIDAS111518[[#This Row],[CÓDIGO]],PRODUCTOS31316[],2,FALSE)</f>
        <v>352054</v>
      </c>
      <c r="S2737" s="1" t="str">
        <f>VLOOKUP(SALIDAS111518[[#This Row],[CÓDIGO]],PRODUCTOS31316[],3,FALSE)</f>
        <v>TUBO DE FONDO REDONDO DE 5ML 12X75MM , POLIESTIRENO</v>
      </c>
      <c r="T2737" s="2">
        <v>2</v>
      </c>
      <c r="U2737" s="393" t="s">
        <v>5649</v>
      </c>
      <c r="V2737" s="2"/>
      <c r="W2737" s="2"/>
      <c r="X2737" s="2"/>
      <c r="Y2737" s="7"/>
      <c r="Z2737" s="2"/>
      <c r="AA2737" s="1"/>
      <c r="AC2737" s="2"/>
      <c r="AE2737" s="1"/>
      <c r="AG2737" s="2"/>
    </row>
    <row r="2738" spans="12:33" ht="49.95" customHeight="1" x14ac:dyDescent="0.3">
      <c r="L2738" s="2"/>
      <c r="M2738" s="2"/>
      <c r="N2738" s="2">
        <v>8736</v>
      </c>
      <c r="O2738" s="393" t="s">
        <v>2706</v>
      </c>
      <c r="P2738" s="16">
        <v>46226</v>
      </c>
      <c r="Q2738" s="393" t="s">
        <v>272</v>
      </c>
      <c r="R2738" s="2">
        <f>VLOOKUP(SALIDAS111518[[#This Row],[CÓDIGO]],PRODUCTOS31316[],2,FALSE)</f>
        <v>627161</v>
      </c>
      <c r="S2738" s="1" t="str">
        <f>VLOOKUP(SALIDAS111518[[#This Row],[CÓDIGO]],PRODUCTOS31316[],3,FALSE)</f>
        <v xml:space="preserve">CAJA PETRI 35X10 ESTERIL </v>
      </c>
      <c r="T2738" s="2">
        <v>10</v>
      </c>
      <c r="U2738" s="2"/>
      <c r="V2738" s="2"/>
      <c r="W2738" s="2"/>
      <c r="X2738" s="2"/>
      <c r="Y2738" s="7"/>
      <c r="Z2738" s="2"/>
      <c r="AA2738" s="1"/>
      <c r="AC2738" s="2"/>
      <c r="AE2738" s="1"/>
      <c r="AG2738" s="2"/>
    </row>
    <row r="2739" spans="12:33" ht="49.95" customHeight="1" x14ac:dyDescent="0.3">
      <c r="L2739" s="2"/>
      <c r="M2739" s="2"/>
      <c r="N2739" s="2">
        <v>8736</v>
      </c>
      <c r="O2739" s="393" t="s">
        <v>2706</v>
      </c>
      <c r="P2739" s="16">
        <v>46226</v>
      </c>
      <c r="Q2739" s="393" t="s">
        <v>602</v>
      </c>
      <c r="R2739" s="2">
        <f>VLOOKUP(SALIDAS111518[[#This Row],[CÓDIGO]],PRODUCTOS31316[],2,FALSE)</f>
        <v>4845</v>
      </c>
      <c r="S2739" s="1" t="str">
        <f>VLOOKUP(SALIDAS111518[[#This Row],[CÓDIGO]],PRODUCTOS31316[],3,FALSE)</f>
        <v>PUNTAS AMARILLAS, UNIVERSALES. PLASTICAS, NO ESTERIL. LIBRES DE RNASE, DNASE Y PYROGENOS. RANGO DE 1-200UL. BOLSA X1000UDS.</v>
      </c>
      <c r="T2739" s="2">
        <v>2</v>
      </c>
      <c r="U2739" s="2"/>
      <c r="V2739" s="2"/>
      <c r="W2739" s="2"/>
      <c r="X2739" s="2"/>
      <c r="Y2739" s="7"/>
      <c r="Z2739" s="2"/>
      <c r="AA2739" s="1"/>
      <c r="AC2739" s="2"/>
      <c r="AE2739" s="1"/>
      <c r="AG2739" s="2"/>
    </row>
    <row r="2740" spans="12:33" ht="49.95" customHeight="1" x14ac:dyDescent="0.3">
      <c r="L2740" s="2"/>
      <c r="M2740" s="2"/>
      <c r="N2740" s="2">
        <v>8736</v>
      </c>
      <c r="O2740" s="393" t="s">
        <v>2706</v>
      </c>
      <c r="P2740" s="16">
        <v>46226</v>
      </c>
      <c r="Q2740" s="393" t="s">
        <v>3397</v>
      </c>
      <c r="R2740" s="2">
        <f>VLOOKUP(SALIDAS111518[[#This Row],[CÓDIGO]],PRODUCTOS31316[],2,FALSE)</f>
        <v>13407</v>
      </c>
      <c r="S2740" s="1" t="str">
        <f>VLOOKUP(SALIDAS111518[[#This Row],[CÓDIGO]],PRODUCTOS31316[],3,FALSE)</f>
        <v>PAJILLAS TRANSPARENTES 0,25 MINITUBE</v>
      </c>
      <c r="T2740" s="2">
        <v>1</v>
      </c>
      <c r="U2740" s="2"/>
      <c r="V2740" s="2"/>
      <c r="W2740" s="2"/>
      <c r="X2740" s="2"/>
      <c r="Y2740" s="7"/>
      <c r="Z2740" s="2"/>
      <c r="AA2740" s="1"/>
      <c r="AC2740" s="2"/>
      <c r="AE2740" s="1"/>
      <c r="AG2740" s="2"/>
    </row>
    <row r="2741" spans="12:33" ht="49.95" customHeight="1" x14ac:dyDescent="0.3">
      <c r="L2741" s="393" t="s">
        <v>3521</v>
      </c>
      <c r="M2741" s="393" t="s">
        <v>5071</v>
      </c>
      <c r="N2741" s="394" t="s">
        <v>5654</v>
      </c>
      <c r="O2741" s="393" t="s">
        <v>5650</v>
      </c>
      <c r="P2741" s="16">
        <v>46227</v>
      </c>
      <c r="Q2741" s="393" t="s">
        <v>3393</v>
      </c>
      <c r="R2741" s="2">
        <f>VLOOKUP(SALIDAS111518[[#This Row],[CÓDIGO]],PRODUCTOS31316[],2,FALSE)</f>
        <v>17026</v>
      </c>
      <c r="S2741" s="1" t="str">
        <f>VLOOKUP(SALIDAS111518[[#This Row],[CÓDIGO]],PRODUCTOS31316[],3,FALSE)</f>
        <v>PISTOLA DE INSEMINACION QUICKLOCK 2000 MINITUBE</v>
      </c>
      <c r="T2741" s="2">
        <v>1</v>
      </c>
      <c r="U2741" s="2">
        <v>1183</v>
      </c>
      <c r="V2741" s="2"/>
      <c r="W2741" s="2"/>
      <c r="X2741" s="2"/>
      <c r="Y2741" s="7"/>
      <c r="Z2741" s="2"/>
      <c r="AA2741" s="1"/>
      <c r="AC2741" s="2"/>
      <c r="AE2741" s="1"/>
      <c r="AG2741" s="2"/>
    </row>
    <row r="2742" spans="12:33" ht="49.95" customHeight="1" x14ac:dyDescent="0.3">
      <c r="L2742" s="391" t="s">
        <v>3520</v>
      </c>
      <c r="M2742" s="391" t="s">
        <v>5071</v>
      </c>
      <c r="N2742" s="394" t="s">
        <v>5653</v>
      </c>
      <c r="O2742" s="394" t="s">
        <v>5651</v>
      </c>
      <c r="P2742" s="16">
        <v>46227</v>
      </c>
      <c r="Q2742" s="393" t="s">
        <v>369</v>
      </c>
      <c r="R2742" s="2">
        <f>VLOOKUP(SALIDAS111518[[#This Row],[CÓDIGO]],PRODUCTOS31316[],2,FALSE)</f>
        <v>0</v>
      </c>
      <c r="S2742" s="1" t="str">
        <f>VLOOKUP(SALIDAS111518[[#This Row],[CÓDIGO]],PRODUCTOS31316[],3,FALSE)</f>
        <v>FUNDA UNIVERSAL PARA I.A. RANURADA</v>
      </c>
      <c r="T2742" s="2">
        <v>2</v>
      </c>
      <c r="U2742" s="393" t="s">
        <v>5652</v>
      </c>
      <c r="V2742" s="2"/>
      <c r="W2742" s="2"/>
      <c r="X2742" s="2"/>
      <c r="Y2742" s="7"/>
      <c r="Z2742" s="2"/>
      <c r="AA2742" s="1"/>
      <c r="AC2742" s="2"/>
      <c r="AE2742" s="1"/>
      <c r="AG2742" s="2"/>
    </row>
    <row r="2743" spans="12:33" ht="49.95" customHeight="1" x14ac:dyDescent="0.3">
      <c r="L2743" s="2"/>
      <c r="M2743" s="2"/>
      <c r="N2743" s="2">
        <v>8738</v>
      </c>
      <c r="O2743" s="394" t="s">
        <v>2298</v>
      </c>
      <c r="P2743" s="16">
        <v>46227</v>
      </c>
      <c r="Q2743" s="393" t="s">
        <v>47</v>
      </c>
      <c r="R2743" s="2">
        <f>VLOOKUP(SALIDAS111518[[#This Row],[CÓDIGO]],PRODUCTOS31316[],2,FALSE)</f>
        <v>1135</v>
      </c>
      <c r="S2743" s="1" t="str">
        <f>VLOOKUP(SALIDAS111518[[#This Row],[CÓDIGO]],PRODUCTOS31316[],3,FALSE)</f>
        <v>TRILADYL</v>
      </c>
      <c r="T2743" s="2">
        <v>1</v>
      </c>
      <c r="U2743" s="2"/>
      <c r="V2743" s="2"/>
      <c r="W2743" s="2"/>
      <c r="X2743" s="2"/>
      <c r="Y2743" s="7"/>
      <c r="Z2743" s="2"/>
      <c r="AA2743" s="1"/>
      <c r="AC2743" s="2"/>
      <c r="AE2743" s="1"/>
      <c r="AG2743" s="2"/>
    </row>
    <row r="2744" spans="12:33" ht="49.95" customHeight="1" x14ac:dyDescent="0.3">
      <c r="L2744" s="2"/>
      <c r="M2744" s="2"/>
      <c r="N2744" s="2">
        <v>8738</v>
      </c>
      <c r="O2744" s="394" t="s">
        <v>2298</v>
      </c>
      <c r="P2744" s="16">
        <v>46227</v>
      </c>
      <c r="Q2744" s="393" t="s">
        <v>210</v>
      </c>
      <c r="R2744" s="2">
        <f>VLOOKUP(SALIDAS111518[[#This Row],[CÓDIGO]],PRODUCTOS31316[],2,FALSE)</f>
        <v>101257</v>
      </c>
      <c r="S2744" s="1" t="str">
        <f>VLOOKUP(SALIDAS111518[[#This Row],[CÓDIGO]],PRODUCTOS31316[],3,FALSE)</f>
        <v>MANGA DESECHABLE SUPER SENSITIVA</v>
      </c>
      <c r="T2744" s="2">
        <v>3</v>
      </c>
      <c r="U2744" s="2"/>
      <c r="V2744" s="2"/>
      <c r="W2744" s="2"/>
      <c r="X2744" s="2"/>
      <c r="Y2744" s="7"/>
      <c r="Z2744" s="2"/>
      <c r="AA2744" s="1"/>
      <c r="AC2744" s="2"/>
      <c r="AE2744" s="1"/>
      <c r="AG2744" s="2"/>
    </row>
    <row r="2745" spans="12:33" ht="49.95" customHeight="1" x14ac:dyDescent="0.3">
      <c r="L2745" s="2" t="s">
        <v>3521</v>
      </c>
      <c r="M2745" s="2" t="s">
        <v>5071</v>
      </c>
      <c r="N2745" s="1" t="s">
        <v>5708</v>
      </c>
      <c r="O2745" s="395" t="s">
        <v>3389</v>
      </c>
      <c r="P2745" s="16">
        <v>46232</v>
      </c>
      <c r="Q2745" s="395" t="s">
        <v>115</v>
      </c>
      <c r="R2745" s="2" t="str">
        <f>VLOOKUP(SALIDAS111518[[#This Row],[CÓDIGO]],PRODUCTOS31316[],2,FALSE)</f>
        <v>CTS-800</v>
      </c>
      <c r="S2745" s="1" t="str">
        <f>VLOOKUP(SALIDAS111518[[#This Row],[CÓDIGO]],PRODUCTOS31316[],3,FALSE)</f>
        <v>ECOGRAFO SIUI ULTRA SOUND SCANNER WITH L7FCV</v>
      </c>
      <c r="T2745" s="2">
        <v>1</v>
      </c>
      <c r="U2745" s="2">
        <v>1206</v>
      </c>
      <c r="V2745" s="2"/>
      <c r="W2745" s="2"/>
      <c r="X2745" s="2"/>
      <c r="Y2745" s="7"/>
      <c r="Z2745" s="2"/>
      <c r="AA2745" s="1"/>
      <c r="AC2745" s="2"/>
      <c r="AE2745" s="1"/>
      <c r="AG2745" s="2"/>
    </row>
    <row r="2746" spans="12:33" ht="49.95" customHeight="1" x14ac:dyDescent="0.3">
      <c r="L2746" s="2"/>
      <c r="M2746" s="2"/>
      <c r="N2746" s="2">
        <v>8760</v>
      </c>
      <c r="O2746" s="395" t="s">
        <v>3389</v>
      </c>
      <c r="P2746" s="16">
        <v>46232</v>
      </c>
      <c r="Q2746" s="402" t="s">
        <v>36</v>
      </c>
      <c r="R2746" s="2">
        <f>VLOOKUP(SALIDAS111518[[#This Row],[CÓDIGO]],PRODUCTOS31316[],2,FALSE)</f>
        <v>1</v>
      </c>
      <c r="S2746" s="1" t="str">
        <f>VLOOKUP(SALIDAS111518[[#This Row],[CÓDIGO]],PRODUCTOS31316[],3,FALSE)</f>
        <v xml:space="preserve">PARCHE ESTROTECT </v>
      </c>
      <c r="T2746" s="2">
        <v>1</v>
      </c>
      <c r="U2746" s="2"/>
      <c r="V2746" s="2"/>
      <c r="W2746" s="2"/>
      <c r="X2746" s="2"/>
      <c r="Y2746" s="7"/>
      <c r="Z2746" s="2"/>
      <c r="AA2746" s="1"/>
      <c r="AC2746" s="2"/>
      <c r="AE2746" s="1"/>
      <c r="AG2746" s="2"/>
    </row>
    <row r="2747" spans="12:33" ht="49.95" customHeight="1" x14ac:dyDescent="0.3">
      <c r="L2747" s="2"/>
      <c r="M2747" s="2"/>
      <c r="N2747" s="2">
        <v>8760</v>
      </c>
      <c r="O2747" s="402" t="s">
        <v>3389</v>
      </c>
      <c r="P2747" s="16">
        <v>46232</v>
      </c>
      <c r="Q2747" s="402" t="s">
        <v>273</v>
      </c>
      <c r="R2747" s="2">
        <f>VLOOKUP(SALIDAS111518[[#This Row],[CÓDIGO]],PRODUCTOS31316[],2,FALSE)</f>
        <v>1003514</v>
      </c>
      <c r="S2747" s="1" t="str">
        <f>VLOOKUP(SALIDAS111518[[#This Row],[CÓDIGO]],PRODUCTOS31316[],3,FALSE)</f>
        <v>JALEA CONDUCTIVA (GEL ULTRASONICO) GALON X 3785 ML AZUL</v>
      </c>
      <c r="T2747" s="2">
        <v>1</v>
      </c>
      <c r="U2747" s="2"/>
      <c r="V2747" s="2"/>
      <c r="W2747" s="2"/>
      <c r="X2747" s="2"/>
      <c r="Y2747" s="7"/>
      <c r="Z2747" s="2"/>
      <c r="AA2747" s="1"/>
      <c r="AC2747" s="2"/>
      <c r="AE2747" s="1"/>
      <c r="AG2747" s="2"/>
    </row>
    <row r="2748" spans="12:33" ht="49.95" customHeight="1" x14ac:dyDescent="0.3">
      <c r="L2748" s="2" t="s">
        <v>3521</v>
      </c>
      <c r="M2748" s="2" t="s">
        <v>5071</v>
      </c>
      <c r="N2748" s="420" t="s">
        <v>5658</v>
      </c>
      <c r="O2748" s="418" t="s">
        <v>3720</v>
      </c>
      <c r="P2748" s="16">
        <v>46227</v>
      </c>
      <c r="Q2748" s="2" t="s">
        <v>36</v>
      </c>
      <c r="R2748" s="2">
        <f>VLOOKUP(SALIDAS111518[[#This Row],[CÓDIGO]],PRODUCTOS31316[],2,FALSE)</f>
        <v>1</v>
      </c>
      <c r="S2748" s="1" t="str">
        <f>VLOOKUP(SALIDAS111518[[#This Row],[CÓDIGO]],PRODUCTOS31316[],3,FALSE)</f>
        <v xml:space="preserve">PARCHE ESTROTECT </v>
      </c>
      <c r="T2748" s="2">
        <v>1</v>
      </c>
      <c r="U2748" s="2">
        <v>1185</v>
      </c>
      <c r="V2748" s="2"/>
      <c r="W2748" s="2" t="s">
        <v>2823</v>
      </c>
      <c r="X2748" s="2"/>
      <c r="Y2748" s="7"/>
      <c r="Z2748" s="2"/>
      <c r="AA2748" s="1"/>
      <c r="AC2748" s="2"/>
      <c r="AE2748" s="1"/>
      <c r="AG2748" s="2"/>
    </row>
    <row r="2749" spans="12:33" ht="49.95" customHeight="1" x14ac:dyDescent="0.3">
      <c r="L2749" s="2" t="s">
        <v>3521</v>
      </c>
      <c r="M2749" s="2" t="s">
        <v>5071</v>
      </c>
      <c r="N2749" s="420" t="s">
        <v>5659</v>
      </c>
      <c r="O2749" s="418" t="s">
        <v>3139</v>
      </c>
      <c r="P2749" s="16">
        <v>46227</v>
      </c>
      <c r="Q2749" s="2" t="s">
        <v>369</v>
      </c>
      <c r="R2749" s="2">
        <f>VLOOKUP(SALIDAS111518[[#This Row],[CÓDIGO]],PRODUCTOS31316[],2,FALSE)</f>
        <v>0</v>
      </c>
      <c r="S2749" s="1" t="str">
        <f>VLOOKUP(SALIDAS111518[[#This Row],[CÓDIGO]],PRODUCTOS31316[],3,FALSE)</f>
        <v>FUNDA UNIVERSAL PARA I.A. RANURADA</v>
      </c>
      <c r="T2749" s="2">
        <v>5</v>
      </c>
      <c r="U2749" s="2">
        <v>1186</v>
      </c>
      <c r="V2749" s="2"/>
      <c r="W2749" s="2" t="s">
        <v>2823</v>
      </c>
      <c r="X2749" s="2"/>
      <c r="Y2749" s="7"/>
      <c r="Z2749" s="2"/>
      <c r="AA2749" s="1"/>
      <c r="AC2749" s="2"/>
      <c r="AE2749" s="1"/>
      <c r="AG2749" s="2"/>
    </row>
    <row r="2750" spans="12:33" ht="49.95" customHeight="1" x14ac:dyDescent="0.3">
      <c r="L2750" s="2" t="s">
        <v>3520</v>
      </c>
      <c r="M2750" s="2" t="s">
        <v>5071</v>
      </c>
      <c r="N2750" s="396" t="s">
        <v>5662</v>
      </c>
      <c r="O2750" s="2" t="s">
        <v>5655</v>
      </c>
      <c r="P2750" s="16">
        <v>46227</v>
      </c>
      <c r="Q2750" s="2" t="s">
        <v>3398</v>
      </c>
      <c r="R2750" s="2">
        <f>VLOOKUP(SALIDAS111518[[#This Row],[CÓDIGO]],PRODUCTOS31316[],2,FALSE)</f>
        <v>13408</v>
      </c>
      <c r="S2750" s="1" t="str">
        <f>VLOOKUP(SALIDAS111518[[#This Row],[CÓDIGO]],PRODUCTOS31316[],3,FALSE)</f>
        <v>PAJILLAS TRANSPARENTES 0,50 MINITUBE</v>
      </c>
      <c r="T2750" s="2">
        <v>4</v>
      </c>
      <c r="U2750" s="2">
        <v>1188</v>
      </c>
      <c r="V2750" s="2"/>
      <c r="W2750" s="2"/>
      <c r="X2750" s="2"/>
      <c r="Y2750" s="7"/>
      <c r="Z2750" s="2"/>
      <c r="AA2750" s="1"/>
      <c r="AC2750" s="2"/>
      <c r="AE2750" s="1"/>
      <c r="AG2750" s="2"/>
    </row>
    <row r="2751" spans="12:33" ht="49.95" customHeight="1" x14ac:dyDescent="0.3">
      <c r="L2751" s="2"/>
      <c r="M2751" s="2"/>
      <c r="N2751" s="2">
        <v>8743</v>
      </c>
      <c r="O2751" s="395" t="s">
        <v>5655</v>
      </c>
      <c r="P2751" s="16">
        <v>46227</v>
      </c>
      <c r="Q2751" s="2" t="s">
        <v>47</v>
      </c>
      <c r="R2751" s="2">
        <f>VLOOKUP(SALIDAS111518[[#This Row],[CÓDIGO]],PRODUCTOS31316[],2,FALSE)</f>
        <v>1135</v>
      </c>
      <c r="S2751" s="1" t="str">
        <f>VLOOKUP(SALIDAS111518[[#This Row],[CÓDIGO]],PRODUCTOS31316[],3,FALSE)</f>
        <v>TRILADYL</v>
      </c>
      <c r="T2751" s="2">
        <v>4</v>
      </c>
      <c r="U2751" s="31"/>
      <c r="V2751" s="2"/>
      <c r="W2751" s="2"/>
      <c r="X2751" s="2"/>
      <c r="Y2751" s="7"/>
      <c r="Z2751" s="2"/>
      <c r="AA2751" s="1"/>
      <c r="AC2751" s="2"/>
      <c r="AE2751" s="1"/>
      <c r="AG2751" s="2"/>
    </row>
    <row r="2752" spans="12:33" ht="49.95" customHeight="1" x14ac:dyDescent="0.3">
      <c r="L2752" s="2" t="s">
        <v>3520</v>
      </c>
      <c r="M2752" s="2" t="s">
        <v>5071</v>
      </c>
      <c r="N2752" s="150" t="s">
        <v>5661</v>
      </c>
      <c r="O2752" s="2" t="s">
        <v>4693</v>
      </c>
      <c r="P2752" s="16">
        <v>46227</v>
      </c>
      <c r="Q2752" s="2" t="s">
        <v>104</v>
      </c>
      <c r="R2752" s="2">
        <f>VLOOKUP(SALIDAS111518[[#This Row],[CÓDIGO]],PRODUCTOS31316[],2,FALSE)</f>
        <v>0</v>
      </c>
      <c r="S2752" s="1" t="str">
        <f>VLOOKUP(SALIDAS111518[[#This Row],[CÓDIGO]],PRODUCTOS31316[],3,FALSE)</f>
        <v>ISPERM CHIPS (500 TESTS PER BOX) PAQ. X 50 UND</v>
      </c>
      <c r="T2752" s="2">
        <v>1</v>
      </c>
      <c r="U2752" s="2">
        <v>1187</v>
      </c>
      <c r="V2752" s="2"/>
      <c r="W2752" s="2"/>
      <c r="X2752" s="2"/>
      <c r="Y2752" s="7"/>
      <c r="Z2752" s="2"/>
      <c r="AA2752" s="1"/>
      <c r="AC2752" s="2"/>
      <c r="AE2752" s="1"/>
      <c r="AG2752" s="2"/>
    </row>
    <row r="2753" spans="12:33" ht="49.95" customHeight="1" x14ac:dyDescent="0.3">
      <c r="L2753" s="2" t="s">
        <v>3520</v>
      </c>
      <c r="M2753" s="2" t="s">
        <v>5071</v>
      </c>
      <c r="N2753" s="424" t="s">
        <v>5824</v>
      </c>
      <c r="O2753" s="403" t="s">
        <v>5660</v>
      </c>
      <c r="P2753" s="16">
        <v>46227</v>
      </c>
      <c r="Q2753" s="2" t="s">
        <v>5667</v>
      </c>
      <c r="R2753" s="2">
        <f>VLOOKUP(SALIDAS111518[[#This Row],[CÓDIGO]],PRODUCTOS31316[],2,FALSE)</f>
        <v>0</v>
      </c>
      <c r="S2753" s="1" t="str">
        <f>VLOOKUP(SALIDAS111518[[#This Row],[CÓDIGO]],PRODUCTOS31316[],3,FALSE)</f>
        <v>ECOGRAFO INALAMBRICO SONO EYE/ INCLUYE TABLET</v>
      </c>
      <c r="T2753" s="2">
        <v>1</v>
      </c>
      <c r="U2753" s="54" t="s">
        <v>5825</v>
      </c>
      <c r="V2753" s="2"/>
      <c r="W2753" s="2" t="s">
        <v>2823</v>
      </c>
      <c r="X2753" s="2"/>
      <c r="Y2753" s="7"/>
      <c r="Z2753" s="2"/>
      <c r="AA2753" s="1"/>
      <c r="AC2753" s="2"/>
      <c r="AE2753" s="1"/>
      <c r="AG2753" s="2"/>
    </row>
    <row r="2754" spans="12:33" ht="49.95" customHeight="1" x14ac:dyDescent="0.3">
      <c r="L2754" s="2"/>
      <c r="M2754" s="2"/>
      <c r="N2754" s="2" t="s">
        <v>2804</v>
      </c>
      <c r="O2754" s="54" t="s">
        <v>5660</v>
      </c>
      <c r="P2754" s="46">
        <v>46227</v>
      </c>
      <c r="Q2754" s="2" t="s">
        <v>648</v>
      </c>
      <c r="R2754" s="2" t="str">
        <f>VLOOKUP(SALIDAS111518[[#This Row],[CÓDIGO]],PRODUCTOS31316[],2,FALSE)</f>
        <v>S5</v>
      </c>
      <c r="S2754" s="1" t="str">
        <f>VLOOKUP(SALIDAS111518[[#This Row],[CÓDIGO]],PRODUCTOS31316[],3,FALSE)</f>
        <v>SONDA S5 UNIDAD PRINCIPAL CON SONDA LINEAL RECTAL</v>
      </c>
      <c r="T2754" s="2"/>
      <c r="U2754" s="2"/>
      <c r="V2754" s="2"/>
      <c r="W2754" s="2"/>
      <c r="X2754" s="2"/>
      <c r="Y2754" s="7"/>
      <c r="Z2754" s="2"/>
      <c r="AA2754" s="1"/>
      <c r="AC2754" s="2"/>
      <c r="AE2754" s="1"/>
      <c r="AG2754" s="2"/>
    </row>
    <row r="2755" spans="12:33" ht="49.95" customHeight="1" x14ac:dyDescent="0.3">
      <c r="L2755" s="2"/>
      <c r="M2755" s="2"/>
      <c r="N2755" s="2">
        <v>8791</v>
      </c>
      <c r="O2755" s="1" t="s">
        <v>5660</v>
      </c>
      <c r="P2755" s="16">
        <v>46227</v>
      </c>
      <c r="Q2755" s="2" t="s">
        <v>3095</v>
      </c>
      <c r="R2755" s="2">
        <f>VLOOKUP(SALIDAS111518[[#This Row],[CÓDIGO]],PRODUCTOS31316[],2,FALSE)</f>
        <v>0</v>
      </c>
      <c r="S2755" s="1" t="str">
        <f>VLOOKUP(SALIDAS111518[[#This Row],[CÓDIGO]],PRODUCTOS31316[],3,FALSE)</f>
        <v>GORRA MAS CAMPO</v>
      </c>
      <c r="T2755" s="2">
        <v>1</v>
      </c>
      <c r="U2755" s="2"/>
      <c r="V2755" s="2"/>
      <c r="W2755" s="2"/>
      <c r="X2755" s="2"/>
      <c r="Y2755" s="7"/>
      <c r="Z2755" s="2"/>
      <c r="AA2755" s="1"/>
      <c r="AC2755" s="2"/>
      <c r="AE2755" s="1"/>
      <c r="AG2755" s="2"/>
    </row>
    <row r="2756" spans="12:33" ht="49.95" customHeight="1" x14ac:dyDescent="0.3">
      <c r="L2756" s="395" t="s">
        <v>3520</v>
      </c>
      <c r="M2756" s="395" t="s">
        <v>5071</v>
      </c>
      <c r="N2756" s="1" t="s">
        <v>5675</v>
      </c>
      <c r="O2756" s="395" t="s">
        <v>3067</v>
      </c>
      <c r="P2756" s="16">
        <v>46230</v>
      </c>
      <c r="Q2756" s="395" t="s">
        <v>5098</v>
      </c>
      <c r="R2756" s="2">
        <f>VLOOKUP(SALIDAS111518[[#This Row],[CÓDIGO]],PRODUCTOS31316[],2,FALSE)</f>
        <v>0</v>
      </c>
      <c r="S2756" s="1" t="str">
        <f>VLOOKUP(SALIDAS111518[[#This Row],[CÓDIGO]],PRODUCTOS31316[],3,FALSE)</f>
        <v>FUNDA DE TRANSFERENCIA DE EMBRIONES 0.25 PUNTA PLÁSTICA MARCA TED</v>
      </c>
      <c r="T2756" s="2">
        <v>60</v>
      </c>
      <c r="U2756" s="1" t="s">
        <v>5674</v>
      </c>
      <c r="V2756" s="2"/>
      <c r="W2756" s="2"/>
      <c r="X2756" s="2"/>
      <c r="Y2756" s="7"/>
      <c r="Z2756" s="2"/>
      <c r="AA2756" s="1"/>
      <c r="AC2756" s="2"/>
      <c r="AE2756" s="1"/>
      <c r="AG2756" s="2"/>
    </row>
    <row r="2757" spans="12:33" ht="49.95" customHeight="1" x14ac:dyDescent="0.3">
      <c r="L2757" s="2"/>
      <c r="M2757" s="2"/>
      <c r="N2757" s="2">
        <v>8746</v>
      </c>
      <c r="O2757" s="395" t="s">
        <v>3067</v>
      </c>
      <c r="P2757" s="16">
        <v>46230</v>
      </c>
      <c r="Q2757" s="395" t="s">
        <v>1779</v>
      </c>
      <c r="R2757" s="2">
        <f>VLOOKUP(SALIDAS111518[[#This Row],[CÓDIGO]],PRODUCTOS31316[],2,FALSE)</f>
        <v>5563</v>
      </c>
      <c r="S2757" s="1" t="str">
        <f>VLOOKUP(SALIDAS111518[[#This Row],[CÓDIGO]],PRODUCTOS31316[],3,FALSE)</f>
        <v>CAMISA SANITARIA ROLLO X 80</v>
      </c>
      <c r="T2757" s="2">
        <v>2</v>
      </c>
      <c r="U2757" s="2"/>
      <c r="V2757" s="2"/>
      <c r="W2757" s="2"/>
      <c r="X2757" s="2"/>
      <c r="Y2757" s="7"/>
      <c r="Z2757" s="2"/>
      <c r="AA2757" s="1"/>
      <c r="AC2757" s="2"/>
      <c r="AE2757" s="1"/>
      <c r="AG2757" s="2"/>
    </row>
    <row r="2758" spans="12:33" ht="49.95" customHeight="1" x14ac:dyDescent="0.3">
      <c r="L2758" s="395" t="s">
        <v>3520</v>
      </c>
      <c r="M2758" s="395" t="s">
        <v>5071</v>
      </c>
      <c r="N2758" s="1" t="s">
        <v>5676</v>
      </c>
      <c r="O2758" s="2" t="s">
        <v>3439</v>
      </c>
      <c r="P2758" s="16">
        <v>46230</v>
      </c>
      <c r="Q2758" s="2" t="s">
        <v>3157</v>
      </c>
      <c r="R2758" s="2" t="str">
        <f>VLOOKUP(SALIDAS111518[[#This Row],[CÓDIGO]],PRODUCTOS31316[],2,FALSE)</f>
        <v>SLIGHT</v>
      </c>
      <c r="S2758" s="1" t="str">
        <f>VLOOKUP(SALIDAS111518[[#This Row],[CÓDIGO]],PRODUCTOS31316[],3,FALSE)</f>
        <v>ECOGRAFO SLITES S 1</v>
      </c>
      <c r="T2758" s="2">
        <v>1</v>
      </c>
      <c r="U2758" s="2" t="s">
        <v>5677</v>
      </c>
      <c r="V2758" s="2"/>
      <c r="W2758" s="2"/>
      <c r="X2758" s="2"/>
      <c r="Y2758" s="7"/>
      <c r="Z2758" s="2"/>
      <c r="AA2758" s="1"/>
      <c r="AC2758" s="2"/>
      <c r="AE2758" s="1"/>
      <c r="AG2758" s="2"/>
    </row>
    <row r="2759" spans="12:33" ht="49.95" customHeight="1" x14ac:dyDescent="0.3">
      <c r="L2759" s="2"/>
      <c r="M2759" s="2"/>
      <c r="N2759" s="2">
        <v>8747</v>
      </c>
      <c r="O2759" s="2" t="s">
        <v>3439</v>
      </c>
      <c r="P2759" s="16">
        <v>46230</v>
      </c>
      <c r="Q2759" s="2" t="s">
        <v>3405</v>
      </c>
      <c r="R2759" s="2" t="str">
        <f>VLOOKUP(SALIDAS111518[[#This Row],[CÓDIGO]],PRODUCTOS31316[],2,FALSE)</f>
        <v>17209/1265</v>
      </c>
      <c r="S2759" s="1" t="str">
        <f>VLOOKUP(SALIDAS111518[[#This Row],[CÓDIGO]],PRODUCTOS31316[],3,FALSE)</f>
        <v>PIPETA EQUINA DE 65 CM</v>
      </c>
      <c r="T2759" s="2">
        <v>5</v>
      </c>
      <c r="U2759" s="2"/>
      <c r="V2759" s="2"/>
      <c r="W2759" s="2"/>
      <c r="X2759" s="2"/>
      <c r="Y2759" s="7"/>
      <c r="Z2759" s="2"/>
      <c r="AA2759" s="1"/>
      <c r="AC2759" s="2"/>
      <c r="AE2759" s="1"/>
      <c r="AG2759" s="2"/>
    </row>
    <row r="2760" spans="12:33" ht="49.95" customHeight="1" x14ac:dyDescent="0.3">
      <c r="L2760" s="2"/>
      <c r="M2760" s="2"/>
      <c r="N2760" s="2">
        <v>8747</v>
      </c>
      <c r="O2760" s="2" t="s">
        <v>3439</v>
      </c>
      <c r="P2760" s="16">
        <v>46230</v>
      </c>
      <c r="Q2760" s="2" t="s">
        <v>3095</v>
      </c>
      <c r="R2760" s="2">
        <f>VLOOKUP(SALIDAS111518[[#This Row],[CÓDIGO]],PRODUCTOS31316[],2,FALSE)</f>
        <v>0</v>
      </c>
      <c r="S2760" s="1" t="str">
        <f>VLOOKUP(SALIDAS111518[[#This Row],[CÓDIGO]],PRODUCTOS31316[],3,FALSE)</f>
        <v>GORRA MAS CAMPO</v>
      </c>
      <c r="T2760" s="2">
        <v>1</v>
      </c>
      <c r="U2760" s="2"/>
      <c r="V2760" s="2"/>
      <c r="W2760" s="2"/>
      <c r="X2760" s="2"/>
      <c r="Y2760" s="7"/>
      <c r="Z2760" s="2"/>
      <c r="AA2760" s="1"/>
      <c r="AC2760" s="2"/>
      <c r="AE2760" s="1"/>
      <c r="AG2760" s="2"/>
    </row>
    <row r="2761" spans="12:33" ht="49.95" customHeight="1" x14ac:dyDescent="0.3">
      <c r="L2761" s="395" t="s">
        <v>3520</v>
      </c>
      <c r="M2761" s="395" t="s">
        <v>5071</v>
      </c>
      <c r="N2761" s="1" t="s">
        <v>5680</v>
      </c>
      <c r="O2761" s="1" t="s">
        <v>5200</v>
      </c>
      <c r="P2761" s="16">
        <v>46230</v>
      </c>
      <c r="Q2761" s="2" t="s">
        <v>5098</v>
      </c>
      <c r="R2761" s="2">
        <f>VLOOKUP(SALIDAS111518[[#This Row],[CÓDIGO]],PRODUCTOS31316[],2,FALSE)</f>
        <v>0</v>
      </c>
      <c r="S2761" s="1" t="str">
        <f>VLOOKUP(SALIDAS111518[[#This Row],[CÓDIGO]],PRODUCTOS31316[],3,FALSE)</f>
        <v>FUNDA DE TRANSFERENCIA DE EMBRIONES 0.25 PUNTA PLÁSTICA MARCA TED</v>
      </c>
      <c r="T2761" s="2">
        <v>16</v>
      </c>
      <c r="U2761" s="2" t="s">
        <v>5679</v>
      </c>
      <c r="V2761" s="2"/>
      <c r="W2761" s="2"/>
      <c r="X2761" s="2"/>
      <c r="Y2761" s="7"/>
      <c r="Z2761" s="2"/>
      <c r="AA2761" s="1"/>
      <c r="AC2761" s="2"/>
      <c r="AE2761" s="1"/>
      <c r="AG2761" s="2"/>
    </row>
    <row r="2762" spans="12:33" ht="49.95" customHeight="1" x14ac:dyDescent="0.3">
      <c r="L2762" s="2"/>
      <c r="M2762" s="2"/>
      <c r="N2762" s="2">
        <v>8748</v>
      </c>
      <c r="O2762" s="1" t="s">
        <v>5200</v>
      </c>
      <c r="P2762" s="16">
        <v>46230</v>
      </c>
      <c r="Q2762" s="2" t="s">
        <v>1779</v>
      </c>
      <c r="R2762" s="2">
        <f>VLOOKUP(SALIDAS111518[[#This Row],[CÓDIGO]],PRODUCTOS31316[],2,FALSE)</f>
        <v>5563</v>
      </c>
      <c r="S2762" s="1" t="str">
        <f>VLOOKUP(SALIDAS111518[[#This Row],[CÓDIGO]],PRODUCTOS31316[],3,FALSE)</f>
        <v>CAMISA SANITARIA ROLLO X 80</v>
      </c>
      <c r="T2762" s="2">
        <v>1</v>
      </c>
      <c r="U2762" s="2"/>
      <c r="V2762" s="2"/>
      <c r="W2762" s="2"/>
      <c r="X2762" s="2"/>
      <c r="Y2762" s="7"/>
      <c r="Z2762" s="2"/>
      <c r="AA2762" s="1"/>
      <c r="AC2762" s="2"/>
      <c r="AE2762" s="1"/>
      <c r="AG2762" s="2"/>
    </row>
    <row r="2763" spans="12:33" ht="49.95" customHeight="1" x14ac:dyDescent="0.3">
      <c r="L2763" s="2"/>
      <c r="M2763" s="2"/>
      <c r="N2763" s="2">
        <v>8748</v>
      </c>
      <c r="O2763" s="1" t="s">
        <v>5200</v>
      </c>
      <c r="P2763" s="16">
        <v>46230</v>
      </c>
      <c r="Q2763" s="2" t="s">
        <v>210</v>
      </c>
      <c r="R2763" s="2">
        <f>VLOOKUP(SALIDAS111518[[#This Row],[CÓDIGO]],PRODUCTOS31316[],2,FALSE)</f>
        <v>101257</v>
      </c>
      <c r="S2763" s="1" t="str">
        <f>VLOOKUP(SALIDAS111518[[#This Row],[CÓDIGO]],PRODUCTOS31316[],3,FALSE)</f>
        <v>MANGA DESECHABLE SUPER SENSITIVA</v>
      </c>
      <c r="T2763" s="2">
        <v>2</v>
      </c>
      <c r="U2763" s="2"/>
      <c r="V2763" s="2"/>
      <c r="W2763" s="2"/>
      <c r="X2763" s="2"/>
      <c r="Y2763" s="7"/>
      <c r="Z2763" s="2"/>
      <c r="AA2763" s="1"/>
      <c r="AC2763" s="2"/>
      <c r="AE2763" s="1"/>
      <c r="AG2763" s="2"/>
    </row>
    <row r="2764" spans="12:33" ht="49.95" customHeight="1" x14ac:dyDescent="0.3">
      <c r="L2764" s="2"/>
      <c r="M2764" s="2"/>
      <c r="N2764" s="2">
        <v>8748</v>
      </c>
      <c r="O2764" s="1" t="s">
        <v>5200</v>
      </c>
      <c r="P2764" s="16">
        <v>46230</v>
      </c>
      <c r="Q2764" s="2" t="s">
        <v>2246</v>
      </c>
      <c r="R2764" s="2" t="str">
        <f>VLOOKUP(SALIDAS111518[[#This Row],[CÓDIGO]],PRODUCTOS31316[],2,FALSE)</f>
        <v>00051076-02</v>
      </c>
      <c r="S2764" s="1" t="str">
        <f>VLOOKUP(SALIDAS111518[[#This Row],[CÓDIGO]],PRODUCTOS31316[],3,FALSE)</f>
        <v>LIDOCAÍNA  HCL 2 % X 100 ML/ 2025-12-16</v>
      </c>
      <c r="T2764" s="2">
        <v>3</v>
      </c>
      <c r="U2764" s="2"/>
      <c r="V2764" s="2"/>
      <c r="W2764" s="2"/>
      <c r="X2764" s="2"/>
      <c r="Y2764" s="7"/>
      <c r="Z2764" s="2"/>
      <c r="AA2764" s="1"/>
      <c r="AC2764" s="2"/>
      <c r="AE2764" s="1"/>
      <c r="AG2764" s="2"/>
    </row>
    <row r="2765" spans="12:33" ht="49.95" customHeight="1" x14ac:dyDescent="0.3">
      <c r="L2765" s="2" t="s">
        <v>3521</v>
      </c>
      <c r="M2765" s="2" t="s">
        <v>5071</v>
      </c>
      <c r="N2765" s="1" t="s">
        <v>5686</v>
      </c>
      <c r="O2765" s="2" t="s">
        <v>5671</v>
      </c>
      <c r="P2765" s="16">
        <v>46230</v>
      </c>
      <c r="Q2765" s="2" t="s">
        <v>360</v>
      </c>
      <c r="R2765" s="2">
        <f>VLOOKUP(SALIDAS111518[[#This Row],[CÓDIGO]],PRODUCTOS31316[],2,FALSE)</f>
        <v>505006</v>
      </c>
      <c r="S2765" s="1" t="str">
        <f>VLOOKUP(SALIDAS111518[[#This Row],[CÓDIGO]],PRODUCTOS31316[],3,FALSE)</f>
        <v>LACRADOR REDONDO AMARILLO</v>
      </c>
      <c r="T2765" s="2">
        <v>20</v>
      </c>
      <c r="U2765" s="1" t="s">
        <v>5707</v>
      </c>
      <c r="V2765" s="2"/>
      <c r="W2765" s="2"/>
      <c r="X2765" s="2"/>
      <c r="Y2765" s="7"/>
      <c r="Z2765" s="2"/>
      <c r="AA2765" s="1"/>
      <c r="AC2765" s="2"/>
      <c r="AE2765" s="1"/>
      <c r="AG2765" s="2"/>
    </row>
    <row r="2766" spans="12:33" ht="49.95" customHeight="1" x14ac:dyDescent="0.3">
      <c r="L2766" s="2"/>
      <c r="M2766" s="2"/>
      <c r="N2766" s="2">
        <v>8751</v>
      </c>
      <c r="O2766" s="2" t="s">
        <v>5671</v>
      </c>
      <c r="P2766" s="16">
        <v>46230</v>
      </c>
      <c r="Q2766" s="2" t="s">
        <v>3397</v>
      </c>
      <c r="R2766" s="2">
        <f>VLOOKUP(SALIDAS111518[[#This Row],[CÓDIGO]],PRODUCTOS31316[],2,FALSE)</f>
        <v>13407</v>
      </c>
      <c r="S2766" s="1" t="str">
        <f>VLOOKUP(SALIDAS111518[[#This Row],[CÓDIGO]],PRODUCTOS31316[],3,FALSE)</f>
        <v>PAJILLAS TRANSPARENTES 0,25 MINITUBE</v>
      </c>
      <c r="T2766" s="2">
        <v>1</v>
      </c>
      <c r="U2766" s="2"/>
      <c r="V2766" s="2"/>
      <c r="W2766" s="2"/>
      <c r="X2766" s="127"/>
      <c r="Y2766" s="7"/>
      <c r="Z2766" s="2"/>
      <c r="AA2766" s="1"/>
      <c r="AC2766" s="2"/>
      <c r="AE2766" s="1"/>
      <c r="AG2766" s="2"/>
    </row>
    <row r="2767" spans="12:33" ht="49.95" customHeight="1" x14ac:dyDescent="0.3">
      <c r="L2767" s="2" t="s">
        <v>3521</v>
      </c>
      <c r="M2767" s="2" t="s">
        <v>5071</v>
      </c>
      <c r="N2767" s="1" t="s">
        <v>5685</v>
      </c>
      <c r="O2767" s="1" t="s">
        <v>5672</v>
      </c>
      <c r="P2767" s="16">
        <v>46230</v>
      </c>
      <c r="Q2767" s="2" t="s">
        <v>3346</v>
      </c>
      <c r="R2767" s="2" t="str">
        <f>VLOOKUP(SALIDAS111518[[#This Row],[CÓDIGO]],PRODUCTOS31316[],2,FALSE)</f>
        <v>S7PRO</v>
      </c>
      <c r="S2767" s="1" t="str">
        <f>VLOOKUP(SALIDAS111518[[#This Row],[CÓDIGO]],PRODUCTOS31316[],3,FALSE)</f>
        <v>ECÓGRAFO S7 PRO VET CON SONDA LINEAL RECTAL</v>
      </c>
      <c r="T2767" s="2">
        <v>1</v>
      </c>
      <c r="U2767" s="2">
        <v>1196</v>
      </c>
      <c r="V2767" s="2"/>
      <c r="W2767" s="2"/>
      <c r="X2767" s="2"/>
      <c r="Y2767" s="7"/>
      <c r="Z2767" s="2"/>
      <c r="AA2767" s="1"/>
      <c r="AC2767" s="2"/>
      <c r="AE2767" s="1"/>
      <c r="AG2767" s="2"/>
    </row>
    <row r="2768" spans="12:33" ht="49.95" customHeight="1" x14ac:dyDescent="0.3">
      <c r="L2768" s="2"/>
      <c r="M2768" s="2"/>
      <c r="N2768" s="2">
        <v>8744</v>
      </c>
      <c r="O2768" s="1" t="s">
        <v>5672</v>
      </c>
      <c r="P2768" s="16">
        <v>46230</v>
      </c>
      <c r="Q2768" s="2" t="s">
        <v>5083</v>
      </c>
      <c r="R2768" s="2">
        <f>VLOOKUP(SALIDAS111518[[#This Row],[CÓDIGO]],PRODUCTOS31316[],2,FALSE)</f>
        <v>0</v>
      </c>
      <c r="S2768" s="1" t="str">
        <f>VLOOKUP(SALIDAS111518[[#This Row],[CÓDIGO]],PRODUCTOS31316[],3,FALSE)</f>
        <v>TABLET SANSUNG GALAXY TAB A11+</v>
      </c>
      <c r="T2768" s="2">
        <v>1</v>
      </c>
      <c r="U2768" s="2"/>
      <c r="V2768" s="2"/>
      <c r="W2768" s="2"/>
      <c r="X2768" s="2"/>
      <c r="Y2768" s="7"/>
      <c r="Z2768" s="2"/>
      <c r="AA2768" s="1"/>
      <c r="AC2768" s="2"/>
      <c r="AE2768" s="1"/>
      <c r="AG2768" s="2"/>
    </row>
    <row r="2769" spans="12:33" ht="49.95" customHeight="1" x14ac:dyDescent="0.3">
      <c r="L2769" s="2"/>
      <c r="M2769" s="2"/>
      <c r="N2769" s="2">
        <v>8744</v>
      </c>
      <c r="O2769" s="1" t="s">
        <v>5672</v>
      </c>
      <c r="P2769" s="16">
        <v>46230</v>
      </c>
      <c r="Q2769" s="2" t="s">
        <v>3286</v>
      </c>
      <c r="R2769" s="2">
        <f>VLOOKUP(SALIDAS111518[[#This Row],[CÓDIGO]],PRODUCTOS31316[],2,FALSE)</f>
        <v>0</v>
      </c>
      <c r="S2769" s="1" t="str">
        <f>VLOOKUP(SALIDAS111518[[#This Row],[CÓDIGO]],PRODUCTOS31316[],3,FALSE)</f>
        <v>CARCASA TABLET BMV</v>
      </c>
      <c r="T2769" s="2">
        <v>1</v>
      </c>
      <c r="U2769" s="2"/>
      <c r="V2769" s="2"/>
      <c r="W2769" s="2"/>
      <c r="X2769" s="2"/>
      <c r="Y2769" s="7"/>
      <c r="Z2769" s="2"/>
      <c r="AA2769" s="1"/>
      <c r="AC2769" s="2"/>
      <c r="AE2769" s="1"/>
      <c r="AG2769" s="2"/>
    </row>
    <row r="2770" spans="12:33" ht="49.95" customHeight="1" x14ac:dyDescent="0.3">
      <c r="L2770" s="2"/>
      <c r="M2770" s="2"/>
      <c r="N2770" s="2">
        <v>8744</v>
      </c>
      <c r="O2770" s="1" t="s">
        <v>5672</v>
      </c>
      <c r="P2770" s="16">
        <v>46230</v>
      </c>
      <c r="Q2770" s="2" t="s">
        <v>3095</v>
      </c>
      <c r="R2770" s="2">
        <f>VLOOKUP(SALIDAS111518[[#This Row],[CÓDIGO]],PRODUCTOS31316[],2,FALSE)</f>
        <v>0</v>
      </c>
      <c r="S2770" s="1" t="str">
        <f>VLOOKUP(SALIDAS111518[[#This Row],[CÓDIGO]],PRODUCTOS31316[],3,FALSE)</f>
        <v>GORRA MAS CAMPO</v>
      </c>
      <c r="T2770" s="2">
        <v>1</v>
      </c>
      <c r="U2770" s="2"/>
      <c r="V2770" s="2"/>
      <c r="W2770" s="2"/>
      <c r="X2770" s="2"/>
      <c r="Y2770" s="7"/>
      <c r="Z2770" s="2"/>
      <c r="AA2770" s="1"/>
      <c r="AC2770" s="2"/>
      <c r="AE2770" s="1"/>
      <c r="AG2770" s="2"/>
    </row>
    <row r="2771" spans="12:33" ht="49.95" customHeight="1" x14ac:dyDescent="0.3">
      <c r="L2771" s="2"/>
      <c r="M2771" s="2"/>
      <c r="N2771" s="2">
        <v>8744</v>
      </c>
      <c r="O2771" s="1" t="s">
        <v>5672</v>
      </c>
      <c r="P2771" s="16">
        <v>46230</v>
      </c>
      <c r="Q2771" s="2" t="s">
        <v>3376</v>
      </c>
      <c r="R2771" s="2">
        <f>VLOOKUP(SALIDAS111518[[#This Row],[CÓDIGO]],PRODUCTOS31316[],2,FALSE)</f>
        <v>0</v>
      </c>
      <c r="S2771" s="1" t="str">
        <f>VLOOKUP(SALIDAS111518[[#This Row],[CÓDIGO]],PRODUCTOS31316[],3,FALSE)</f>
        <v>TERMO DE 380 ML MAS CAMPO</v>
      </c>
      <c r="T2771" s="2">
        <v>1</v>
      </c>
      <c r="U2771" s="2"/>
      <c r="V2771" s="2"/>
      <c r="W2771" s="2"/>
      <c r="X2771" s="2"/>
      <c r="Y2771" s="7"/>
      <c r="Z2771" s="2"/>
      <c r="AA2771" s="1"/>
      <c r="AC2771" s="2"/>
      <c r="AE2771" s="1"/>
      <c r="AG2771" s="2"/>
    </row>
    <row r="2772" spans="12:33" ht="49.95" customHeight="1" x14ac:dyDescent="0.3">
      <c r="L2772" s="2" t="s">
        <v>3520</v>
      </c>
      <c r="M2772" s="2" t="s">
        <v>5071</v>
      </c>
      <c r="N2772" s="1" t="s">
        <v>5682</v>
      </c>
      <c r="O2772" s="395" t="s">
        <v>3067</v>
      </c>
      <c r="P2772" s="16">
        <v>46230</v>
      </c>
      <c r="Q2772" s="2" t="s">
        <v>5678</v>
      </c>
      <c r="R2772" s="2">
        <f>VLOOKUP(SALIDAS111518[[#This Row],[CÓDIGO]],PRODUCTOS31316[],2,FALSE)</f>
        <v>5563</v>
      </c>
      <c r="S2772" s="1" t="str">
        <f>VLOOKUP(SALIDAS111518[[#This Row],[CÓDIGO]],PRODUCTOS31316[],3,FALSE)</f>
        <v>CAMISA SANITARIA ROLLO X 80</v>
      </c>
      <c r="T2772" s="2">
        <v>1</v>
      </c>
      <c r="U2772" s="2">
        <v>1194</v>
      </c>
      <c r="V2772" s="2"/>
      <c r="W2772" s="2"/>
      <c r="X2772" s="2"/>
      <c r="Y2772" s="7"/>
      <c r="Z2772" s="2"/>
      <c r="AA2772" s="1"/>
      <c r="AC2772" s="2"/>
      <c r="AE2772" s="1"/>
      <c r="AG2772" s="2"/>
    </row>
    <row r="2773" spans="12:33" ht="49.95" customHeight="1" x14ac:dyDescent="0.3">
      <c r="L2773" s="2" t="s">
        <v>3520</v>
      </c>
      <c r="M2773" s="2" t="s">
        <v>5071</v>
      </c>
      <c r="N2773" s="1" t="s">
        <v>5683</v>
      </c>
      <c r="O2773" s="2" t="s">
        <v>3187</v>
      </c>
      <c r="P2773" s="16">
        <v>46230</v>
      </c>
      <c r="Q2773" s="2" t="s">
        <v>5098</v>
      </c>
      <c r="R2773" s="2">
        <f>VLOOKUP(SALIDAS111518[[#This Row],[CÓDIGO]],PRODUCTOS31316[],2,FALSE)</f>
        <v>0</v>
      </c>
      <c r="S2773" s="1" t="str">
        <f>VLOOKUP(SALIDAS111518[[#This Row],[CÓDIGO]],PRODUCTOS31316[],3,FALSE)</f>
        <v>FUNDA DE TRANSFERENCIA DE EMBRIONES 0.25 PUNTA PLÁSTICA MARCA TED</v>
      </c>
      <c r="T2773" s="2">
        <v>20</v>
      </c>
      <c r="U2773" s="2">
        <v>1195</v>
      </c>
      <c r="V2773" s="2"/>
      <c r="W2773" s="2"/>
      <c r="X2773" s="2"/>
      <c r="Y2773" s="7"/>
      <c r="Z2773" s="2"/>
      <c r="AA2773" s="1"/>
      <c r="AC2773" s="2"/>
      <c r="AE2773" s="1"/>
      <c r="AG2773" s="2"/>
    </row>
    <row r="2774" spans="12:33" ht="49.95" customHeight="1" x14ac:dyDescent="0.3">
      <c r="L2774" s="2" t="s">
        <v>3520</v>
      </c>
      <c r="M2774" s="2" t="s">
        <v>5071</v>
      </c>
      <c r="N2774" s="15">
        <v>15846</v>
      </c>
      <c r="O2774" s="15" t="s">
        <v>5247</v>
      </c>
      <c r="P2774" s="15"/>
      <c r="Q2774" s="2" t="s">
        <v>2412</v>
      </c>
      <c r="R2774" s="2" t="str">
        <f>VLOOKUP(SALIDAS111518[[#This Row],[CÓDIGO]],PRODUCTOS31316[],2,FALSE)</f>
        <v>PTC</v>
      </c>
      <c r="S2774" s="1" t="str">
        <f>VLOOKUP(SALIDAS111518[[#This Row],[CÓDIGO]],PRODUCTOS31316[],3,FALSE)</f>
        <v>PISTOLA DE INSEMINACIÓN ARTIFICIAL CON CÁMARA</v>
      </c>
      <c r="T2774" s="2">
        <v>1</v>
      </c>
      <c r="U2774" s="2" t="s">
        <v>5684</v>
      </c>
      <c r="V2774" s="2"/>
      <c r="W2774" s="2"/>
      <c r="X2774" s="2"/>
      <c r="Y2774" s="7"/>
      <c r="Z2774" s="2"/>
      <c r="AA2774" s="1"/>
      <c r="AC2774" s="2"/>
      <c r="AE2774" s="1"/>
      <c r="AG2774" s="2"/>
    </row>
    <row r="2775" spans="12:33" ht="49.95" customHeight="1" x14ac:dyDescent="0.3">
      <c r="L2775" s="2" t="s">
        <v>3520</v>
      </c>
      <c r="M2775" s="2" t="s">
        <v>5071</v>
      </c>
      <c r="N2775" s="1" t="s">
        <v>5709</v>
      </c>
      <c r="O2775" s="2" t="s">
        <v>3533</v>
      </c>
      <c r="P2775" s="16">
        <v>46232</v>
      </c>
      <c r="Q2775" s="2" t="s">
        <v>1720</v>
      </c>
      <c r="R2775" s="2">
        <f>VLOOKUP(SALIDAS111518[[#This Row],[CÓDIGO]],PRODUCTOS31316[],2,FALSE)</f>
        <v>0</v>
      </c>
      <c r="S2775" s="1" t="str">
        <f>VLOOKUP(SALIDAS111518[[#This Row],[CÓDIGO]],PRODUCTOS31316[],3,FALSE)</f>
        <v>LENTE ISPERM</v>
      </c>
      <c r="T2775" s="2">
        <v>1</v>
      </c>
      <c r="U2775" s="2">
        <v>1208</v>
      </c>
      <c r="V2775" s="2"/>
      <c r="W2775" s="399" t="s">
        <v>3412</v>
      </c>
      <c r="X2775" s="2"/>
      <c r="Y2775" s="7"/>
      <c r="Z2775" s="2"/>
      <c r="AA2775" s="1"/>
      <c r="AC2775" s="2"/>
      <c r="AE2775" s="1"/>
      <c r="AG2775" s="2"/>
    </row>
    <row r="2776" spans="12:33" ht="49.95" customHeight="1" x14ac:dyDescent="0.3">
      <c r="L2776" s="2" t="s">
        <v>3520</v>
      </c>
      <c r="M2776" s="2" t="s">
        <v>5071</v>
      </c>
      <c r="N2776" s="420" t="s">
        <v>5710</v>
      </c>
      <c r="O2776" s="2" t="s">
        <v>3533</v>
      </c>
      <c r="P2776" s="16">
        <v>46232</v>
      </c>
      <c r="Q2776" s="2" t="s">
        <v>104</v>
      </c>
      <c r="R2776" s="2">
        <f>VLOOKUP(SALIDAS111518[[#This Row],[CÓDIGO]],PRODUCTOS31316[],2,FALSE)</f>
        <v>0</v>
      </c>
      <c r="S2776" s="1" t="str">
        <f>VLOOKUP(SALIDAS111518[[#This Row],[CÓDIGO]],PRODUCTOS31316[],3,FALSE)</f>
        <v>ISPERM CHIPS (500 TESTS PER BOX) PAQ. X 50 UND</v>
      </c>
      <c r="T2776" s="2">
        <v>4</v>
      </c>
      <c r="U2776" s="2">
        <v>1209</v>
      </c>
      <c r="V2776" s="2"/>
      <c r="W2776" s="31" t="s">
        <v>3412</v>
      </c>
      <c r="X2776" s="2"/>
      <c r="Y2776" s="7"/>
      <c r="Z2776" s="2"/>
      <c r="AA2776" s="1"/>
      <c r="AC2776" s="2"/>
      <c r="AE2776" s="1"/>
      <c r="AG2776" s="2"/>
    </row>
    <row r="2777" spans="12:33" ht="49.95" customHeight="1" x14ac:dyDescent="0.3">
      <c r="L2777" s="2"/>
      <c r="M2777" s="2"/>
      <c r="N2777" s="2">
        <v>8763</v>
      </c>
      <c r="O2777" s="2" t="s">
        <v>3533</v>
      </c>
      <c r="P2777" s="16">
        <v>46232</v>
      </c>
      <c r="Q2777" s="2" t="s">
        <v>2232</v>
      </c>
      <c r="R2777" s="2">
        <f>VLOOKUP(SALIDAS111518[[#This Row],[CÓDIGO]],PRODUCTOS31316[],2,FALSE)</f>
        <v>0</v>
      </c>
      <c r="S2777" s="1" t="str">
        <f>VLOOKUP(SALIDAS111518[[#This Row],[CÓDIGO]],PRODUCTOS31316[],3,FALSE)</f>
        <v>CONO RECOLECTOR</v>
      </c>
      <c r="T2777" s="2">
        <v>2</v>
      </c>
      <c r="U2777" s="2"/>
      <c r="V2777" s="2"/>
      <c r="W2777" s="2"/>
      <c r="X2777" s="2"/>
      <c r="Y2777" s="7"/>
      <c r="Z2777" s="2"/>
      <c r="AA2777" s="1"/>
      <c r="AC2777" s="2"/>
      <c r="AE2777" s="1"/>
      <c r="AG2777" s="2"/>
    </row>
    <row r="2778" spans="12:33" ht="49.95" customHeight="1" x14ac:dyDescent="0.3">
      <c r="L2778" s="2"/>
      <c r="M2778" s="2"/>
      <c r="N2778" s="2">
        <v>8763</v>
      </c>
      <c r="O2778" s="2" t="s">
        <v>3533</v>
      </c>
      <c r="P2778" s="16">
        <v>46232</v>
      </c>
      <c r="Q2778" s="2" t="s">
        <v>2253</v>
      </c>
      <c r="R2778" s="2">
        <f>VLOOKUP(SALIDAS111518[[#This Row],[CÓDIGO]],PRODUCTOS31316[],2,FALSE)</f>
        <v>26218</v>
      </c>
      <c r="S2778" s="1" t="str">
        <f>VLOOKUP(SALIDAS111518[[#This Row],[CÓDIGO]],PRODUCTOS31316[],3,FALSE)</f>
        <v>OPTIXCELL 250 ML</v>
      </c>
      <c r="T2778" s="2">
        <v>1</v>
      </c>
      <c r="U2778" s="2"/>
      <c r="V2778" s="2"/>
      <c r="W2778" s="2"/>
      <c r="X2778" s="2"/>
      <c r="Y2778" s="7"/>
      <c r="Z2778" s="2"/>
      <c r="AA2778" s="1"/>
      <c r="AC2778" s="2"/>
      <c r="AE2778" s="1"/>
      <c r="AG2778" s="2"/>
    </row>
    <row r="2779" spans="12:33" ht="49.95" customHeight="1" x14ac:dyDescent="0.3">
      <c r="L2779" s="2"/>
      <c r="M2779" s="2"/>
      <c r="N2779" s="2">
        <v>8763</v>
      </c>
      <c r="O2779" s="2" t="s">
        <v>3533</v>
      </c>
      <c r="P2779" s="16">
        <v>46232</v>
      </c>
      <c r="Q2779" s="2" t="s">
        <v>2409</v>
      </c>
      <c r="R2779" s="2">
        <f>VLOOKUP(SALIDAS111518[[#This Row],[CÓDIGO]],PRODUCTOS31316[],2,FALSE)</f>
        <v>6986</v>
      </c>
      <c r="S2779" s="1" t="str">
        <f>VLOOKUP(SALIDAS111518[[#This Row],[CÓDIGO]],PRODUCTOS31316[],3,FALSE)</f>
        <v>CINTA ESCROTAL METÁLICA</v>
      </c>
      <c r="T2779" s="2">
        <v>1</v>
      </c>
      <c r="U2779" s="2"/>
      <c r="V2779" s="2"/>
      <c r="W2779" s="2"/>
      <c r="X2779" s="2"/>
      <c r="Y2779" s="7"/>
      <c r="Z2779" s="2"/>
      <c r="AA2779" s="1"/>
      <c r="AC2779" s="2"/>
      <c r="AE2779" s="1"/>
      <c r="AG2779" s="2"/>
    </row>
    <row r="2780" spans="12:33" ht="49.95" customHeight="1" x14ac:dyDescent="0.3">
      <c r="L2780" s="2"/>
      <c r="M2780" s="2"/>
      <c r="N2780" s="2">
        <v>8763</v>
      </c>
      <c r="O2780" s="2" t="s">
        <v>3533</v>
      </c>
      <c r="P2780" s="16">
        <v>46232</v>
      </c>
      <c r="Q2780" s="2" t="s">
        <v>3399</v>
      </c>
      <c r="R2780" s="2">
        <f>VLOOKUP(SALIDAS111518[[#This Row],[CÓDIGO]],PRODUCTOS31316[],2,FALSE)</f>
        <v>13400</v>
      </c>
      <c r="S2780" s="1" t="str">
        <f>VLOOKUP(SALIDAS111518[[#This Row],[CÓDIGO]],PRODUCTOS31316[],3,FALSE)</f>
        <v>ESFERAS METALICAS SELLADORAS  0.5 ML</v>
      </c>
      <c r="T2780" s="2">
        <v>1</v>
      </c>
      <c r="U2780" s="2"/>
      <c r="V2780" s="2"/>
      <c r="W2780" s="2"/>
      <c r="X2780" s="2"/>
      <c r="Y2780" s="7"/>
      <c r="Z2780" s="2"/>
      <c r="AA2780" s="1"/>
      <c r="AC2780" s="2"/>
      <c r="AE2780" s="1"/>
      <c r="AG2780" s="2"/>
    </row>
    <row r="2781" spans="12:33" ht="49.95" customHeight="1" x14ac:dyDescent="0.3">
      <c r="L2781" s="2" t="s">
        <v>3520</v>
      </c>
      <c r="M2781" s="2" t="s">
        <v>5071</v>
      </c>
      <c r="N2781" s="401" t="s">
        <v>5697</v>
      </c>
      <c r="O2781" s="397" t="s">
        <v>2311</v>
      </c>
      <c r="P2781" s="16">
        <v>46232</v>
      </c>
      <c r="Q2781" s="397" t="s">
        <v>5098</v>
      </c>
      <c r="R2781" s="2">
        <f>VLOOKUP(SALIDAS111518[[#This Row],[CÓDIGO]],PRODUCTOS31316[],2,FALSE)</f>
        <v>0</v>
      </c>
      <c r="S2781" s="1" t="str">
        <f>VLOOKUP(SALIDAS111518[[#This Row],[CÓDIGO]],PRODUCTOS31316[],3,FALSE)</f>
        <v>FUNDA DE TRANSFERENCIA DE EMBRIONES 0.25 PUNTA PLÁSTICA MARCA TED</v>
      </c>
      <c r="T2781" s="2">
        <v>200</v>
      </c>
      <c r="U2781" s="2">
        <v>1202</v>
      </c>
      <c r="V2781" s="2"/>
      <c r="W2781" s="2"/>
      <c r="X2781" s="2"/>
      <c r="Y2781" s="7"/>
      <c r="Z2781" s="2"/>
      <c r="AA2781" s="1"/>
      <c r="AC2781" s="2"/>
      <c r="AE2781" s="1"/>
      <c r="AG2781" s="2"/>
    </row>
    <row r="2782" spans="12:33" ht="49.95" customHeight="1" x14ac:dyDescent="0.3">
      <c r="L2782" s="2"/>
      <c r="M2782" s="2"/>
      <c r="N2782" s="2">
        <v>8756</v>
      </c>
      <c r="O2782" s="397" t="s">
        <v>2311</v>
      </c>
      <c r="P2782" s="16">
        <v>46232</v>
      </c>
      <c r="Q2782" s="397" t="s">
        <v>1779</v>
      </c>
      <c r="R2782" s="2">
        <f>VLOOKUP(SALIDAS111518[[#This Row],[CÓDIGO]],PRODUCTOS31316[],2,FALSE)</f>
        <v>5563</v>
      </c>
      <c r="S2782" s="1" t="str">
        <f>VLOOKUP(SALIDAS111518[[#This Row],[CÓDIGO]],PRODUCTOS31316[],3,FALSE)</f>
        <v>CAMISA SANITARIA ROLLO X 80</v>
      </c>
      <c r="T2782" s="2">
        <v>10</v>
      </c>
      <c r="U2782" s="2"/>
      <c r="V2782" s="2"/>
      <c r="W2782" s="2"/>
      <c r="X2782" s="2"/>
      <c r="Y2782" s="7"/>
      <c r="Z2782" s="2"/>
      <c r="AA2782" s="1"/>
      <c r="AC2782" s="2"/>
      <c r="AE2782" s="1"/>
      <c r="AG2782" s="2"/>
    </row>
    <row r="2783" spans="12:33" ht="49.95" customHeight="1" x14ac:dyDescent="0.3">
      <c r="L2783" s="2"/>
      <c r="M2783" s="2"/>
      <c r="N2783" s="2">
        <v>8756</v>
      </c>
      <c r="O2783" s="397" t="s">
        <v>2311</v>
      </c>
      <c r="P2783" s="16">
        <v>46232</v>
      </c>
      <c r="Q2783" s="397" t="s">
        <v>247</v>
      </c>
      <c r="R2783" s="2">
        <f>VLOOKUP(SALIDAS111518[[#This Row],[CÓDIGO]],PRODUCTOS31316[],2,FALSE)</f>
        <v>352054</v>
      </c>
      <c r="S2783" s="1" t="str">
        <f>VLOOKUP(SALIDAS111518[[#This Row],[CÓDIGO]],PRODUCTOS31316[],3,FALSE)</f>
        <v>TUBO DE FONDO REDONDO DE 5ML 12X75MM , POLIESTIRENO</v>
      </c>
      <c r="T2783" s="2">
        <v>4</v>
      </c>
      <c r="U2783" s="2"/>
      <c r="V2783" s="2"/>
      <c r="W2783" s="2"/>
      <c r="X2783" s="2"/>
      <c r="Y2783" s="7"/>
      <c r="Z2783" s="2"/>
      <c r="AA2783" s="1"/>
      <c r="AC2783" s="2"/>
      <c r="AE2783" s="1"/>
      <c r="AG2783" s="2"/>
    </row>
    <row r="2784" spans="12:33" ht="49.95" customHeight="1" x14ac:dyDescent="0.3">
      <c r="L2784" s="2"/>
      <c r="M2784" s="2"/>
      <c r="N2784" s="2">
        <v>8756</v>
      </c>
      <c r="O2784" s="397" t="s">
        <v>2311</v>
      </c>
      <c r="P2784" s="16">
        <v>46232</v>
      </c>
      <c r="Q2784" s="397" t="s">
        <v>602</v>
      </c>
      <c r="R2784" s="2">
        <f>VLOOKUP(SALIDAS111518[[#This Row],[CÓDIGO]],PRODUCTOS31316[],2,FALSE)</f>
        <v>4845</v>
      </c>
      <c r="S2784" s="1" t="str">
        <f>VLOOKUP(SALIDAS111518[[#This Row],[CÓDIGO]],PRODUCTOS31316[],3,FALSE)</f>
        <v>PUNTAS AMARILLAS, UNIVERSALES. PLASTICAS, NO ESTERIL. LIBRES DE RNASE, DNASE Y PYROGENOS. RANGO DE 1-200UL. BOLSA X1000UDS.</v>
      </c>
      <c r="T2784" s="2">
        <v>4</v>
      </c>
      <c r="U2784" s="2"/>
      <c r="V2784" s="2"/>
      <c r="W2784" s="2"/>
      <c r="X2784" s="2"/>
      <c r="Y2784" s="7"/>
      <c r="Z2784" s="2"/>
      <c r="AA2784" s="1"/>
      <c r="AC2784" s="2"/>
      <c r="AE2784" s="1"/>
      <c r="AG2784" s="2"/>
    </row>
    <row r="2785" spans="12:33" ht="49.95" customHeight="1" x14ac:dyDescent="0.3">
      <c r="L2785" s="2"/>
      <c r="M2785" s="2"/>
      <c r="N2785" s="2">
        <v>8756</v>
      </c>
      <c r="O2785" s="397" t="s">
        <v>2311</v>
      </c>
      <c r="P2785" s="16">
        <v>46232</v>
      </c>
      <c r="Q2785" s="397" t="s">
        <v>168</v>
      </c>
      <c r="R2785" s="2">
        <f>VLOOKUP(SALIDAS111518[[#This Row],[CÓDIGO]],PRODUCTOS31316[],2,FALSE)</f>
        <v>4840</v>
      </c>
      <c r="S2785" s="1" t="str">
        <f>VLOOKUP(SALIDAS111518[[#This Row],[CÓDIGO]],PRODUCTOS31316[],3,FALSE)</f>
        <v>PUNTAS BLANCAS UNIVERSALES, PLÁSTICAS, LIBRES DE DNASAS, RNASA Y PIROGENOS, RANGO DE 0.1 A 10UL. (CORTAS).</v>
      </c>
      <c r="T2785" s="2">
        <v>10</v>
      </c>
      <c r="U2785" s="2"/>
      <c r="V2785" s="2"/>
      <c r="W2785" s="2"/>
      <c r="X2785" s="2"/>
      <c r="Y2785" s="7"/>
      <c r="Z2785" s="2"/>
      <c r="AA2785" s="1"/>
      <c r="AC2785" s="2"/>
      <c r="AE2785" s="1"/>
      <c r="AG2785" s="2"/>
    </row>
    <row r="2786" spans="12:33" ht="49.95" customHeight="1" x14ac:dyDescent="0.3">
      <c r="L2786" s="2"/>
      <c r="M2786" s="2"/>
      <c r="N2786" s="2">
        <v>8756</v>
      </c>
      <c r="O2786" s="399" t="s">
        <v>2311</v>
      </c>
      <c r="P2786" s="16">
        <v>46232</v>
      </c>
      <c r="Q2786" s="397" t="s">
        <v>5128</v>
      </c>
      <c r="R2786" s="2">
        <f>VLOOKUP(SALIDAS111518[[#This Row],[CÓDIGO]],PRODUCTOS31316[],2,FALSE)</f>
        <v>0</v>
      </c>
      <c r="S2786" s="1" t="str">
        <f>VLOOKUP(SALIDAS111518[[#This Row],[CÓDIGO]],PRODUCTOS31316[],3,FALSE)</f>
        <v>CAJA DE PETRI PLASTICA  DESECHABLE ESTERIL DE 90x15MM. BIO SEEN PAQ. X 20 UND</v>
      </c>
      <c r="T2786" s="2">
        <v>15</v>
      </c>
      <c r="U2786" s="2"/>
      <c r="V2786" s="2"/>
      <c r="W2786" s="2"/>
      <c r="X2786" s="2"/>
      <c r="Y2786" s="7"/>
      <c r="Z2786" s="2"/>
      <c r="AA2786" s="1"/>
      <c r="AC2786" s="2"/>
      <c r="AE2786" s="1"/>
      <c r="AG2786" s="2"/>
    </row>
    <row r="2787" spans="12:33" ht="49.95" customHeight="1" x14ac:dyDescent="0.3">
      <c r="L2787" s="2" t="s">
        <v>3520</v>
      </c>
      <c r="M2787" s="2" t="s">
        <v>5071</v>
      </c>
      <c r="N2787" s="2" t="s">
        <v>5692</v>
      </c>
      <c r="O2787" s="395" t="s">
        <v>3067</v>
      </c>
      <c r="P2787" s="16">
        <v>46231</v>
      </c>
      <c r="Q2787" s="2" t="s">
        <v>210</v>
      </c>
      <c r="R2787" s="2">
        <f>VLOOKUP(SALIDAS111518[[#This Row],[CÓDIGO]],PRODUCTOS31316[],2,FALSE)</f>
        <v>101257</v>
      </c>
      <c r="S2787" s="1" t="str">
        <f>VLOOKUP(SALIDAS111518[[#This Row],[CÓDIGO]],PRODUCTOS31316[],3,FALSE)</f>
        <v>MANGA DESECHABLE SUPER SENSITIVA</v>
      </c>
      <c r="T2787" s="2">
        <v>1</v>
      </c>
      <c r="U2787" s="2">
        <v>1199</v>
      </c>
      <c r="V2787" s="2"/>
      <c r="W2787" s="2"/>
      <c r="X2787" s="2"/>
      <c r="Y2787" s="7"/>
      <c r="Z2787" s="2"/>
      <c r="AA2787" s="1"/>
      <c r="AC2787" s="2"/>
      <c r="AE2787" s="1"/>
      <c r="AG2787" s="2"/>
    </row>
    <row r="2788" spans="12:33" ht="49.95" customHeight="1" x14ac:dyDescent="0.3">
      <c r="L2788" s="2" t="s">
        <v>3520</v>
      </c>
      <c r="M2788" s="2" t="s">
        <v>5071</v>
      </c>
      <c r="N2788" s="420" t="s">
        <v>5693</v>
      </c>
      <c r="O2788" s="2" t="s">
        <v>3720</v>
      </c>
      <c r="P2788" s="16">
        <v>46231</v>
      </c>
      <c r="Q2788" s="2" t="s">
        <v>36</v>
      </c>
      <c r="R2788" s="2">
        <f>VLOOKUP(SALIDAS111518[[#This Row],[CÓDIGO]],PRODUCTOS31316[],2,FALSE)</f>
        <v>1</v>
      </c>
      <c r="S2788" s="1" t="str">
        <f>VLOOKUP(SALIDAS111518[[#This Row],[CÓDIGO]],PRODUCTOS31316[],3,FALSE)</f>
        <v xml:space="preserve">PARCHE ESTROTECT </v>
      </c>
      <c r="T2788" s="2">
        <v>1</v>
      </c>
      <c r="U2788" s="2">
        <v>1200</v>
      </c>
      <c r="V2788" s="2"/>
      <c r="W2788" s="2" t="s">
        <v>2823</v>
      </c>
      <c r="X2788" s="2"/>
      <c r="Y2788" s="7"/>
      <c r="Z2788" s="2"/>
      <c r="AA2788" s="1"/>
      <c r="AC2788" s="2"/>
      <c r="AE2788" s="1"/>
      <c r="AG2788" s="2"/>
    </row>
    <row r="2789" spans="12:33" ht="49.95" customHeight="1" x14ac:dyDescent="0.3">
      <c r="L2789" s="2" t="s">
        <v>3520</v>
      </c>
      <c r="M2789" s="2" t="s">
        <v>5071</v>
      </c>
      <c r="N2789" s="1" t="s">
        <v>5694</v>
      </c>
      <c r="O2789" s="2" t="s">
        <v>2980</v>
      </c>
      <c r="P2789" s="16">
        <v>46231</v>
      </c>
      <c r="Q2789" s="2" t="s">
        <v>3202</v>
      </c>
      <c r="R2789" s="2">
        <f>VLOOKUP(SALIDAS111518[[#This Row],[CÓDIGO]],PRODUCTOS31316[],2,FALSE)</f>
        <v>0</v>
      </c>
      <c r="S2789" s="1" t="str">
        <f>VLOOKUP(SALIDAS111518[[#This Row],[CÓDIGO]],PRODUCTOS31316[],3,FALSE)</f>
        <v>CABLE REPUESTO ECOGRAFO S5</v>
      </c>
      <c r="T2789" s="2">
        <v>4</v>
      </c>
      <c r="U2789" s="2">
        <v>1201</v>
      </c>
      <c r="V2789" s="2"/>
      <c r="W2789" s="2"/>
      <c r="X2789" s="127"/>
      <c r="Y2789" s="7"/>
      <c r="Z2789" s="2"/>
      <c r="AA2789" s="1"/>
      <c r="AC2789" s="2"/>
      <c r="AE2789" s="1"/>
      <c r="AG2789" s="2"/>
    </row>
    <row r="2790" spans="12:33" ht="49.95" customHeight="1" x14ac:dyDescent="0.3">
      <c r="L2790" s="2" t="s">
        <v>3521</v>
      </c>
      <c r="M2790" s="2" t="s">
        <v>5071</v>
      </c>
      <c r="N2790" s="15">
        <v>15066</v>
      </c>
      <c r="O2790" s="54" t="s">
        <v>5696</v>
      </c>
      <c r="P2790" s="15"/>
      <c r="Q2790" s="2" t="s">
        <v>3075</v>
      </c>
      <c r="R2790" s="2">
        <f>VLOOKUP(SALIDAS111518[[#This Row],[CÓDIGO]],PRODUCTOS31316[],2,FALSE)</f>
        <v>0</v>
      </c>
      <c r="S2790" s="1" t="str">
        <f>VLOOKUP(SALIDAS111518[[#This Row],[CÓDIGO]],PRODUCTOS31316[],3,FALSE)</f>
        <v>AUTOJAC V3 ELECTROEYACUALADOR MANUAL Y AUTOMÁTICO</v>
      </c>
      <c r="T2790" s="2">
        <v>1</v>
      </c>
      <c r="U2790" s="15"/>
      <c r="V2790" s="2"/>
      <c r="W2790" s="2"/>
      <c r="X2790" s="2"/>
      <c r="Y2790" s="7"/>
      <c r="Z2790" s="2"/>
      <c r="AA2790" s="1"/>
      <c r="AC2790" s="2"/>
      <c r="AE2790" s="1"/>
      <c r="AG2790" s="2"/>
    </row>
    <row r="2791" spans="12:33" ht="49.95" customHeight="1" x14ac:dyDescent="0.3">
      <c r="L2791" s="2"/>
      <c r="M2791" s="2"/>
      <c r="N2791" s="2"/>
      <c r="O2791" s="1" t="s">
        <v>5695</v>
      </c>
      <c r="P2791" s="2"/>
      <c r="Q2791" s="2" t="s">
        <v>3498</v>
      </c>
      <c r="R2791" s="2">
        <f>VLOOKUP(SALIDAS111518[[#This Row],[CÓDIGO]],PRODUCTOS31316[],2,FALSE)</f>
        <v>6985</v>
      </c>
      <c r="S2791" s="1" t="str">
        <f>VLOOKUP(SALIDAS111518[[#This Row],[CÓDIGO]],PRODUCTOS31316[],3,FALSE)</f>
        <v>MANGO DE RECOLECCIÓN DE SEMEN</v>
      </c>
      <c r="T2791" s="2">
        <v>1</v>
      </c>
      <c r="U2791" s="2"/>
      <c r="V2791" s="2"/>
      <c r="W2791" s="2"/>
      <c r="X2791" s="2"/>
      <c r="Y2791" s="7"/>
      <c r="Z2791" s="2"/>
      <c r="AA2791" s="1"/>
      <c r="AC2791" s="2"/>
      <c r="AE2791" s="1"/>
      <c r="AG2791" s="2"/>
    </row>
    <row r="2792" spans="12:33" ht="49.95" customHeight="1" x14ac:dyDescent="0.3">
      <c r="L2792" s="2"/>
      <c r="M2792" s="2"/>
      <c r="N2792" s="2"/>
      <c r="O2792" s="1" t="s">
        <v>5695</v>
      </c>
      <c r="P2792" s="2"/>
      <c r="Q2792" s="2" t="s">
        <v>909</v>
      </c>
      <c r="R2792" s="2" t="str">
        <f>VLOOKUP(SALIDAS111518[[#This Row],[CÓDIGO]],PRODUCTOS31316[],2,FALSE)</f>
        <v>26-0</v>
      </c>
      <c r="S2792" s="1" t="str">
        <f>VLOOKUP(SALIDAS111518[[#This Row],[CÓDIGO]],PRODUCTOS31316[],3,FALSE)</f>
        <v>ELECTRO PARA OVINO- CAPRINO/ PROBE 1 1/4" DE DIÁMETRO FUNCIONA CON 2 BATERIAS 9V</v>
      </c>
      <c r="T2792" s="2">
        <v>1</v>
      </c>
      <c r="U2792" s="2"/>
      <c r="V2792" s="2"/>
      <c r="W2792" s="2"/>
      <c r="X2792" s="2"/>
      <c r="Y2792" s="7"/>
      <c r="Z2792" s="2"/>
      <c r="AA2792" s="1"/>
      <c r="AC2792" s="2"/>
      <c r="AE2792" s="1"/>
      <c r="AG2792" s="2"/>
    </row>
    <row r="2793" spans="12:33" ht="49.95" customHeight="1" x14ac:dyDescent="0.3">
      <c r="L2793" s="2"/>
      <c r="M2793" s="2"/>
      <c r="N2793" s="2"/>
      <c r="O2793" s="1" t="s">
        <v>5695</v>
      </c>
      <c r="P2793" s="2"/>
      <c r="Q2793" s="2" t="s">
        <v>1440</v>
      </c>
      <c r="R2793" s="2" t="str">
        <f>VLOOKUP(SALIDAS111518[[#This Row],[CÓDIGO]],PRODUCTOS31316[],2,FALSE)</f>
        <v>AIT8</v>
      </c>
      <c r="S2793" s="1" t="str">
        <f>VLOOKUP(SALIDAS111518[[#This Row],[CÓDIGO]],PRODUCTOS31316[],3,FALSE)</f>
        <v>KIT PARA CONEJOS</v>
      </c>
      <c r="T2793" s="2">
        <v>1</v>
      </c>
      <c r="U2793" s="2"/>
      <c r="V2793" s="2"/>
      <c r="W2793" s="2"/>
      <c r="X2793" s="2"/>
      <c r="Y2793" s="7"/>
      <c r="Z2793" s="2"/>
      <c r="AA2793" s="1"/>
      <c r="AC2793" s="2"/>
      <c r="AE2793" s="1"/>
      <c r="AG2793" s="2"/>
    </row>
    <row r="2794" spans="12:33" ht="49.95" customHeight="1" x14ac:dyDescent="0.3">
      <c r="L2794" s="2"/>
      <c r="M2794" s="2"/>
      <c r="N2794" s="2"/>
      <c r="O2794" s="1" t="s">
        <v>5695</v>
      </c>
      <c r="P2794" s="2"/>
      <c r="Q2794" s="2" t="s">
        <v>53</v>
      </c>
      <c r="R2794" s="2" t="str">
        <f>VLOOKUP(SALIDAS111518[[#This Row],[CÓDIGO]],PRODUCTOS31316[],2,FALSE)</f>
        <v>26237/ 25339</v>
      </c>
      <c r="S2794" s="1" t="str">
        <f>VLOOKUP(SALIDAS111518[[#This Row],[CÓDIGO]],PRODUCTOS31316[],3,FALSE)</f>
        <v>TRANSPORTADORA DE EMBRIONES Y OOCITOS</v>
      </c>
      <c r="T2794" s="2">
        <v>1</v>
      </c>
      <c r="U2794" s="2"/>
      <c r="V2794" s="2"/>
      <c r="W2794" s="2"/>
      <c r="X2794" s="2"/>
      <c r="Y2794" s="7"/>
      <c r="Z2794" s="2"/>
      <c r="AA2794" s="1"/>
      <c r="AC2794" s="2"/>
      <c r="AE2794" s="1"/>
      <c r="AG2794" s="2"/>
    </row>
    <row r="2795" spans="12:33" ht="49.95" customHeight="1" x14ac:dyDescent="0.3">
      <c r="L2795" s="2"/>
      <c r="M2795" s="2"/>
      <c r="N2795" s="2"/>
      <c r="O2795" s="1" t="s">
        <v>5695</v>
      </c>
      <c r="P2795" s="2"/>
      <c r="Q2795" s="2" t="s">
        <v>3500</v>
      </c>
      <c r="R2795" s="2">
        <f>VLOOKUP(SALIDAS111518[[#This Row],[CÓDIGO]],PRODUCTOS31316[],2,FALSE)</f>
        <v>25</v>
      </c>
      <c r="S2795" s="1" t="str">
        <f>VLOOKUP(SALIDAS111518[[#This Row],[CÓDIGO]],PRODUCTOS31316[],3,FALSE)</f>
        <v>TUBO RIGIDO EQUINO BOTUPHARMA</v>
      </c>
      <c r="T2795" s="2">
        <v>1</v>
      </c>
      <c r="U2795" s="2"/>
      <c r="V2795" s="2"/>
      <c r="W2795" s="2"/>
      <c r="X2795" s="2"/>
      <c r="Y2795" s="7"/>
      <c r="Z2795" s="2"/>
      <c r="AA2795" s="1"/>
      <c r="AC2795" s="2"/>
      <c r="AE2795" s="1"/>
      <c r="AG2795" s="2"/>
    </row>
    <row r="2796" spans="12:33" ht="49.95" customHeight="1" x14ac:dyDescent="0.3">
      <c r="L2796" s="2"/>
      <c r="M2796" s="2"/>
      <c r="N2796" s="2"/>
      <c r="O2796" s="1" t="s">
        <v>5695</v>
      </c>
      <c r="P2796" s="2"/>
      <c r="Q2796" s="2" t="s">
        <v>3502</v>
      </c>
      <c r="R2796" s="2">
        <f>VLOOKUP(SALIDAS111518[[#This Row],[CÓDIGO]],PRODUCTOS31316[],2,FALSE)</f>
        <v>24</v>
      </c>
      <c r="S2796" s="1" t="str">
        <f>VLOOKUP(SALIDAS111518[[#This Row],[CÓDIGO]],PRODUCTOS31316[],3,FALSE)</f>
        <v>MUCOSA DE LATEX EQUINA  BOTUPHARMA</v>
      </c>
      <c r="T2796" s="2">
        <v>1</v>
      </c>
      <c r="U2796" s="2"/>
      <c r="V2796" s="2"/>
      <c r="W2796" s="2"/>
      <c r="X2796" s="2"/>
      <c r="Y2796" s="7"/>
      <c r="Z2796" s="2"/>
      <c r="AA2796" s="1"/>
      <c r="AC2796" s="2"/>
      <c r="AE2796" s="1"/>
      <c r="AG2796" s="2"/>
    </row>
    <row r="2797" spans="12:33" ht="49.95" customHeight="1" x14ac:dyDescent="0.3">
      <c r="L2797" s="2"/>
      <c r="M2797" s="2"/>
      <c r="N2797" s="2"/>
      <c r="O2797" s="1" t="s">
        <v>5695</v>
      </c>
      <c r="P2797" s="2"/>
      <c r="Q2797" s="2" t="s">
        <v>3504</v>
      </c>
      <c r="R2797" s="2">
        <f>VLOOKUP(SALIDAS111518[[#This Row],[CÓDIGO]],PRODUCTOS31316[],2,FALSE)</f>
        <v>26</v>
      </c>
      <c r="S2797" s="1" t="str">
        <f>VLOOKUP(SALIDAS111518[[#This Row],[CÓDIGO]],PRODUCTOS31316[],3,FALSE)</f>
        <v>MUCOSA DE PLÁSTICA EQUINA  BOTUPHARMA</v>
      </c>
      <c r="T2797" s="2">
        <v>1</v>
      </c>
      <c r="U2797" s="2"/>
      <c r="V2797" s="2"/>
      <c r="W2797" s="2"/>
      <c r="X2797" s="2"/>
      <c r="Y2797" s="7"/>
      <c r="Z2797" s="2"/>
      <c r="AA2797" s="1"/>
      <c r="AC2797" s="2"/>
      <c r="AE2797" s="1"/>
      <c r="AG2797" s="2"/>
    </row>
    <row r="2798" spans="12:33" ht="49.95" customHeight="1" x14ac:dyDescent="0.3">
      <c r="L2798" s="2"/>
      <c r="M2798" s="2"/>
      <c r="N2798" s="2"/>
      <c r="O2798" s="1" t="s">
        <v>5695</v>
      </c>
      <c r="P2798" s="2"/>
      <c r="Q2798" s="2" t="s">
        <v>3506</v>
      </c>
      <c r="R2798" s="2">
        <f>VLOOKUP(SALIDAS111518[[#This Row],[CÓDIGO]],PRODUCTOS31316[],2,FALSE)</f>
        <v>27</v>
      </c>
      <c r="S2798" s="1" t="str">
        <f>VLOOKUP(SALIDAS111518[[#This Row],[CÓDIGO]],PRODUCTOS31316[],3,FALSE)</f>
        <v>VASO COLECTOR EQUINO BOTUPHARMA</v>
      </c>
      <c r="T2798" s="2">
        <v>1</v>
      </c>
      <c r="U2798" s="2"/>
      <c r="V2798" s="2"/>
      <c r="W2798" s="2"/>
      <c r="X2798" s="2"/>
      <c r="Y2798" s="7"/>
      <c r="Z2798" s="2"/>
      <c r="AA2798" s="1"/>
      <c r="AC2798" s="2"/>
      <c r="AE2798" s="1"/>
      <c r="AG2798" s="2"/>
    </row>
    <row r="2799" spans="12:33" ht="49.95" customHeight="1" x14ac:dyDescent="0.3">
      <c r="L2799" s="2"/>
      <c r="M2799" s="2"/>
      <c r="N2799" s="2"/>
      <c r="O2799" s="1" t="s">
        <v>5695</v>
      </c>
      <c r="P2799" s="2"/>
      <c r="Q2799" s="2" t="s">
        <v>3508</v>
      </c>
      <c r="R2799" s="2">
        <f>VLOOKUP(SALIDAS111518[[#This Row],[CÓDIGO]],PRODUCTOS31316[],2,FALSE)</f>
        <v>28</v>
      </c>
      <c r="S2799" s="1" t="str">
        <f>VLOOKUP(SALIDAS111518[[#This Row],[CÓDIGO]],PRODUCTOS31316[],3,FALSE)</f>
        <v>CAMISA SANITARIA PARA VASO COLECTOR EQUINO BOTUPHARMA</v>
      </c>
      <c r="T2799" s="2">
        <v>1</v>
      </c>
      <c r="U2799" s="2"/>
      <c r="V2799" s="2"/>
      <c r="W2799" s="2"/>
      <c r="X2799" s="2"/>
      <c r="Y2799" s="7"/>
      <c r="Z2799" s="2"/>
      <c r="AA2799" s="1"/>
      <c r="AC2799" s="2"/>
      <c r="AE2799" s="1"/>
      <c r="AG2799" s="2"/>
    </row>
    <row r="2800" spans="12:33" ht="49.95" customHeight="1" x14ac:dyDescent="0.3">
      <c r="L2800" s="2" t="s">
        <v>3520</v>
      </c>
      <c r="M2800" s="2" t="s">
        <v>5071</v>
      </c>
      <c r="N2800" s="401" t="s">
        <v>5698</v>
      </c>
      <c r="O2800" s="2" t="s">
        <v>2299</v>
      </c>
      <c r="P2800" s="16">
        <v>46231</v>
      </c>
      <c r="Q2800" s="2" t="s">
        <v>752</v>
      </c>
      <c r="R2800" s="2">
        <f>VLOOKUP(SALIDAS111518[[#This Row],[CÓDIGO]],PRODUCTOS31316[],2,FALSE)</f>
        <v>0</v>
      </c>
      <c r="S2800" s="1" t="str">
        <f>VLOOKUP(SALIDAS111518[[#This Row],[CÓDIGO]],PRODUCTOS31316[],3,FALSE)</f>
        <v>TABS BLANCOS</v>
      </c>
      <c r="T2800" s="2">
        <v>3</v>
      </c>
      <c r="U2800" s="2">
        <v>1203</v>
      </c>
      <c r="V2800" s="2"/>
      <c r="W2800" s="2"/>
      <c r="X2800" s="2"/>
      <c r="Y2800" s="7"/>
      <c r="Z2800" s="2"/>
      <c r="AA2800" s="1"/>
      <c r="AC2800" s="2"/>
      <c r="AE2800" s="1"/>
      <c r="AG2800" s="2"/>
    </row>
    <row r="2801" spans="12:33" ht="49.95" customHeight="1" x14ac:dyDescent="0.3">
      <c r="L2801" s="2"/>
      <c r="M2801" s="2"/>
      <c r="N2801" s="2">
        <v>8757</v>
      </c>
      <c r="O2801" s="2" t="s">
        <v>2299</v>
      </c>
      <c r="P2801" s="16">
        <v>46231</v>
      </c>
      <c r="Q2801" s="2" t="s">
        <v>1779</v>
      </c>
      <c r="R2801" s="2">
        <f>VLOOKUP(SALIDAS111518[[#This Row],[CÓDIGO]],PRODUCTOS31316[],2,FALSE)</f>
        <v>5563</v>
      </c>
      <c r="S2801" s="1" t="str">
        <f>VLOOKUP(SALIDAS111518[[#This Row],[CÓDIGO]],PRODUCTOS31316[],3,FALSE)</f>
        <v>CAMISA SANITARIA ROLLO X 80</v>
      </c>
      <c r="T2801" s="2">
        <v>2</v>
      </c>
      <c r="U2801" s="2"/>
      <c r="V2801" s="2"/>
      <c r="W2801" s="2"/>
      <c r="X2801" s="2"/>
      <c r="Y2801" s="7"/>
      <c r="Z2801" s="2"/>
      <c r="AA2801" s="1"/>
      <c r="AC2801" s="2"/>
      <c r="AE2801" s="1"/>
      <c r="AG2801" s="2"/>
    </row>
    <row r="2802" spans="12:33" ht="49.95" customHeight="1" x14ac:dyDescent="0.3">
      <c r="L2802" s="2"/>
      <c r="M2802" s="2"/>
      <c r="N2802" s="2">
        <v>8757</v>
      </c>
      <c r="O2802" s="2" t="s">
        <v>2299</v>
      </c>
      <c r="P2802" s="16">
        <v>46231</v>
      </c>
      <c r="Q2802" s="2" t="s">
        <v>3398</v>
      </c>
      <c r="R2802" s="2">
        <f>VLOOKUP(SALIDAS111518[[#This Row],[CÓDIGO]],PRODUCTOS31316[],2,FALSE)</f>
        <v>13408</v>
      </c>
      <c r="S2802" s="1" t="str">
        <f>VLOOKUP(SALIDAS111518[[#This Row],[CÓDIGO]],PRODUCTOS31316[],3,FALSE)</f>
        <v>PAJILLAS TRANSPARENTES 0,50 MINITUBE</v>
      </c>
      <c r="T2802" s="2">
        <v>1</v>
      </c>
      <c r="U2802" s="2"/>
      <c r="V2802" s="2"/>
      <c r="W2802" s="2"/>
      <c r="X2802" s="2"/>
      <c r="Y2802" s="7"/>
      <c r="Z2802" s="2"/>
      <c r="AA2802" s="1"/>
      <c r="AC2802" s="2"/>
      <c r="AE2802" s="1"/>
      <c r="AG2802" s="2"/>
    </row>
    <row r="2803" spans="12:33" ht="49.95" customHeight="1" x14ac:dyDescent="0.3">
      <c r="L2803" s="2"/>
      <c r="M2803" s="2"/>
      <c r="N2803" s="2">
        <v>8757</v>
      </c>
      <c r="O2803" s="2" t="s">
        <v>2299</v>
      </c>
      <c r="P2803" s="16">
        <v>46231</v>
      </c>
      <c r="Q2803" s="2" t="s">
        <v>767</v>
      </c>
      <c r="R2803" s="2">
        <f>VLOOKUP(SALIDAS111518[[#This Row],[CÓDIGO]],PRODUCTOS31316[],2,FALSE)</f>
        <v>430165</v>
      </c>
      <c r="S2803" s="1" t="str">
        <f>VLOOKUP(SALIDAS111518[[#This Row],[CÓDIGO]],PRODUCTOS31316[],3,FALSE)</f>
        <v>CAJAS DE PETRI DE 35X 10 MM, EN POLYESTYRENO, ESTPERILES, DESECHABLES, PARA CULTIVO CELULAR</v>
      </c>
      <c r="T2803" s="2">
        <v>3</v>
      </c>
      <c r="U2803" s="2"/>
      <c r="V2803" s="2"/>
      <c r="W2803" s="2"/>
      <c r="X2803" s="2"/>
      <c r="Y2803" s="7"/>
      <c r="Z2803" s="2"/>
      <c r="AA2803" s="1"/>
      <c r="AC2803" s="2"/>
      <c r="AE2803" s="1"/>
      <c r="AG2803" s="2"/>
    </row>
    <row r="2804" spans="12:33" ht="49.95" customHeight="1" x14ac:dyDescent="0.3">
      <c r="L2804" s="2" t="s">
        <v>3520</v>
      </c>
      <c r="M2804" s="2" t="s">
        <v>5071</v>
      </c>
      <c r="N2804" s="406" t="s">
        <v>5721</v>
      </c>
      <c r="O2804" s="399" t="s">
        <v>2693</v>
      </c>
      <c r="P2804" s="16">
        <v>46233</v>
      </c>
      <c r="Q2804" s="399" t="s">
        <v>336</v>
      </c>
      <c r="R2804" s="2">
        <f>VLOOKUP(SALIDAS111518[[#This Row],[CÓDIGO]],PRODUCTOS31316[],2,FALSE)</f>
        <v>0</v>
      </c>
      <c r="S2804" s="1" t="str">
        <f>VLOOKUP(SALIDAS111518[[#This Row],[CÓDIGO]],PRODUCTOS31316[],3,FALSE)</f>
        <v>ABT PVA CONCENTRAD 20 ML VC ENERO 2027</v>
      </c>
      <c r="T2804" s="2">
        <v>2</v>
      </c>
      <c r="U2804" s="2">
        <v>1215</v>
      </c>
      <c r="V2804" s="2"/>
      <c r="W2804" s="2"/>
      <c r="X2804" s="2"/>
      <c r="Y2804" s="7"/>
      <c r="Z2804" s="2"/>
      <c r="AA2804" s="1"/>
      <c r="AC2804" s="2"/>
      <c r="AE2804" s="1"/>
      <c r="AG2804" s="2"/>
    </row>
    <row r="2805" spans="12:33" ht="49.95" customHeight="1" x14ac:dyDescent="0.3">
      <c r="L2805" s="2"/>
      <c r="M2805" s="2"/>
      <c r="N2805" s="2">
        <v>8769</v>
      </c>
      <c r="O2805" s="399" t="s">
        <v>2693</v>
      </c>
      <c r="P2805" s="16">
        <v>46233</v>
      </c>
      <c r="Q2805" s="399" t="s">
        <v>1779</v>
      </c>
      <c r="R2805" s="2">
        <f>VLOOKUP(SALIDAS111518[[#This Row],[CÓDIGO]],PRODUCTOS31316[],2,FALSE)</f>
        <v>5563</v>
      </c>
      <c r="S2805" s="1" t="str">
        <f>VLOOKUP(SALIDAS111518[[#This Row],[CÓDIGO]],PRODUCTOS31316[],3,FALSE)</f>
        <v>CAMISA SANITARIA ROLLO X 80</v>
      </c>
      <c r="T2805" s="2">
        <v>15</v>
      </c>
      <c r="U2805" s="2"/>
      <c r="V2805" s="2"/>
      <c r="W2805" s="2"/>
      <c r="X2805" s="2"/>
      <c r="Y2805" s="7"/>
      <c r="Z2805" s="2"/>
      <c r="AA2805" s="1"/>
      <c r="AC2805" s="2"/>
      <c r="AE2805" s="1"/>
      <c r="AG2805" s="2"/>
    </row>
    <row r="2806" spans="12:33" ht="49.95" customHeight="1" x14ac:dyDescent="0.3">
      <c r="L2806" s="2"/>
      <c r="M2806" s="2"/>
      <c r="N2806" s="2">
        <v>8769</v>
      </c>
      <c r="O2806" s="399" t="s">
        <v>2693</v>
      </c>
      <c r="P2806" s="16">
        <v>46233</v>
      </c>
      <c r="Q2806" s="399" t="s">
        <v>1681</v>
      </c>
      <c r="R2806" s="2">
        <f>VLOOKUP(SALIDAS111518[[#This Row],[CÓDIGO]],PRODUCTOS31316[],2,FALSE)</f>
        <v>347430</v>
      </c>
      <c r="S2806" s="1" t="str">
        <f>VLOOKUP(SALIDAS111518[[#This Row],[CÓDIGO]],PRODUCTOS31316[],3,FALSE)</f>
        <v>GOBLETS BLANCOS DE 10 MM</v>
      </c>
      <c r="T2806" s="2">
        <v>1</v>
      </c>
      <c r="U2806" s="2"/>
      <c r="V2806" s="2"/>
      <c r="W2806" s="2"/>
      <c r="X2806" s="2"/>
      <c r="Y2806" s="7"/>
      <c r="Z2806" s="2"/>
      <c r="AA2806" s="1"/>
      <c r="AC2806" s="2"/>
      <c r="AE2806" s="1"/>
      <c r="AG2806" s="2"/>
    </row>
    <row r="2807" spans="12:33" ht="49.95" customHeight="1" x14ac:dyDescent="0.3">
      <c r="L2807" s="2"/>
      <c r="M2807" s="2"/>
      <c r="N2807" s="2">
        <v>8769</v>
      </c>
      <c r="O2807" s="409" t="s">
        <v>2693</v>
      </c>
      <c r="P2807" s="16">
        <v>46233</v>
      </c>
      <c r="Q2807" s="399" t="s">
        <v>3397</v>
      </c>
      <c r="R2807" s="2">
        <f>VLOOKUP(SALIDAS111518[[#This Row],[CÓDIGO]],PRODUCTOS31316[],2,FALSE)</f>
        <v>13407</v>
      </c>
      <c r="S2807" s="1" t="str">
        <f>VLOOKUP(SALIDAS111518[[#This Row],[CÓDIGO]],PRODUCTOS31316[],3,FALSE)</f>
        <v>PAJILLAS TRANSPARENTES 0,25 MINITUBE</v>
      </c>
      <c r="T2807" s="2">
        <v>2</v>
      </c>
      <c r="U2807" s="2"/>
      <c r="V2807" s="2"/>
      <c r="W2807" s="2"/>
      <c r="X2807" s="2"/>
      <c r="Y2807" s="7"/>
      <c r="Z2807" s="2"/>
      <c r="AA2807" s="1"/>
      <c r="AC2807" s="2"/>
      <c r="AE2807" s="1"/>
      <c r="AG2807" s="2"/>
    </row>
    <row r="2808" spans="12:33" ht="49.95" customHeight="1" x14ac:dyDescent="0.3">
      <c r="L2808" s="2"/>
      <c r="M2808" s="2"/>
      <c r="N2808" s="2">
        <v>8769</v>
      </c>
      <c r="O2808" s="399" t="s">
        <v>2693</v>
      </c>
      <c r="P2808" s="16">
        <v>46233</v>
      </c>
      <c r="Q2808" s="399" t="s">
        <v>168</v>
      </c>
      <c r="R2808" s="2">
        <f>VLOOKUP(SALIDAS111518[[#This Row],[CÓDIGO]],PRODUCTOS31316[],2,FALSE)</f>
        <v>4840</v>
      </c>
      <c r="S2808" s="1" t="str">
        <f>VLOOKUP(SALIDAS111518[[#This Row],[CÓDIGO]],PRODUCTOS31316[],3,FALSE)</f>
        <v>PUNTAS BLANCAS UNIVERSALES, PLÁSTICAS, LIBRES DE DNASAS, RNASA Y PIROGENOS, RANGO DE 0.1 A 10UL. (CORTAS).</v>
      </c>
      <c r="T2808" s="2">
        <v>8</v>
      </c>
      <c r="U2808" s="2"/>
      <c r="V2808" s="2"/>
      <c r="W2808" s="2"/>
      <c r="X2808" s="2"/>
      <c r="Y2808" s="7"/>
      <c r="Z2808" s="2"/>
      <c r="AA2808" s="1"/>
      <c r="AC2808" s="2"/>
      <c r="AE2808" s="1"/>
      <c r="AG2808" s="2"/>
    </row>
    <row r="2809" spans="12:33" ht="49.95" customHeight="1" x14ac:dyDescent="0.3">
      <c r="L2809" s="2"/>
      <c r="M2809" s="2"/>
      <c r="N2809" s="2">
        <v>8769</v>
      </c>
      <c r="O2809" s="399" t="s">
        <v>2693</v>
      </c>
      <c r="P2809" s="16">
        <v>46233</v>
      </c>
      <c r="Q2809" s="399" t="s">
        <v>1799</v>
      </c>
      <c r="R2809" s="2">
        <f>VLOOKUP(SALIDAS111518[[#This Row],[CÓDIGO]],PRODUCTOS31316[],2,FALSE)</f>
        <v>4846</v>
      </c>
      <c r="S2809" s="1" t="str">
        <f>VLOOKUP(SALIDAS111518[[#This Row],[CÓDIGO]],PRODUCTOS31316[],3,FALSE)</f>
        <v>PUNTA AZULES UNIVERSALES 100- 1000 UL</v>
      </c>
      <c r="T2809" s="2">
        <v>1</v>
      </c>
      <c r="U2809" s="2"/>
      <c r="V2809" s="2"/>
      <c r="W2809" s="2"/>
      <c r="X2809" s="2"/>
      <c r="Y2809" s="7"/>
      <c r="Z2809" s="2"/>
      <c r="AA2809" s="1"/>
      <c r="AC2809" s="2"/>
      <c r="AE2809" s="1"/>
      <c r="AG2809" s="2"/>
    </row>
    <row r="2810" spans="12:33" ht="49.95" customHeight="1" x14ac:dyDescent="0.3">
      <c r="L2810" s="399" t="s">
        <v>3521</v>
      </c>
      <c r="M2810" s="399" t="s">
        <v>5071</v>
      </c>
      <c r="N2810" s="420" t="s">
        <v>5700</v>
      </c>
      <c r="O2810" s="418" t="s">
        <v>3581</v>
      </c>
      <c r="P2810" s="16">
        <v>46231</v>
      </c>
      <c r="Q2810" s="399" t="s">
        <v>5098</v>
      </c>
      <c r="R2810" s="2">
        <f>VLOOKUP(SALIDAS111518[[#This Row],[CÓDIGO]],PRODUCTOS31316[],2,FALSE)</f>
        <v>0</v>
      </c>
      <c r="S2810" s="1" t="str">
        <f>VLOOKUP(SALIDAS111518[[#This Row],[CÓDIGO]],PRODUCTOS31316[],3,FALSE)</f>
        <v>FUNDA DE TRANSFERENCIA DE EMBRIONES 0.25 PUNTA PLÁSTICA MARCA TED</v>
      </c>
      <c r="T2810" s="2">
        <v>40</v>
      </c>
      <c r="U2810" s="2">
        <v>1205</v>
      </c>
      <c r="V2810" s="2"/>
      <c r="W2810" s="399" t="s">
        <v>2823</v>
      </c>
      <c r="X2810" s="2"/>
      <c r="Y2810" s="7"/>
      <c r="Z2810" s="2"/>
      <c r="AA2810" s="1"/>
      <c r="AC2810" s="2"/>
      <c r="AE2810" s="1"/>
      <c r="AG2810" s="2"/>
    </row>
    <row r="2811" spans="12:33" ht="49.95" customHeight="1" x14ac:dyDescent="0.3">
      <c r="L2811" s="399" t="s">
        <v>3521</v>
      </c>
      <c r="M2811" s="399" t="s">
        <v>5071</v>
      </c>
      <c r="N2811" s="406" t="s">
        <v>5724</v>
      </c>
      <c r="O2811" s="399" t="s">
        <v>5703</v>
      </c>
      <c r="P2811" s="16">
        <v>46233</v>
      </c>
      <c r="Q2811" s="399" t="s">
        <v>438</v>
      </c>
      <c r="R2811" s="2">
        <f>VLOOKUP(SALIDAS111518[[#This Row],[CÓDIGO]],PRODUCTOS31316[],2,FALSE)</f>
        <v>18421</v>
      </c>
      <c r="S2811" s="1" t="str">
        <f>VLOOKUP(SALIDAS111518[[#This Row],[CÓDIGO]],PRODUCTOS31316[],3,FALSE)</f>
        <v xml:space="preserve">PISTOLA DE TRANSFERENCIA DE EMBRIONES 0,25 / BLOQUEO AUTOMÁTICO </v>
      </c>
      <c r="T2811" s="2">
        <v>1</v>
      </c>
      <c r="U2811" s="407" t="s">
        <v>5723</v>
      </c>
      <c r="V2811" s="2"/>
      <c r="W2811" s="399" t="s">
        <v>3194</v>
      </c>
      <c r="X2811" s="2"/>
      <c r="Y2811" s="7"/>
      <c r="Z2811" s="2"/>
      <c r="AA2811" s="1"/>
      <c r="AC2811" s="2"/>
      <c r="AE2811" s="1"/>
      <c r="AG2811" s="2"/>
    </row>
    <row r="2812" spans="12:33" ht="49.95" customHeight="1" x14ac:dyDescent="0.3">
      <c r="L2812" s="2"/>
      <c r="M2812" s="2"/>
      <c r="N2812" s="2">
        <v>8770</v>
      </c>
      <c r="O2812" s="399" t="s">
        <v>5703</v>
      </c>
      <c r="P2812" s="16">
        <v>46233</v>
      </c>
      <c r="Q2812" s="399" t="s">
        <v>443</v>
      </c>
      <c r="R2812" s="2">
        <f>VLOOKUP(SALIDAS111518[[#This Row],[CÓDIGO]],PRODUCTOS31316[],2,FALSE)</f>
        <v>23064</v>
      </c>
      <c r="S2812" s="1" t="str">
        <f>VLOOKUP(SALIDAS111518[[#This Row],[CÓDIGO]],PRODUCTOS31316[],3,FALSE)</f>
        <v>TERMO DESCONGELADOR DE SEMEN DE EMBRIONES AZUL</v>
      </c>
      <c r="T2812" s="2">
        <v>1</v>
      </c>
      <c r="U2812" s="2"/>
      <c r="V2812" s="2"/>
      <c r="W2812" s="2"/>
      <c r="X2812" s="2"/>
      <c r="Y2812" s="7"/>
      <c r="Z2812" s="2"/>
      <c r="AA2812" s="1"/>
      <c r="AC2812" s="2"/>
      <c r="AE2812" s="1"/>
      <c r="AG2812" s="2"/>
    </row>
    <row r="2813" spans="12:33" ht="49.95" customHeight="1" x14ac:dyDescent="0.3">
      <c r="L2813" s="2"/>
      <c r="M2813" s="2"/>
      <c r="N2813" s="2">
        <v>8770</v>
      </c>
      <c r="O2813" s="399" t="s">
        <v>5703</v>
      </c>
      <c r="P2813" s="16">
        <v>46233</v>
      </c>
      <c r="Q2813" s="399" t="s">
        <v>5098</v>
      </c>
      <c r="R2813" s="2">
        <f>VLOOKUP(SALIDAS111518[[#This Row],[CÓDIGO]],PRODUCTOS31316[],2,FALSE)</f>
        <v>0</v>
      </c>
      <c r="S2813" s="1" t="str">
        <f>VLOOKUP(SALIDAS111518[[#This Row],[CÓDIGO]],PRODUCTOS31316[],3,FALSE)</f>
        <v>FUNDA DE TRANSFERENCIA DE EMBRIONES 0.25 PUNTA PLÁSTICA MARCA TED</v>
      </c>
      <c r="T2813" s="2">
        <v>3</v>
      </c>
      <c r="U2813" s="2"/>
      <c r="V2813" s="2"/>
      <c r="W2813" s="2"/>
      <c r="X2813" s="2"/>
      <c r="Y2813" s="7"/>
      <c r="Z2813" s="2"/>
      <c r="AA2813" s="1"/>
      <c r="AC2813" s="2"/>
      <c r="AE2813" s="1"/>
      <c r="AG2813" s="2"/>
    </row>
    <row r="2814" spans="12:33" ht="49.95" customHeight="1" x14ac:dyDescent="0.3">
      <c r="L2814" s="2"/>
      <c r="M2814" s="2"/>
      <c r="N2814" s="2">
        <v>8770</v>
      </c>
      <c r="O2814" s="399" t="s">
        <v>5703</v>
      </c>
      <c r="P2814" s="16">
        <v>46233</v>
      </c>
      <c r="Q2814" s="399" t="s">
        <v>1779</v>
      </c>
      <c r="R2814" s="2">
        <f>VLOOKUP(SALIDAS111518[[#This Row],[CÓDIGO]],PRODUCTOS31316[],2,FALSE)</f>
        <v>5563</v>
      </c>
      <c r="S2814" s="1" t="str">
        <f>VLOOKUP(SALIDAS111518[[#This Row],[CÓDIGO]],PRODUCTOS31316[],3,FALSE)</f>
        <v>CAMISA SANITARIA ROLLO X 80</v>
      </c>
      <c r="T2814" s="2">
        <v>1</v>
      </c>
      <c r="U2814" s="2"/>
      <c r="V2814" s="2"/>
      <c r="W2814" s="2"/>
      <c r="X2814" s="2"/>
      <c r="Y2814" s="7"/>
      <c r="Z2814" s="2"/>
      <c r="AA2814" s="1"/>
      <c r="AC2814" s="2"/>
      <c r="AE2814" s="1"/>
      <c r="AG2814" s="2"/>
    </row>
    <row r="2815" spans="12:33" ht="49.95" customHeight="1" x14ac:dyDescent="0.3">
      <c r="L2815" s="399" t="s">
        <v>3520</v>
      </c>
      <c r="M2815" s="418" t="s">
        <v>5753</v>
      </c>
      <c r="N2815" s="420" t="s">
        <v>5783</v>
      </c>
      <c r="O2815" s="418" t="s">
        <v>2696</v>
      </c>
      <c r="P2815" s="16">
        <v>46237</v>
      </c>
      <c r="Q2815" s="399" t="s">
        <v>3346</v>
      </c>
      <c r="R2815" s="2" t="str">
        <f>VLOOKUP(SALIDAS111518[[#This Row],[CÓDIGO]],PRODUCTOS31316[],2,FALSE)</f>
        <v>S7PRO</v>
      </c>
      <c r="S2815" s="1" t="str">
        <f>VLOOKUP(SALIDAS111518[[#This Row],[CÓDIGO]],PRODUCTOS31316[],3,FALSE)</f>
        <v>ECÓGRAFO S7 PRO VET CON SONDA LINEAL RECTAL</v>
      </c>
      <c r="T2815" s="2">
        <v>1</v>
      </c>
      <c r="U2815" s="413" t="s">
        <v>5782</v>
      </c>
      <c r="V2815" s="2"/>
      <c r="W2815" s="399" t="s">
        <v>3412</v>
      </c>
      <c r="X2815" s="2"/>
      <c r="Y2815" s="7"/>
      <c r="Z2815" s="2"/>
      <c r="AA2815" s="1"/>
      <c r="AC2815" s="2"/>
      <c r="AE2815" s="1"/>
      <c r="AG2815" s="2"/>
    </row>
    <row r="2816" spans="12:33" ht="49.95" customHeight="1" x14ac:dyDescent="0.3">
      <c r="L2816" s="2"/>
      <c r="M2816" s="2"/>
      <c r="N2816" s="2">
        <v>8796</v>
      </c>
      <c r="O2816" s="409" t="s">
        <v>2696</v>
      </c>
      <c r="P2816" s="16">
        <v>46237</v>
      </c>
      <c r="Q2816" s="399" t="s">
        <v>5083</v>
      </c>
      <c r="R2816" s="2">
        <f>VLOOKUP(SALIDAS111518[[#This Row],[CÓDIGO]],PRODUCTOS31316[],2,FALSE)</f>
        <v>0</v>
      </c>
      <c r="S2816" s="1" t="str">
        <f>VLOOKUP(SALIDAS111518[[#This Row],[CÓDIGO]],PRODUCTOS31316[],3,FALSE)</f>
        <v>TABLET SANSUNG GALAXY TAB A11+</v>
      </c>
      <c r="T2816" s="2">
        <v>1</v>
      </c>
      <c r="U2816" s="2"/>
      <c r="V2816" s="2"/>
      <c r="W2816" s="2"/>
      <c r="X2816" s="2"/>
      <c r="Y2816" s="7"/>
      <c r="Z2816" s="2"/>
      <c r="AA2816" s="1"/>
      <c r="AC2816" s="2"/>
      <c r="AE2816" s="1"/>
      <c r="AG2816" s="2"/>
    </row>
    <row r="2817" spans="12:33" ht="49.95" customHeight="1" x14ac:dyDescent="0.3">
      <c r="L2817" s="2"/>
      <c r="M2817" s="2"/>
      <c r="N2817" s="2">
        <v>8796</v>
      </c>
      <c r="O2817" s="407" t="s">
        <v>2696</v>
      </c>
      <c r="P2817" s="16">
        <v>46237</v>
      </c>
      <c r="Q2817" s="399" t="s">
        <v>3286</v>
      </c>
      <c r="R2817" s="2">
        <f>VLOOKUP(SALIDAS111518[[#This Row],[CÓDIGO]],PRODUCTOS31316[],2,FALSE)</f>
        <v>0</v>
      </c>
      <c r="S2817" s="1" t="str">
        <f>VLOOKUP(SALIDAS111518[[#This Row],[CÓDIGO]],PRODUCTOS31316[],3,FALSE)</f>
        <v>CARCASA TABLET BMV</v>
      </c>
      <c r="T2817" s="2">
        <v>1</v>
      </c>
      <c r="U2817" s="2"/>
      <c r="V2817" s="2"/>
      <c r="W2817" s="2"/>
      <c r="X2817" s="2"/>
      <c r="Y2817" s="7"/>
      <c r="Z2817" s="2"/>
      <c r="AA2817" s="1"/>
      <c r="AC2817" s="2"/>
      <c r="AE2817" s="1"/>
      <c r="AG2817" s="2"/>
    </row>
    <row r="2818" spans="12:33" ht="49.95" customHeight="1" x14ac:dyDescent="0.3">
      <c r="L2818" s="2"/>
      <c r="M2818" s="2"/>
      <c r="N2818" s="2">
        <v>8796</v>
      </c>
      <c r="O2818" s="399" t="s">
        <v>2696</v>
      </c>
      <c r="P2818" s="16">
        <v>46237</v>
      </c>
      <c r="Q2818" s="399" t="s">
        <v>3095</v>
      </c>
      <c r="R2818" s="2">
        <f>VLOOKUP(SALIDAS111518[[#This Row],[CÓDIGO]],PRODUCTOS31316[],2,FALSE)</f>
        <v>0</v>
      </c>
      <c r="S2818" s="1" t="str">
        <f>VLOOKUP(SALIDAS111518[[#This Row],[CÓDIGO]],PRODUCTOS31316[],3,FALSE)</f>
        <v>GORRA MAS CAMPO</v>
      </c>
      <c r="T2818" s="2">
        <v>1</v>
      </c>
      <c r="U2818" s="2"/>
      <c r="V2818" s="2"/>
      <c r="W2818" s="2"/>
      <c r="X2818" s="132"/>
      <c r="Y2818" s="7"/>
      <c r="Z2818" s="2"/>
      <c r="AA2818" s="1"/>
      <c r="AC2818" s="2"/>
      <c r="AE2818" s="1"/>
      <c r="AG2818" s="2"/>
    </row>
    <row r="2819" spans="12:33" ht="49.95" customHeight="1" x14ac:dyDescent="0.3">
      <c r="L2819" s="399" t="s">
        <v>3521</v>
      </c>
      <c r="M2819" s="399" t="s">
        <v>5071</v>
      </c>
      <c r="N2819" s="15">
        <v>15858</v>
      </c>
      <c r="O2819" s="400" t="s">
        <v>5704</v>
      </c>
      <c r="P2819" s="15"/>
      <c r="Q2819" s="399" t="s">
        <v>3346</v>
      </c>
      <c r="R2819" s="2" t="str">
        <f>VLOOKUP(SALIDAS111518[[#This Row],[CÓDIGO]],PRODUCTOS31316[],2,FALSE)</f>
        <v>S7PRO</v>
      </c>
      <c r="S2819" s="1" t="str">
        <f>VLOOKUP(SALIDAS111518[[#This Row],[CÓDIGO]],PRODUCTOS31316[],3,FALSE)</f>
        <v>ECÓGRAFO S7 PRO VET CON SONDA LINEAL RECTAL</v>
      </c>
      <c r="T2819" s="2">
        <v>1</v>
      </c>
      <c r="U2819" s="15"/>
      <c r="V2819" s="2"/>
      <c r="W2819" s="2"/>
      <c r="X2819" s="2"/>
      <c r="Y2819" s="7"/>
      <c r="Z2819" s="2"/>
      <c r="AA2819" s="1"/>
      <c r="AC2819" s="2"/>
      <c r="AE2819" s="1"/>
      <c r="AG2819" s="2"/>
    </row>
    <row r="2820" spans="12:33" ht="49.95" customHeight="1" x14ac:dyDescent="0.3">
      <c r="L2820" s="2"/>
      <c r="M2820" s="2"/>
      <c r="N2820" s="2"/>
      <c r="O2820" s="399" t="s">
        <v>5704</v>
      </c>
      <c r="P2820" s="2"/>
      <c r="Q2820" s="399" t="s">
        <v>5083</v>
      </c>
      <c r="R2820" s="2">
        <f>VLOOKUP(SALIDAS111518[[#This Row],[CÓDIGO]],PRODUCTOS31316[],2,FALSE)</f>
        <v>0</v>
      </c>
      <c r="S2820" s="1" t="str">
        <f>VLOOKUP(SALIDAS111518[[#This Row],[CÓDIGO]],PRODUCTOS31316[],3,FALSE)</f>
        <v>TABLET SANSUNG GALAXY TAB A11+</v>
      </c>
      <c r="T2820" s="2">
        <v>1</v>
      </c>
      <c r="U2820" s="2"/>
      <c r="V2820" s="2"/>
      <c r="W2820" s="2"/>
      <c r="X2820" s="2"/>
      <c r="Y2820" s="7"/>
      <c r="Z2820" s="2"/>
      <c r="AA2820" s="1"/>
      <c r="AC2820" s="2"/>
      <c r="AE2820" s="1"/>
      <c r="AG2820" s="2"/>
    </row>
    <row r="2821" spans="12:33" ht="49.95" customHeight="1" x14ac:dyDescent="0.3">
      <c r="L2821" s="2"/>
      <c r="M2821" s="2"/>
      <c r="N2821" s="2"/>
      <c r="O2821" s="399" t="s">
        <v>5704</v>
      </c>
      <c r="P2821" s="2"/>
      <c r="Q2821" s="399" t="s">
        <v>3286</v>
      </c>
      <c r="R2821" s="2">
        <f>VLOOKUP(SALIDAS111518[[#This Row],[CÓDIGO]],PRODUCTOS31316[],2,FALSE)</f>
        <v>0</v>
      </c>
      <c r="S2821" s="1" t="str">
        <f>VLOOKUP(SALIDAS111518[[#This Row],[CÓDIGO]],PRODUCTOS31316[],3,FALSE)</f>
        <v>CARCASA TABLET BMV</v>
      </c>
      <c r="T2821" s="2">
        <v>1</v>
      </c>
      <c r="U2821" s="2"/>
      <c r="V2821" s="2"/>
      <c r="W2821" s="2"/>
      <c r="X2821" s="2"/>
      <c r="Y2821" s="7"/>
      <c r="Z2821" s="2"/>
      <c r="AA2821" s="1"/>
      <c r="AC2821" s="2"/>
      <c r="AE2821" s="1"/>
      <c r="AG2821" s="2"/>
    </row>
    <row r="2822" spans="12:33" ht="49.95" customHeight="1" x14ac:dyDescent="0.3">
      <c r="L2822" s="2"/>
      <c r="M2822" s="2"/>
      <c r="N2822" s="2"/>
      <c r="O2822" s="399" t="s">
        <v>5704</v>
      </c>
      <c r="P2822" s="2"/>
      <c r="Q2822" s="399" t="s">
        <v>3095</v>
      </c>
      <c r="R2822" s="2">
        <f>VLOOKUP(SALIDAS111518[[#This Row],[CÓDIGO]],PRODUCTOS31316[],2,FALSE)</f>
        <v>0</v>
      </c>
      <c r="S2822" s="1" t="str">
        <f>VLOOKUP(SALIDAS111518[[#This Row],[CÓDIGO]],PRODUCTOS31316[],3,FALSE)</f>
        <v>GORRA MAS CAMPO</v>
      </c>
      <c r="T2822" s="2">
        <v>1</v>
      </c>
      <c r="U2822" s="2"/>
      <c r="V2822" s="2"/>
      <c r="W2822" s="2"/>
      <c r="X2822" s="2"/>
      <c r="Y2822" s="7"/>
      <c r="Z2822" s="2"/>
      <c r="AA2822" s="1"/>
      <c r="AC2822" s="2"/>
      <c r="AE2822" s="1"/>
      <c r="AG2822" s="2"/>
    </row>
    <row r="2823" spans="12:33" ht="49.95" customHeight="1" x14ac:dyDescent="0.3">
      <c r="L2823" s="399" t="s">
        <v>3521</v>
      </c>
      <c r="M2823" s="418" t="s">
        <v>5753</v>
      </c>
      <c r="N2823" s="420" t="s">
        <v>5800</v>
      </c>
      <c r="O2823" s="418" t="s">
        <v>5705</v>
      </c>
      <c r="P2823" s="16">
        <v>46237</v>
      </c>
      <c r="Q2823" s="2" t="s">
        <v>3319</v>
      </c>
      <c r="R2823" s="2">
        <f>VLOOKUP(SALIDAS111518[[#This Row],[CÓDIGO]],PRODUCTOS31316[],2,FALSE)</f>
        <v>9013002</v>
      </c>
      <c r="S2823" s="1" t="str">
        <f>VLOOKUP(SALIDAS111518[[#This Row],[CÓDIGO]],PRODUCTOS31316[],3,FALSE)</f>
        <v>TERMO DESCONGELADOR DE SEMEN Y EMBRIONES DSE-480 CON BATERÍA BLUE/GRAY</v>
      </c>
      <c r="T2823" s="2">
        <v>1</v>
      </c>
      <c r="U2823" s="406">
        <v>1233</v>
      </c>
      <c r="V2823" s="2"/>
      <c r="W2823" s="402" t="s">
        <v>3412</v>
      </c>
      <c r="X2823" s="2"/>
      <c r="Y2823" s="7"/>
      <c r="Z2823" s="2"/>
      <c r="AA2823" s="1"/>
      <c r="AC2823" s="2"/>
      <c r="AE2823" s="1"/>
      <c r="AG2823" s="2"/>
    </row>
    <row r="2824" spans="12:33" ht="49.95" customHeight="1" x14ac:dyDescent="0.3">
      <c r="L2824" s="2" t="s">
        <v>3520</v>
      </c>
      <c r="M2824" s="2" t="s">
        <v>5071</v>
      </c>
      <c r="N2824" s="403" t="s">
        <v>5711</v>
      </c>
      <c r="O2824" s="1" t="s">
        <v>5431</v>
      </c>
      <c r="P2824" s="16">
        <v>46232</v>
      </c>
      <c r="Q2824" s="2" t="s">
        <v>36</v>
      </c>
      <c r="R2824" s="2">
        <f>VLOOKUP(SALIDAS111518[[#This Row],[CÓDIGO]],PRODUCTOS31316[],2,FALSE)</f>
        <v>1</v>
      </c>
      <c r="S2824" s="1" t="str">
        <f>VLOOKUP(SALIDAS111518[[#This Row],[CÓDIGO]],PRODUCTOS31316[],3,FALSE)</f>
        <v xml:space="preserve">PARCHE ESTROTECT </v>
      </c>
      <c r="T2824" s="2">
        <v>3</v>
      </c>
      <c r="U2824" s="2">
        <v>1210</v>
      </c>
      <c r="V2824" s="2"/>
      <c r="W2824" s="2"/>
      <c r="X2824" s="2"/>
      <c r="Y2824" s="7"/>
      <c r="Z2824" s="2"/>
      <c r="AA2824" s="1"/>
      <c r="AC2824" s="2"/>
      <c r="AE2824" s="1"/>
      <c r="AG2824" s="2"/>
    </row>
    <row r="2825" spans="12:33" ht="49.95" customHeight="1" x14ac:dyDescent="0.3">
      <c r="L2825" s="2" t="s">
        <v>3520</v>
      </c>
      <c r="M2825" s="2" t="s">
        <v>5071</v>
      </c>
      <c r="N2825" s="54">
        <v>15907</v>
      </c>
      <c r="O2825" s="404" t="s">
        <v>5713</v>
      </c>
      <c r="P2825" s="46">
        <v>46232</v>
      </c>
      <c r="Q2825" s="2" t="s">
        <v>1381</v>
      </c>
      <c r="R2825" s="2" t="str">
        <f>VLOOKUP(SALIDAS111518[[#This Row],[CÓDIGO]],PRODUCTOS31316[],2,FALSE)</f>
        <v>6906-25</v>
      </c>
      <c r="S2825" s="1" t="str">
        <f>VLOOKUP(SALIDAS111518[[#This Row],[CÓDIGO]],PRODUCTOS31316[],3,FALSE)</f>
        <v>ELECTROJAC COMPLETE W/2,5" PROBE</v>
      </c>
      <c r="T2825" s="2">
        <v>1</v>
      </c>
      <c r="U2825" s="15">
        <v>1235</v>
      </c>
      <c r="V2825" s="2"/>
      <c r="W2825" s="2"/>
      <c r="X2825" s="2"/>
      <c r="Y2825" s="7"/>
      <c r="Z2825" s="2"/>
      <c r="AA2825" s="1"/>
      <c r="AC2825" s="2"/>
      <c r="AE2825" s="1"/>
      <c r="AG2825" s="2"/>
    </row>
    <row r="2826" spans="12:33" ht="49.95" customHeight="1" x14ac:dyDescent="0.3">
      <c r="L2826" s="2" t="s">
        <v>3520</v>
      </c>
      <c r="M2826" s="2" t="s">
        <v>5071</v>
      </c>
      <c r="N2826" s="412" t="s">
        <v>5769</v>
      </c>
      <c r="O2826" s="403" t="s">
        <v>4357</v>
      </c>
      <c r="P2826" s="16">
        <v>46232</v>
      </c>
      <c r="Q2826" s="402" t="s">
        <v>104</v>
      </c>
      <c r="R2826" s="2">
        <f>VLOOKUP(SALIDAS111518[[#This Row],[CÓDIGO]],PRODUCTOS31316[],2,FALSE)</f>
        <v>0</v>
      </c>
      <c r="S2826" s="1" t="str">
        <f>VLOOKUP(SALIDAS111518[[#This Row],[CÓDIGO]],PRODUCTOS31316[],3,FALSE)</f>
        <v>ISPERM CHIPS (500 TESTS PER BOX) PAQ. X 50 UND</v>
      </c>
      <c r="T2826" s="2">
        <v>2</v>
      </c>
      <c r="U2826" s="2">
        <v>1284</v>
      </c>
      <c r="V2826" s="2"/>
      <c r="W2826" s="2"/>
      <c r="X2826" s="2"/>
      <c r="Y2826" s="7"/>
      <c r="Z2826" s="2"/>
      <c r="AA2826" s="1"/>
      <c r="AC2826" s="2"/>
      <c r="AE2826" s="1"/>
      <c r="AG2826" s="2"/>
    </row>
    <row r="2827" spans="12:33" ht="49.95" customHeight="1" x14ac:dyDescent="0.3">
      <c r="L2827" s="402" t="s">
        <v>3521</v>
      </c>
      <c r="M2827" s="2" t="s">
        <v>5071</v>
      </c>
      <c r="N2827" s="403" t="s">
        <v>5712</v>
      </c>
      <c r="O2827" s="2" t="s">
        <v>5706</v>
      </c>
      <c r="P2827" s="16">
        <v>46232</v>
      </c>
      <c r="Q2827" s="2" t="s">
        <v>153</v>
      </c>
      <c r="R2827" s="2">
        <f>VLOOKUP(SALIDAS111518[[#This Row],[CÓDIGO]],PRODUCTOS31316[],2,FALSE)</f>
        <v>1132</v>
      </c>
      <c r="S2827" s="1" t="str">
        <f>VLOOKUP(SALIDAS111518[[#This Row],[CÓDIGO]],PRODUCTOS31316[],3,FALSE)</f>
        <v>PISTOLA QUICKLOCK CLASIC</v>
      </c>
      <c r="T2827" s="2">
        <v>1</v>
      </c>
      <c r="U2827" s="2">
        <v>1211</v>
      </c>
      <c r="V2827" s="2"/>
      <c r="W2827" s="2"/>
      <c r="X2827" s="2"/>
      <c r="Y2827" s="7"/>
      <c r="Z2827" s="2"/>
      <c r="AA2827" s="1"/>
      <c r="AC2827" s="2"/>
      <c r="AE2827" s="1"/>
      <c r="AG2827" s="2"/>
    </row>
    <row r="2828" spans="12:33" ht="49.95" customHeight="1" x14ac:dyDescent="0.3">
      <c r="L2828" s="2" t="s">
        <v>3520</v>
      </c>
      <c r="M2828" s="2" t="s">
        <v>5071</v>
      </c>
      <c r="N2828" s="403" t="s">
        <v>5714</v>
      </c>
      <c r="O2828" s="402" t="s">
        <v>3459</v>
      </c>
      <c r="P2828" s="16">
        <v>46232</v>
      </c>
      <c r="Q2828" s="2" t="s">
        <v>153</v>
      </c>
      <c r="R2828" s="2">
        <f>VLOOKUP(SALIDAS111518[[#This Row],[CÓDIGO]],PRODUCTOS31316[],2,FALSE)</f>
        <v>1132</v>
      </c>
      <c r="S2828" s="1" t="str">
        <f>VLOOKUP(SALIDAS111518[[#This Row],[CÓDIGO]],PRODUCTOS31316[],3,FALSE)</f>
        <v>PISTOLA QUICKLOCK CLASIC</v>
      </c>
      <c r="T2828" s="2">
        <v>1</v>
      </c>
      <c r="U2828" s="2">
        <v>1212</v>
      </c>
      <c r="V2828" s="2"/>
      <c r="W2828" s="2"/>
      <c r="X2828" s="2"/>
      <c r="Y2828" s="7"/>
      <c r="Z2828" s="2"/>
      <c r="AA2828" s="1"/>
      <c r="AC2828" s="2"/>
      <c r="AE2828" s="1"/>
      <c r="AG2828" s="2"/>
    </row>
    <row r="2829" spans="12:33" ht="49.95" customHeight="1" x14ac:dyDescent="0.3">
      <c r="L2829" s="2" t="s">
        <v>3520</v>
      </c>
      <c r="M2829" s="2" t="s">
        <v>5071</v>
      </c>
      <c r="N2829" s="403" t="s">
        <v>5715</v>
      </c>
      <c r="O2829" s="403" t="s">
        <v>3209</v>
      </c>
      <c r="P2829" s="16">
        <v>46232</v>
      </c>
      <c r="Q2829" s="402" t="s">
        <v>2811</v>
      </c>
      <c r="R2829" s="2">
        <f>VLOOKUP(SALIDAS111518[[#This Row],[CÓDIGO]],PRODUCTOS31316[],2,FALSE)</f>
        <v>5569</v>
      </c>
      <c r="S2829" s="1" t="str">
        <f>VLOOKUP(SALIDAS111518[[#This Row],[CÓDIGO]],PRODUCTOS31316[],3,FALSE)</f>
        <v>PAJILLAS TRANSPARENTES 0,50</v>
      </c>
      <c r="T2829" s="2">
        <v>1</v>
      </c>
      <c r="U2829" s="2">
        <v>1213</v>
      </c>
      <c r="V2829" s="2"/>
      <c r="W2829" s="2"/>
      <c r="X2829" s="2"/>
      <c r="Y2829" s="7"/>
      <c r="Z2829" s="2"/>
      <c r="AA2829" s="1"/>
      <c r="AC2829" s="2"/>
      <c r="AE2829" s="1"/>
      <c r="AG2829" s="2"/>
    </row>
    <row r="2830" spans="12:33" ht="49.95" customHeight="1" x14ac:dyDescent="0.3">
      <c r="L2830" s="2"/>
      <c r="M2830" s="2"/>
      <c r="N2830" s="2">
        <v>8767</v>
      </c>
      <c r="O2830" s="403" t="s">
        <v>3209</v>
      </c>
      <c r="P2830" s="16">
        <v>46232</v>
      </c>
      <c r="Q2830" s="402" t="s">
        <v>273</v>
      </c>
      <c r="R2830" s="2">
        <f>VLOOKUP(SALIDAS111518[[#This Row],[CÓDIGO]],PRODUCTOS31316[],2,FALSE)</f>
        <v>1003514</v>
      </c>
      <c r="S2830" s="1" t="str">
        <f>VLOOKUP(SALIDAS111518[[#This Row],[CÓDIGO]],PRODUCTOS31316[],3,FALSE)</f>
        <v>JALEA CONDUCTIVA (GEL ULTRASONICO) GALON X 3785 ML AZUL</v>
      </c>
      <c r="T2830" s="2">
        <v>2</v>
      </c>
      <c r="U2830" s="2"/>
      <c r="V2830" s="2"/>
      <c r="W2830" s="2"/>
      <c r="X2830" s="2"/>
      <c r="Y2830" s="7"/>
      <c r="Z2830" s="2"/>
      <c r="AA2830" s="1"/>
      <c r="AC2830" s="2"/>
      <c r="AE2830" s="1"/>
      <c r="AG2830" s="2"/>
    </row>
    <row r="2831" spans="12:33" ht="49.95" customHeight="1" x14ac:dyDescent="0.3">
      <c r="L2831" s="402" t="s">
        <v>3521</v>
      </c>
      <c r="M2831" s="2" t="s">
        <v>5071</v>
      </c>
      <c r="N2831" s="403" t="s">
        <v>5717</v>
      </c>
      <c r="O2831" s="403" t="s">
        <v>5716</v>
      </c>
      <c r="P2831" s="16">
        <v>46232</v>
      </c>
      <c r="Q2831" s="402" t="s">
        <v>36</v>
      </c>
      <c r="R2831" s="2">
        <f>VLOOKUP(SALIDAS111518[[#This Row],[CÓDIGO]],PRODUCTOS31316[],2,FALSE)</f>
        <v>1</v>
      </c>
      <c r="S2831" s="1" t="str">
        <f>VLOOKUP(SALIDAS111518[[#This Row],[CÓDIGO]],PRODUCTOS31316[],3,FALSE)</f>
        <v xml:space="preserve">PARCHE ESTROTECT </v>
      </c>
      <c r="T2831" s="2">
        <v>1</v>
      </c>
      <c r="U2831" s="2">
        <v>1214</v>
      </c>
      <c r="V2831" s="2"/>
      <c r="W2831" s="2"/>
      <c r="X2831" s="2"/>
      <c r="Y2831" s="7"/>
      <c r="Z2831" s="2"/>
      <c r="AA2831" s="1"/>
      <c r="AC2831" s="2"/>
      <c r="AE2831" s="1"/>
      <c r="AG2831" s="2"/>
    </row>
    <row r="2832" spans="12:33" ht="49.95" customHeight="1" x14ac:dyDescent="0.3">
      <c r="L2832" s="2" t="s">
        <v>3520</v>
      </c>
      <c r="M2832" s="2" t="s">
        <v>5071</v>
      </c>
      <c r="N2832" s="406" t="s">
        <v>5725</v>
      </c>
      <c r="O2832" s="2" t="s">
        <v>3114</v>
      </c>
      <c r="P2832" s="16">
        <v>46233</v>
      </c>
      <c r="Q2832" s="2" t="s">
        <v>36</v>
      </c>
      <c r="R2832" s="2">
        <f>VLOOKUP(SALIDAS111518[[#This Row],[CÓDIGO]],PRODUCTOS31316[],2,FALSE)</f>
        <v>1</v>
      </c>
      <c r="S2832" s="1" t="str">
        <f>VLOOKUP(SALIDAS111518[[#This Row],[CÓDIGO]],PRODUCTOS31316[],3,FALSE)</f>
        <v xml:space="preserve">PARCHE ESTROTECT </v>
      </c>
      <c r="T2832" s="2">
        <v>1</v>
      </c>
      <c r="U2832" s="2">
        <v>1217</v>
      </c>
      <c r="V2832" s="2"/>
      <c r="W2832" s="2"/>
      <c r="X2832" s="2"/>
      <c r="Y2832" s="7"/>
      <c r="Z2832" s="2"/>
      <c r="AA2832" s="1"/>
      <c r="AC2832" s="2"/>
      <c r="AE2832" s="1"/>
      <c r="AG2832" s="2"/>
    </row>
    <row r="2833" spans="12:33" ht="49.95" customHeight="1" x14ac:dyDescent="0.3">
      <c r="L2833" s="2" t="s">
        <v>3520</v>
      </c>
      <c r="M2833" s="2" t="s">
        <v>5071</v>
      </c>
      <c r="N2833" s="406" t="s">
        <v>5734</v>
      </c>
      <c r="O2833" s="2" t="s">
        <v>3178</v>
      </c>
      <c r="P2833" s="16">
        <v>46233</v>
      </c>
      <c r="Q2833" s="2" t="s">
        <v>369</v>
      </c>
      <c r="R2833" s="2">
        <f>VLOOKUP(SALIDAS111518[[#This Row],[CÓDIGO]],PRODUCTOS31316[],2,FALSE)</f>
        <v>0</v>
      </c>
      <c r="S2833" s="1" t="str">
        <f>VLOOKUP(SALIDAS111518[[#This Row],[CÓDIGO]],PRODUCTOS31316[],3,FALSE)</f>
        <v>FUNDA UNIVERSAL PARA I.A. RANURADA</v>
      </c>
      <c r="T2833" s="2">
        <v>1</v>
      </c>
      <c r="U2833" s="2">
        <v>1219</v>
      </c>
      <c r="V2833" s="2"/>
      <c r="W2833" s="407" t="s">
        <v>3194</v>
      </c>
      <c r="X2833" s="2"/>
      <c r="Y2833" s="7"/>
      <c r="Z2833" s="2"/>
      <c r="AA2833" s="1"/>
      <c r="AC2833" s="2"/>
      <c r="AE2833" s="1"/>
      <c r="AG2833" s="2"/>
    </row>
    <row r="2834" spans="12:33" ht="49.95" customHeight="1" x14ac:dyDescent="0.3">
      <c r="L2834" s="2"/>
      <c r="M2834" s="2"/>
      <c r="N2834" s="2">
        <v>8773</v>
      </c>
      <c r="O2834" s="2" t="s">
        <v>3178</v>
      </c>
      <c r="P2834" s="16">
        <v>46233</v>
      </c>
      <c r="Q2834" s="2" t="s">
        <v>153</v>
      </c>
      <c r="R2834" s="2">
        <f>VLOOKUP(SALIDAS111518[[#This Row],[CÓDIGO]],PRODUCTOS31316[],2,FALSE)</f>
        <v>1132</v>
      </c>
      <c r="S2834" s="1" t="str">
        <f>VLOOKUP(SALIDAS111518[[#This Row],[CÓDIGO]],PRODUCTOS31316[],3,FALSE)</f>
        <v>PISTOLA QUICKLOCK CLASIC</v>
      </c>
      <c r="T2834" s="2">
        <v>1</v>
      </c>
      <c r="U2834" s="2"/>
      <c r="V2834" s="2"/>
      <c r="W2834" s="2"/>
      <c r="X2834" s="2"/>
      <c r="Y2834" s="7"/>
      <c r="Z2834" s="2"/>
      <c r="AA2834" s="1"/>
      <c r="AC2834" s="2"/>
      <c r="AE2834" s="1"/>
      <c r="AG2834" s="2"/>
    </row>
    <row r="2835" spans="12:33" ht="49.95" customHeight="1" x14ac:dyDescent="0.3">
      <c r="L2835" s="2"/>
      <c r="M2835" s="2"/>
      <c r="N2835" s="2">
        <v>8773</v>
      </c>
      <c r="O2835" s="2" t="s">
        <v>3178</v>
      </c>
      <c r="P2835" s="16">
        <v>46233</v>
      </c>
      <c r="Q2835" s="2" t="s">
        <v>658</v>
      </c>
      <c r="R2835" s="2">
        <f>VLOOKUP(SALIDAS111518[[#This Row],[CÓDIGO]],PRODUCTOS31316[],2,FALSE)</f>
        <v>0</v>
      </c>
      <c r="S2835" s="1" t="str">
        <f>VLOOKUP(SALIDAS111518[[#This Row],[CÓDIGO]],PRODUCTOS31316[],3,FALSE)</f>
        <v>CATETER TALADRO TRANSPARENTE 18"</v>
      </c>
      <c r="T2835" s="2">
        <v>1</v>
      </c>
      <c r="U2835" s="2"/>
      <c r="V2835" s="2"/>
      <c r="W2835" s="2"/>
      <c r="X2835" s="2"/>
      <c r="Y2835" s="7"/>
      <c r="Z2835" s="2"/>
      <c r="AA2835" s="1"/>
      <c r="AC2835" s="2"/>
      <c r="AE2835" s="1"/>
      <c r="AG2835" s="2"/>
    </row>
    <row r="2836" spans="12:33" ht="49.95" customHeight="1" x14ac:dyDescent="0.3">
      <c r="L2836" s="2"/>
      <c r="M2836" s="2"/>
      <c r="N2836" s="2">
        <v>8773</v>
      </c>
      <c r="O2836" s="2" t="s">
        <v>3178</v>
      </c>
      <c r="P2836" s="16">
        <v>46233</v>
      </c>
      <c r="Q2836" s="2" t="s">
        <v>210</v>
      </c>
      <c r="R2836" s="2">
        <f>VLOOKUP(SALIDAS111518[[#This Row],[CÓDIGO]],PRODUCTOS31316[],2,FALSE)</f>
        <v>101257</v>
      </c>
      <c r="S2836" s="1" t="str">
        <f>VLOOKUP(SALIDAS111518[[#This Row],[CÓDIGO]],PRODUCTOS31316[],3,FALSE)</f>
        <v>MANGA DESECHABLE SUPER SENSITIVA</v>
      </c>
      <c r="T2836" s="2">
        <v>1</v>
      </c>
      <c r="U2836" s="2"/>
      <c r="V2836" s="2"/>
      <c r="W2836" s="2"/>
      <c r="X2836" s="2"/>
      <c r="Y2836" s="7"/>
      <c r="Z2836" s="2"/>
      <c r="AA2836" s="1"/>
      <c r="AC2836" s="2"/>
      <c r="AE2836" s="1"/>
      <c r="AG2836" s="2"/>
    </row>
    <row r="2837" spans="12:33" ht="49.95" customHeight="1" x14ac:dyDescent="0.3">
      <c r="L2837" s="2"/>
      <c r="M2837" s="2"/>
      <c r="N2837" s="2">
        <v>8773</v>
      </c>
      <c r="O2837" s="2" t="s">
        <v>3178</v>
      </c>
      <c r="P2837" s="16">
        <v>46233</v>
      </c>
      <c r="Q2837" s="2" t="s">
        <v>382</v>
      </c>
      <c r="R2837" s="2">
        <f>VLOOKUP(SALIDAS111518[[#This Row],[CÓDIGO]],PRODUCTOS31316[],2,FALSE)</f>
        <v>605032</v>
      </c>
      <c r="S2837" s="1" t="str">
        <f>VLOOKUP(SALIDAS111518[[#This Row],[CÓDIGO]],PRODUCTOS31316[],3,FALSE)</f>
        <v>LUBRICANTE OB, NO ESPERMICIDA</v>
      </c>
      <c r="T2837" s="2">
        <v>1</v>
      </c>
      <c r="U2837" s="2"/>
      <c r="V2837" s="2"/>
      <c r="W2837" s="2"/>
      <c r="X2837" s="2"/>
      <c r="Y2837" s="7"/>
      <c r="Z2837" s="2"/>
      <c r="AA2837" s="1"/>
      <c r="AC2837" s="2"/>
      <c r="AE2837" s="1"/>
      <c r="AG2837" s="2"/>
    </row>
    <row r="2838" spans="12:33" ht="49.95" customHeight="1" x14ac:dyDescent="0.3">
      <c r="L2838" s="2"/>
      <c r="M2838" s="2"/>
      <c r="N2838" s="2">
        <v>8773</v>
      </c>
      <c r="O2838" s="2" t="s">
        <v>3178</v>
      </c>
      <c r="P2838" s="16">
        <v>46233</v>
      </c>
      <c r="Q2838" s="2" t="s">
        <v>1779</v>
      </c>
      <c r="R2838" s="2">
        <f>VLOOKUP(SALIDAS111518[[#This Row],[CÓDIGO]],PRODUCTOS31316[],2,FALSE)</f>
        <v>5563</v>
      </c>
      <c r="S2838" s="1" t="str">
        <f>VLOOKUP(SALIDAS111518[[#This Row],[CÓDIGO]],PRODUCTOS31316[],3,FALSE)</f>
        <v>CAMISA SANITARIA ROLLO X 80</v>
      </c>
      <c r="T2838" s="2">
        <v>1</v>
      </c>
      <c r="U2838" s="2"/>
      <c r="V2838" s="2"/>
      <c r="W2838" s="2"/>
      <c r="X2838" s="2"/>
      <c r="Y2838" s="7"/>
      <c r="Z2838" s="2"/>
      <c r="AA2838" s="1"/>
      <c r="AC2838" s="2"/>
      <c r="AE2838" s="1"/>
      <c r="AG2838" s="2"/>
    </row>
    <row r="2839" spans="12:33" ht="49.95" customHeight="1" x14ac:dyDescent="0.3">
      <c r="L2839" s="2"/>
      <c r="M2839" s="2"/>
      <c r="N2839" s="2">
        <v>8773</v>
      </c>
      <c r="O2839" s="2" t="s">
        <v>3178</v>
      </c>
      <c r="P2839" s="16">
        <v>46233</v>
      </c>
      <c r="Q2839" s="407" t="s">
        <v>149</v>
      </c>
      <c r="R2839" s="2">
        <f>VLOOKUP(SALIDAS111518[[#This Row],[CÓDIGO]],PRODUCTOS31316[],2,FALSE)</f>
        <v>18621</v>
      </c>
      <c r="S2839" s="1" t="str">
        <f>VLOOKUP(SALIDAS111518[[#This Row],[CÓDIGO]],PRODUCTOS31316[],3,FALSE)</f>
        <v>TERMO DESCONGELADOR DE SEMEN DE EMBRIONES ROJO</v>
      </c>
      <c r="T2839" s="2">
        <v>1</v>
      </c>
      <c r="U2839" s="2"/>
      <c r="V2839" s="2"/>
      <c r="W2839" s="2"/>
      <c r="X2839" s="2"/>
      <c r="Y2839" s="7"/>
      <c r="Z2839" s="2"/>
      <c r="AA2839" s="1"/>
      <c r="AC2839" s="2"/>
      <c r="AE2839" s="1"/>
      <c r="AG2839" s="2"/>
    </row>
    <row r="2840" spans="12:33" ht="49.95" customHeight="1" x14ac:dyDescent="0.3">
      <c r="L2840" s="2"/>
      <c r="M2840" s="2"/>
      <c r="N2840" s="2">
        <v>8773</v>
      </c>
      <c r="O2840" s="2" t="s">
        <v>3178</v>
      </c>
      <c r="P2840" s="16">
        <v>46233</v>
      </c>
      <c r="Q2840" s="2" t="s">
        <v>581</v>
      </c>
      <c r="R2840" s="2">
        <f>VLOOKUP(SALIDAS111518[[#This Row],[CÓDIGO]],PRODUCTOS31316[],2,FALSE)</f>
        <v>11571</v>
      </c>
      <c r="S2840" s="1" t="str">
        <f>VLOOKUP(SALIDAS111518[[#This Row],[CÓDIGO]],PRODUCTOS31316[],3,FALSE)</f>
        <v>PINZA COGEPAJILLA</v>
      </c>
      <c r="T2840" s="2">
        <v>1</v>
      </c>
      <c r="U2840" s="2"/>
      <c r="V2840" s="2"/>
      <c r="W2840" s="2"/>
      <c r="X2840" s="129"/>
      <c r="Y2840" s="7"/>
      <c r="Z2840" s="2"/>
      <c r="AA2840" s="1"/>
      <c r="AC2840" s="2"/>
      <c r="AE2840" s="1"/>
      <c r="AG2840" s="2"/>
    </row>
    <row r="2841" spans="12:33" ht="49.95" customHeight="1" x14ac:dyDescent="0.3">
      <c r="L2841" s="2"/>
      <c r="M2841" s="2"/>
      <c r="N2841" s="2">
        <v>8773</v>
      </c>
      <c r="O2841" s="2" t="s">
        <v>3178</v>
      </c>
      <c r="P2841" s="16">
        <v>46233</v>
      </c>
      <c r="Q2841" s="2" t="s">
        <v>2364</v>
      </c>
      <c r="R2841" s="2">
        <f>VLOOKUP(SALIDAS111518[[#This Row],[CÓDIGO]],PRODUCTOS31316[],2,FALSE)</f>
        <v>0</v>
      </c>
      <c r="S2841" s="1" t="str">
        <f>VLOOKUP(SALIDAS111518[[#This Row],[CÓDIGO]],PRODUCTOS31316[],3,FALSE)</f>
        <v>CORTAPAJILLAS WTA</v>
      </c>
      <c r="T2841" s="2">
        <v>1</v>
      </c>
      <c r="U2841" s="2"/>
      <c r="V2841" s="2"/>
      <c r="W2841" s="2"/>
      <c r="X2841" s="2"/>
      <c r="Y2841" s="7"/>
      <c r="Z2841" s="2"/>
      <c r="AA2841" s="1"/>
      <c r="AC2841" s="2"/>
      <c r="AE2841" s="1"/>
      <c r="AG2841" s="2"/>
    </row>
    <row r="2842" spans="12:33" ht="49.95" customHeight="1" x14ac:dyDescent="0.3">
      <c r="L2842" s="2"/>
      <c r="M2842" s="2"/>
      <c r="N2842" s="2">
        <v>8773</v>
      </c>
      <c r="O2842" s="2" t="s">
        <v>3178</v>
      </c>
      <c r="P2842" s="16">
        <v>46233</v>
      </c>
      <c r="Q2842" s="2" t="s">
        <v>3181</v>
      </c>
      <c r="R2842" s="2">
        <f>VLOOKUP(SALIDAS111518[[#This Row],[CÓDIGO]],PRODUCTOS31316[],2,FALSE)</f>
        <v>7416</v>
      </c>
      <c r="S2842" s="1" t="str">
        <f>VLOOKUP(SALIDAS111518[[#This Row],[CÓDIGO]],PRODUCTOS31316[],3,FALSE)</f>
        <v>CAJA PLÁSTICA DE 22" DE TRANSPORTE</v>
      </c>
      <c r="T2842" s="2">
        <v>1</v>
      </c>
      <c r="U2842" s="2"/>
      <c r="V2842" s="2"/>
      <c r="W2842" s="2"/>
      <c r="X2842" s="2"/>
      <c r="Y2842" s="7"/>
      <c r="Z2842" s="2"/>
      <c r="AA2842" s="1"/>
      <c r="AC2842" s="2"/>
      <c r="AE2842" s="1"/>
      <c r="AG2842" s="2"/>
    </row>
    <row r="2843" spans="12:33" ht="49.95" customHeight="1" x14ac:dyDescent="0.3">
      <c r="L2843" s="407" t="s">
        <v>3520</v>
      </c>
      <c r="M2843" s="407" t="s">
        <v>5071</v>
      </c>
      <c r="N2843" s="420" t="s">
        <v>5726</v>
      </c>
      <c r="O2843" s="418" t="s">
        <v>5722</v>
      </c>
      <c r="P2843" s="16">
        <v>46233</v>
      </c>
      <c r="Q2843" s="407" t="s">
        <v>3354</v>
      </c>
      <c r="R2843" s="2" t="str">
        <f>VLOOKUP(SALIDAS111518[[#This Row],[CÓDIGO]],PRODUCTOS31316[],2,FALSE)</f>
        <v>MX5C</v>
      </c>
      <c r="S2843" s="1" t="str">
        <f>VLOOKUP(SALIDAS111518[[#This Row],[CÓDIGO]],PRODUCTOS31316[],3,FALSE)</f>
        <v>ECOGRAFO MX5C CON SONDA LINEAL RECTAL/DOPLLER COLOR</v>
      </c>
      <c r="T2843" s="2">
        <v>1</v>
      </c>
      <c r="U2843" s="2">
        <v>1218</v>
      </c>
      <c r="V2843" s="2"/>
      <c r="W2843" s="407" t="s">
        <v>2823</v>
      </c>
      <c r="X2843" s="2"/>
      <c r="Y2843" s="7"/>
      <c r="Z2843" s="2"/>
      <c r="AA2843" s="1"/>
      <c r="AC2843" s="2"/>
      <c r="AE2843" s="1"/>
      <c r="AG2843" s="2"/>
    </row>
    <row r="2844" spans="12:33" ht="49.95" customHeight="1" x14ac:dyDescent="0.3">
      <c r="L2844" s="2"/>
      <c r="M2844" s="2"/>
      <c r="N2844" s="2">
        <v>8772</v>
      </c>
      <c r="O2844" s="407" t="s">
        <v>5722</v>
      </c>
      <c r="P2844" s="16">
        <v>46233</v>
      </c>
      <c r="Q2844" s="407" t="s">
        <v>5083</v>
      </c>
      <c r="R2844" s="2">
        <f>VLOOKUP(SALIDAS111518[[#This Row],[CÓDIGO]],PRODUCTOS31316[],2,FALSE)</f>
        <v>0</v>
      </c>
      <c r="S2844" s="1" t="str">
        <f>VLOOKUP(SALIDAS111518[[#This Row],[CÓDIGO]],PRODUCTOS31316[],3,FALSE)</f>
        <v>TABLET SANSUNG GALAXY TAB A11+</v>
      </c>
      <c r="T2844" s="2">
        <v>1</v>
      </c>
      <c r="U2844" s="2"/>
      <c r="V2844" s="2"/>
      <c r="W2844" s="2"/>
      <c r="X2844" s="2"/>
      <c r="Y2844" s="7"/>
      <c r="Z2844" s="2"/>
      <c r="AA2844" s="1"/>
      <c r="AC2844" s="2"/>
      <c r="AE2844" s="1"/>
      <c r="AG2844" s="2"/>
    </row>
    <row r="2845" spans="12:33" ht="49.95" customHeight="1" x14ac:dyDescent="0.3">
      <c r="L2845" s="2"/>
      <c r="M2845" s="2"/>
      <c r="N2845" s="2">
        <v>8772</v>
      </c>
      <c r="O2845" s="407" t="s">
        <v>5722</v>
      </c>
      <c r="P2845" s="16">
        <v>46233</v>
      </c>
      <c r="Q2845" s="407" t="s">
        <v>3286</v>
      </c>
      <c r="R2845" s="2">
        <f>VLOOKUP(SALIDAS111518[[#This Row],[CÓDIGO]],PRODUCTOS31316[],2,FALSE)</f>
        <v>0</v>
      </c>
      <c r="S2845" s="1" t="str">
        <f>VLOOKUP(SALIDAS111518[[#This Row],[CÓDIGO]],PRODUCTOS31316[],3,FALSE)</f>
        <v>CARCASA TABLET BMV</v>
      </c>
      <c r="T2845" s="2">
        <v>1</v>
      </c>
      <c r="U2845" s="2"/>
      <c r="V2845" s="2"/>
      <c r="W2845" s="2"/>
      <c r="X2845" s="129"/>
      <c r="Y2845" s="7"/>
      <c r="Z2845" s="2"/>
      <c r="AA2845" s="1"/>
      <c r="AC2845" s="2"/>
      <c r="AE2845" s="1"/>
      <c r="AG2845" s="2"/>
    </row>
    <row r="2846" spans="12:33" ht="49.95" customHeight="1" x14ac:dyDescent="0.3">
      <c r="L2846" s="2"/>
      <c r="M2846" s="2"/>
      <c r="N2846" s="2">
        <v>8772</v>
      </c>
      <c r="O2846" s="407" t="s">
        <v>5722</v>
      </c>
      <c r="P2846" s="16">
        <v>46233</v>
      </c>
      <c r="Q2846" s="407" t="s">
        <v>3095</v>
      </c>
      <c r="R2846" s="2">
        <f>VLOOKUP(SALIDAS111518[[#This Row],[CÓDIGO]],PRODUCTOS31316[],2,FALSE)</f>
        <v>0</v>
      </c>
      <c r="S2846" s="1" t="str">
        <f>VLOOKUP(SALIDAS111518[[#This Row],[CÓDIGO]],PRODUCTOS31316[],3,FALSE)</f>
        <v>GORRA MAS CAMPO</v>
      </c>
      <c r="T2846" s="2">
        <v>1</v>
      </c>
      <c r="U2846" s="2"/>
      <c r="V2846" s="2"/>
      <c r="W2846" s="2"/>
      <c r="X2846" s="2"/>
      <c r="Y2846" s="7"/>
      <c r="Z2846" s="2"/>
      <c r="AA2846" s="1"/>
      <c r="AC2846" s="2"/>
      <c r="AE2846" s="1"/>
      <c r="AG2846" s="2"/>
    </row>
    <row r="2847" spans="12:33" ht="49.95" customHeight="1" x14ac:dyDescent="0.3">
      <c r="L2847" s="407" t="s">
        <v>3521</v>
      </c>
      <c r="M2847" s="407" t="s">
        <v>5071</v>
      </c>
      <c r="N2847" s="15">
        <v>15856</v>
      </c>
      <c r="O2847" s="405" t="s">
        <v>5727</v>
      </c>
      <c r="P2847" s="15"/>
      <c r="Q2847" s="407" t="s">
        <v>3301</v>
      </c>
      <c r="R2847" s="2" t="str">
        <f>VLOOKUP(SALIDAS111518[[#This Row],[CÓDIGO]],PRODUCTOS31316[],2,FALSE)</f>
        <v>S7/B-W</v>
      </c>
      <c r="S2847" s="1" t="str">
        <f>VLOOKUP(SALIDAS111518[[#This Row],[CÓDIGO]],PRODUCTOS31316[],3,FALSE)</f>
        <v>ECÓGRAFO S7 B/W ( BLANCO Y NEGRO) BMV - Plataforma BLANCO Y NEGROSIN BATERÍA</v>
      </c>
      <c r="T2847" s="2">
        <v>1</v>
      </c>
      <c r="U2847" s="405" t="s">
        <v>5728</v>
      </c>
      <c r="V2847" s="2"/>
      <c r="W2847" s="2"/>
      <c r="X2847" s="2"/>
      <c r="Y2847" s="7"/>
      <c r="Z2847" s="2"/>
      <c r="AA2847" s="1"/>
      <c r="AC2847" s="2"/>
      <c r="AE2847" s="1"/>
      <c r="AG2847" s="2"/>
    </row>
    <row r="2848" spans="12:33" ht="49.95" customHeight="1" x14ac:dyDescent="0.3">
      <c r="L2848" s="2"/>
      <c r="M2848" s="2"/>
      <c r="N2848" s="2"/>
      <c r="O2848" s="407" t="s">
        <v>5727</v>
      </c>
      <c r="P2848" s="2"/>
      <c r="Q2848" s="407" t="s">
        <v>5083</v>
      </c>
      <c r="R2848" s="2">
        <f>VLOOKUP(SALIDAS111518[[#This Row],[CÓDIGO]],PRODUCTOS31316[],2,FALSE)</f>
        <v>0</v>
      </c>
      <c r="S2848" s="1" t="str">
        <f>VLOOKUP(SALIDAS111518[[#This Row],[CÓDIGO]],PRODUCTOS31316[],3,FALSE)</f>
        <v>TABLET SANSUNG GALAXY TAB A11+</v>
      </c>
      <c r="T2848" s="2">
        <v>1</v>
      </c>
      <c r="U2848" s="2"/>
      <c r="V2848" s="2"/>
      <c r="W2848" s="2"/>
      <c r="X2848" s="2"/>
      <c r="Y2848" s="7"/>
      <c r="Z2848" s="2"/>
      <c r="AA2848" s="1"/>
      <c r="AC2848" s="2"/>
      <c r="AE2848" s="1"/>
      <c r="AG2848" s="2"/>
    </row>
    <row r="2849" spans="12:33" ht="49.95" customHeight="1" x14ac:dyDescent="0.3">
      <c r="L2849" s="2"/>
      <c r="M2849" s="2"/>
      <c r="N2849" s="2"/>
      <c r="O2849" s="407" t="s">
        <v>5727</v>
      </c>
      <c r="P2849" s="2"/>
      <c r="Q2849" s="407" t="s">
        <v>3286</v>
      </c>
      <c r="R2849" s="2">
        <f>VLOOKUP(SALIDAS111518[[#This Row],[CÓDIGO]],PRODUCTOS31316[],2,FALSE)</f>
        <v>0</v>
      </c>
      <c r="S2849" s="1" t="str">
        <f>VLOOKUP(SALIDAS111518[[#This Row],[CÓDIGO]],PRODUCTOS31316[],3,FALSE)</f>
        <v>CARCASA TABLET BMV</v>
      </c>
      <c r="T2849" s="2">
        <v>1</v>
      </c>
      <c r="U2849" s="2"/>
      <c r="V2849" s="2"/>
      <c r="W2849" s="2"/>
      <c r="X2849" s="2"/>
      <c r="Y2849" s="7"/>
      <c r="Z2849" s="2"/>
      <c r="AA2849" s="1"/>
      <c r="AC2849" s="2"/>
      <c r="AE2849" s="1"/>
      <c r="AG2849" s="2"/>
    </row>
    <row r="2850" spans="12:33" ht="49.95" customHeight="1" x14ac:dyDescent="0.3">
      <c r="L2850" s="2"/>
      <c r="M2850" s="2"/>
      <c r="N2850" s="2"/>
      <c r="O2850" s="407" t="s">
        <v>5727</v>
      </c>
      <c r="P2850" s="2"/>
      <c r="Q2850" s="407" t="s">
        <v>3095</v>
      </c>
      <c r="R2850" s="2">
        <f>VLOOKUP(SALIDAS111518[[#This Row],[CÓDIGO]],PRODUCTOS31316[],2,FALSE)</f>
        <v>0</v>
      </c>
      <c r="S2850" s="1" t="str">
        <f>VLOOKUP(SALIDAS111518[[#This Row],[CÓDIGO]],PRODUCTOS31316[],3,FALSE)</f>
        <v>GORRA MAS CAMPO</v>
      </c>
      <c r="T2850" s="2">
        <v>1</v>
      </c>
      <c r="U2850" s="2"/>
      <c r="V2850" s="2"/>
      <c r="W2850" s="2"/>
      <c r="X2850" s="2"/>
      <c r="Y2850" s="7"/>
      <c r="Z2850" s="2"/>
      <c r="AA2850" s="1"/>
      <c r="AC2850" s="2"/>
      <c r="AE2850" s="1"/>
      <c r="AG2850" s="2"/>
    </row>
    <row r="2851" spans="12:33" ht="49.95" customHeight="1" x14ac:dyDescent="0.3">
      <c r="L2851" s="407" t="s">
        <v>3520</v>
      </c>
      <c r="M2851" s="407" t="s">
        <v>5071</v>
      </c>
      <c r="N2851" s="408" t="s">
        <v>5738</v>
      </c>
      <c r="O2851" s="406" t="s">
        <v>2889</v>
      </c>
      <c r="P2851" s="16">
        <v>46234</v>
      </c>
      <c r="Q2851" s="407" t="s">
        <v>3142</v>
      </c>
      <c r="R2851" s="2">
        <f>VLOOKUP(SALIDAS111518[[#This Row],[CÓDIGO]],PRODUCTOS31316[],2,FALSE)</f>
        <v>16301</v>
      </c>
      <c r="S2851" s="1" t="str">
        <f>VLOOKUP(SALIDAS111518[[#This Row],[CÓDIGO]],PRODUCTOS31316[],3,FALSE)</f>
        <v>PISTOLA DE TRANSFERENCIA DE EMBRIONES 0,25 DE MANGO DE ALUMINIO</v>
      </c>
      <c r="T2851" s="2">
        <v>1</v>
      </c>
      <c r="U2851" s="2">
        <v>1220</v>
      </c>
      <c r="V2851" s="2"/>
      <c r="W2851" s="2"/>
      <c r="X2851" s="2"/>
      <c r="Y2851" s="7"/>
      <c r="Z2851" s="2"/>
      <c r="AA2851" s="1"/>
      <c r="AC2851" s="2"/>
      <c r="AE2851" s="1"/>
      <c r="AG2851" s="2"/>
    </row>
    <row r="2852" spans="12:33" ht="49.95" customHeight="1" x14ac:dyDescent="0.3">
      <c r="L2852" s="407" t="s">
        <v>3520</v>
      </c>
      <c r="M2852" s="407" t="s">
        <v>5071</v>
      </c>
      <c r="N2852" s="1" t="s">
        <v>5755</v>
      </c>
      <c r="O2852" s="407" t="s">
        <v>2925</v>
      </c>
      <c r="P2852" s="16">
        <v>46234</v>
      </c>
      <c r="Q2852" s="407" t="s">
        <v>2755</v>
      </c>
      <c r="R2852" s="2" t="str">
        <f>VLOOKUP(SALIDAS111518[[#This Row],[CÓDIGO]],PRODUCTOS31316[],2,FALSE)</f>
        <v>MSLDO05</v>
      </c>
      <c r="S2852" s="1" t="str">
        <f>VLOOKUP(SALIDAS111518[[#This Row],[CÓDIGO]],PRODUCTOS31316[],3,FALSE)</f>
        <v>TERMO DE RECOLECCIÓN DE SEMEN/ USO VETERINARIO</v>
      </c>
      <c r="T2852" s="2">
        <v>1</v>
      </c>
      <c r="U2852" s="2">
        <v>1222</v>
      </c>
      <c r="V2852" s="2"/>
      <c r="W2852" s="2"/>
      <c r="X2852" s="2"/>
      <c r="Y2852" s="7"/>
      <c r="Z2852" s="2"/>
      <c r="AA2852" s="1"/>
      <c r="AC2852" s="2"/>
      <c r="AE2852" s="1"/>
      <c r="AG2852" s="2"/>
    </row>
    <row r="2853" spans="12:33" ht="49.95" customHeight="1" x14ac:dyDescent="0.3">
      <c r="L2853" s="407" t="s">
        <v>3520</v>
      </c>
      <c r="M2853" s="407" t="s">
        <v>5071</v>
      </c>
      <c r="N2853" s="408" t="s">
        <v>5739</v>
      </c>
      <c r="O2853" s="409" t="s">
        <v>3533</v>
      </c>
      <c r="P2853" s="16">
        <v>46234</v>
      </c>
      <c r="Q2853" s="2" t="s">
        <v>3398</v>
      </c>
      <c r="R2853" s="2">
        <f>VLOOKUP(SALIDAS111518[[#This Row],[CÓDIGO]],PRODUCTOS31316[],2,FALSE)</f>
        <v>13408</v>
      </c>
      <c r="S2853" s="1" t="str">
        <f>VLOOKUP(SALIDAS111518[[#This Row],[CÓDIGO]],PRODUCTOS31316[],3,FALSE)</f>
        <v>PAJILLAS TRANSPARENTES 0,50 MINITUBE</v>
      </c>
      <c r="T2853" s="2">
        <v>1</v>
      </c>
      <c r="U2853" s="2">
        <v>1221</v>
      </c>
      <c r="V2853" s="2"/>
      <c r="W2853" s="2"/>
      <c r="X2853" s="2"/>
      <c r="Y2853" s="7"/>
      <c r="Z2853" s="2"/>
      <c r="AA2853" s="1"/>
      <c r="AC2853" s="2"/>
      <c r="AE2853" s="1"/>
      <c r="AG2853" s="2"/>
    </row>
    <row r="2854" spans="12:33" ht="49.95" customHeight="1" x14ac:dyDescent="0.3">
      <c r="L2854" s="407" t="s">
        <v>3520</v>
      </c>
      <c r="M2854" s="407" t="s">
        <v>5071</v>
      </c>
      <c r="N2854" s="412" t="s">
        <v>5756</v>
      </c>
      <c r="O2854" s="413" t="s">
        <v>5737</v>
      </c>
      <c r="P2854" s="16">
        <v>46234</v>
      </c>
      <c r="Q2854" s="2" t="s">
        <v>500</v>
      </c>
      <c r="R2854" s="2">
        <f>VLOOKUP(SALIDAS111518[[#This Row],[CÓDIGO]],PRODUCTOS31316[],2,FALSE)</f>
        <v>15933</v>
      </c>
      <c r="S2854" s="1" t="str">
        <f>VLOOKUP(SALIDAS111518[[#This Row],[CÓDIGO]],PRODUCTOS31316[],3,FALSE)</f>
        <v>DISPOSITIVO ENTROMETRIX</v>
      </c>
      <c r="T2854" s="2">
        <v>6</v>
      </c>
      <c r="U2854" s="110" t="s">
        <v>5757</v>
      </c>
      <c r="V2854" s="2"/>
      <c r="W2854" s="2"/>
      <c r="X2854" s="2"/>
      <c r="Y2854" s="7"/>
      <c r="Z2854" s="2"/>
      <c r="AA2854" s="1"/>
      <c r="AC2854" s="2"/>
      <c r="AE2854" s="1"/>
      <c r="AG2854" s="2"/>
    </row>
    <row r="2855" spans="12:33" ht="49.95" customHeight="1" x14ac:dyDescent="0.3">
      <c r="L2855" s="407" t="s">
        <v>3520</v>
      </c>
      <c r="M2855" s="407" t="s">
        <v>5071</v>
      </c>
      <c r="N2855" s="420" t="s">
        <v>5741</v>
      </c>
      <c r="O2855" s="418" t="s">
        <v>5740</v>
      </c>
      <c r="P2855" s="16">
        <v>46234</v>
      </c>
      <c r="Q2855" s="409" t="s">
        <v>149</v>
      </c>
      <c r="R2855" s="2">
        <f>VLOOKUP(SALIDAS111518[[#This Row],[CÓDIGO]],PRODUCTOS31316[],2,FALSE)</f>
        <v>18621</v>
      </c>
      <c r="S2855" s="1" t="str">
        <f>VLOOKUP(SALIDAS111518[[#This Row],[CÓDIGO]],PRODUCTOS31316[],3,FALSE)</f>
        <v>TERMO DESCONGELADOR DE SEMEN DE EMBRIONES ROJO</v>
      </c>
      <c r="T2855" s="2">
        <v>1</v>
      </c>
      <c r="U2855" s="2">
        <v>1224</v>
      </c>
      <c r="V2855" s="2"/>
      <c r="W2855" s="409" t="s">
        <v>3412</v>
      </c>
      <c r="X2855" s="2"/>
      <c r="Y2855" s="7"/>
      <c r="Z2855" s="2"/>
      <c r="AA2855" s="1"/>
      <c r="AC2855" s="2"/>
      <c r="AE2855" s="1"/>
      <c r="AG2855" s="2"/>
    </row>
    <row r="2856" spans="12:33" ht="49.95" customHeight="1" x14ac:dyDescent="0.3">
      <c r="L2856" s="2"/>
      <c r="M2856" s="2"/>
      <c r="N2856" s="2">
        <v>8776</v>
      </c>
      <c r="O2856" s="409" t="s">
        <v>5740</v>
      </c>
      <c r="P2856" s="16">
        <v>46234</v>
      </c>
      <c r="Q2856" s="409" t="s">
        <v>651</v>
      </c>
      <c r="R2856" s="2">
        <f>VLOOKUP(SALIDAS111518[[#This Row],[CÓDIGO]],PRODUCTOS31316[],2,FALSE)</f>
        <v>18367</v>
      </c>
      <c r="S2856" s="1" t="str">
        <f>VLOOKUP(SALIDAS111518[[#This Row],[CÓDIGO]],PRODUCTOS31316[],3,FALSE)</f>
        <v>PISTOLA DE INSEMINACIÓN UNIVERSAL (AUTOMATIC LOCK)</v>
      </c>
      <c r="T2856" s="2">
        <v>1</v>
      </c>
      <c r="U2856" s="2"/>
      <c r="V2856" s="2"/>
      <c r="W2856" s="2"/>
      <c r="X2856" s="2"/>
      <c r="Y2856" s="7"/>
      <c r="Z2856" s="2"/>
      <c r="AA2856" s="1"/>
      <c r="AC2856" s="2"/>
      <c r="AE2856" s="1"/>
      <c r="AG2856" s="2"/>
    </row>
    <row r="2857" spans="12:33" ht="49.95" customHeight="1" x14ac:dyDescent="0.3">
      <c r="L2857" s="2"/>
      <c r="M2857" s="2"/>
      <c r="N2857" s="2">
        <v>8776</v>
      </c>
      <c r="O2857" s="409" t="s">
        <v>5740</v>
      </c>
      <c r="P2857" s="16">
        <v>46234</v>
      </c>
      <c r="Q2857" s="409" t="s">
        <v>2364</v>
      </c>
      <c r="R2857" s="2">
        <f>VLOOKUP(SALIDAS111518[[#This Row],[CÓDIGO]],PRODUCTOS31316[],2,FALSE)</f>
        <v>0</v>
      </c>
      <c r="S2857" s="1" t="str">
        <f>VLOOKUP(SALIDAS111518[[#This Row],[CÓDIGO]],PRODUCTOS31316[],3,FALSE)</f>
        <v>CORTAPAJILLAS WTA</v>
      </c>
      <c r="T2857" s="2">
        <v>1</v>
      </c>
      <c r="U2857" s="2"/>
      <c r="V2857" s="2"/>
      <c r="W2857" s="2"/>
      <c r="X2857" s="2"/>
      <c r="Y2857" s="7"/>
      <c r="Z2857" s="2"/>
      <c r="AA2857" s="1"/>
      <c r="AC2857" s="2"/>
      <c r="AE2857" s="1"/>
      <c r="AG2857" s="2"/>
    </row>
    <row r="2858" spans="12:33" ht="49.95" customHeight="1" x14ac:dyDescent="0.3">
      <c r="L2858" s="2"/>
      <c r="M2858" s="2"/>
      <c r="N2858" s="2">
        <v>8776</v>
      </c>
      <c r="O2858" s="409" t="s">
        <v>5740</v>
      </c>
      <c r="P2858" s="16">
        <v>46234</v>
      </c>
      <c r="Q2858" s="409" t="s">
        <v>3181</v>
      </c>
      <c r="R2858" s="2">
        <f>VLOOKUP(SALIDAS111518[[#This Row],[CÓDIGO]],PRODUCTOS31316[],2,FALSE)</f>
        <v>7416</v>
      </c>
      <c r="S2858" s="1" t="str">
        <f>VLOOKUP(SALIDAS111518[[#This Row],[CÓDIGO]],PRODUCTOS31316[],3,FALSE)</f>
        <v>CAJA PLÁSTICA DE 22" DE TRANSPORTE</v>
      </c>
      <c r="T2858" s="2">
        <v>1</v>
      </c>
      <c r="U2858" s="2"/>
      <c r="V2858" s="2"/>
      <c r="W2858" s="2"/>
      <c r="X2858" s="2"/>
      <c r="Y2858" s="7"/>
      <c r="Z2858" s="2"/>
      <c r="AA2858" s="1"/>
      <c r="AC2858" s="2"/>
      <c r="AE2858" s="1"/>
      <c r="AG2858" s="2"/>
    </row>
    <row r="2859" spans="12:33" ht="49.95" customHeight="1" x14ac:dyDescent="0.3">
      <c r="L2859" s="407" t="s">
        <v>3520</v>
      </c>
      <c r="M2859" s="407" t="s">
        <v>5071</v>
      </c>
      <c r="N2859" s="1" t="s">
        <v>5744</v>
      </c>
      <c r="O2859" s="409" t="s">
        <v>2358</v>
      </c>
      <c r="P2859" s="16">
        <v>46234</v>
      </c>
      <c r="Q2859" s="409" t="s">
        <v>3241</v>
      </c>
      <c r="R2859" s="2" t="str">
        <f>VLOOKUP(SALIDAS111518[[#This Row],[CÓDIGO]],PRODUCTOS31316[],2,FALSE)</f>
        <v>1111-3810</v>
      </c>
      <c r="S2859" s="1" t="str">
        <f>VLOOKUP(SALIDAS111518[[#This Row],[CÓDIGO]],PRODUCTOS31316[],3,FALSE)</f>
        <v>RACK DE PUNTAS 10 UL ESTERIL/ VEN 2030-01-31</v>
      </c>
      <c r="T2859" s="2">
        <v>2</v>
      </c>
      <c r="U2859" s="409" t="s">
        <v>5743</v>
      </c>
      <c r="V2859" s="2"/>
      <c r="W2859" s="2"/>
      <c r="X2859" s="2"/>
      <c r="Y2859" s="7"/>
      <c r="Z2859" s="2"/>
      <c r="AA2859" s="1"/>
      <c r="AC2859" s="2"/>
      <c r="AE2859" s="1"/>
      <c r="AG2859" s="2"/>
    </row>
    <row r="2860" spans="12:33" ht="49.95" customHeight="1" x14ac:dyDescent="0.3">
      <c r="L2860" s="2"/>
      <c r="M2860" s="2"/>
      <c r="N2860" s="2">
        <v>8777</v>
      </c>
      <c r="O2860" s="409" t="s">
        <v>2358</v>
      </c>
      <c r="P2860" s="16">
        <v>46234</v>
      </c>
      <c r="Q2860" s="409" t="s">
        <v>360</v>
      </c>
      <c r="R2860" s="2">
        <f>VLOOKUP(SALIDAS111518[[#This Row],[CÓDIGO]],PRODUCTOS31316[],2,FALSE)</f>
        <v>505006</v>
      </c>
      <c r="S2860" s="1" t="str">
        <f>VLOOKUP(SALIDAS111518[[#This Row],[CÓDIGO]],PRODUCTOS31316[],3,FALSE)</f>
        <v>LACRADOR REDONDO AMARILLO</v>
      </c>
      <c r="T2860" s="2">
        <v>2</v>
      </c>
      <c r="U2860" s="2"/>
      <c r="V2860" s="2"/>
      <c r="W2860" s="2"/>
      <c r="X2860" s="2"/>
      <c r="Y2860" s="7"/>
      <c r="Z2860" s="2"/>
      <c r="AA2860" s="1"/>
      <c r="AC2860" s="2"/>
      <c r="AE2860" s="1"/>
      <c r="AG2860" s="2"/>
    </row>
    <row r="2861" spans="12:33" ht="49.95" customHeight="1" x14ac:dyDescent="0.3">
      <c r="L2861" s="2"/>
      <c r="M2861" s="2"/>
      <c r="N2861" s="2">
        <v>8777</v>
      </c>
      <c r="O2861" s="409" t="s">
        <v>2358</v>
      </c>
      <c r="P2861" s="16">
        <v>46234</v>
      </c>
      <c r="Q2861" s="409" t="s">
        <v>2809</v>
      </c>
      <c r="R2861" s="2">
        <f>VLOOKUP(SALIDAS111518[[#This Row],[CÓDIGO]],PRODUCTOS31316[],2,FALSE)</f>
        <v>5565</v>
      </c>
      <c r="S2861" s="1" t="str">
        <f>VLOOKUP(SALIDAS111518[[#This Row],[CÓDIGO]],PRODUCTOS31316[],3,FALSE)</f>
        <v>PAJILLAS TRANSPARENTES 0,25</v>
      </c>
      <c r="T2861" s="2">
        <v>1</v>
      </c>
      <c r="U2861" s="2"/>
      <c r="V2861" s="2"/>
      <c r="W2861" s="2"/>
      <c r="X2861" s="2"/>
      <c r="Y2861" s="7"/>
      <c r="Z2861" s="2"/>
      <c r="AA2861" s="1"/>
      <c r="AC2861" s="2"/>
      <c r="AE2861" s="1"/>
      <c r="AG2861" s="2"/>
    </row>
    <row r="2862" spans="12:33" ht="49.95" customHeight="1" x14ac:dyDescent="0.3">
      <c r="L2862" s="2"/>
      <c r="M2862" s="2"/>
      <c r="N2862" s="2">
        <v>8777</v>
      </c>
      <c r="O2862" s="409" t="s">
        <v>2358</v>
      </c>
      <c r="P2862" s="16">
        <v>46234</v>
      </c>
      <c r="Q2862" s="2" t="s">
        <v>272</v>
      </c>
      <c r="R2862" s="2">
        <f>VLOOKUP(SALIDAS111518[[#This Row],[CÓDIGO]],PRODUCTOS31316[],2,FALSE)</f>
        <v>627161</v>
      </c>
      <c r="S2862" s="1" t="str">
        <f>VLOOKUP(SALIDAS111518[[#This Row],[CÓDIGO]],PRODUCTOS31316[],3,FALSE)</f>
        <v xml:space="preserve">CAJA PETRI 35X10 ESTERIL </v>
      </c>
      <c r="T2862" s="2">
        <v>2</v>
      </c>
      <c r="U2862" s="2"/>
      <c r="V2862" s="2"/>
      <c r="W2862" s="2"/>
      <c r="X2862" s="130"/>
      <c r="Y2862" s="7"/>
      <c r="Z2862" s="2"/>
      <c r="AA2862" s="1"/>
      <c r="AC2862" s="2"/>
      <c r="AE2862" s="1"/>
      <c r="AG2862" s="2"/>
    </row>
    <row r="2863" spans="12:33" ht="49.95" customHeight="1" x14ac:dyDescent="0.3">
      <c r="L2863" s="2"/>
      <c r="M2863" s="2"/>
      <c r="N2863" s="2">
        <v>8777</v>
      </c>
      <c r="O2863" s="409" t="s">
        <v>2358</v>
      </c>
      <c r="P2863" s="16">
        <v>46234</v>
      </c>
      <c r="Q2863" s="2" t="s">
        <v>3355</v>
      </c>
      <c r="R2863" s="2">
        <f>VLOOKUP(SALIDAS111518[[#This Row],[CÓDIGO]],PRODUCTOS31316[],2,FALSE)</f>
        <v>140681</v>
      </c>
      <c r="S2863" s="1" t="str">
        <f>VLOOKUP(SALIDAS111518[[#This Row],[CÓDIGO]],PRODUCTOS31316[],3,FALSE)</f>
        <v>CAJA DE PETRI DESECHABLE ESTERIL 60x15MM.</v>
      </c>
      <c r="T2863" s="2">
        <v>2</v>
      </c>
      <c r="U2863" s="2"/>
      <c r="V2863" s="2"/>
      <c r="W2863" s="2"/>
      <c r="X2863" s="2"/>
      <c r="Y2863" s="7"/>
      <c r="Z2863" s="2"/>
      <c r="AA2863" s="1"/>
      <c r="AC2863" s="2"/>
      <c r="AE2863" s="1"/>
      <c r="AG2863" s="2"/>
    </row>
    <row r="2864" spans="12:33" ht="49.95" customHeight="1" x14ac:dyDescent="0.3">
      <c r="L2864" s="407" t="s">
        <v>3520</v>
      </c>
      <c r="M2864" s="407" t="s">
        <v>5071</v>
      </c>
      <c r="N2864" s="420" t="s">
        <v>5781</v>
      </c>
      <c r="O2864" s="420" t="s">
        <v>5742</v>
      </c>
      <c r="P2864" s="16">
        <v>46237</v>
      </c>
      <c r="Q2864" s="2" t="s">
        <v>3346</v>
      </c>
      <c r="R2864" s="2" t="str">
        <f>VLOOKUP(SALIDAS111518[[#This Row],[CÓDIGO]],PRODUCTOS31316[],2,FALSE)</f>
        <v>S7PRO</v>
      </c>
      <c r="S2864" s="1" t="str">
        <f>VLOOKUP(SALIDAS111518[[#This Row],[CÓDIGO]],PRODUCTOS31316[],3,FALSE)</f>
        <v>ECÓGRAFO S7 PRO VET CON SONDA LINEAL RECTAL</v>
      </c>
      <c r="T2864" s="2">
        <v>1</v>
      </c>
      <c r="U2864" s="2">
        <v>1244</v>
      </c>
      <c r="V2864" s="2"/>
      <c r="W2864" s="2" t="s">
        <v>3412</v>
      </c>
      <c r="X2864" s="2"/>
      <c r="Y2864" s="7"/>
      <c r="Z2864" s="2"/>
      <c r="AA2864" s="1"/>
      <c r="AC2864" s="2"/>
      <c r="AE2864" s="1"/>
      <c r="AG2864" s="2"/>
    </row>
    <row r="2865" spans="12:33" ht="49.95" customHeight="1" x14ac:dyDescent="0.3">
      <c r="L2865" s="2"/>
      <c r="M2865" s="2"/>
      <c r="N2865" s="2">
        <v>8795</v>
      </c>
      <c r="O2865" s="1" t="s">
        <v>5742</v>
      </c>
      <c r="P2865" s="416">
        <v>46237</v>
      </c>
      <c r="Q2865" s="2" t="s">
        <v>5083</v>
      </c>
      <c r="R2865" s="2">
        <f>VLOOKUP(SALIDAS111518[[#This Row],[CÓDIGO]],PRODUCTOS31316[],2,FALSE)</f>
        <v>0</v>
      </c>
      <c r="S2865" s="1" t="str">
        <f>VLOOKUP(SALIDAS111518[[#This Row],[CÓDIGO]],PRODUCTOS31316[],3,FALSE)</f>
        <v>TABLET SANSUNG GALAXY TAB A11+</v>
      </c>
      <c r="T2865" s="2">
        <v>1</v>
      </c>
      <c r="U2865" s="2"/>
      <c r="V2865" s="2"/>
      <c r="W2865" s="2"/>
      <c r="X2865" s="2"/>
      <c r="Y2865" s="7"/>
      <c r="Z2865" s="2"/>
      <c r="AA2865" s="1"/>
      <c r="AC2865" s="2"/>
      <c r="AE2865" s="1"/>
      <c r="AG2865" s="2"/>
    </row>
    <row r="2866" spans="12:33" ht="49.95" customHeight="1" x14ac:dyDescent="0.3">
      <c r="L2866" s="2"/>
      <c r="M2866" s="2"/>
      <c r="N2866" s="2">
        <v>8795</v>
      </c>
      <c r="O2866" s="1" t="s">
        <v>5742</v>
      </c>
      <c r="P2866" s="416">
        <v>46237</v>
      </c>
      <c r="Q2866" s="2" t="s">
        <v>3286</v>
      </c>
      <c r="R2866" s="2">
        <f>VLOOKUP(SALIDAS111518[[#This Row],[CÓDIGO]],PRODUCTOS31316[],2,FALSE)</f>
        <v>0</v>
      </c>
      <c r="S2866" s="1" t="str">
        <f>VLOOKUP(SALIDAS111518[[#This Row],[CÓDIGO]],PRODUCTOS31316[],3,FALSE)</f>
        <v>CARCASA TABLET BMV</v>
      </c>
      <c r="T2866" s="2">
        <v>1</v>
      </c>
      <c r="U2866" s="2"/>
      <c r="V2866" s="2"/>
      <c r="W2866" s="2"/>
      <c r="X2866" s="2"/>
      <c r="Y2866" s="7"/>
      <c r="Z2866" s="2"/>
      <c r="AA2866" s="1"/>
      <c r="AC2866" s="2"/>
      <c r="AE2866" s="1"/>
      <c r="AG2866" s="2"/>
    </row>
    <row r="2867" spans="12:33" ht="49.95" customHeight="1" x14ac:dyDescent="0.3">
      <c r="L2867" s="2"/>
      <c r="M2867" s="2"/>
      <c r="N2867" s="2">
        <v>8795</v>
      </c>
      <c r="O2867" s="1" t="s">
        <v>5742</v>
      </c>
      <c r="P2867" s="416">
        <v>46237</v>
      </c>
      <c r="Q2867" s="2" t="s">
        <v>3095</v>
      </c>
      <c r="R2867" s="2">
        <f>VLOOKUP(SALIDAS111518[[#This Row],[CÓDIGO]],PRODUCTOS31316[],2,FALSE)</f>
        <v>0</v>
      </c>
      <c r="S2867" s="1" t="str">
        <f>VLOOKUP(SALIDAS111518[[#This Row],[CÓDIGO]],PRODUCTOS31316[],3,FALSE)</f>
        <v>GORRA MAS CAMPO</v>
      </c>
      <c r="T2867" s="2">
        <v>1</v>
      </c>
      <c r="U2867" s="2"/>
      <c r="V2867" s="2"/>
      <c r="W2867" s="2"/>
      <c r="X2867" s="51"/>
      <c r="Y2867" s="7"/>
      <c r="Z2867" s="2"/>
      <c r="AA2867" s="1"/>
      <c r="AC2867" s="2"/>
      <c r="AE2867" s="1"/>
      <c r="AG2867" s="2"/>
    </row>
    <row r="2868" spans="12:33" ht="49.95" customHeight="1" x14ac:dyDescent="0.3">
      <c r="L2868" s="407" t="s">
        <v>3520</v>
      </c>
      <c r="M2868" s="407" t="s">
        <v>5071</v>
      </c>
      <c r="N2868" s="1" t="s">
        <v>5746</v>
      </c>
      <c r="O2868" s="1" t="s">
        <v>5745</v>
      </c>
      <c r="P2868" s="16">
        <v>46239</v>
      </c>
      <c r="Q2868" s="2" t="s">
        <v>341</v>
      </c>
      <c r="R2868" s="2" t="str">
        <f>VLOOKUP(SALIDAS111518[[#This Row],[CÓDIGO]],PRODUCTOS31316[],2,FALSE)</f>
        <v>CTB50</v>
      </c>
      <c r="S2868" s="1" t="str">
        <f>VLOOKUP(SALIDAS111518[[#This Row],[CÓDIGO]],PRODUCTOS31316[],3,FALSE)</f>
        <v>TUBO CÓNICO DE 50 mL, TAPA ROSCA, PRE ESTERILIZADO. RCF MAX: 10000xg, graduados, PCR puro.</v>
      </c>
      <c r="T2868" s="2">
        <v>4</v>
      </c>
      <c r="U2868" s="2">
        <v>1227</v>
      </c>
      <c r="V2868" s="2"/>
      <c r="W2868" s="2"/>
      <c r="X2868" s="2"/>
      <c r="Y2868" s="7"/>
      <c r="Z2868" s="2"/>
      <c r="AA2868" s="1"/>
      <c r="AC2868" s="2"/>
      <c r="AE2868" s="1"/>
      <c r="AG2868" s="2"/>
    </row>
    <row r="2869" spans="12:33" ht="49.95" customHeight="1" x14ac:dyDescent="0.3">
      <c r="L2869" s="2"/>
      <c r="M2869" s="2"/>
      <c r="N2869" s="2">
        <v>8778</v>
      </c>
      <c r="O2869" s="1" t="s">
        <v>5745</v>
      </c>
      <c r="P2869" s="16">
        <v>46239</v>
      </c>
      <c r="Q2869" s="2" t="s">
        <v>3355</v>
      </c>
      <c r="R2869" s="2">
        <f>VLOOKUP(SALIDAS111518[[#This Row],[CÓDIGO]],PRODUCTOS31316[],2,FALSE)</f>
        <v>140681</v>
      </c>
      <c r="S2869" s="1" t="str">
        <f>VLOOKUP(SALIDAS111518[[#This Row],[CÓDIGO]],PRODUCTOS31316[],3,FALSE)</f>
        <v>CAJA DE PETRI DESECHABLE ESTERIL 60x15MM.</v>
      </c>
      <c r="T2869" s="2">
        <v>10</v>
      </c>
      <c r="U2869" s="2"/>
      <c r="V2869" s="2"/>
      <c r="W2869" s="2"/>
      <c r="X2869" s="2"/>
      <c r="Y2869" s="7"/>
      <c r="Z2869" s="2"/>
      <c r="AA2869" s="1"/>
      <c r="AC2869" s="2"/>
      <c r="AE2869" s="1"/>
      <c r="AG2869" s="2"/>
    </row>
    <row r="2870" spans="12:33" ht="49.95" customHeight="1" x14ac:dyDescent="0.3">
      <c r="L2870" s="2"/>
      <c r="M2870" s="2"/>
      <c r="N2870" s="2">
        <v>8778</v>
      </c>
      <c r="O2870" s="1" t="s">
        <v>5745</v>
      </c>
      <c r="P2870" s="16">
        <v>46239</v>
      </c>
      <c r="Q2870" s="2" t="s">
        <v>5123</v>
      </c>
      <c r="R2870" s="2">
        <f>VLOOKUP(SALIDAS111518[[#This Row],[CÓDIGO]],PRODUCTOS31316[],2,FALSE)</f>
        <v>0</v>
      </c>
      <c r="S2870" s="1" t="str">
        <f>VLOOKUP(SALIDAS111518[[#This Row],[CÓDIGO]],PRODUCTOS31316[],3,FALSE)</f>
        <v>MICROFILTRO 0,90 UM  PAQ. X 20 UND MARCA: TED</v>
      </c>
      <c r="T2870" s="2">
        <v>1</v>
      </c>
      <c r="U2870" s="2"/>
      <c r="V2870" s="2"/>
      <c r="W2870" s="2"/>
      <c r="X2870" s="2"/>
      <c r="Y2870" s="7"/>
      <c r="Z2870" s="2"/>
      <c r="AA2870" s="1"/>
      <c r="AC2870" s="2"/>
      <c r="AE2870" s="1"/>
      <c r="AG2870" s="2"/>
    </row>
    <row r="2871" spans="12:33" ht="49.95" customHeight="1" x14ac:dyDescent="0.3">
      <c r="L2871" s="2"/>
      <c r="M2871" s="2"/>
      <c r="N2871" s="2">
        <v>8778</v>
      </c>
      <c r="O2871" s="1" t="s">
        <v>5745</v>
      </c>
      <c r="P2871" s="16">
        <v>46239</v>
      </c>
      <c r="Q2871" s="2" t="s">
        <v>168</v>
      </c>
      <c r="R2871" s="2">
        <f>VLOOKUP(SALIDAS111518[[#This Row],[CÓDIGO]],PRODUCTOS31316[],2,FALSE)</f>
        <v>4840</v>
      </c>
      <c r="S2871" s="1" t="str">
        <f>VLOOKUP(SALIDAS111518[[#This Row],[CÓDIGO]],PRODUCTOS31316[],3,FALSE)</f>
        <v>PUNTAS BLANCAS UNIVERSALES, PLÁSTICAS, LIBRES DE DNASAS, RNASA Y PIROGENOS, RANGO DE 0.1 A 10UL. (CORTAS).</v>
      </c>
      <c r="T2871" s="2">
        <v>1</v>
      </c>
      <c r="U2871" s="2"/>
      <c r="V2871" s="2"/>
      <c r="W2871" s="2"/>
      <c r="X2871" s="2"/>
      <c r="Y2871" s="7"/>
      <c r="Z2871" s="2"/>
      <c r="AA2871" s="1"/>
      <c r="AC2871" s="2"/>
      <c r="AE2871" s="1"/>
      <c r="AG2871" s="2"/>
    </row>
    <row r="2872" spans="12:33" ht="49.95" customHeight="1" x14ac:dyDescent="0.3">
      <c r="L2872" s="2"/>
      <c r="M2872" s="2"/>
      <c r="N2872" s="2">
        <v>8778</v>
      </c>
      <c r="O2872" s="1" t="s">
        <v>5745</v>
      </c>
      <c r="P2872" s="16">
        <v>46239</v>
      </c>
      <c r="Q2872" s="2" t="s">
        <v>602</v>
      </c>
      <c r="R2872" s="2">
        <f>VLOOKUP(SALIDAS111518[[#This Row],[CÓDIGO]],PRODUCTOS31316[],2,FALSE)</f>
        <v>4845</v>
      </c>
      <c r="S2872" s="1" t="str">
        <f>VLOOKUP(SALIDAS111518[[#This Row],[CÓDIGO]],PRODUCTOS31316[],3,FALSE)</f>
        <v>PUNTAS AMARILLAS, UNIVERSALES. PLASTICAS, NO ESTERIL. LIBRES DE RNASE, DNASE Y PYROGENOS. RANGO DE 1-200UL. BOLSA X1000UDS.</v>
      </c>
      <c r="T2872" s="2">
        <v>1</v>
      </c>
      <c r="U2872" s="2"/>
      <c r="V2872" s="2"/>
      <c r="W2872" s="2"/>
      <c r="X2872" s="2"/>
      <c r="Y2872" s="7"/>
      <c r="Z2872" s="2"/>
      <c r="AA2872" s="1"/>
      <c r="AC2872" s="2"/>
      <c r="AE2872" s="1"/>
      <c r="AG2872" s="2"/>
    </row>
    <row r="2873" spans="12:33" ht="49.95" customHeight="1" x14ac:dyDescent="0.3">
      <c r="L2873" s="2" t="s">
        <v>3520</v>
      </c>
      <c r="M2873" s="413" t="s">
        <v>5753</v>
      </c>
      <c r="N2873" s="15"/>
      <c r="O2873" s="54" t="s">
        <v>5747</v>
      </c>
      <c r="P2873" s="15"/>
      <c r="Q2873" s="2" t="s">
        <v>378</v>
      </c>
      <c r="R2873" s="2">
        <f>VLOOKUP(SALIDAS111518[[#This Row],[CÓDIGO]],PRODUCTOS31316[],2,FALSE)</f>
        <v>0</v>
      </c>
      <c r="S2873" s="1" t="str">
        <f>VLOOKUP(SALIDAS111518[[#This Row],[CÓDIGO]],PRODUCTOS31316[],3,FALSE)</f>
        <v>ISPERM KIT (WITH 50 INCLUIDED CHIPS, EXS M5)</v>
      </c>
      <c r="T2873" s="2">
        <v>1</v>
      </c>
      <c r="U2873" s="15" t="s">
        <v>5750</v>
      </c>
      <c r="V2873" s="2"/>
      <c r="W2873" s="2"/>
      <c r="X2873" s="2"/>
      <c r="Y2873" s="7"/>
      <c r="Z2873" s="2"/>
      <c r="AA2873" s="1"/>
      <c r="AC2873" s="2"/>
      <c r="AE2873" s="1"/>
      <c r="AG2873" s="2"/>
    </row>
    <row r="2874" spans="12:33" ht="49.95" customHeight="1" x14ac:dyDescent="0.3">
      <c r="L2874" s="2"/>
      <c r="M2874" s="2"/>
      <c r="N2874" s="2"/>
      <c r="O2874" s="1" t="s">
        <v>3460</v>
      </c>
      <c r="P2874" s="2"/>
      <c r="Q2874" s="2" t="s">
        <v>985</v>
      </c>
      <c r="R2874" s="2">
        <f>VLOOKUP(SALIDAS111518[[#This Row],[CÓDIGO]],PRODUCTOS31316[],2,FALSE)</f>
        <v>0</v>
      </c>
      <c r="S2874" s="1" t="str">
        <f>VLOOKUP(SALIDAS111518[[#This Row],[CÓDIGO]],PRODUCTOS31316[],3,FALSE)</f>
        <v>ISPERM SOFTWARE INICIAL ( UNA APLICACIÓN)</v>
      </c>
      <c r="T2874" s="2">
        <v>1</v>
      </c>
      <c r="U2874" s="2"/>
      <c r="V2874" s="2"/>
      <c r="W2874" s="2"/>
      <c r="X2874" s="2"/>
      <c r="Y2874" s="7"/>
      <c r="Z2874" s="2"/>
      <c r="AA2874" s="1"/>
      <c r="AC2874" s="2"/>
      <c r="AE2874" s="1"/>
      <c r="AG2874" s="2"/>
    </row>
    <row r="2875" spans="12:33" ht="49.95" customHeight="1" x14ac:dyDescent="0.3">
      <c r="L2875" s="2"/>
      <c r="M2875" s="2"/>
      <c r="N2875" s="2"/>
      <c r="O2875" s="1" t="s">
        <v>3460</v>
      </c>
      <c r="P2875" s="2"/>
      <c r="Q2875" s="2" t="s">
        <v>3275</v>
      </c>
      <c r="R2875" s="2">
        <f>VLOOKUP(SALIDAS111518[[#This Row],[CÓDIGO]],PRODUCTOS31316[],2,FALSE)</f>
        <v>0</v>
      </c>
      <c r="S2875" s="1" t="str">
        <f>VLOOKUP(SALIDAS111518[[#This Row],[CÓDIGO]],PRODUCTOS31316[],3,FALSE)</f>
        <v>IPAD MINI 7.9" PLATA 128 GB</v>
      </c>
      <c r="T2875" s="2">
        <v>1</v>
      </c>
      <c r="U2875" s="2"/>
      <c r="V2875" s="2"/>
      <c r="W2875" s="2"/>
      <c r="X2875" s="2"/>
      <c r="Y2875" s="7"/>
      <c r="Z2875" s="2"/>
      <c r="AA2875" s="1"/>
      <c r="AC2875" s="2"/>
      <c r="AE2875" s="1"/>
      <c r="AG2875" s="2"/>
    </row>
    <row r="2876" spans="12:33" ht="49.95" customHeight="1" x14ac:dyDescent="0.3">
      <c r="L2876" s="413" t="s">
        <v>3520</v>
      </c>
      <c r="M2876" s="413" t="s">
        <v>5753</v>
      </c>
      <c r="N2876" s="15"/>
      <c r="O2876" s="54" t="s">
        <v>5748</v>
      </c>
      <c r="P2876" s="15"/>
      <c r="Q2876" s="2" t="s">
        <v>378</v>
      </c>
      <c r="R2876" s="2">
        <f>VLOOKUP(SALIDAS111518[[#This Row],[CÓDIGO]],PRODUCTOS31316[],2,FALSE)</f>
        <v>0</v>
      </c>
      <c r="S2876" s="1" t="str">
        <f>VLOOKUP(SALIDAS111518[[#This Row],[CÓDIGO]],PRODUCTOS31316[],3,FALSE)</f>
        <v>ISPERM KIT (WITH 50 INCLUIDED CHIPS, EXS M5)</v>
      </c>
      <c r="T2876" s="2">
        <v>1</v>
      </c>
      <c r="U2876" s="15" t="s">
        <v>5749</v>
      </c>
      <c r="V2876" s="2"/>
      <c r="W2876" s="2" t="s">
        <v>3412</v>
      </c>
      <c r="X2876" s="130"/>
      <c r="Y2876" s="7"/>
      <c r="Z2876" s="2"/>
      <c r="AA2876" s="1"/>
      <c r="AC2876" s="2"/>
      <c r="AE2876" s="1"/>
      <c r="AG2876" s="2"/>
    </row>
    <row r="2877" spans="12:33" ht="49.95" customHeight="1" x14ac:dyDescent="0.3">
      <c r="L2877" s="2"/>
      <c r="M2877" s="2"/>
      <c r="N2877" s="2"/>
      <c r="O2877" s="1" t="s">
        <v>3460</v>
      </c>
      <c r="P2877" s="2"/>
      <c r="Q2877" s="2" t="s">
        <v>985</v>
      </c>
      <c r="R2877" s="2">
        <f>VLOOKUP(SALIDAS111518[[#This Row],[CÓDIGO]],PRODUCTOS31316[],2,FALSE)</f>
        <v>0</v>
      </c>
      <c r="S2877" s="1" t="str">
        <f>VLOOKUP(SALIDAS111518[[#This Row],[CÓDIGO]],PRODUCTOS31316[],3,FALSE)</f>
        <v>ISPERM SOFTWARE INICIAL ( UNA APLICACIÓN)</v>
      </c>
      <c r="T2877" s="2">
        <v>1</v>
      </c>
      <c r="U2877" s="2"/>
      <c r="V2877" s="2"/>
      <c r="W2877" s="2"/>
      <c r="X2877" s="2"/>
      <c r="Y2877" s="7"/>
      <c r="Z2877" s="2"/>
      <c r="AA2877" s="1"/>
      <c r="AC2877" s="2"/>
      <c r="AE2877" s="1"/>
      <c r="AG2877" s="2"/>
    </row>
    <row r="2878" spans="12:33" ht="49.95" customHeight="1" x14ac:dyDescent="0.3">
      <c r="L2878" s="2"/>
      <c r="M2878" s="2"/>
      <c r="N2878" s="2"/>
      <c r="O2878" s="1" t="s">
        <v>3460</v>
      </c>
      <c r="P2878" s="2"/>
      <c r="Q2878" s="2" t="s">
        <v>3275</v>
      </c>
      <c r="R2878" s="2">
        <f>VLOOKUP(SALIDAS111518[[#This Row],[CÓDIGO]],PRODUCTOS31316[],2,FALSE)</f>
        <v>0</v>
      </c>
      <c r="S2878" s="1" t="str">
        <f>VLOOKUP(SALIDAS111518[[#This Row],[CÓDIGO]],PRODUCTOS31316[],3,FALSE)</f>
        <v>IPAD MINI 7.9" PLATA 128 GB</v>
      </c>
      <c r="T2878" s="2">
        <v>1</v>
      </c>
      <c r="U2878" s="2"/>
      <c r="V2878" s="2"/>
      <c r="W2878" s="2"/>
      <c r="X2878" s="2"/>
      <c r="Y2878" s="7"/>
      <c r="Z2878" s="2"/>
      <c r="AA2878" s="1"/>
      <c r="AC2878" s="2"/>
      <c r="AE2878" s="1"/>
      <c r="AG2878" s="2"/>
    </row>
    <row r="2879" spans="12:33" ht="49.95" customHeight="1" x14ac:dyDescent="0.3">
      <c r="L2879" s="2" t="s">
        <v>3521</v>
      </c>
      <c r="M2879" s="2" t="s">
        <v>5753</v>
      </c>
      <c r="N2879" s="15">
        <v>15843</v>
      </c>
      <c r="O2879" s="414" t="s">
        <v>5751</v>
      </c>
      <c r="P2879" s="15"/>
      <c r="Q2879" s="1" t="s">
        <v>5752</v>
      </c>
      <c r="R2879" s="2" t="e">
        <f>VLOOKUP(SALIDAS111518[[#This Row],[CÓDIGO]],PRODUCTOS31316[],2,FALSE)</f>
        <v>#N/A</v>
      </c>
      <c r="S2879" s="1" t="e">
        <f>VLOOKUP(SALIDAS111518[[#This Row],[CÓDIGO]],PRODUCTOS31316[],3,FALSE)</f>
        <v>#N/A</v>
      </c>
      <c r="T2879" s="2">
        <v>1</v>
      </c>
      <c r="U2879" s="15"/>
      <c r="V2879" s="2"/>
      <c r="W2879" s="2"/>
      <c r="X2879" s="2"/>
      <c r="Y2879" s="7"/>
      <c r="Z2879" s="2"/>
      <c r="AA2879" s="1"/>
      <c r="AC2879" s="2"/>
      <c r="AE2879" s="1"/>
      <c r="AG2879" s="2"/>
    </row>
    <row r="2880" spans="12:33" ht="49.95" customHeight="1" x14ac:dyDescent="0.3">
      <c r="L2880" s="2" t="s">
        <v>3521</v>
      </c>
      <c r="M2880" s="2" t="s">
        <v>5753</v>
      </c>
      <c r="N2880" s="412" t="s">
        <v>5770</v>
      </c>
      <c r="O2880" s="412" t="s">
        <v>5754</v>
      </c>
      <c r="P2880" s="16">
        <v>46237</v>
      </c>
      <c r="Q2880" s="2" t="s">
        <v>2382</v>
      </c>
      <c r="R2880" s="2">
        <f>VLOOKUP(SALIDAS111518[[#This Row],[CÓDIGO]],PRODUCTOS31316[],2,FALSE)</f>
        <v>1</v>
      </c>
      <c r="S2880" s="1" t="str">
        <f>VLOOKUP(SALIDAS111518[[#This Row],[CÓDIGO]],PRODUCTOS31316[],3,FALSE)</f>
        <v>TERMO DE TRANSPORTE 1 LITRO</v>
      </c>
      <c r="T2880" s="2">
        <v>1</v>
      </c>
      <c r="U2880" s="2">
        <v>1236</v>
      </c>
      <c r="V2880" s="2"/>
      <c r="W2880" s="2"/>
      <c r="X2880" s="130"/>
      <c r="Y2880" s="7"/>
      <c r="Z2880" s="2"/>
      <c r="AA2880" s="1"/>
      <c r="AC2880" s="2"/>
      <c r="AE2880" s="1"/>
      <c r="AG2880" s="2"/>
    </row>
    <row r="2881" spans="12:33" ht="49.95" customHeight="1" x14ac:dyDescent="0.3">
      <c r="L2881" s="413" t="s">
        <v>3520</v>
      </c>
      <c r="M2881" s="413" t="s">
        <v>5753</v>
      </c>
      <c r="N2881" s="412" t="s">
        <v>5771</v>
      </c>
      <c r="O2881" s="412" t="s">
        <v>5672</v>
      </c>
      <c r="P2881" s="16">
        <v>46237</v>
      </c>
      <c r="Q2881" s="413" t="s">
        <v>3346</v>
      </c>
      <c r="R2881" s="2" t="str">
        <f>VLOOKUP(SALIDAS111518[[#This Row],[CÓDIGO]],PRODUCTOS31316[],2,FALSE)</f>
        <v>S7PRO</v>
      </c>
      <c r="S2881" s="1" t="str">
        <f>VLOOKUP(SALIDAS111518[[#This Row],[CÓDIGO]],PRODUCTOS31316[],3,FALSE)</f>
        <v>ECÓGRAFO S7 PRO VET CON SONDA LINEAL RECTAL</v>
      </c>
      <c r="T2881" s="2">
        <v>1</v>
      </c>
      <c r="U2881" s="2">
        <v>1237</v>
      </c>
      <c r="V2881" s="2"/>
      <c r="W2881" s="2"/>
      <c r="X2881" s="2"/>
      <c r="Y2881" s="7"/>
      <c r="Z2881" s="2"/>
      <c r="AA2881" s="1"/>
      <c r="AC2881" s="2"/>
      <c r="AE2881" s="1"/>
      <c r="AG2881" s="2"/>
    </row>
    <row r="2882" spans="12:33" ht="49.95" customHeight="1" x14ac:dyDescent="0.3">
      <c r="L2882" s="2"/>
      <c r="M2882" s="2"/>
      <c r="N2882" s="2">
        <v>8788</v>
      </c>
      <c r="O2882" s="412" t="s">
        <v>5672</v>
      </c>
      <c r="P2882" s="16">
        <v>46237</v>
      </c>
      <c r="Q2882" s="413" t="s">
        <v>5083</v>
      </c>
      <c r="R2882" s="2">
        <f>VLOOKUP(SALIDAS111518[[#This Row],[CÓDIGO]],PRODUCTOS31316[],2,FALSE)</f>
        <v>0</v>
      </c>
      <c r="S2882" s="1" t="str">
        <f>VLOOKUP(SALIDAS111518[[#This Row],[CÓDIGO]],PRODUCTOS31316[],3,FALSE)</f>
        <v>TABLET SANSUNG GALAXY TAB A11+</v>
      </c>
      <c r="T2882" s="2">
        <v>1</v>
      </c>
      <c r="U2882" s="2"/>
      <c r="V2882" s="2"/>
      <c r="W2882" s="2"/>
      <c r="X2882" s="2"/>
      <c r="Y2882" s="7"/>
      <c r="Z2882" s="2"/>
      <c r="AA2882" s="1"/>
      <c r="AC2882" s="2"/>
      <c r="AE2882" s="1"/>
      <c r="AG2882" s="2"/>
    </row>
    <row r="2883" spans="12:33" ht="49.95" customHeight="1" x14ac:dyDescent="0.3">
      <c r="L2883" s="2"/>
      <c r="M2883" s="2"/>
      <c r="N2883" s="2">
        <v>8788</v>
      </c>
      <c r="O2883" s="412" t="s">
        <v>5672</v>
      </c>
      <c r="P2883" s="16">
        <v>46237</v>
      </c>
      <c r="Q2883" s="413" t="s">
        <v>3286</v>
      </c>
      <c r="R2883" s="2">
        <f>VLOOKUP(SALIDAS111518[[#This Row],[CÓDIGO]],PRODUCTOS31316[],2,FALSE)</f>
        <v>0</v>
      </c>
      <c r="S2883" s="1" t="str">
        <f>VLOOKUP(SALIDAS111518[[#This Row],[CÓDIGO]],PRODUCTOS31316[],3,FALSE)</f>
        <v>CARCASA TABLET BMV</v>
      </c>
      <c r="T2883" s="2">
        <v>1</v>
      </c>
      <c r="U2883" s="2"/>
      <c r="V2883" s="2"/>
      <c r="W2883" s="2"/>
      <c r="X2883" s="2"/>
      <c r="Y2883" s="7"/>
      <c r="Z2883" s="2"/>
      <c r="AA2883" s="1"/>
      <c r="AC2883" s="2"/>
      <c r="AE2883" s="1"/>
      <c r="AG2883" s="2"/>
    </row>
    <row r="2884" spans="12:33" ht="49.95" customHeight="1" x14ac:dyDescent="0.3">
      <c r="L2884" s="2"/>
      <c r="M2884" s="2"/>
      <c r="N2884" s="2">
        <v>8788</v>
      </c>
      <c r="O2884" s="412" t="s">
        <v>5672</v>
      </c>
      <c r="P2884" s="16">
        <v>46237</v>
      </c>
      <c r="Q2884" s="413" t="s">
        <v>3095</v>
      </c>
      <c r="R2884" s="2">
        <f>VLOOKUP(SALIDAS111518[[#This Row],[CÓDIGO]],PRODUCTOS31316[],2,FALSE)</f>
        <v>0</v>
      </c>
      <c r="S2884" s="1" t="str">
        <f>VLOOKUP(SALIDAS111518[[#This Row],[CÓDIGO]],PRODUCTOS31316[],3,FALSE)</f>
        <v>GORRA MAS CAMPO</v>
      </c>
      <c r="T2884" s="2">
        <v>1</v>
      </c>
      <c r="U2884" s="2"/>
      <c r="V2884" s="2"/>
      <c r="W2884" s="2"/>
      <c r="X2884" s="2"/>
      <c r="Y2884" s="7"/>
      <c r="Z2884" s="2"/>
      <c r="AA2884" s="1"/>
      <c r="AC2884" s="2"/>
      <c r="AE2884" s="1"/>
      <c r="AG2884" s="2"/>
    </row>
    <row r="2885" spans="12:33" ht="49.95" customHeight="1" x14ac:dyDescent="0.3">
      <c r="L2885" s="2"/>
      <c r="M2885" s="2"/>
      <c r="N2885" s="2">
        <v>8788</v>
      </c>
      <c r="O2885" s="412" t="s">
        <v>5672</v>
      </c>
      <c r="P2885" s="16">
        <v>46237</v>
      </c>
      <c r="Q2885" s="413" t="s">
        <v>3376</v>
      </c>
      <c r="R2885" s="2">
        <f>VLOOKUP(SALIDAS111518[[#This Row],[CÓDIGO]],PRODUCTOS31316[],2,FALSE)</f>
        <v>0</v>
      </c>
      <c r="S2885" s="1" t="str">
        <f>VLOOKUP(SALIDAS111518[[#This Row],[CÓDIGO]],PRODUCTOS31316[],3,FALSE)</f>
        <v>TERMO DE 380 ML MAS CAMPO</v>
      </c>
      <c r="T2885" s="2">
        <v>1</v>
      </c>
      <c r="U2885" s="2"/>
      <c r="V2885" s="2"/>
      <c r="W2885" s="2"/>
      <c r="X2885" s="2"/>
      <c r="Y2885" s="7"/>
      <c r="Z2885" s="2"/>
      <c r="AA2885" s="1"/>
      <c r="AC2885" s="2"/>
      <c r="AE2885" s="1"/>
      <c r="AG2885" s="2"/>
    </row>
    <row r="2886" spans="12:33" ht="49.95" customHeight="1" x14ac:dyDescent="0.3">
      <c r="L2886" s="413" t="s">
        <v>3521</v>
      </c>
      <c r="M2886" s="413" t="s">
        <v>5753</v>
      </c>
      <c r="N2886" s="412" t="s">
        <v>5772</v>
      </c>
      <c r="O2886" s="413" t="s">
        <v>5762</v>
      </c>
      <c r="P2886" s="16">
        <v>46237</v>
      </c>
      <c r="Q2886" s="413" t="s">
        <v>2382</v>
      </c>
      <c r="R2886" s="2">
        <f>VLOOKUP(SALIDAS111518[[#This Row],[CÓDIGO]],PRODUCTOS31316[],2,FALSE)</f>
        <v>1</v>
      </c>
      <c r="S2886" s="1" t="str">
        <f>VLOOKUP(SALIDAS111518[[#This Row],[CÓDIGO]],PRODUCTOS31316[],3,FALSE)</f>
        <v>TERMO DE TRANSPORTE 1 LITRO</v>
      </c>
      <c r="T2886" s="2">
        <v>1</v>
      </c>
      <c r="U2886" s="2">
        <v>1238</v>
      </c>
      <c r="V2886" s="2"/>
      <c r="W2886" s="2"/>
      <c r="X2886" s="2"/>
      <c r="Y2886" s="7"/>
      <c r="Z2886" s="2"/>
      <c r="AA2886" s="1"/>
      <c r="AC2886" s="2"/>
      <c r="AE2886" s="1"/>
      <c r="AG2886" s="2"/>
    </row>
    <row r="2887" spans="12:33" ht="49.95" customHeight="1" x14ac:dyDescent="0.3">
      <c r="L2887" s="413" t="s">
        <v>3520</v>
      </c>
      <c r="M2887" s="413" t="s">
        <v>5753</v>
      </c>
      <c r="N2887" s="412" t="s">
        <v>5775</v>
      </c>
      <c r="O2887" s="413" t="s">
        <v>977</v>
      </c>
      <c r="P2887" s="16">
        <v>46237</v>
      </c>
      <c r="Q2887" s="413" t="s">
        <v>33</v>
      </c>
      <c r="R2887" s="2" t="str">
        <f>VLOOKUP(SALIDAS111518[[#This Row],[CÓDIGO]],PRODUCTOS31316[],2,FALSE)</f>
        <v>LA-120 /506003</v>
      </c>
      <c r="S2887" s="1" t="str">
        <f>VLOOKUP(SALIDAS111518[[#This Row],[CÓDIGO]],PRODUCTOS31316[],3,FALSE)</f>
        <v>LíNEA PARA OPU 1,2 METROS</v>
      </c>
      <c r="T2887" s="2">
        <v>30</v>
      </c>
      <c r="U2887" s="2">
        <v>1239</v>
      </c>
      <c r="V2887" s="2"/>
      <c r="W2887" s="2"/>
      <c r="X2887" s="2"/>
      <c r="Y2887" s="7"/>
      <c r="Z2887" s="2"/>
      <c r="AA2887" s="1"/>
      <c r="AC2887" s="2"/>
      <c r="AE2887" s="1"/>
      <c r="AG2887" s="2"/>
    </row>
    <row r="2888" spans="12:33" ht="49.95" customHeight="1" x14ac:dyDescent="0.3">
      <c r="L2888" s="413" t="s">
        <v>3520</v>
      </c>
      <c r="M2888" s="413" t="s">
        <v>5753</v>
      </c>
      <c r="N2888" s="412" t="s">
        <v>5776</v>
      </c>
      <c r="O2888" s="413" t="s">
        <v>2444</v>
      </c>
      <c r="P2888" s="16">
        <v>46237</v>
      </c>
      <c r="Q2888" s="413" t="s">
        <v>1426</v>
      </c>
      <c r="R2888" s="2">
        <f>VLOOKUP(SALIDAS111518[[#This Row],[CÓDIGO]],PRODUCTOS31316[],2,FALSE)</f>
        <v>4166</v>
      </c>
      <c r="S2888" s="1" t="str">
        <f>VLOOKUP(SALIDAS111518[[#This Row],[CÓDIGO]],PRODUCTOS31316[],3,FALSE)</f>
        <v>PAJILLAS 1/4 CC IRRADIADAS/ 0,25</v>
      </c>
      <c r="T2888" s="2">
        <v>7</v>
      </c>
      <c r="U2888" s="2">
        <v>1240</v>
      </c>
      <c r="V2888" s="2"/>
      <c r="W2888" s="2"/>
      <c r="X2888" s="2"/>
      <c r="Y2888" s="7"/>
      <c r="Z2888" s="2"/>
      <c r="AA2888" s="1"/>
      <c r="AC2888" s="2"/>
      <c r="AE2888" s="1"/>
      <c r="AG2888" s="2"/>
    </row>
    <row r="2889" spans="12:33" ht="49.95" customHeight="1" x14ac:dyDescent="0.3">
      <c r="L2889" s="2"/>
      <c r="M2889" s="2"/>
      <c r="N2889" s="2">
        <v>8791</v>
      </c>
      <c r="O2889" s="413" t="s">
        <v>2444</v>
      </c>
      <c r="P2889" s="16">
        <v>46237</v>
      </c>
      <c r="Q2889" s="413" t="s">
        <v>2809</v>
      </c>
      <c r="R2889" s="2">
        <f>VLOOKUP(SALIDAS111518[[#This Row],[CÓDIGO]],PRODUCTOS31316[],2,FALSE)</f>
        <v>5565</v>
      </c>
      <c r="S2889" s="1" t="str">
        <f>VLOOKUP(SALIDAS111518[[#This Row],[CÓDIGO]],PRODUCTOS31316[],3,FALSE)</f>
        <v>PAJILLAS TRANSPARENTES 0,25</v>
      </c>
      <c r="T2889" s="2">
        <v>1</v>
      </c>
      <c r="U2889" s="2"/>
      <c r="V2889" s="2"/>
      <c r="W2889" s="2"/>
      <c r="X2889" s="2"/>
      <c r="Y2889" s="7"/>
      <c r="Z2889" s="2"/>
      <c r="AA2889" s="1"/>
      <c r="AC2889" s="2"/>
      <c r="AE2889" s="1"/>
      <c r="AG2889" s="2"/>
    </row>
    <row r="2890" spans="12:33" ht="49.95" customHeight="1" x14ac:dyDescent="0.3">
      <c r="L2890" s="413" t="s">
        <v>3521</v>
      </c>
      <c r="M2890" s="413" t="s">
        <v>5753</v>
      </c>
      <c r="N2890" s="412" t="s">
        <v>5777</v>
      </c>
      <c r="O2890" s="412" t="s">
        <v>5774</v>
      </c>
      <c r="P2890" s="16">
        <v>46237</v>
      </c>
      <c r="Q2890" s="413" t="s">
        <v>587</v>
      </c>
      <c r="R2890" s="2">
        <f>VLOOKUP(SALIDAS111518[[#This Row],[CÓDIGO]],PRODUCTOS31316[],2,FALSE)</f>
        <v>20435</v>
      </c>
      <c r="S2890" s="1" t="str">
        <f>VLOOKUP(SALIDAS111518[[#This Row],[CÓDIGO]],PRODUCTOS31316[],3,FALSE)</f>
        <v>PLATINA TERMICA COMPACTA</v>
      </c>
      <c r="T2890" s="2">
        <v>1</v>
      </c>
      <c r="U2890" s="2">
        <v>1241</v>
      </c>
      <c r="V2890" s="2"/>
      <c r="W2890" s="2"/>
      <c r="X2890" s="2"/>
      <c r="Y2890" s="7"/>
      <c r="Z2890" s="2"/>
      <c r="AA2890" s="1"/>
      <c r="AC2890" s="2"/>
      <c r="AE2890" s="1"/>
      <c r="AG2890" s="2"/>
    </row>
    <row r="2891" spans="12:33" ht="49.95" customHeight="1" x14ac:dyDescent="0.3">
      <c r="L2891" s="413" t="s">
        <v>3521</v>
      </c>
      <c r="M2891" s="413" t="s">
        <v>5753</v>
      </c>
      <c r="N2891" s="412" t="s">
        <v>5784</v>
      </c>
      <c r="O2891" s="413" t="s">
        <v>5773</v>
      </c>
      <c r="P2891" s="16">
        <v>46237</v>
      </c>
      <c r="Q2891" s="413" t="s">
        <v>3211</v>
      </c>
      <c r="R2891" s="2" t="str">
        <f>VLOOKUP(SALIDAS111518[[#This Row],[CÓDIGO]],PRODUCTOS31316[],2,FALSE)</f>
        <v>S7</v>
      </c>
      <c r="S2891" s="1" t="str">
        <f>VLOOKUP(SALIDAS111518[[#This Row],[CÓDIGO]],PRODUCTOS31316[],3,FALSE)</f>
        <v>SONDA S7 PLUS DOPPLER COLOR</v>
      </c>
      <c r="T2891" s="2">
        <v>1</v>
      </c>
      <c r="U2891" s="2">
        <v>1246</v>
      </c>
      <c r="V2891" s="2"/>
      <c r="W2891" s="413" t="s">
        <v>3194</v>
      </c>
      <c r="X2891" s="2"/>
      <c r="Y2891" s="7"/>
      <c r="Z2891" s="2"/>
      <c r="AA2891" s="1"/>
      <c r="AC2891" s="2"/>
      <c r="AE2891" s="1"/>
      <c r="AG2891" s="2"/>
    </row>
    <row r="2892" spans="12:33" ht="49.95" customHeight="1" x14ac:dyDescent="0.3">
      <c r="L2892" s="2"/>
      <c r="M2892" s="2"/>
      <c r="N2892" s="2">
        <v>8797</v>
      </c>
      <c r="O2892" s="413" t="s">
        <v>5773</v>
      </c>
      <c r="P2892" s="16">
        <v>46237</v>
      </c>
      <c r="Q2892" s="413" t="s">
        <v>5083</v>
      </c>
      <c r="R2892" s="2">
        <f>VLOOKUP(SALIDAS111518[[#This Row],[CÓDIGO]],PRODUCTOS31316[],2,FALSE)</f>
        <v>0</v>
      </c>
      <c r="S2892" s="1" t="str">
        <f>VLOOKUP(SALIDAS111518[[#This Row],[CÓDIGO]],PRODUCTOS31316[],3,FALSE)</f>
        <v>TABLET SANSUNG GALAXY TAB A11+</v>
      </c>
      <c r="T2892" s="2">
        <v>1</v>
      </c>
      <c r="U2892" s="2"/>
      <c r="V2892" s="2"/>
      <c r="W2892" s="2"/>
      <c r="X2892" s="2"/>
      <c r="Y2892" s="7"/>
      <c r="Z2892" s="2"/>
      <c r="AA2892" s="1"/>
      <c r="AC2892" s="2"/>
      <c r="AE2892" s="1"/>
      <c r="AG2892" s="2"/>
    </row>
    <row r="2893" spans="12:33" ht="49.95" customHeight="1" x14ac:dyDescent="0.3">
      <c r="L2893" s="2"/>
      <c r="M2893" s="2"/>
      <c r="N2893" s="2">
        <v>8797</v>
      </c>
      <c r="O2893" s="413" t="s">
        <v>5773</v>
      </c>
      <c r="P2893" s="16">
        <v>46237</v>
      </c>
      <c r="Q2893" s="413" t="s">
        <v>3286</v>
      </c>
      <c r="R2893" s="2">
        <f>VLOOKUP(SALIDAS111518[[#This Row],[CÓDIGO]],PRODUCTOS31316[],2,FALSE)</f>
        <v>0</v>
      </c>
      <c r="S2893" s="1" t="str">
        <f>VLOOKUP(SALIDAS111518[[#This Row],[CÓDIGO]],PRODUCTOS31316[],3,FALSE)</f>
        <v>CARCASA TABLET BMV</v>
      </c>
      <c r="T2893" s="2">
        <v>1</v>
      </c>
      <c r="U2893" s="2"/>
      <c r="V2893" s="2"/>
      <c r="W2893" s="2"/>
      <c r="X2893" s="130"/>
      <c r="Y2893" s="7"/>
      <c r="Z2893" s="2"/>
      <c r="AA2893" s="1"/>
      <c r="AC2893" s="2"/>
      <c r="AE2893" s="1"/>
      <c r="AG2893" s="2"/>
    </row>
    <row r="2894" spans="12:33" ht="49.95" customHeight="1" x14ac:dyDescent="0.3">
      <c r="L2894" s="2"/>
      <c r="M2894" s="2"/>
      <c r="N2894" s="2">
        <v>8797</v>
      </c>
      <c r="O2894" s="413" t="s">
        <v>5773</v>
      </c>
      <c r="P2894" s="16">
        <v>46237</v>
      </c>
      <c r="Q2894" s="413" t="s">
        <v>3095</v>
      </c>
      <c r="R2894" s="2">
        <f>VLOOKUP(SALIDAS111518[[#This Row],[CÓDIGO]],PRODUCTOS31316[],2,FALSE)</f>
        <v>0</v>
      </c>
      <c r="S2894" s="1" t="str">
        <f>VLOOKUP(SALIDAS111518[[#This Row],[CÓDIGO]],PRODUCTOS31316[],3,FALSE)</f>
        <v>GORRA MAS CAMPO</v>
      </c>
      <c r="T2894" s="2">
        <v>1</v>
      </c>
      <c r="U2894" s="2"/>
      <c r="V2894" s="2"/>
      <c r="W2894" s="2"/>
      <c r="X2894" s="130"/>
      <c r="Y2894" s="7"/>
      <c r="Z2894" s="2"/>
      <c r="AA2894" s="1"/>
      <c r="AC2894" s="2"/>
      <c r="AE2894" s="1"/>
      <c r="AG2894" s="2"/>
    </row>
    <row r="2895" spans="12:33" ht="49.95" customHeight="1" x14ac:dyDescent="0.3">
      <c r="L2895" s="413" t="s">
        <v>3520</v>
      </c>
      <c r="M2895" s="413" t="s">
        <v>5753</v>
      </c>
      <c r="N2895" s="412" t="s">
        <v>5780</v>
      </c>
      <c r="O2895" s="412" t="s">
        <v>5778</v>
      </c>
      <c r="P2895" s="16">
        <v>46237</v>
      </c>
      <c r="Q2895" s="413" t="s">
        <v>2382</v>
      </c>
      <c r="R2895" s="2">
        <f>VLOOKUP(SALIDAS111518[[#This Row],[CÓDIGO]],PRODUCTOS31316[],2,FALSE)</f>
        <v>1</v>
      </c>
      <c r="S2895" s="1" t="str">
        <f>VLOOKUP(SALIDAS111518[[#This Row],[CÓDIGO]],PRODUCTOS31316[],3,FALSE)</f>
        <v>TERMO DE TRANSPORTE 1 LITRO</v>
      </c>
      <c r="T2895" s="2">
        <v>1</v>
      </c>
      <c r="U2895" s="2">
        <v>1273</v>
      </c>
      <c r="V2895" s="2"/>
      <c r="W2895" s="413" t="s">
        <v>2823</v>
      </c>
      <c r="X2895" s="2"/>
      <c r="Y2895" s="7"/>
      <c r="Z2895" s="2"/>
      <c r="AA2895" s="1"/>
      <c r="AC2895" s="2"/>
      <c r="AE2895" s="1"/>
      <c r="AG2895" s="2"/>
    </row>
    <row r="2896" spans="12:33" ht="49.95" customHeight="1" x14ac:dyDescent="0.3">
      <c r="L2896" s="413" t="s">
        <v>3520</v>
      </c>
      <c r="M2896" s="413" t="s">
        <v>5753</v>
      </c>
      <c r="N2896" s="1" t="s">
        <v>5787</v>
      </c>
      <c r="O2896" s="413" t="s">
        <v>2662</v>
      </c>
      <c r="P2896" s="16">
        <v>46238</v>
      </c>
      <c r="Q2896" s="413" t="s">
        <v>3233</v>
      </c>
      <c r="R2896" s="2" t="str">
        <f>VLOOKUP(SALIDAS111518[[#This Row],[CÓDIGO]],PRODUCTOS31316[],2,FALSE)</f>
        <v>JA3022</v>
      </c>
      <c r="S2896" s="1" t="str">
        <f>VLOOKUP(SALIDAS111518[[#This Row],[CÓDIGO]],PRODUCTOS31316[],3,FALSE)</f>
        <v>PIPETA AUTOMÁTICA VOLUMEN DE 0.5A 10UL</v>
      </c>
      <c r="T2896" s="2">
        <v>1</v>
      </c>
      <c r="U2896" s="2">
        <v>1247</v>
      </c>
      <c r="V2896" s="2"/>
      <c r="W2896" s="2"/>
      <c r="X2896" s="2"/>
      <c r="Y2896" s="7"/>
      <c r="Z2896" s="2"/>
      <c r="AA2896" s="1"/>
      <c r="AC2896" s="2"/>
      <c r="AE2896" s="1"/>
      <c r="AG2896" s="2"/>
    </row>
    <row r="2897" spans="12:33" ht="49.95" customHeight="1" x14ac:dyDescent="0.3">
      <c r="L2897" s="2"/>
      <c r="M2897" s="2"/>
      <c r="N2897" s="2">
        <v>8798</v>
      </c>
      <c r="O2897" s="418" t="s">
        <v>2662</v>
      </c>
      <c r="P2897" s="16">
        <v>46238</v>
      </c>
      <c r="Q2897" s="413" t="s">
        <v>5113</v>
      </c>
      <c r="R2897" s="2">
        <f>VLOOKUP(SALIDAS111518[[#This Row],[CÓDIGO]],PRODUCTOS31316[],2,FALSE)</f>
        <v>0</v>
      </c>
      <c r="S2897" s="1" t="str">
        <f>VLOOKUP(SALIDAS111518[[#This Row],[CÓDIGO]],PRODUCTOS31316[],3,FALSE)</f>
        <v>MICROPIPETA AUTOMATICA VOLUMEN VARIABLE DE 20 - 200 UL MARCA: JOAN LAB</v>
      </c>
      <c r="T2897" s="2">
        <v>1</v>
      </c>
      <c r="U2897" s="2"/>
      <c r="V2897" s="2"/>
      <c r="W2897" s="2"/>
      <c r="X2897" s="2"/>
      <c r="Y2897" s="7"/>
      <c r="Z2897" s="2"/>
      <c r="AA2897" s="1"/>
      <c r="AC2897" s="2"/>
      <c r="AE2897" s="1"/>
      <c r="AG2897" s="2"/>
    </row>
    <row r="2898" spans="12:33" ht="49.95" customHeight="1" x14ac:dyDescent="0.3">
      <c r="L2898" s="413" t="s">
        <v>3520</v>
      </c>
      <c r="M2898" s="413" t="s">
        <v>5753</v>
      </c>
      <c r="N2898" s="412" t="s">
        <v>5779</v>
      </c>
      <c r="O2898" s="413" t="s">
        <v>3150</v>
      </c>
      <c r="P2898" s="16">
        <v>46237</v>
      </c>
      <c r="Q2898" s="413" t="s">
        <v>5098</v>
      </c>
      <c r="R2898" s="2">
        <f>VLOOKUP(SALIDAS111518[[#This Row],[CÓDIGO]],PRODUCTOS31316[],2,FALSE)</f>
        <v>0</v>
      </c>
      <c r="S2898" s="1" t="str">
        <f>VLOOKUP(SALIDAS111518[[#This Row],[CÓDIGO]],PRODUCTOS31316[],3,FALSE)</f>
        <v>FUNDA DE TRANSFERENCIA DE EMBRIONES 0.25 PUNTA PLÁSTICA MARCA TED</v>
      </c>
      <c r="T2898" s="2">
        <v>32</v>
      </c>
      <c r="U2898" s="2">
        <v>1242</v>
      </c>
      <c r="V2898" s="2"/>
      <c r="W2898" s="2"/>
      <c r="X2898" s="2"/>
      <c r="Y2898" s="7"/>
      <c r="Z2898" s="2"/>
      <c r="AA2898" s="1"/>
      <c r="AC2898" s="2"/>
      <c r="AE2898" s="1"/>
      <c r="AG2898" s="2"/>
    </row>
    <row r="2899" spans="12:33" ht="49.95" customHeight="1" x14ac:dyDescent="0.3">
      <c r="L2899" s="2"/>
      <c r="M2899" s="2"/>
      <c r="N2899" s="2">
        <v>8793</v>
      </c>
      <c r="O2899" s="413" t="s">
        <v>3150</v>
      </c>
      <c r="P2899" s="16">
        <v>46237</v>
      </c>
      <c r="Q2899" s="413" t="s">
        <v>1779</v>
      </c>
      <c r="R2899" s="2">
        <f>VLOOKUP(SALIDAS111518[[#This Row],[CÓDIGO]],PRODUCTOS31316[],2,FALSE)</f>
        <v>5563</v>
      </c>
      <c r="S2899" s="1" t="str">
        <f>VLOOKUP(SALIDAS111518[[#This Row],[CÓDIGO]],PRODUCTOS31316[],3,FALSE)</f>
        <v>CAMISA SANITARIA ROLLO X 80</v>
      </c>
      <c r="T2899" s="2">
        <v>2</v>
      </c>
      <c r="U2899" s="2"/>
      <c r="V2899" s="2"/>
      <c r="W2899" s="2"/>
      <c r="X2899" s="2"/>
      <c r="Y2899" s="7"/>
      <c r="Z2899" s="2"/>
      <c r="AA2899" s="1"/>
      <c r="AC2899" s="2"/>
      <c r="AE2899" s="1"/>
      <c r="AG2899" s="2"/>
    </row>
    <row r="2900" spans="12:33" ht="49.95" customHeight="1" x14ac:dyDescent="0.3">
      <c r="L2900" s="2"/>
      <c r="M2900" s="2"/>
      <c r="N2900" s="2">
        <v>8793</v>
      </c>
      <c r="O2900" s="413" t="s">
        <v>3150</v>
      </c>
      <c r="P2900" s="16">
        <v>46237</v>
      </c>
      <c r="Q2900" s="413" t="s">
        <v>2246</v>
      </c>
      <c r="R2900" s="2" t="str">
        <f>VLOOKUP(SALIDAS111518[[#This Row],[CÓDIGO]],PRODUCTOS31316[],2,FALSE)</f>
        <v>00051076-02</v>
      </c>
      <c r="S2900" s="1" t="str">
        <f>VLOOKUP(SALIDAS111518[[#This Row],[CÓDIGO]],PRODUCTOS31316[],3,FALSE)</f>
        <v>LIDOCAÍNA  HCL 2 % X 100 ML/ 2025-12-16</v>
      </c>
      <c r="T2900" s="2">
        <v>5</v>
      </c>
      <c r="U2900" s="2"/>
      <c r="V2900" s="2"/>
      <c r="W2900" s="2"/>
      <c r="X2900" s="2"/>
      <c r="Y2900" s="7"/>
      <c r="Z2900" s="2"/>
      <c r="AA2900" s="1"/>
      <c r="AC2900" s="2"/>
      <c r="AE2900" s="1"/>
      <c r="AG2900" s="2"/>
    </row>
    <row r="2901" spans="12:33" ht="49.95" customHeight="1" x14ac:dyDescent="0.3">
      <c r="L2901" s="413" t="s">
        <v>3520</v>
      </c>
      <c r="M2901" s="413" t="s">
        <v>5753</v>
      </c>
      <c r="N2901" s="1" t="s">
        <v>5788</v>
      </c>
      <c r="O2901" s="413" t="s">
        <v>2708</v>
      </c>
      <c r="P2901" s="16">
        <v>46238</v>
      </c>
      <c r="Q2901" s="413" t="s">
        <v>5663</v>
      </c>
      <c r="R2901" s="2">
        <f>VLOOKUP(SALIDAS111518[[#This Row],[CÓDIGO]],PRODUCTOS31316[],2,FALSE)</f>
        <v>0</v>
      </c>
      <c r="S2901" s="1" t="str">
        <f>VLOOKUP(SALIDAS111518[[#This Row],[CÓDIGO]],PRODUCTOS31316[],3,FALSE)</f>
        <v>ECOGRAFO BMV MX9 DOPPLER 1 SENSOR</v>
      </c>
      <c r="T2901" s="2">
        <v>1</v>
      </c>
      <c r="U2901" s="2">
        <v>1248</v>
      </c>
      <c r="V2901" s="2"/>
      <c r="W2901" s="2"/>
      <c r="X2901" s="2"/>
      <c r="Y2901" s="7"/>
      <c r="Z2901" s="2"/>
      <c r="AA2901" s="1"/>
      <c r="AC2901" s="2"/>
      <c r="AE2901" s="1"/>
      <c r="AG2901" s="2"/>
    </row>
    <row r="2902" spans="12:33" ht="49.95" customHeight="1" x14ac:dyDescent="0.3">
      <c r="L2902" s="2"/>
      <c r="M2902" s="2"/>
      <c r="N2902" s="2">
        <v>8799</v>
      </c>
      <c r="O2902" s="413" t="s">
        <v>2708</v>
      </c>
      <c r="P2902" s="16">
        <v>46238</v>
      </c>
      <c r="Q2902" s="413" t="s">
        <v>5083</v>
      </c>
      <c r="R2902" s="2">
        <f>VLOOKUP(SALIDAS111518[[#This Row],[CÓDIGO]],PRODUCTOS31316[],2,FALSE)</f>
        <v>0</v>
      </c>
      <c r="S2902" s="1" t="str">
        <f>VLOOKUP(SALIDAS111518[[#This Row],[CÓDIGO]],PRODUCTOS31316[],3,FALSE)</f>
        <v>TABLET SANSUNG GALAXY TAB A11+</v>
      </c>
      <c r="T2902" s="2">
        <v>2</v>
      </c>
      <c r="U2902" s="2"/>
      <c r="V2902" s="2"/>
      <c r="W2902" s="2"/>
      <c r="X2902" s="2"/>
      <c r="Y2902" s="7"/>
      <c r="Z2902" s="2"/>
      <c r="AA2902" s="1"/>
      <c r="AC2902" s="2"/>
      <c r="AE2902" s="1"/>
      <c r="AG2902" s="2"/>
    </row>
    <row r="2903" spans="12:33" ht="49.95" customHeight="1" x14ac:dyDescent="0.3">
      <c r="L2903" s="2"/>
      <c r="M2903" s="2"/>
      <c r="N2903" s="2">
        <v>8799</v>
      </c>
      <c r="O2903" s="413" t="s">
        <v>2708</v>
      </c>
      <c r="P2903" s="16">
        <v>46238</v>
      </c>
      <c r="Q2903" s="413" t="s">
        <v>3286</v>
      </c>
      <c r="R2903" s="2">
        <f>VLOOKUP(SALIDAS111518[[#This Row],[CÓDIGO]],PRODUCTOS31316[],2,FALSE)</f>
        <v>0</v>
      </c>
      <c r="S2903" s="1" t="str">
        <f>VLOOKUP(SALIDAS111518[[#This Row],[CÓDIGO]],PRODUCTOS31316[],3,FALSE)</f>
        <v>CARCASA TABLET BMV</v>
      </c>
      <c r="T2903" s="2">
        <v>2</v>
      </c>
      <c r="U2903" s="2"/>
      <c r="V2903" s="2"/>
      <c r="W2903" s="2"/>
      <c r="X2903" s="2"/>
      <c r="Y2903" s="7"/>
      <c r="Z2903" s="2"/>
      <c r="AA2903" s="1"/>
      <c r="AC2903" s="2"/>
      <c r="AE2903" s="1"/>
      <c r="AG2903" s="2"/>
    </row>
    <row r="2904" spans="12:33" ht="49.95" customHeight="1" x14ac:dyDescent="0.3">
      <c r="L2904" s="2"/>
      <c r="M2904" s="2"/>
      <c r="N2904" s="2">
        <v>8799</v>
      </c>
      <c r="O2904" s="413" t="s">
        <v>2708</v>
      </c>
      <c r="P2904" s="16">
        <v>46238</v>
      </c>
      <c r="Q2904" s="413" t="s">
        <v>3095</v>
      </c>
      <c r="R2904" s="2">
        <f>VLOOKUP(SALIDAS111518[[#This Row],[CÓDIGO]],PRODUCTOS31316[],2,FALSE)</f>
        <v>0</v>
      </c>
      <c r="S2904" s="1" t="str">
        <f>VLOOKUP(SALIDAS111518[[#This Row],[CÓDIGO]],PRODUCTOS31316[],3,FALSE)</f>
        <v>GORRA MAS CAMPO</v>
      </c>
      <c r="T2904" s="2">
        <v>1</v>
      </c>
      <c r="U2904" s="2"/>
      <c r="V2904" s="2"/>
      <c r="W2904" s="2"/>
      <c r="X2904" s="2"/>
      <c r="Y2904" s="7"/>
      <c r="Z2904" s="2"/>
      <c r="AA2904" s="1"/>
      <c r="AC2904" s="2"/>
      <c r="AE2904" s="1"/>
      <c r="AG2904" s="2"/>
    </row>
    <row r="2905" spans="12:33" ht="49.95" customHeight="1" x14ac:dyDescent="0.3">
      <c r="L2905" s="413" t="s">
        <v>3520</v>
      </c>
      <c r="M2905" s="413" t="s">
        <v>5753</v>
      </c>
      <c r="N2905" s="1" t="s">
        <v>5789</v>
      </c>
      <c r="O2905" s="413" t="s">
        <v>4450</v>
      </c>
      <c r="P2905" s="16">
        <v>46238</v>
      </c>
      <c r="Q2905" s="413" t="s">
        <v>5113</v>
      </c>
      <c r="R2905" s="2">
        <f>VLOOKUP(SALIDAS111518[[#This Row],[CÓDIGO]],PRODUCTOS31316[],2,FALSE)</f>
        <v>0</v>
      </c>
      <c r="S2905" s="1" t="str">
        <f>VLOOKUP(SALIDAS111518[[#This Row],[CÓDIGO]],PRODUCTOS31316[],3,FALSE)</f>
        <v>MICROPIPETA AUTOMATICA VOLUMEN VARIABLE DE 20 - 200 UL MARCA: JOAN LAB</v>
      </c>
      <c r="T2905" s="2">
        <v>1</v>
      </c>
      <c r="U2905" s="2">
        <v>1249</v>
      </c>
      <c r="V2905" s="2"/>
      <c r="W2905" s="2"/>
      <c r="X2905" s="2"/>
      <c r="Y2905" s="7"/>
      <c r="Z2905" s="2"/>
      <c r="AA2905" s="1"/>
      <c r="AC2905" s="2"/>
      <c r="AE2905" s="1"/>
      <c r="AG2905" s="2"/>
    </row>
    <row r="2906" spans="12:33" ht="49.95" customHeight="1" x14ac:dyDescent="0.3">
      <c r="L2906" s="413" t="s">
        <v>3520</v>
      </c>
      <c r="M2906" s="413" t="s">
        <v>5753</v>
      </c>
      <c r="N2906" s="1" t="s">
        <v>5790</v>
      </c>
      <c r="O2906" s="418" t="s">
        <v>5785</v>
      </c>
      <c r="P2906" s="16">
        <v>46238</v>
      </c>
      <c r="Q2906" s="413" t="s">
        <v>47</v>
      </c>
      <c r="R2906" s="2">
        <f>VLOOKUP(SALIDAS111518[[#This Row],[CÓDIGO]],PRODUCTOS31316[],2,FALSE)</f>
        <v>1135</v>
      </c>
      <c r="S2906" s="1" t="str">
        <f>VLOOKUP(SALIDAS111518[[#This Row],[CÓDIGO]],PRODUCTOS31316[],3,FALSE)</f>
        <v>TRILADYL</v>
      </c>
      <c r="T2906" s="2">
        <v>1</v>
      </c>
      <c r="U2906" s="2">
        <v>1250</v>
      </c>
      <c r="V2906" s="2"/>
      <c r="W2906" s="2"/>
      <c r="X2906" s="2"/>
      <c r="Y2906" s="7"/>
      <c r="Z2906" s="2"/>
      <c r="AA2906" s="1"/>
      <c r="AC2906" s="2"/>
      <c r="AE2906" s="1"/>
      <c r="AG2906" s="2"/>
    </row>
    <row r="2907" spans="12:33" ht="49.95" customHeight="1" x14ac:dyDescent="0.3">
      <c r="L2907" s="2"/>
      <c r="M2907" s="2"/>
      <c r="N2907" s="2">
        <v>8801</v>
      </c>
      <c r="O2907" s="413" t="s">
        <v>5785</v>
      </c>
      <c r="P2907" s="16">
        <v>46238</v>
      </c>
      <c r="Q2907" s="413" t="s">
        <v>3398</v>
      </c>
      <c r="R2907" s="2">
        <f>VLOOKUP(SALIDAS111518[[#This Row],[CÓDIGO]],PRODUCTOS31316[],2,FALSE)</f>
        <v>13408</v>
      </c>
      <c r="S2907" s="1" t="str">
        <f>VLOOKUP(SALIDAS111518[[#This Row],[CÓDIGO]],PRODUCTOS31316[],3,FALSE)</f>
        <v>PAJILLAS TRANSPARENTES 0,50 MINITUBE</v>
      </c>
      <c r="T2907" s="2">
        <v>1</v>
      </c>
      <c r="U2907" s="2"/>
      <c r="V2907" s="2"/>
      <c r="W2907" s="2"/>
      <c r="X2907" s="2"/>
      <c r="Y2907" s="7"/>
      <c r="Z2907" s="2"/>
      <c r="AA2907" s="1"/>
      <c r="AC2907" s="2"/>
      <c r="AE2907" s="1"/>
      <c r="AG2907" s="2"/>
    </row>
    <row r="2908" spans="12:33" ht="49.95" customHeight="1" x14ac:dyDescent="0.3">
      <c r="L2908" s="2" t="s">
        <v>3521</v>
      </c>
      <c r="M2908" s="2" t="s">
        <v>5753</v>
      </c>
      <c r="N2908" s="1" t="s">
        <v>5791</v>
      </c>
      <c r="O2908" s="1" t="s">
        <v>4087</v>
      </c>
      <c r="P2908" s="16">
        <v>46238</v>
      </c>
      <c r="Q2908" s="2" t="s">
        <v>3181</v>
      </c>
      <c r="R2908" s="2">
        <f>VLOOKUP(SALIDAS111518[[#This Row],[CÓDIGO]],PRODUCTOS31316[],2,FALSE)</f>
        <v>7416</v>
      </c>
      <c r="S2908" s="1" t="str">
        <f>VLOOKUP(SALIDAS111518[[#This Row],[CÓDIGO]],PRODUCTOS31316[],3,FALSE)</f>
        <v>CAJA PLÁSTICA DE 22" DE TRANSPORTE</v>
      </c>
      <c r="T2908" s="2">
        <v>1</v>
      </c>
      <c r="U2908" s="2">
        <v>1251</v>
      </c>
      <c r="V2908" s="2"/>
      <c r="W2908" s="2"/>
      <c r="X2908" s="2"/>
      <c r="Y2908" s="7"/>
      <c r="Z2908" s="2"/>
      <c r="AA2908" s="1"/>
      <c r="AC2908" s="2"/>
      <c r="AE2908" s="1"/>
      <c r="AG2908" s="2"/>
    </row>
    <row r="2909" spans="12:33" ht="49.95" customHeight="1" x14ac:dyDescent="0.3">
      <c r="L2909" s="2"/>
      <c r="M2909" s="2"/>
      <c r="N2909" s="2">
        <v>8802</v>
      </c>
      <c r="O2909" s="1" t="s">
        <v>4087</v>
      </c>
      <c r="P2909" s="16">
        <v>46238</v>
      </c>
      <c r="Q2909" s="2" t="s">
        <v>153</v>
      </c>
      <c r="R2909" s="2">
        <f>VLOOKUP(SALIDAS111518[[#This Row],[CÓDIGO]],PRODUCTOS31316[],2,FALSE)</f>
        <v>1132</v>
      </c>
      <c r="S2909" s="1" t="str">
        <f>VLOOKUP(SALIDAS111518[[#This Row],[CÓDIGO]],PRODUCTOS31316[],3,FALSE)</f>
        <v>PISTOLA QUICKLOCK CLASIC</v>
      </c>
      <c r="T2909" s="2">
        <v>1</v>
      </c>
      <c r="U2909" s="2"/>
      <c r="V2909" s="2"/>
      <c r="W2909" s="2"/>
      <c r="X2909" s="2"/>
      <c r="Y2909" s="7"/>
      <c r="Z2909" s="2"/>
      <c r="AA2909" s="1"/>
      <c r="AC2909" s="2"/>
      <c r="AE2909" s="1"/>
      <c r="AG2909" s="2"/>
    </row>
    <row r="2910" spans="12:33" ht="49.95" customHeight="1" x14ac:dyDescent="0.3">
      <c r="L2910" s="2"/>
      <c r="M2910" s="2"/>
      <c r="N2910" s="2">
        <v>8802</v>
      </c>
      <c r="O2910" s="1" t="s">
        <v>4087</v>
      </c>
      <c r="P2910" s="16">
        <v>46238</v>
      </c>
      <c r="Q2910" s="2" t="s">
        <v>236</v>
      </c>
      <c r="R2910" s="2">
        <f>VLOOKUP(SALIDAS111518[[#This Row],[CÓDIGO]],PRODUCTOS31316[],2,FALSE)</f>
        <v>0</v>
      </c>
      <c r="S2910" s="1" t="str">
        <f>VLOOKUP(SALIDAS111518[[#This Row],[CÓDIGO]],PRODUCTOS31316[],3,FALSE)</f>
        <v>TERMO METÁLICO DESCONGELADOR</v>
      </c>
      <c r="T2910" s="2">
        <v>1</v>
      </c>
      <c r="U2910" s="2"/>
      <c r="V2910" s="2"/>
      <c r="W2910" s="2"/>
      <c r="X2910" s="2"/>
      <c r="Y2910" s="7"/>
      <c r="Z2910" s="2"/>
      <c r="AA2910" s="1"/>
      <c r="AC2910" s="2"/>
      <c r="AE2910" s="1"/>
      <c r="AG2910" s="2"/>
    </row>
    <row r="2911" spans="12:33" ht="49.95" customHeight="1" x14ac:dyDescent="0.3">
      <c r="L2911" s="2"/>
      <c r="M2911" s="2"/>
      <c r="N2911" s="2">
        <v>8802</v>
      </c>
      <c r="O2911" s="1" t="s">
        <v>4087</v>
      </c>
      <c r="P2911" s="16">
        <v>46238</v>
      </c>
      <c r="Q2911" s="2" t="s">
        <v>369</v>
      </c>
      <c r="R2911" s="2">
        <f>VLOOKUP(SALIDAS111518[[#This Row],[CÓDIGO]],PRODUCTOS31316[],2,FALSE)</f>
        <v>0</v>
      </c>
      <c r="S2911" s="1" t="str">
        <f>VLOOKUP(SALIDAS111518[[#This Row],[CÓDIGO]],PRODUCTOS31316[],3,FALSE)</f>
        <v>FUNDA UNIVERSAL PARA I.A. RANURADA</v>
      </c>
      <c r="T2911" s="2">
        <v>1</v>
      </c>
      <c r="U2911" s="2"/>
      <c r="V2911" s="2"/>
      <c r="W2911" s="2"/>
      <c r="X2911" s="2"/>
      <c r="Y2911" s="7"/>
      <c r="Z2911" s="2"/>
      <c r="AA2911" s="1"/>
      <c r="AC2911" s="2"/>
      <c r="AE2911" s="1"/>
      <c r="AG2911" s="2"/>
    </row>
    <row r="2912" spans="12:33" ht="49.95" customHeight="1" x14ac:dyDescent="0.3">
      <c r="L2912" s="2"/>
      <c r="M2912" s="2"/>
      <c r="N2912" s="2">
        <v>8802</v>
      </c>
      <c r="O2912" s="1" t="s">
        <v>4087</v>
      </c>
      <c r="P2912" s="16">
        <v>46238</v>
      </c>
      <c r="Q2912" s="2" t="s">
        <v>2364</v>
      </c>
      <c r="R2912" s="2">
        <f>VLOOKUP(SALIDAS111518[[#This Row],[CÓDIGO]],PRODUCTOS31316[],2,FALSE)</f>
        <v>0</v>
      </c>
      <c r="S2912" s="1" t="str">
        <f>VLOOKUP(SALIDAS111518[[#This Row],[CÓDIGO]],PRODUCTOS31316[],3,FALSE)</f>
        <v>CORTAPAJILLAS WTA</v>
      </c>
      <c r="T2912" s="2">
        <v>1</v>
      </c>
      <c r="U2912" s="2"/>
      <c r="V2912" s="2"/>
      <c r="W2912" s="2"/>
      <c r="X2912" s="2"/>
      <c r="Y2912" s="7"/>
      <c r="Z2912" s="2"/>
      <c r="AA2912" s="1"/>
      <c r="AC2912" s="2"/>
      <c r="AE2912" s="1"/>
      <c r="AG2912" s="2"/>
    </row>
    <row r="2913" spans="12:33" ht="49.95" customHeight="1" x14ac:dyDescent="0.3">
      <c r="L2913" s="413" t="s">
        <v>3520</v>
      </c>
      <c r="M2913" s="413" t="s">
        <v>5753</v>
      </c>
      <c r="N2913" s="1" t="s">
        <v>5793</v>
      </c>
      <c r="O2913" s="1" t="s">
        <v>5792</v>
      </c>
      <c r="P2913" s="16">
        <v>46238</v>
      </c>
      <c r="Q2913" s="2" t="s">
        <v>47</v>
      </c>
      <c r="R2913" s="2">
        <f>VLOOKUP(SALIDAS111518[[#This Row],[CÓDIGO]],PRODUCTOS31316[],2,FALSE)</f>
        <v>1135</v>
      </c>
      <c r="S2913" s="1" t="str">
        <f>VLOOKUP(SALIDAS111518[[#This Row],[CÓDIGO]],PRODUCTOS31316[],3,FALSE)</f>
        <v>TRILADYL</v>
      </c>
      <c r="T2913" s="2">
        <v>1</v>
      </c>
      <c r="U2913" s="2">
        <v>1253</v>
      </c>
      <c r="V2913" s="2"/>
      <c r="W2913" s="2" t="s">
        <v>2823</v>
      </c>
      <c r="X2913" s="2"/>
      <c r="Y2913" s="7"/>
      <c r="Z2913" s="2"/>
      <c r="AA2913" s="1"/>
      <c r="AC2913" s="2"/>
      <c r="AE2913" s="1"/>
      <c r="AG2913" s="2"/>
    </row>
    <row r="2914" spans="12:33" ht="49.95" customHeight="1" x14ac:dyDescent="0.3">
      <c r="L2914" s="2"/>
      <c r="M2914" s="2"/>
      <c r="N2914" s="2">
        <v>8803</v>
      </c>
      <c r="O2914" s="1" t="s">
        <v>5792</v>
      </c>
      <c r="P2914" s="16">
        <v>46238</v>
      </c>
      <c r="Q2914" s="2" t="s">
        <v>1799</v>
      </c>
      <c r="R2914" s="2">
        <f>VLOOKUP(SALIDAS111518[[#This Row],[CÓDIGO]],PRODUCTOS31316[],2,FALSE)</f>
        <v>4846</v>
      </c>
      <c r="S2914" s="1" t="str">
        <f>VLOOKUP(SALIDAS111518[[#This Row],[CÓDIGO]],PRODUCTOS31316[],3,FALSE)</f>
        <v>PUNTA AZULES UNIVERSALES 100- 1000 UL</v>
      </c>
      <c r="T2914" s="2">
        <v>1</v>
      </c>
      <c r="U2914" s="2"/>
      <c r="V2914" s="2"/>
      <c r="W2914" s="2"/>
      <c r="X2914" s="2"/>
      <c r="Y2914" s="7"/>
      <c r="Z2914" s="2"/>
      <c r="AA2914" s="1"/>
      <c r="AC2914" s="2"/>
      <c r="AE2914" s="1"/>
      <c r="AG2914" s="2"/>
    </row>
    <row r="2915" spans="12:33" ht="49.95" customHeight="1" x14ac:dyDescent="0.3">
      <c r="L2915" s="413" t="s">
        <v>3520</v>
      </c>
      <c r="M2915" s="413" t="s">
        <v>5753</v>
      </c>
      <c r="N2915" s="1" t="s">
        <v>5794</v>
      </c>
      <c r="O2915" s="2" t="s">
        <v>2344</v>
      </c>
      <c r="P2915" s="16">
        <v>46238</v>
      </c>
      <c r="Q2915" s="2" t="s">
        <v>1681</v>
      </c>
      <c r="R2915" s="2">
        <f>VLOOKUP(SALIDAS111518[[#This Row],[CÓDIGO]],PRODUCTOS31316[],2,FALSE)</f>
        <v>347430</v>
      </c>
      <c r="S2915" s="1" t="str">
        <f>VLOOKUP(SALIDAS111518[[#This Row],[CÓDIGO]],PRODUCTOS31316[],3,FALSE)</f>
        <v>GOBLETS BLANCOS DE 10 MM</v>
      </c>
      <c r="T2915" s="2">
        <v>4</v>
      </c>
      <c r="U2915" s="2" t="s">
        <v>5795</v>
      </c>
      <c r="V2915" s="2"/>
      <c r="W2915" s="2"/>
      <c r="X2915" s="2"/>
      <c r="Y2915" s="7"/>
      <c r="Z2915" s="2"/>
      <c r="AA2915" s="1"/>
      <c r="AC2915" s="2"/>
      <c r="AE2915" s="1"/>
      <c r="AG2915" s="2"/>
    </row>
    <row r="2916" spans="12:33" ht="49.95" customHeight="1" x14ac:dyDescent="0.3">
      <c r="L2916" s="413" t="s">
        <v>3520</v>
      </c>
      <c r="M2916" s="413" t="s">
        <v>5753</v>
      </c>
      <c r="N2916" s="420" t="s">
        <v>5797</v>
      </c>
      <c r="O2916" s="420" t="s">
        <v>2716</v>
      </c>
      <c r="P2916" s="16">
        <v>46238</v>
      </c>
      <c r="Q2916" s="418" t="s">
        <v>47</v>
      </c>
      <c r="R2916" s="2">
        <f>VLOOKUP(SALIDAS111518[[#This Row],[CÓDIGO]],PRODUCTOS31316[],2,FALSE)</f>
        <v>1135</v>
      </c>
      <c r="S2916" s="1" t="str">
        <f>VLOOKUP(SALIDAS111518[[#This Row],[CÓDIGO]],PRODUCTOS31316[],3,FALSE)</f>
        <v>TRILADYL</v>
      </c>
      <c r="T2916" s="2">
        <v>1</v>
      </c>
      <c r="U2916" s="2">
        <v>1256</v>
      </c>
      <c r="V2916" s="2"/>
      <c r="W2916" s="418" t="s">
        <v>3194</v>
      </c>
      <c r="X2916" s="2"/>
      <c r="Y2916" s="7"/>
      <c r="Z2916" s="2"/>
      <c r="AA2916" s="1"/>
      <c r="AC2916" s="2"/>
      <c r="AE2916" s="1"/>
      <c r="AG2916" s="2"/>
    </row>
    <row r="2917" spans="12:33" ht="49.95" customHeight="1" x14ac:dyDescent="0.3">
      <c r="L2917" s="413" t="s">
        <v>3520</v>
      </c>
      <c r="M2917" s="413" t="s">
        <v>5753</v>
      </c>
      <c r="N2917" s="422" t="s">
        <v>5819</v>
      </c>
      <c r="O2917" s="421" t="s">
        <v>1679</v>
      </c>
      <c r="P2917" s="16">
        <v>46238</v>
      </c>
      <c r="Q2917" s="421" t="s">
        <v>2697</v>
      </c>
      <c r="R2917" s="2" t="e">
        <f>VLOOKUP(SALIDAS111518[[#This Row],[CÓDIGO]],PRODUCTOS31316[],2,FALSE)</f>
        <v>#N/A</v>
      </c>
      <c r="S2917" s="1" t="e">
        <f>VLOOKUP(SALIDAS111518[[#This Row],[CÓDIGO]],PRODUCTOS31316[],3,FALSE)</f>
        <v>#N/A</v>
      </c>
      <c r="T2917" s="2">
        <v>1</v>
      </c>
      <c r="U2917" s="2"/>
      <c r="V2917" s="2"/>
      <c r="W2917" s="422" t="s">
        <v>2823</v>
      </c>
      <c r="X2917" s="2"/>
      <c r="Y2917" s="7"/>
      <c r="Z2917" s="2"/>
      <c r="AA2917" s="1"/>
      <c r="AC2917" s="2"/>
      <c r="AE2917" s="1"/>
      <c r="AG2917" s="2"/>
    </row>
    <row r="2918" spans="12:33" ht="49.95" customHeight="1" x14ac:dyDescent="0.3">
      <c r="L2918" s="413" t="s">
        <v>3520</v>
      </c>
      <c r="M2918" s="413" t="s">
        <v>5753</v>
      </c>
      <c r="N2918" s="15"/>
      <c r="O2918" s="15" t="s">
        <v>2206</v>
      </c>
      <c r="P2918" s="46">
        <v>46239</v>
      </c>
      <c r="Q2918" s="2" t="s">
        <v>104</v>
      </c>
      <c r="R2918" s="2">
        <f>VLOOKUP(SALIDAS111518[[#This Row],[CÓDIGO]],PRODUCTOS31316[],2,FALSE)</f>
        <v>0</v>
      </c>
      <c r="S2918" s="1" t="str">
        <f>VLOOKUP(SALIDAS111518[[#This Row],[CÓDIGO]],PRODUCTOS31316[],3,FALSE)</f>
        <v>ISPERM CHIPS (500 TESTS PER BOX) PAQ. X 50 UND</v>
      </c>
      <c r="T2918" s="2">
        <v>10</v>
      </c>
      <c r="U2918" s="15" t="s">
        <v>2981</v>
      </c>
      <c r="V2918" s="2"/>
      <c r="W2918" s="2"/>
      <c r="X2918" s="2"/>
      <c r="Y2918" s="7"/>
      <c r="Z2918" s="2"/>
      <c r="AA2918" s="1"/>
      <c r="AC2918" s="2"/>
      <c r="AE2918" s="1"/>
      <c r="AG2918" s="2"/>
    </row>
    <row r="2919" spans="12:33" ht="49.95" customHeight="1" x14ac:dyDescent="0.3">
      <c r="L2919" s="413" t="s">
        <v>3520</v>
      </c>
      <c r="M2919" s="413" t="s">
        <v>5753</v>
      </c>
      <c r="N2919" s="421" t="s">
        <v>5803</v>
      </c>
      <c r="O2919" s="421" t="s">
        <v>2667</v>
      </c>
      <c r="P2919" s="16">
        <v>46239</v>
      </c>
      <c r="Q2919" s="422" t="s">
        <v>167</v>
      </c>
      <c r="R2919" s="2" t="str">
        <f>VLOOKUP(SALIDAS111518[[#This Row],[CÓDIGO]],PRODUCTOS31316[],2,FALSE)</f>
        <v>50050-1</v>
      </c>
      <c r="S2919" s="1" t="str">
        <f>VLOOKUP(SALIDAS111518[[#This Row],[CÓDIGO]],PRODUCTOS31316[],3,FALSE)</f>
        <v>TUBO CONICO PLUG, AUTOCLAVABLE ESTERIL  TAPA ROSCA DE 50 ML</v>
      </c>
      <c r="T2919" s="2">
        <v>4</v>
      </c>
      <c r="U2919" s="2">
        <v>1257</v>
      </c>
      <c r="V2919" s="2"/>
      <c r="W2919" s="2"/>
      <c r="X2919" s="2"/>
      <c r="Y2919" s="7"/>
      <c r="Z2919" s="2"/>
      <c r="AA2919" s="1"/>
      <c r="AC2919" s="2"/>
      <c r="AE2919" s="1"/>
      <c r="AG2919" s="2"/>
    </row>
    <row r="2920" spans="12:33" ht="49.95" customHeight="1" x14ac:dyDescent="0.3">
      <c r="L2920" s="2"/>
      <c r="M2920" s="2"/>
      <c r="N2920" s="2">
        <v>8807</v>
      </c>
      <c r="O2920" s="421" t="s">
        <v>2667</v>
      </c>
      <c r="P2920" s="16">
        <v>46239</v>
      </c>
      <c r="Q2920" s="422" t="s">
        <v>3355</v>
      </c>
      <c r="R2920" s="2">
        <f>VLOOKUP(SALIDAS111518[[#This Row],[CÓDIGO]],PRODUCTOS31316[],2,FALSE)</f>
        <v>140681</v>
      </c>
      <c r="S2920" s="1" t="str">
        <f>VLOOKUP(SALIDAS111518[[#This Row],[CÓDIGO]],PRODUCTOS31316[],3,FALSE)</f>
        <v>CAJA DE PETRI DESECHABLE ESTERIL 60x15MM.</v>
      </c>
      <c r="T2920" s="2">
        <v>10</v>
      </c>
      <c r="U2920" s="2"/>
      <c r="V2920" s="2"/>
      <c r="W2920" s="2"/>
      <c r="X2920" s="2"/>
      <c r="Y2920" s="7"/>
      <c r="Z2920" s="2"/>
      <c r="AA2920" s="1"/>
      <c r="AC2920" s="2"/>
      <c r="AE2920" s="1"/>
      <c r="AG2920" s="2"/>
    </row>
    <row r="2921" spans="12:33" ht="49.95" customHeight="1" x14ac:dyDescent="0.3">
      <c r="L2921" s="2"/>
      <c r="M2921" s="2"/>
      <c r="N2921" s="2">
        <v>8807</v>
      </c>
      <c r="O2921" s="421" t="s">
        <v>2667</v>
      </c>
      <c r="P2921" s="16">
        <v>46239</v>
      </c>
      <c r="Q2921" s="422" t="s">
        <v>5123</v>
      </c>
      <c r="R2921" s="2">
        <f>VLOOKUP(SALIDAS111518[[#This Row],[CÓDIGO]],PRODUCTOS31316[],2,FALSE)</f>
        <v>0</v>
      </c>
      <c r="S2921" s="1" t="str">
        <f>VLOOKUP(SALIDAS111518[[#This Row],[CÓDIGO]],PRODUCTOS31316[],3,FALSE)</f>
        <v>MICROFILTRO 0,90 UM  PAQ. X 20 UND MARCA: TED</v>
      </c>
      <c r="T2921" s="2">
        <v>2</v>
      </c>
      <c r="U2921" s="2"/>
      <c r="V2921" s="2"/>
      <c r="W2921" s="2"/>
      <c r="X2921" s="2"/>
      <c r="Y2921" s="7"/>
      <c r="Z2921" s="2"/>
      <c r="AA2921" s="1"/>
      <c r="AC2921" s="2"/>
      <c r="AE2921" s="1"/>
      <c r="AG2921" s="2"/>
    </row>
    <row r="2922" spans="12:33" ht="49.95" customHeight="1" x14ac:dyDescent="0.3">
      <c r="L2922" s="413" t="s">
        <v>3520</v>
      </c>
      <c r="M2922" s="413" t="s">
        <v>5753</v>
      </c>
      <c r="N2922" s="423" t="s">
        <v>5805</v>
      </c>
      <c r="O2922" s="423" t="s">
        <v>2204</v>
      </c>
      <c r="P2922" s="46">
        <v>46239</v>
      </c>
      <c r="Q2922" s="422" t="s">
        <v>3355</v>
      </c>
      <c r="R2922" s="2">
        <f>VLOOKUP(SALIDAS111518[[#This Row],[CÓDIGO]],PRODUCTOS31316[],2,FALSE)</f>
        <v>140681</v>
      </c>
      <c r="S2922" s="1" t="str">
        <f>VLOOKUP(SALIDAS111518[[#This Row],[CÓDIGO]],PRODUCTOS31316[],3,FALSE)</f>
        <v>CAJA DE PETRI DESECHABLE ESTERIL 60x15MM.</v>
      </c>
      <c r="T2922" s="2">
        <v>160</v>
      </c>
      <c r="U2922" s="15">
        <v>1259</v>
      </c>
      <c r="V2922" s="2"/>
      <c r="W2922" s="2"/>
      <c r="X2922" s="2"/>
      <c r="Y2922" s="7"/>
      <c r="Z2922" s="2"/>
      <c r="AA2922" s="1"/>
      <c r="AC2922" s="2"/>
      <c r="AE2922" s="1"/>
      <c r="AG2922" s="2"/>
    </row>
    <row r="2923" spans="12:33" ht="49.95" customHeight="1" x14ac:dyDescent="0.3">
      <c r="L2923" s="2"/>
      <c r="M2923" s="2"/>
      <c r="N2923" s="2"/>
      <c r="O2923" s="422" t="s">
        <v>2204</v>
      </c>
      <c r="P2923" s="16">
        <v>46239</v>
      </c>
      <c r="Q2923" s="422" t="s">
        <v>58</v>
      </c>
      <c r="R2923" s="2" t="str">
        <f>VLOOKUP(SALIDAS111518[[#This Row],[CÓDIGO]],PRODUCTOS31316[],2,FALSE)</f>
        <v>TNB-0001-16</v>
      </c>
      <c r="S2923" s="1" t="str">
        <f>VLOOKUP(SALIDAS111518[[#This Row],[CÓDIGO]],PRODUCTOS31316[],3,FALSE)</f>
        <v>CAMISA SANITARIA PARA OPU ASPIRACIÓN FOLICULAR</v>
      </c>
      <c r="T2923" s="2">
        <v>4</v>
      </c>
      <c r="U2923" s="2"/>
      <c r="V2923" s="2"/>
      <c r="W2923" s="2"/>
      <c r="X2923" s="2"/>
      <c r="Y2923" s="7"/>
      <c r="Z2923" s="2"/>
      <c r="AA2923" s="1"/>
      <c r="AC2923" s="2"/>
      <c r="AE2923" s="1"/>
      <c r="AG2923" s="2"/>
    </row>
    <row r="2924" spans="12:33" ht="49.95" customHeight="1" x14ac:dyDescent="0.3">
      <c r="L2924" s="2"/>
      <c r="M2924" s="2"/>
      <c r="N2924" s="2"/>
      <c r="O2924" s="422" t="s">
        <v>2204</v>
      </c>
      <c r="P2924" s="16">
        <v>46239</v>
      </c>
      <c r="Q2924" s="422" t="s">
        <v>333</v>
      </c>
      <c r="R2924" s="2" t="str">
        <f>VLOOKUP(SALIDAS111518[[#This Row],[CÓDIGO]],PRODUCTOS31316[],2,FALSE)</f>
        <v>CTB15</v>
      </c>
      <c r="S2924" s="1" t="str">
        <f>VLOOKUP(SALIDAS111518[[#This Row],[CÓDIGO]],PRODUCTOS31316[],3,FALSE)</f>
        <v>TUBO CÓNICO DE 15 ML, TAPA ROSCA ESTÉRIL  RCF MAX: 10000xg, 
graduados, PCR puro. VENCE: 03/04/2028</v>
      </c>
      <c r="T2924" s="2">
        <v>7</v>
      </c>
      <c r="U2924" s="2"/>
      <c r="V2924" s="2"/>
      <c r="W2924" s="2"/>
      <c r="X2924" s="2"/>
      <c r="Y2924" s="7"/>
      <c r="Z2924" s="2"/>
      <c r="AA2924" s="1"/>
      <c r="AC2924" s="2"/>
      <c r="AE2924" s="1"/>
      <c r="AG2924" s="2"/>
    </row>
    <row r="2925" spans="12:33" ht="49.95" customHeight="1" x14ac:dyDescent="0.3">
      <c r="L2925" s="2"/>
      <c r="M2925" s="2"/>
      <c r="N2925" s="2"/>
      <c r="O2925" s="422" t="s">
        <v>2204</v>
      </c>
      <c r="P2925" s="16">
        <v>46239</v>
      </c>
      <c r="Q2925" s="422" t="s">
        <v>748</v>
      </c>
      <c r="R2925" s="2" t="str">
        <f>VLOOKUP(SALIDAS111518[[#This Row],[CÓDIGO]],PRODUCTOS31316[],2,FALSE)</f>
        <v>TY</v>
      </c>
      <c r="S2925" s="1" t="str">
        <f>VLOOKUP(SALIDAS111518[[#This Row],[CÓDIGO]],PRODUCTOS31316[],3,FALSE)</f>
        <v>TABS AMARILLOS</v>
      </c>
      <c r="T2925" s="2">
        <v>10</v>
      </c>
      <c r="U2925" s="2"/>
      <c r="V2925" s="2"/>
      <c r="W2925" s="2"/>
      <c r="X2925" s="2"/>
      <c r="Y2925" s="7"/>
      <c r="Z2925" s="2"/>
      <c r="AA2925" s="1"/>
      <c r="AC2925" s="2"/>
      <c r="AE2925" s="1"/>
      <c r="AG2925" s="2"/>
    </row>
    <row r="2926" spans="12:33" ht="49.95" customHeight="1" x14ac:dyDescent="0.3">
      <c r="L2926" s="2"/>
      <c r="M2926" s="2"/>
      <c r="N2926" s="2"/>
      <c r="O2926" s="422" t="s">
        <v>2204</v>
      </c>
      <c r="P2926" s="16">
        <v>46239</v>
      </c>
      <c r="Q2926" s="422" t="s">
        <v>247</v>
      </c>
      <c r="R2926" s="2">
        <f>VLOOKUP(SALIDAS111518[[#This Row],[CÓDIGO]],PRODUCTOS31316[],2,FALSE)</f>
        <v>352054</v>
      </c>
      <c r="S2926" s="1" t="str">
        <f>VLOOKUP(SALIDAS111518[[#This Row],[CÓDIGO]],PRODUCTOS31316[],3,FALSE)</f>
        <v>TUBO DE FONDO REDONDO DE 5ML 12X75MM , POLIESTIRENO</v>
      </c>
      <c r="T2926" s="2">
        <v>13</v>
      </c>
      <c r="U2926" s="2"/>
      <c r="V2926" s="2"/>
      <c r="W2926" s="2"/>
      <c r="X2926" s="2"/>
      <c r="Y2926" s="7"/>
      <c r="Z2926" s="2"/>
      <c r="AA2926" s="1"/>
      <c r="AC2926" s="2"/>
      <c r="AE2926" s="1"/>
      <c r="AG2926" s="2"/>
    </row>
    <row r="2927" spans="12:33" ht="49.95" customHeight="1" x14ac:dyDescent="0.3">
      <c r="L2927" s="2"/>
      <c r="M2927" s="2"/>
      <c r="N2927" s="2"/>
      <c r="O2927" s="422" t="s">
        <v>2204</v>
      </c>
      <c r="P2927" s="16">
        <v>46239</v>
      </c>
      <c r="Q2927" s="422" t="s">
        <v>4447</v>
      </c>
      <c r="R2927" s="2">
        <f>VLOOKUP(SALIDAS111518[[#This Row],[CÓDIGO]],PRODUCTOS31316[],2,FALSE)</f>
        <v>0</v>
      </c>
      <c r="S2927" s="1" t="str">
        <f>VLOOKUP(SALIDAS111518[[#This Row],[CÓDIGO]],PRODUCTOS31316[],3,FALSE)</f>
        <v>DISPOSITIVO DE SEPARACIÓN DE ESPERMA EQUINO VETMOTL 850 UL</v>
      </c>
      <c r="T2927" s="2">
        <v>50</v>
      </c>
      <c r="U2927" s="2"/>
      <c r="V2927" s="2"/>
      <c r="W2927" s="2"/>
      <c r="X2927" s="2"/>
      <c r="Y2927" s="7"/>
      <c r="Z2927" s="2"/>
      <c r="AA2927" s="1"/>
      <c r="AC2927" s="2"/>
      <c r="AE2927" s="1"/>
      <c r="AG2927" s="2"/>
    </row>
    <row r="2928" spans="12:33" ht="49.95" customHeight="1" x14ac:dyDescent="0.3">
      <c r="L2928" s="2"/>
      <c r="M2928" s="2"/>
      <c r="N2928" s="2"/>
      <c r="O2928" s="422" t="s">
        <v>2204</v>
      </c>
      <c r="P2928" s="16">
        <v>46239</v>
      </c>
      <c r="Q2928" s="107" t="s">
        <v>5807</v>
      </c>
      <c r="R2928" s="2" t="str">
        <f>VLOOKUP(SALIDAS111518[[#This Row],[CÓDIGO]],PRODUCTOS31316[],2,FALSE)</f>
        <v>1110-1800</v>
      </c>
      <c r="S2928" s="1" t="str">
        <f>VLOOKUP(SALIDAS111518[[#This Row],[CÓDIGO]],PRODUCTOS31316[],3,FALSE)</f>
        <v>RACK DE PUNTAS 200 UL NO ESTERIL/   BISELAS</v>
      </c>
      <c r="T2928" s="2">
        <v>15</v>
      </c>
      <c r="U2928" s="2"/>
      <c r="V2928" s="2"/>
      <c r="W2928" s="2"/>
      <c r="X2928" s="2"/>
      <c r="Y2928" s="7"/>
      <c r="Z2928" s="2"/>
      <c r="AA2928" s="1"/>
      <c r="AC2928" s="2"/>
      <c r="AE2928" s="1"/>
      <c r="AG2928" s="2"/>
    </row>
    <row r="2929" spans="12:33" ht="49.95" customHeight="1" x14ac:dyDescent="0.3">
      <c r="L2929" s="2"/>
      <c r="M2929" s="2"/>
      <c r="N2929" s="2"/>
      <c r="O2929" s="422" t="s">
        <v>2204</v>
      </c>
      <c r="P2929" s="2"/>
      <c r="Q2929" s="31" t="s">
        <v>247</v>
      </c>
      <c r="R2929" s="2">
        <f>VLOOKUP(SALIDAS111518[[#This Row],[CÓDIGO]],PRODUCTOS31316[],2,FALSE)</f>
        <v>352054</v>
      </c>
      <c r="S2929" s="1" t="str">
        <f>VLOOKUP(SALIDAS111518[[#This Row],[CÓDIGO]],PRODUCTOS31316[],3,FALSE)</f>
        <v>TUBO DE FONDO REDONDO DE 5ML 12X75MM , POLIESTIRENO</v>
      </c>
      <c r="T2929" s="2">
        <v>3</v>
      </c>
      <c r="U2929" s="2"/>
      <c r="V2929" s="2"/>
      <c r="W2929" s="2"/>
      <c r="X2929" s="2"/>
      <c r="Y2929" s="7"/>
      <c r="Z2929" s="2"/>
      <c r="AA2929" s="1"/>
      <c r="AC2929" s="2"/>
      <c r="AE2929" s="1"/>
      <c r="AG2929" s="2"/>
    </row>
    <row r="2930" spans="12:33" ht="49.95" customHeight="1" x14ac:dyDescent="0.3">
      <c r="L2930" s="413" t="s">
        <v>3520</v>
      </c>
      <c r="M2930" s="413" t="s">
        <v>5753</v>
      </c>
      <c r="N2930" s="421" t="s">
        <v>5804</v>
      </c>
      <c r="O2930" s="421" t="s">
        <v>5802</v>
      </c>
      <c r="P2930" s="16">
        <v>46239</v>
      </c>
      <c r="Q2930" s="422" t="s">
        <v>1779</v>
      </c>
      <c r="R2930" s="2">
        <f>VLOOKUP(SALIDAS111518[[#This Row],[CÓDIGO]],PRODUCTOS31316[],2,FALSE)</f>
        <v>5563</v>
      </c>
      <c r="S2930" s="1" t="str">
        <f>VLOOKUP(SALIDAS111518[[#This Row],[CÓDIGO]],PRODUCTOS31316[],3,FALSE)</f>
        <v>CAMISA SANITARIA ROLLO X 80</v>
      </c>
      <c r="T2930" s="2">
        <v>1</v>
      </c>
      <c r="U2930" s="2">
        <v>1258</v>
      </c>
      <c r="V2930" s="2"/>
      <c r="W2930" s="2"/>
      <c r="X2930" s="2"/>
      <c r="Y2930" s="7"/>
      <c r="Z2930" s="2"/>
      <c r="AA2930" s="1"/>
      <c r="AC2930" s="2"/>
      <c r="AE2930" s="1"/>
      <c r="AG2930" s="2"/>
    </row>
    <row r="2931" spans="12:33" ht="49.95" customHeight="1" x14ac:dyDescent="0.3">
      <c r="L2931" s="2"/>
      <c r="M2931" s="2"/>
      <c r="N2931" s="2">
        <v>8808</v>
      </c>
      <c r="O2931" s="421" t="s">
        <v>5802</v>
      </c>
      <c r="P2931" s="16">
        <v>46239</v>
      </c>
      <c r="Q2931" s="422" t="s">
        <v>369</v>
      </c>
      <c r="R2931" s="2">
        <f>VLOOKUP(SALIDAS111518[[#This Row],[CÓDIGO]],PRODUCTOS31316[],2,FALSE)</f>
        <v>0</v>
      </c>
      <c r="S2931" s="1" t="str">
        <f>VLOOKUP(SALIDAS111518[[#This Row],[CÓDIGO]],PRODUCTOS31316[],3,FALSE)</f>
        <v>FUNDA UNIVERSAL PARA I.A. RANURADA</v>
      </c>
      <c r="T2931" s="2">
        <v>1</v>
      </c>
      <c r="U2931" s="2"/>
      <c r="V2931" s="2"/>
      <c r="W2931" s="2"/>
      <c r="X2931" s="2"/>
      <c r="Y2931" s="7"/>
      <c r="Z2931" s="2"/>
      <c r="AA2931" s="1"/>
      <c r="AC2931" s="2"/>
      <c r="AE2931" s="1"/>
      <c r="AG2931" s="2"/>
    </row>
    <row r="2932" spans="12:33" ht="49.95" customHeight="1" x14ac:dyDescent="0.3">
      <c r="L2932" s="2"/>
      <c r="M2932" s="2"/>
      <c r="N2932" s="2">
        <v>8808</v>
      </c>
      <c r="O2932" s="421" t="s">
        <v>5802</v>
      </c>
      <c r="P2932" s="16">
        <v>46239</v>
      </c>
      <c r="Q2932" s="422" t="s">
        <v>153</v>
      </c>
      <c r="R2932" s="2">
        <f>VLOOKUP(SALIDAS111518[[#This Row],[CÓDIGO]],PRODUCTOS31316[],2,FALSE)</f>
        <v>1132</v>
      </c>
      <c r="S2932" s="1" t="str">
        <f>VLOOKUP(SALIDAS111518[[#This Row],[CÓDIGO]],PRODUCTOS31316[],3,FALSE)</f>
        <v>PISTOLA QUICKLOCK CLASIC</v>
      </c>
      <c r="T2932" s="2">
        <v>1</v>
      </c>
      <c r="U2932" s="2"/>
      <c r="V2932" s="2"/>
      <c r="W2932" s="2"/>
      <c r="X2932" s="2"/>
      <c r="Y2932" s="7"/>
      <c r="Z2932" s="2"/>
      <c r="AA2932" s="1"/>
      <c r="AC2932" s="2"/>
      <c r="AE2932" s="1"/>
      <c r="AG2932" s="2"/>
    </row>
    <row r="2933" spans="12:33" ht="49.95" customHeight="1" x14ac:dyDescent="0.3">
      <c r="L2933" s="422" t="s">
        <v>3521</v>
      </c>
      <c r="M2933" s="422" t="s">
        <v>5753</v>
      </c>
      <c r="N2933" s="421" t="s">
        <v>5816</v>
      </c>
      <c r="O2933" s="422" t="s">
        <v>5810</v>
      </c>
      <c r="P2933" s="16">
        <v>46239</v>
      </c>
      <c r="Q2933" s="422" t="s">
        <v>3211</v>
      </c>
      <c r="R2933" s="2" t="str">
        <f>VLOOKUP(SALIDAS111518[[#This Row],[CÓDIGO]],PRODUCTOS31316[],2,FALSE)</f>
        <v>S7</v>
      </c>
      <c r="S2933" s="1" t="str">
        <f>VLOOKUP(SALIDAS111518[[#This Row],[CÓDIGO]],PRODUCTOS31316[],3,FALSE)</f>
        <v>SONDA S7 PLUS DOPPLER COLOR</v>
      </c>
      <c r="T2933" s="2">
        <v>1</v>
      </c>
      <c r="U2933" s="422" t="s">
        <v>5815</v>
      </c>
      <c r="V2933" s="2"/>
      <c r="W2933" s="422" t="s">
        <v>2823</v>
      </c>
      <c r="X2933" s="2"/>
      <c r="Y2933" s="7"/>
      <c r="Z2933" s="2"/>
      <c r="AA2933" s="1"/>
      <c r="AC2933" s="2"/>
      <c r="AE2933" s="1"/>
      <c r="AG2933" s="2"/>
    </row>
    <row r="2934" spans="12:33" ht="49.95" customHeight="1" x14ac:dyDescent="0.3">
      <c r="L2934" s="2"/>
      <c r="M2934" s="2"/>
      <c r="N2934" s="2">
        <v>8811</v>
      </c>
      <c r="O2934" s="422" t="s">
        <v>5810</v>
      </c>
      <c r="P2934" s="16">
        <v>46239</v>
      </c>
      <c r="Q2934" s="422" t="s">
        <v>5083</v>
      </c>
      <c r="R2934" s="2">
        <f>VLOOKUP(SALIDAS111518[[#This Row],[CÓDIGO]],PRODUCTOS31316[],2,FALSE)</f>
        <v>0</v>
      </c>
      <c r="S2934" s="1" t="str">
        <f>VLOOKUP(SALIDAS111518[[#This Row],[CÓDIGO]],PRODUCTOS31316[],3,FALSE)</f>
        <v>TABLET SANSUNG GALAXY TAB A11+</v>
      </c>
      <c r="T2934" s="2">
        <v>1</v>
      </c>
      <c r="U2934" s="2"/>
      <c r="V2934" s="2"/>
      <c r="W2934" s="2"/>
      <c r="X2934" s="2"/>
      <c r="Y2934" s="7"/>
      <c r="Z2934" s="2"/>
      <c r="AA2934" s="1"/>
      <c r="AC2934" s="2"/>
      <c r="AE2934" s="1"/>
      <c r="AG2934" s="2"/>
    </row>
    <row r="2935" spans="12:33" ht="49.95" customHeight="1" x14ac:dyDescent="0.3">
      <c r="L2935" s="2"/>
      <c r="M2935" s="2"/>
      <c r="N2935" s="2">
        <v>8811</v>
      </c>
      <c r="O2935" s="422" t="s">
        <v>5810</v>
      </c>
      <c r="P2935" s="16">
        <v>46239</v>
      </c>
      <c r="Q2935" s="422" t="s">
        <v>3286</v>
      </c>
      <c r="R2935" s="2">
        <f>VLOOKUP(SALIDAS111518[[#This Row],[CÓDIGO]],PRODUCTOS31316[],2,FALSE)</f>
        <v>0</v>
      </c>
      <c r="S2935" s="1" t="str">
        <f>VLOOKUP(SALIDAS111518[[#This Row],[CÓDIGO]],PRODUCTOS31316[],3,FALSE)</f>
        <v>CARCASA TABLET BMV</v>
      </c>
      <c r="T2935" s="2">
        <v>1</v>
      </c>
      <c r="U2935" s="2"/>
      <c r="V2935" s="2"/>
      <c r="W2935" s="2"/>
      <c r="X2935" s="2"/>
      <c r="Y2935" s="7"/>
      <c r="Z2935" s="2"/>
      <c r="AA2935" s="1"/>
      <c r="AC2935" s="2"/>
      <c r="AE2935" s="1"/>
      <c r="AG2935" s="2"/>
    </row>
    <row r="2936" spans="12:33" ht="49.95" customHeight="1" x14ac:dyDescent="0.3">
      <c r="L2936" s="2"/>
      <c r="M2936" s="2"/>
      <c r="N2936" s="2">
        <v>8811</v>
      </c>
      <c r="O2936" s="422" t="s">
        <v>5810</v>
      </c>
      <c r="P2936" s="16">
        <v>46239</v>
      </c>
      <c r="Q2936" s="422" t="s">
        <v>3095</v>
      </c>
      <c r="R2936" s="2">
        <f>VLOOKUP(SALIDAS111518[[#This Row],[CÓDIGO]],PRODUCTOS31316[],2,FALSE)</f>
        <v>0</v>
      </c>
      <c r="S2936" s="1" t="str">
        <f>VLOOKUP(SALIDAS111518[[#This Row],[CÓDIGO]],PRODUCTOS31316[],3,FALSE)</f>
        <v>GORRA MAS CAMPO</v>
      </c>
      <c r="T2936" s="2">
        <v>1</v>
      </c>
      <c r="U2936" s="2"/>
      <c r="V2936" s="2"/>
      <c r="W2936" s="2"/>
      <c r="X2936" s="2"/>
      <c r="Y2936" s="7"/>
      <c r="Z2936" s="2"/>
      <c r="AA2936" s="1"/>
      <c r="AC2936" s="2"/>
      <c r="AE2936" s="1"/>
      <c r="AG2936" s="2"/>
    </row>
    <row r="2937" spans="12:33" ht="49.95" customHeight="1" x14ac:dyDescent="0.3">
      <c r="L2937" s="422" t="s">
        <v>3521</v>
      </c>
      <c r="M2937" s="422" t="s">
        <v>5753</v>
      </c>
      <c r="N2937" s="421" t="s">
        <v>5813</v>
      </c>
      <c r="O2937" s="421" t="s">
        <v>5811</v>
      </c>
      <c r="P2937" s="16">
        <v>46239</v>
      </c>
      <c r="Q2937" s="422" t="s">
        <v>3181</v>
      </c>
      <c r="R2937" s="2">
        <f>VLOOKUP(SALIDAS111518[[#This Row],[CÓDIGO]],PRODUCTOS31316[],2,FALSE)</f>
        <v>7416</v>
      </c>
      <c r="S2937" s="1" t="str">
        <f>VLOOKUP(SALIDAS111518[[#This Row],[CÓDIGO]],PRODUCTOS31316[],3,FALSE)</f>
        <v>CAJA PLÁSTICA DE 22" DE TRANSPORTE</v>
      </c>
      <c r="T2937" s="2">
        <v>1</v>
      </c>
      <c r="U2937" s="2">
        <v>1260</v>
      </c>
      <c r="V2937" s="2"/>
      <c r="W2937" s="2"/>
      <c r="X2937" s="2"/>
      <c r="Y2937" s="7"/>
      <c r="Z2937" s="2"/>
      <c r="AA2937" s="1"/>
      <c r="AC2937" s="2"/>
      <c r="AE2937" s="1"/>
      <c r="AG2937" s="2"/>
    </row>
    <row r="2938" spans="12:33" ht="49.95" customHeight="1" x14ac:dyDescent="0.3">
      <c r="L2938" s="2"/>
      <c r="M2938" s="2"/>
      <c r="N2938" s="2">
        <v>8809</v>
      </c>
      <c r="O2938" s="421" t="s">
        <v>5811</v>
      </c>
      <c r="P2938" s="16">
        <v>46239</v>
      </c>
      <c r="Q2938" s="422" t="s">
        <v>153</v>
      </c>
      <c r="R2938" s="2">
        <f>VLOOKUP(SALIDAS111518[[#This Row],[CÓDIGO]],PRODUCTOS31316[],2,FALSE)</f>
        <v>1132</v>
      </c>
      <c r="S2938" s="1" t="str">
        <f>VLOOKUP(SALIDAS111518[[#This Row],[CÓDIGO]],PRODUCTOS31316[],3,FALSE)</f>
        <v>PISTOLA QUICKLOCK CLASIC</v>
      </c>
      <c r="T2938" s="2">
        <v>1</v>
      </c>
      <c r="U2938" s="2"/>
      <c r="V2938" s="2"/>
      <c r="W2938" s="2"/>
      <c r="X2938" s="2"/>
      <c r="Y2938" s="7"/>
      <c r="Z2938" s="2"/>
      <c r="AA2938" s="1"/>
      <c r="AC2938" s="2"/>
      <c r="AE2938" s="1"/>
      <c r="AG2938" s="2"/>
    </row>
    <row r="2939" spans="12:33" ht="49.95" customHeight="1" x14ac:dyDescent="0.3">
      <c r="L2939" s="2"/>
      <c r="M2939" s="2"/>
      <c r="N2939" s="2">
        <v>8809</v>
      </c>
      <c r="O2939" s="421" t="s">
        <v>5811</v>
      </c>
      <c r="P2939" s="16">
        <v>46239</v>
      </c>
      <c r="Q2939" s="422" t="s">
        <v>369</v>
      </c>
      <c r="R2939" s="2">
        <f>VLOOKUP(SALIDAS111518[[#This Row],[CÓDIGO]],PRODUCTOS31316[],2,FALSE)</f>
        <v>0</v>
      </c>
      <c r="S2939" s="1" t="str">
        <f>VLOOKUP(SALIDAS111518[[#This Row],[CÓDIGO]],PRODUCTOS31316[],3,FALSE)</f>
        <v>FUNDA UNIVERSAL PARA I.A. RANURADA</v>
      </c>
      <c r="T2939" s="2">
        <v>1</v>
      </c>
      <c r="U2939" s="2"/>
      <c r="V2939" s="2"/>
      <c r="W2939" s="2"/>
      <c r="X2939" s="2"/>
      <c r="Y2939" s="7"/>
      <c r="Z2939" s="2"/>
      <c r="AA2939" s="1"/>
      <c r="AC2939" s="2"/>
      <c r="AE2939" s="1"/>
      <c r="AG2939" s="2"/>
    </row>
    <row r="2940" spans="12:33" ht="49.95" customHeight="1" x14ac:dyDescent="0.3">
      <c r="L2940" s="2"/>
      <c r="M2940" s="2"/>
      <c r="N2940" s="2">
        <v>8809</v>
      </c>
      <c r="O2940" s="421" t="s">
        <v>5811</v>
      </c>
      <c r="P2940" s="16">
        <v>46239</v>
      </c>
      <c r="Q2940" s="422" t="s">
        <v>658</v>
      </c>
      <c r="R2940" s="2">
        <f>VLOOKUP(SALIDAS111518[[#This Row],[CÓDIGO]],PRODUCTOS31316[],2,FALSE)</f>
        <v>0</v>
      </c>
      <c r="S2940" s="1" t="str">
        <f>VLOOKUP(SALIDAS111518[[#This Row],[CÓDIGO]],PRODUCTOS31316[],3,FALSE)</f>
        <v>CATETER TALADRO TRANSPARENTE 18"</v>
      </c>
      <c r="T2940" s="2">
        <v>1</v>
      </c>
      <c r="U2940" s="2"/>
      <c r="V2940" s="2"/>
      <c r="W2940" s="2"/>
      <c r="X2940" s="2"/>
      <c r="Y2940" s="7"/>
      <c r="Z2940" s="2"/>
      <c r="AA2940" s="1"/>
      <c r="AC2940" s="2"/>
      <c r="AE2940" s="1"/>
      <c r="AG2940" s="2"/>
    </row>
    <row r="2941" spans="12:33" ht="49.95" customHeight="1" x14ac:dyDescent="0.3">
      <c r="L2941" s="2"/>
      <c r="M2941" s="2"/>
      <c r="N2941" s="2">
        <v>8809</v>
      </c>
      <c r="O2941" s="421" t="s">
        <v>5811</v>
      </c>
      <c r="P2941" s="16">
        <v>46239</v>
      </c>
      <c r="Q2941" s="422" t="s">
        <v>1779</v>
      </c>
      <c r="R2941" s="2">
        <f>VLOOKUP(SALIDAS111518[[#This Row],[CÓDIGO]],PRODUCTOS31316[],2,FALSE)</f>
        <v>5563</v>
      </c>
      <c r="S2941" s="1" t="str">
        <f>VLOOKUP(SALIDAS111518[[#This Row],[CÓDIGO]],PRODUCTOS31316[],3,FALSE)</f>
        <v>CAMISA SANITARIA ROLLO X 80</v>
      </c>
      <c r="T2941" s="2">
        <v>1</v>
      </c>
      <c r="U2941" s="2"/>
      <c r="V2941" s="2"/>
      <c r="W2941" s="2"/>
      <c r="X2941" s="2"/>
      <c r="Y2941" s="7"/>
      <c r="Z2941" s="2"/>
      <c r="AA2941" s="1"/>
      <c r="AC2941" s="2"/>
      <c r="AE2941" s="1"/>
      <c r="AG2941" s="2"/>
    </row>
    <row r="2942" spans="12:33" ht="49.95" customHeight="1" x14ac:dyDescent="0.3">
      <c r="L2942" s="2"/>
      <c r="M2942" s="2"/>
      <c r="N2942" s="2">
        <v>8809</v>
      </c>
      <c r="O2942" s="421" t="s">
        <v>5811</v>
      </c>
      <c r="P2942" s="16">
        <v>46239</v>
      </c>
      <c r="Q2942" s="422" t="s">
        <v>2364</v>
      </c>
      <c r="R2942" s="2">
        <f>VLOOKUP(SALIDAS111518[[#This Row],[CÓDIGO]],PRODUCTOS31316[],2,FALSE)</f>
        <v>0</v>
      </c>
      <c r="S2942" s="1" t="str">
        <f>VLOOKUP(SALIDAS111518[[#This Row],[CÓDIGO]],PRODUCTOS31316[],3,FALSE)</f>
        <v>CORTAPAJILLAS WTA</v>
      </c>
      <c r="T2942" s="2">
        <v>1</v>
      </c>
      <c r="U2942" s="2"/>
      <c r="V2942" s="2"/>
      <c r="W2942" s="2"/>
      <c r="X2942" s="2"/>
      <c r="Y2942" s="7"/>
      <c r="Z2942" s="2"/>
      <c r="AA2942" s="1"/>
      <c r="AC2942" s="2"/>
      <c r="AE2942" s="1"/>
      <c r="AG2942" s="2"/>
    </row>
    <row r="2943" spans="12:33" ht="49.95" customHeight="1" x14ac:dyDescent="0.3">
      <c r="L2943" s="2"/>
      <c r="M2943" s="2"/>
      <c r="N2943" s="2">
        <v>8809</v>
      </c>
      <c r="O2943" s="421" t="s">
        <v>5811</v>
      </c>
      <c r="P2943" s="16">
        <v>46239</v>
      </c>
      <c r="Q2943" s="422" t="s">
        <v>748</v>
      </c>
      <c r="R2943" s="2" t="str">
        <f>VLOOKUP(SALIDAS111518[[#This Row],[CÓDIGO]],PRODUCTOS31316[],2,FALSE)</f>
        <v>TY</v>
      </c>
      <c r="S2943" s="1" t="str">
        <f>VLOOKUP(SALIDAS111518[[#This Row],[CÓDIGO]],PRODUCTOS31316[],3,FALSE)</f>
        <v>TABS AMARILLOS</v>
      </c>
      <c r="T2943" s="2">
        <v>1</v>
      </c>
      <c r="U2943" s="2"/>
      <c r="V2943" s="2"/>
      <c r="W2943" s="2"/>
      <c r="X2943" s="2"/>
      <c r="Y2943" s="7"/>
      <c r="Z2943" s="2"/>
      <c r="AA2943" s="1"/>
      <c r="AC2943" s="2"/>
      <c r="AE2943" s="1"/>
      <c r="AG2943" s="2"/>
    </row>
    <row r="2944" spans="12:33" ht="49.95" customHeight="1" x14ac:dyDescent="0.3">
      <c r="L2944" s="2"/>
      <c r="M2944" s="2"/>
      <c r="N2944" s="2">
        <v>8809</v>
      </c>
      <c r="O2944" s="421" t="s">
        <v>5811</v>
      </c>
      <c r="P2944" s="16">
        <v>46239</v>
      </c>
      <c r="Q2944" s="422" t="s">
        <v>236</v>
      </c>
      <c r="R2944" s="2">
        <f>VLOOKUP(SALIDAS111518[[#This Row],[CÓDIGO]],PRODUCTOS31316[],2,FALSE)</f>
        <v>0</v>
      </c>
      <c r="S2944" s="1" t="str">
        <f>VLOOKUP(SALIDAS111518[[#This Row],[CÓDIGO]],PRODUCTOS31316[],3,FALSE)</f>
        <v>TERMO METÁLICO DESCONGELADOR</v>
      </c>
      <c r="T2944" s="2">
        <v>1</v>
      </c>
      <c r="U2944" s="2"/>
      <c r="V2944" s="2"/>
      <c r="W2944" s="2"/>
      <c r="X2944" s="2"/>
      <c r="Y2944" s="7"/>
      <c r="Z2944" s="2"/>
      <c r="AA2944" s="1"/>
      <c r="AC2944" s="2"/>
      <c r="AE2944" s="1"/>
      <c r="AG2944" s="2"/>
    </row>
    <row r="2945" spans="12:33" ht="49.95" customHeight="1" x14ac:dyDescent="0.3">
      <c r="L2945" s="2"/>
      <c r="M2945" s="2"/>
      <c r="N2945" s="2">
        <v>8809</v>
      </c>
      <c r="O2945" s="421" t="s">
        <v>5811</v>
      </c>
      <c r="P2945" s="16">
        <v>46239</v>
      </c>
      <c r="Q2945" s="422" t="s">
        <v>581</v>
      </c>
      <c r="R2945" s="2">
        <f>VLOOKUP(SALIDAS111518[[#This Row],[CÓDIGO]],PRODUCTOS31316[],2,FALSE)</f>
        <v>11571</v>
      </c>
      <c r="S2945" s="1" t="str">
        <f>VLOOKUP(SALIDAS111518[[#This Row],[CÓDIGO]],PRODUCTOS31316[],3,FALSE)</f>
        <v>PINZA COGEPAJILLA</v>
      </c>
      <c r="T2945" s="2">
        <v>1</v>
      </c>
      <c r="U2945" s="2"/>
      <c r="V2945" s="2"/>
      <c r="W2945" s="2"/>
      <c r="X2945" s="2"/>
      <c r="Y2945" s="7"/>
      <c r="Z2945" s="2"/>
      <c r="AA2945" s="1"/>
      <c r="AC2945" s="2"/>
      <c r="AE2945" s="1"/>
      <c r="AG2945" s="2"/>
    </row>
    <row r="2946" spans="12:33" ht="49.95" customHeight="1" x14ac:dyDescent="0.3">
      <c r="L2946" s="2"/>
      <c r="M2946" s="2"/>
      <c r="N2946" s="2">
        <v>8809</v>
      </c>
      <c r="O2946" s="421" t="s">
        <v>5811</v>
      </c>
      <c r="P2946" s="16">
        <v>46239</v>
      </c>
      <c r="Q2946" s="422" t="s">
        <v>210</v>
      </c>
      <c r="R2946" s="2">
        <f>VLOOKUP(SALIDAS111518[[#This Row],[CÓDIGO]],PRODUCTOS31316[],2,FALSE)</f>
        <v>101257</v>
      </c>
      <c r="S2946" s="1" t="str">
        <f>VLOOKUP(SALIDAS111518[[#This Row],[CÓDIGO]],PRODUCTOS31316[],3,FALSE)</f>
        <v>MANGA DESECHABLE SUPER SENSITIVA</v>
      </c>
      <c r="T2946" s="2">
        <v>1</v>
      </c>
      <c r="U2946" s="2"/>
      <c r="V2946" s="2"/>
      <c r="W2946" s="2"/>
      <c r="X2946" s="2"/>
      <c r="Y2946" s="7"/>
      <c r="Z2946" s="2"/>
      <c r="AA2946" s="1"/>
      <c r="AC2946" s="2"/>
      <c r="AE2946" s="1"/>
      <c r="AG2946" s="2"/>
    </row>
    <row r="2947" spans="12:33" ht="49.95" customHeight="1" x14ac:dyDescent="0.3">
      <c r="L2947" s="422" t="s">
        <v>3520</v>
      </c>
      <c r="M2947" s="422" t="s">
        <v>5753</v>
      </c>
      <c r="N2947" s="421" t="s">
        <v>5814</v>
      </c>
      <c r="O2947" s="422" t="s">
        <v>5812</v>
      </c>
      <c r="P2947" s="16">
        <v>46239</v>
      </c>
      <c r="Q2947" s="422" t="s">
        <v>2252</v>
      </c>
      <c r="R2947" s="2">
        <f>VLOOKUP(SALIDAS111518[[#This Row],[CÓDIGO]],PRODUCTOS31316[],2,FALSE)</f>
        <v>24857</v>
      </c>
      <c r="S2947" s="1" t="str">
        <f>VLOOKUP(SALIDAS111518[[#This Row],[CÓDIGO]],PRODUCTOS31316[],3,FALSE)</f>
        <v>PISTOLA DE TE 0,5 / MARCA IMV</v>
      </c>
      <c r="T2947" s="2">
        <v>1</v>
      </c>
      <c r="U2947" s="2">
        <v>1261</v>
      </c>
      <c r="V2947" s="2"/>
      <c r="W2947" s="2"/>
      <c r="X2947" s="2"/>
      <c r="Y2947" s="7"/>
      <c r="Z2947" s="2"/>
      <c r="AA2947" s="1"/>
      <c r="AC2947" s="2"/>
      <c r="AE2947" s="1"/>
      <c r="AG2947" s="2"/>
    </row>
    <row r="2948" spans="12:33" ht="49.95" customHeight="1" x14ac:dyDescent="0.3">
      <c r="L2948" s="2"/>
      <c r="M2948" s="2"/>
      <c r="N2948" s="2">
        <v>8810</v>
      </c>
      <c r="O2948" s="422" t="s">
        <v>5812</v>
      </c>
      <c r="P2948" s="16">
        <v>46239</v>
      </c>
      <c r="Q2948" s="422" t="s">
        <v>1779</v>
      </c>
      <c r="R2948" s="2">
        <f>VLOOKUP(SALIDAS111518[[#This Row],[CÓDIGO]],PRODUCTOS31316[],2,FALSE)</f>
        <v>5563</v>
      </c>
      <c r="S2948" s="1" t="str">
        <f>VLOOKUP(SALIDAS111518[[#This Row],[CÓDIGO]],PRODUCTOS31316[],3,FALSE)</f>
        <v>CAMISA SANITARIA ROLLO X 80</v>
      </c>
      <c r="T2948" s="2">
        <v>1</v>
      </c>
      <c r="U2948" s="2"/>
      <c r="V2948" s="2"/>
      <c r="W2948" s="2"/>
      <c r="X2948" s="2"/>
      <c r="Y2948" s="7"/>
      <c r="Z2948" s="2"/>
      <c r="AA2948" s="1"/>
      <c r="AC2948" s="2"/>
      <c r="AE2948" s="1"/>
      <c r="AG2948" s="2"/>
    </row>
    <row r="2949" spans="12:33" ht="49.95" customHeight="1" x14ac:dyDescent="0.3">
      <c r="L2949" s="2"/>
      <c r="M2949" s="2"/>
      <c r="N2949" s="2">
        <v>8810</v>
      </c>
      <c r="O2949" s="422" t="s">
        <v>5812</v>
      </c>
      <c r="P2949" s="16">
        <v>46239</v>
      </c>
      <c r="Q2949" s="422" t="s">
        <v>2402</v>
      </c>
      <c r="R2949" s="2">
        <f>VLOOKUP(SALIDAS111518[[#This Row],[CÓDIGO]],PRODUCTOS31316[],2,FALSE)</f>
        <v>17532</v>
      </c>
      <c r="S2949" s="1" t="str">
        <f>VLOOKUP(SALIDAS111518[[#This Row],[CÓDIGO]],PRODUCTOS31316[],3,FALSE)</f>
        <v xml:space="preserve"> FUNDAS DE TRANSFERENCAI DE 0,5 PARA EQUINOS        IMV
</v>
      </c>
      <c r="T2949" s="2">
        <v>2</v>
      </c>
      <c r="U2949" s="2"/>
      <c r="V2949" s="2"/>
      <c r="W2949" s="2"/>
      <c r="X2949" s="2"/>
      <c r="Y2949" s="7"/>
      <c r="Z2949" s="2"/>
      <c r="AA2949" s="1"/>
      <c r="AC2949" s="2"/>
      <c r="AE2949" s="1"/>
      <c r="AG2949" s="2"/>
    </row>
    <row r="2950" spans="12:33" ht="49.95" customHeight="1" x14ac:dyDescent="0.3">
      <c r="L2950" s="2"/>
      <c r="M2950" s="2"/>
      <c r="N2950" s="2">
        <v>8810</v>
      </c>
      <c r="O2950" s="422" t="s">
        <v>5812</v>
      </c>
      <c r="P2950" s="16">
        <v>46239</v>
      </c>
      <c r="Q2950" s="422" t="s">
        <v>3165</v>
      </c>
      <c r="R2950" s="2">
        <f>VLOOKUP(SALIDAS111518[[#This Row],[CÓDIGO]],PRODUCTOS31316[],2,FALSE)</f>
        <v>30943</v>
      </c>
      <c r="S2950" s="1" t="str">
        <f>VLOOKUP(SALIDAS111518[[#This Row],[CÓDIGO]],PRODUCTOS31316[],3,FALSE)</f>
        <v xml:space="preserve">CAJA PETRI DESECHABLE ESTERIL 90X 15 </v>
      </c>
      <c r="T2950" s="2">
        <v>1</v>
      </c>
      <c r="U2950" s="2"/>
      <c r="V2950" s="2"/>
      <c r="W2950" s="2"/>
      <c r="X2950" s="2"/>
      <c r="Y2950" s="7"/>
      <c r="Z2950" s="2"/>
      <c r="AA2950" s="1"/>
      <c r="AC2950" s="2"/>
      <c r="AE2950" s="1"/>
      <c r="AG2950" s="2"/>
    </row>
    <row r="2951" spans="12:33" ht="49.95" customHeight="1" x14ac:dyDescent="0.3">
      <c r="L2951" s="422" t="s">
        <v>3520</v>
      </c>
      <c r="M2951" s="422" t="s">
        <v>5753</v>
      </c>
      <c r="N2951" s="421" t="s">
        <v>5817</v>
      </c>
      <c r="O2951" s="422" t="s">
        <v>2451</v>
      </c>
      <c r="P2951" s="16">
        <v>46239</v>
      </c>
      <c r="Q2951" s="422" t="s">
        <v>3202</v>
      </c>
      <c r="R2951" s="2">
        <f>VLOOKUP(SALIDAS111518[[#This Row],[CÓDIGO]],PRODUCTOS31316[],2,FALSE)</f>
        <v>0</v>
      </c>
      <c r="S2951" s="1" t="str">
        <f>VLOOKUP(SALIDAS111518[[#This Row],[CÓDIGO]],PRODUCTOS31316[],3,FALSE)</f>
        <v>CABLE REPUESTO ECOGRAFO S5</v>
      </c>
      <c r="T2951" s="2">
        <v>1</v>
      </c>
      <c r="U2951" s="2">
        <v>1263</v>
      </c>
      <c r="V2951" s="2"/>
      <c r="W2951" s="2"/>
      <c r="X2951" s="2"/>
      <c r="Y2951" s="7"/>
      <c r="Z2951" s="2"/>
      <c r="AA2951" s="1"/>
      <c r="AC2951" s="2"/>
      <c r="AE2951" s="1"/>
      <c r="AG2951" s="2"/>
    </row>
    <row r="2952" spans="12:33" ht="49.95" customHeight="1" x14ac:dyDescent="0.3">
      <c r="L2952" s="2"/>
      <c r="M2952" s="2"/>
      <c r="N2952" s="2">
        <v>8812</v>
      </c>
      <c r="O2952" s="422" t="s">
        <v>2451</v>
      </c>
      <c r="P2952" s="16">
        <v>46239</v>
      </c>
      <c r="Q2952" s="422" t="s">
        <v>2246</v>
      </c>
      <c r="R2952" s="2" t="str">
        <f>VLOOKUP(SALIDAS111518[[#This Row],[CÓDIGO]],PRODUCTOS31316[],2,FALSE)</f>
        <v>00051076-02</v>
      </c>
      <c r="S2952" s="1" t="str">
        <f>VLOOKUP(SALIDAS111518[[#This Row],[CÓDIGO]],PRODUCTOS31316[],3,FALSE)</f>
        <v>LIDOCAÍNA  HCL 2 % X 100 ML/ 2025-12-16</v>
      </c>
      <c r="T2952" s="2">
        <v>2</v>
      </c>
      <c r="U2952" s="2"/>
      <c r="V2952" s="2"/>
      <c r="W2952" s="2"/>
      <c r="X2952" s="2"/>
      <c r="Y2952" s="7"/>
      <c r="Z2952" s="2"/>
      <c r="AA2952" s="1"/>
      <c r="AC2952" s="2"/>
      <c r="AE2952" s="1"/>
      <c r="AG2952" s="2"/>
    </row>
    <row r="2953" spans="12:33" ht="49.95" customHeight="1" x14ac:dyDescent="0.3">
      <c r="L2953" s="422" t="s">
        <v>3520</v>
      </c>
      <c r="M2953" s="422" t="s">
        <v>5753</v>
      </c>
      <c r="N2953" s="422" t="s">
        <v>5818</v>
      </c>
      <c r="O2953" s="422" t="s">
        <v>3425</v>
      </c>
      <c r="P2953" s="16">
        <v>46239</v>
      </c>
      <c r="Q2953" s="421" t="s">
        <v>2697</v>
      </c>
      <c r="R2953" s="2" t="e">
        <f>VLOOKUP(SALIDAS111518[[#This Row],[CÓDIGO]],PRODUCTOS31316[],2,FALSE)</f>
        <v>#N/A</v>
      </c>
      <c r="S2953" s="1" t="e">
        <f>VLOOKUP(SALIDAS111518[[#This Row],[CÓDIGO]],PRODUCTOS31316[],3,FALSE)</f>
        <v>#N/A</v>
      </c>
      <c r="T2953" s="2">
        <v>1</v>
      </c>
      <c r="U2953" s="2"/>
      <c r="V2953" s="2"/>
      <c r="W2953" s="2"/>
      <c r="X2953" s="2"/>
      <c r="Y2953" s="7"/>
      <c r="Z2953" s="2"/>
      <c r="AA2953" s="1"/>
      <c r="AC2953" s="2"/>
      <c r="AE2953" s="1"/>
      <c r="AG2953" s="2"/>
    </row>
    <row r="2954" spans="12:33" ht="49.95" customHeight="1" x14ac:dyDescent="0.3">
      <c r="L2954" s="422" t="s">
        <v>3520</v>
      </c>
      <c r="M2954" s="422" t="s">
        <v>5753</v>
      </c>
      <c r="N2954" s="1" t="s">
        <v>5820</v>
      </c>
      <c r="O2954" s="425" t="s">
        <v>2827</v>
      </c>
      <c r="P2954" s="16">
        <v>46240</v>
      </c>
      <c r="Q2954" s="422" t="s">
        <v>5098</v>
      </c>
      <c r="R2954" s="2">
        <f>VLOOKUP(SALIDAS111518[[#This Row],[CÓDIGO]],PRODUCTOS31316[],2,FALSE)</f>
        <v>0</v>
      </c>
      <c r="S2954" s="1" t="str">
        <f>VLOOKUP(SALIDAS111518[[#This Row],[CÓDIGO]],PRODUCTOS31316[],3,FALSE)</f>
        <v>FUNDA DE TRANSFERENCIA DE EMBRIONES 0.25 PUNTA PLÁSTICA MARCA TED</v>
      </c>
      <c r="T2954" s="2">
        <v>10</v>
      </c>
      <c r="U2954" s="2">
        <v>1264</v>
      </c>
      <c r="V2954" s="2"/>
      <c r="W2954" s="2"/>
      <c r="X2954" s="2"/>
      <c r="Y2954" s="7"/>
      <c r="Z2954" s="2"/>
      <c r="AA2954" s="1"/>
      <c r="AC2954" s="2"/>
      <c r="AE2954" s="1"/>
      <c r="AG2954" s="2"/>
    </row>
    <row r="2955" spans="12:33" ht="49.95" customHeight="1" x14ac:dyDescent="0.3">
      <c r="L2955" s="422" t="s">
        <v>3520</v>
      </c>
      <c r="M2955" s="422" t="s">
        <v>5753</v>
      </c>
      <c r="N2955" s="1" t="s">
        <v>5822</v>
      </c>
      <c r="O2955" s="421" t="s">
        <v>2217</v>
      </c>
      <c r="P2955" s="16">
        <v>46240</v>
      </c>
      <c r="Q2955" s="422" t="s">
        <v>36</v>
      </c>
      <c r="R2955" s="2">
        <f>VLOOKUP(SALIDAS111518[[#This Row],[CÓDIGO]],PRODUCTOS31316[],2,FALSE)</f>
        <v>1</v>
      </c>
      <c r="S2955" s="1" t="str">
        <f>VLOOKUP(SALIDAS111518[[#This Row],[CÓDIGO]],PRODUCTOS31316[],3,FALSE)</f>
        <v xml:space="preserve">PARCHE ESTROTECT </v>
      </c>
      <c r="T2955" s="2">
        <v>3</v>
      </c>
      <c r="U2955" s="425" t="s">
        <v>5821</v>
      </c>
      <c r="V2955" s="2"/>
      <c r="W2955" s="2"/>
      <c r="X2955" s="2"/>
      <c r="Y2955" s="7"/>
      <c r="Z2955" s="2"/>
      <c r="AA2955" s="1"/>
      <c r="AC2955" s="2"/>
      <c r="AE2955" s="1"/>
      <c r="AG2955" s="2"/>
    </row>
    <row r="2956" spans="12:33" ht="49.95" customHeight="1" x14ac:dyDescent="0.3">
      <c r="L2956" s="422" t="s">
        <v>3520</v>
      </c>
      <c r="M2956" s="422" t="s">
        <v>5753</v>
      </c>
      <c r="N2956" s="1" t="s">
        <v>5823</v>
      </c>
      <c r="O2956" s="2" t="s">
        <v>2700</v>
      </c>
      <c r="P2956" s="16">
        <v>46240</v>
      </c>
      <c r="Q2956" s="2" t="s">
        <v>47</v>
      </c>
      <c r="R2956" s="2">
        <f>VLOOKUP(SALIDAS111518[[#This Row],[CÓDIGO]],PRODUCTOS31316[],2,FALSE)</f>
        <v>1135</v>
      </c>
      <c r="S2956" s="1" t="str">
        <f>VLOOKUP(SALIDAS111518[[#This Row],[CÓDIGO]],PRODUCTOS31316[],3,FALSE)</f>
        <v>TRILADYL</v>
      </c>
      <c r="T2956" s="2">
        <v>2</v>
      </c>
      <c r="U2956" s="2">
        <v>1266</v>
      </c>
      <c r="V2956" s="2"/>
      <c r="W2956" s="2" t="s">
        <v>3412</v>
      </c>
      <c r="X2956" s="2"/>
      <c r="Y2956" s="7"/>
      <c r="Z2956" s="2"/>
      <c r="AA2956" s="1"/>
      <c r="AC2956" s="2"/>
      <c r="AE2956" s="1"/>
      <c r="AG2956" s="2"/>
    </row>
    <row r="2957" spans="12:33" ht="49.95" customHeight="1" x14ac:dyDescent="0.3">
      <c r="X2957" s="2"/>
      <c r="Y2957" s="7"/>
      <c r="Z2957" s="2"/>
      <c r="AA2957" s="1"/>
      <c r="AC2957" s="2"/>
      <c r="AE2957" s="1"/>
      <c r="AG2957" s="2"/>
    </row>
    <row r="2958" spans="12:33" ht="49.95" customHeight="1" x14ac:dyDescent="0.3">
      <c r="X2958" s="2"/>
      <c r="Y2958" s="7"/>
      <c r="Z2958" s="2"/>
      <c r="AA2958" s="1"/>
      <c r="AC2958" s="2"/>
      <c r="AE2958" s="1"/>
      <c r="AG2958" s="2"/>
    </row>
    <row r="2959" spans="12:33" ht="49.95" customHeight="1" x14ac:dyDescent="0.3">
      <c r="X2959" s="2"/>
      <c r="Y2959" s="7"/>
      <c r="Z2959" s="2"/>
      <c r="AA2959" s="1"/>
      <c r="AC2959" s="2"/>
      <c r="AE2959" s="1"/>
      <c r="AG2959" s="2"/>
    </row>
    <row r="2960" spans="12:33" ht="49.95" customHeight="1" x14ac:dyDescent="0.3">
      <c r="X2960" s="2"/>
      <c r="Y2960" s="7"/>
      <c r="Z2960" s="2"/>
      <c r="AA2960" s="1"/>
      <c r="AC2960" s="2"/>
      <c r="AE2960" s="1"/>
      <c r="AG2960" s="2"/>
    </row>
    <row r="2961" spans="24:33" ht="49.95" customHeight="1" x14ac:dyDescent="0.3">
      <c r="X2961" s="2"/>
      <c r="Y2961" s="7"/>
      <c r="Z2961" s="2"/>
      <c r="AA2961" s="1"/>
      <c r="AC2961" s="2"/>
      <c r="AE2961" s="1"/>
      <c r="AG2961" s="2"/>
    </row>
    <row r="2962" spans="24:33" ht="49.95" customHeight="1" x14ac:dyDescent="0.3">
      <c r="X2962" s="2"/>
      <c r="Y2962" s="7"/>
      <c r="Z2962" s="2"/>
      <c r="AA2962" s="1"/>
      <c r="AC2962" s="2"/>
      <c r="AE2962" s="1"/>
      <c r="AG2962" s="2"/>
    </row>
    <row r="2963" spans="24:33" ht="49.95" customHeight="1" x14ac:dyDescent="0.3">
      <c r="X2963" s="2"/>
      <c r="Y2963" s="7"/>
      <c r="Z2963" s="2"/>
      <c r="AA2963" s="1"/>
      <c r="AC2963" s="2"/>
      <c r="AE2963" s="1"/>
      <c r="AG2963" s="2"/>
    </row>
    <row r="2964" spans="24:33" ht="49.95" customHeight="1" x14ac:dyDescent="0.3">
      <c r="X2964" s="2"/>
      <c r="Y2964" s="7"/>
      <c r="Z2964" s="2"/>
      <c r="AA2964" s="1"/>
      <c r="AC2964" s="2"/>
      <c r="AE2964" s="1"/>
      <c r="AG2964" s="2"/>
    </row>
    <row r="2965" spans="24:33" ht="49.95" customHeight="1" x14ac:dyDescent="0.3">
      <c r="X2965" s="2"/>
      <c r="Y2965" s="7"/>
      <c r="Z2965" s="2"/>
      <c r="AA2965" s="1"/>
      <c r="AC2965" s="2"/>
      <c r="AE2965" s="1"/>
      <c r="AG2965" s="2"/>
    </row>
    <row r="2966" spans="24:33" ht="49.95" customHeight="1" x14ac:dyDescent="0.3">
      <c r="X2966" s="2"/>
      <c r="Y2966" s="7"/>
      <c r="Z2966" s="2"/>
      <c r="AA2966" s="1"/>
      <c r="AC2966" s="2"/>
      <c r="AE2966" s="1"/>
      <c r="AG2966" s="2"/>
    </row>
    <row r="2967" spans="24:33" ht="49.95" customHeight="1" x14ac:dyDescent="0.3">
      <c r="X2967" s="2"/>
      <c r="Y2967" s="7"/>
      <c r="Z2967" s="2"/>
      <c r="AA2967" s="1"/>
      <c r="AC2967" s="2"/>
      <c r="AE2967" s="1"/>
      <c r="AG2967" s="2"/>
    </row>
    <row r="2968" spans="24:33" ht="49.95" customHeight="1" x14ac:dyDescent="0.3">
      <c r="X2968" s="2"/>
      <c r="Y2968" s="7"/>
      <c r="Z2968" s="2"/>
      <c r="AA2968" s="1"/>
      <c r="AC2968" s="2"/>
      <c r="AE2968" s="1"/>
      <c r="AG2968" s="2"/>
    </row>
    <row r="2969" spans="24:33" ht="49.95" customHeight="1" x14ac:dyDescent="0.3">
      <c r="X2969" s="2"/>
      <c r="Y2969" s="7"/>
      <c r="Z2969" s="2"/>
      <c r="AA2969" s="1"/>
      <c r="AC2969" s="2"/>
      <c r="AE2969" s="1"/>
      <c r="AG2969" s="2"/>
    </row>
    <row r="2970" spans="24:33" ht="49.95" customHeight="1" x14ac:dyDescent="0.3">
      <c r="X2970" s="2"/>
      <c r="Y2970" s="7"/>
      <c r="Z2970" s="2"/>
      <c r="AA2970" s="1"/>
      <c r="AC2970" s="2"/>
      <c r="AE2970" s="1"/>
      <c r="AG2970" s="2"/>
    </row>
    <row r="2971" spans="24:33" ht="49.95" customHeight="1" x14ac:dyDescent="0.3">
      <c r="X2971" s="2"/>
      <c r="Y2971" s="7"/>
      <c r="Z2971" s="2"/>
      <c r="AA2971" s="1"/>
      <c r="AC2971" s="2"/>
      <c r="AE2971" s="1"/>
      <c r="AG2971" s="2"/>
    </row>
    <row r="2972" spans="24:33" ht="49.95" customHeight="1" x14ac:dyDescent="0.3">
      <c r="X2972" s="2"/>
      <c r="Y2972" s="7"/>
      <c r="Z2972" s="2"/>
      <c r="AA2972" s="1"/>
      <c r="AC2972" s="2"/>
      <c r="AE2972" s="1"/>
      <c r="AG2972" s="2"/>
    </row>
    <row r="2973" spans="24:33" ht="49.95" customHeight="1" x14ac:dyDescent="0.3">
      <c r="X2973" s="2"/>
      <c r="Y2973" s="7"/>
      <c r="Z2973" s="2"/>
      <c r="AA2973" s="1"/>
      <c r="AC2973" s="2"/>
      <c r="AE2973" s="1"/>
      <c r="AG2973" s="2"/>
    </row>
    <row r="2974" spans="24:33" ht="49.95" customHeight="1" x14ac:dyDescent="0.3">
      <c r="X2974" s="132"/>
      <c r="Y2974" s="7"/>
      <c r="Z2974" s="2"/>
      <c r="AA2974" s="1"/>
      <c r="AC2974" s="2"/>
      <c r="AE2974" s="1"/>
      <c r="AG2974" s="2"/>
    </row>
    <row r="2975" spans="24:33" ht="49.95" customHeight="1" x14ac:dyDescent="0.3">
      <c r="X2975" s="2"/>
      <c r="Y2975" s="7"/>
      <c r="Z2975" s="2"/>
      <c r="AA2975" s="1"/>
      <c r="AC2975" s="2"/>
      <c r="AE2975" s="1"/>
      <c r="AG2975" s="2"/>
    </row>
    <row r="2976" spans="24:33" ht="49.95" customHeight="1" x14ac:dyDescent="0.3">
      <c r="X2976" s="2"/>
      <c r="Y2976" s="7"/>
      <c r="Z2976" s="2"/>
      <c r="AA2976" s="1"/>
      <c r="AC2976" s="2"/>
      <c r="AE2976" s="1"/>
      <c r="AG2976" s="2"/>
    </row>
    <row r="2977" spans="24:33" ht="49.95" customHeight="1" x14ac:dyDescent="0.3">
      <c r="X2977" s="2"/>
      <c r="Y2977" s="7"/>
      <c r="Z2977" s="2"/>
      <c r="AA2977" s="1"/>
      <c r="AC2977" s="2"/>
      <c r="AE2977" s="1"/>
      <c r="AG2977" s="2"/>
    </row>
    <row r="2978" spans="24:33" ht="49.95" customHeight="1" x14ac:dyDescent="0.3">
      <c r="X2978" s="2"/>
      <c r="Y2978" s="7"/>
      <c r="Z2978" s="2"/>
      <c r="AA2978" s="1"/>
      <c r="AC2978" s="2"/>
      <c r="AE2978" s="1"/>
      <c r="AG2978" s="2"/>
    </row>
    <row r="2979" spans="24:33" ht="49.95" customHeight="1" x14ac:dyDescent="0.3">
      <c r="X2979" s="2"/>
      <c r="Y2979" s="7"/>
      <c r="Z2979" s="2"/>
      <c r="AA2979" s="1"/>
      <c r="AC2979" s="2"/>
      <c r="AE2979" s="1"/>
      <c r="AG2979" s="2"/>
    </row>
    <row r="2980" spans="24:33" ht="49.95" customHeight="1" x14ac:dyDescent="0.3">
      <c r="X2980" s="134"/>
      <c r="Y2980" s="7"/>
      <c r="Z2980" s="2"/>
      <c r="AA2980" s="1"/>
      <c r="AC2980" s="2"/>
      <c r="AE2980" s="1"/>
      <c r="AG2980" s="2"/>
    </row>
    <row r="2981" spans="24:33" ht="49.95" customHeight="1" x14ac:dyDescent="0.3">
      <c r="X2981" s="2"/>
      <c r="Y2981" s="7"/>
      <c r="Z2981" s="2"/>
      <c r="AA2981" s="1"/>
      <c r="AC2981" s="2"/>
      <c r="AE2981" s="1"/>
      <c r="AG2981" s="2"/>
    </row>
    <row r="2982" spans="24:33" ht="49.95" customHeight="1" x14ac:dyDescent="0.3">
      <c r="X2982" s="2"/>
      <c r="Y2982" s="7"/>
      <c r="Z2982" s="2"/>
      <c r="AA2982" s="1"/>
      <c r="AC2982" s="2"/>
      <c r="AE2982" s="1"/>
      <c r="AG2982" s="2"/>
    </row>
    <row r="2983" spans="24:33" ht="49.95" customHeight="1" x14ac:dyDescent="0.3">
      <c r="X2983" s="2"/>
      <c r="Y2983" s="7"/>
      <c r="Z2983" s="2"/>
      <c r="AA2983" s="1"/>
      <c r="AC2983" s="2"/>
      <c r="AE2983" s="1"/>
      <c r="AG2983" s="2"/>
    </row>
    <row r="2984" spans="24:33" ht="49.95" customHeight="1" x14ac:dyDescent="0.3">
      <c r="X2984" s="2"/>
      <c r="Y2984" s="7"/>
      <c r="Z2984" s="2"/>
      <c r="AA2984" s="1"/>
      <c r="AC2984" s="2"/>
      <c r="AE2984" s="1"/>
      <c r="AG2984" s="2"/>
    </row>
    <row r="2985" spans="24:33" ht="49.95" customHeight="1" x14ac:dyDescent="0.3">
      <c r="X2985" s="2"/>
      <c r="Y2985" s="7"/>
      <c r="Z2985" s="2"/>
      <c r="AA2985" s="1"/>
      <c r="AC2985" s="2"/>
      <c r="AE2985" s="1"/>
      <c r="AG2985" s="2"/>
    </row>
    <row r="2986" spans="24:33" ht="49.95" customHeight="1" x14ac:dyDescent="0.3">
      <c r="X2986" s="2"/>
      <c r="Y2986" s="7"/>
      <c r="Z2986" s="2"/>
      <c r="AA2986" s="1"/>
      <c r="AC2986" s="2"/>
      <c r="AE2986" s="1"/>
      <c r="AG2986" s="2"/>
    </row>
    <row r="2987" spans="24:33" ht="49.95" customHeight="1" x14ac:dyDescent="0.3">
      <c r="X2987" s="2"/>
      <c r="Y2987" s="7"/>
      <c r="Z2987" s="2"/>
      <c r="AA2987" s="1"/>
      <c r="AC2987" s="2"/>
      <c r="AE2987" s="1"/>
      <c r="AG2987" s="2"/>
    </row>
    <row r="2988" spans="24:33" ht="49.95" customHeight="1" x14ac:dyDescent="0.3">
      <c r="X2988" s="2"/>
      <c r="Y2988" s="7"/>
      <c r="Z2988" s="2"/>
      <c r="AA2988" s="1"/>
      <c r="AC2988" s="2"/>
      <c r="AE2988" s="1"/>
      <c r="AG2988" s="2"/>
    </row>
    <row r="2989" spans="24:33" ht="49.95" customHeight="1" x14ac:dyDescent="0.3">
      <c r="X2989" s="2"/>
      <c r="Y2989" s="7"/>
      <c r="Z2989" s="2"/>
      <c r="AA2989" s="1"/>
      <c r="AC2989" s="2"/>
      <c r="AE2989" s="1"/>
      <c r="AG2989" s="2"/>
    </row>
    <row r="2990" spans="24:33" ht="49.95" customHeight="1" x14ac:dyDescent="0.3">
      <c r="X2990" s="2"/>
      <c r="Y2990" s="7"/>
      <c r="Z2990" s="2"/>
      <c r="AA2990" s="1"/>
      <c r="AC2990" s="2"/>
      <c r="AE2990" s="1"/>
      <c r="AG2990" s="2"/>
    </row>
    <row r="2991" spans="24:33" ht="49.95" customHeight="1" x14ac:dyDescent="0.3">
      <c r="X2991" s="2"/>
      <c r="Y2991" s="7"/>
      <c r="Z2991" s="2"/>
      <c r="AA2991" s="1"/>
      <c r="AC2991" s="2"/>
      <c r="AE2991" s="1"/>
      <c r="AG2991" s="2"/>
    </row>
    <row r="2992" spans="24:33" ht="49.95" customHeight="1" x14ac:dyDescent="0.3">
      <c r="X2992" s="2"/>
      <c r="Y2992" s="7"/>
      <c r="Z2992" s="2"/>
      <c r="AA2992" s="1"/>
      <c r="AC2992" s="2"/>
      <c r="AE2992" s="1"/>
      <c r="AG2992" s="2"/>
    </row>
    <row r="2993" spans="24:33" ht="49.95" customHeight="1" x14ac:dyDescent="0.3">
      <c r="X2993" s="2"/>
      <c r="Y2993" s="7"/>
      <c r="Z2993" s="2"/>
      <c r="AA2993" s="1"/>
      <c r="AC2993" s="2"/>
      <c r="AE2993" s="1"/>
      <c r="AG2993" s="2"/>
    </row>
    <row r="2994" spans="24:33" ht="49.95" customHeight="1" x14ac:dyDescent="0.3">
      <c r="X2994" s="2"/>
      <c r="Y2994" s="7"/>
      <c r="Z2994" s="2"/>
      <c r="AA2994" s="1"/>
      <c r="AC2994" s="2"/>
      <c r="AE2994" s="1"/>
      <c r="AG2994" s="2"/>
    </row>
    <row r="2995" spans="24:33" ht="49.95" customHeight="1" x14ac:dyDescent="0.3">
      <c r="X2995" s="2"/>
      <c r="Y2995" s="7"/>
      <c r="Z2995" s="2"/>
      <c r="AA2995" s="1"/>
      <c r="AC2995" s="2"/>
      <c r="AE2995" s="1"/>
      <c r="AG2995" s="2"/>
    </row>
    <row r="2996" spans="24:33" ht="49.95" customHeight="1" x14ac:dyDescent="0.3">
      <c r="X2996" s="2"/>
      <c r="Y2996" s="7"/>
      <c r="Z2996" s="2"/>
      <c r="AA2996" s="1"/>
      <c r="AC2996" s="2"/>
      <c r="AE2996" s="1"/>
      <c r="AG2996" s="2"/>
    </row>
    <row r="2997" spans="24:33" ht="49.95" customHeight="1" x14ac:dyDescent="0.3">
      <c r="X2997" s="2"/>
      <c r="Y2997" s="7"/>
      <c r="Z2997" s="2"/>
      <c r="AA2997" s="1"/>
      <c r="AC2997" s="2"/>
      <c r="AE2997" s="1"/>
      <c r="AG2997" s="2"/>
    </row>
    <row r="2998" spans="24:33" ht="49.95" customHeight="1" x14ac:dyDescent="0.3">
      <c r="X2998" s="2"/>
      <c r="Y2998" s="7"/>
      <c r="Z2998" s="2"/>
      <c r="AA2998" s="1"/>
      <c r="AC2998" s="2"/>
      <c r="AE2998" s="1"/>
      <c r="AG2998" s="2"/>
    </row>
    <row r="2999" spans="24:33" ht="49.95" customHeight="1" x14ac:dyDescent="0.3">
      <c r="X2999" s="134"/>
      <c r="Y2999" s="7"/>
      <c r="Z2999" s="2"/>
      <c r="AA2999" s="1"/>
      <c r="AC2999" s="2"/>
      <c r="AE2999" s="1"/>
      <c r="AG2999" s="2"/>
    </row>
    <row r="3000" spans="24:33" ht="49.95" customHeight="1" x14ac:dyDescent="0.3">
      <c r="X3000" s="134"/>
      <c r="Y3000" s="7"/>
      <c r="Z3000" s="2"/>
      <c r="AA3000" s="1"/>
      <c r="AC3000" s="2"/>
      <c r="AE3000" s="1"/>
      <c r="AG3000" s="2"/>
    </row>
    <row r="3001" spans="24:33" ht="49.95" customHeight="1" x14ac:dyDescent="0.3">
      <c r="X3001" s="2"/>
      <c r="Y3001" s="7"/>
      <c r="Z3001" s="2"/>
      <c r="AA3001" s="1"/>
      <c r="AC3001" s="2"/>
      <c r="AE3001" s="1"/>
      <c r="AG3001" s="2"/>
    </row>
    <row r="3002" spans="24:33" ht="49.95" customHeight="1" x14ac:dyDescent="0.3">
      <c r="X3002" s="2"/>
      <c r="Y3002" s="7"/>
      <c r="Z3002" s="2"/>
      <c r="AA3002" s="1"/>
      <c r="AC3002" s="2"/>
      <c r="AE3002" s="1"/>
      <c r="AG3002" s="2"/>
    </row>
    <row r="3003" spans="24:33" ht="49.95" customHeight="1" x14ac:dyDescent="0.3">
      <c r="X3003" s="2"/>
      <c r="Y3003" s="7"/>
      <c r="Z3003" s="2"/>
      <c r="AA3003" s="1"/>
      <c r="AC3003" s="2"/>
      <c r="AE3003" s="1"/>
      <c r="AG3003" s="2"/>
    </row>
    <row r="3004" spans="24:33" ht="49.95" customHeight="1" x14ac:dyDescent="0.3">
      <c r="X3004" s="2"/>
      <c r="Y3004" s="7"/>
      <c r="Z3004" s="2"/>
      <c r="AA3004" s="1"/>
      <c r="AC3004" s="2"/>
      <c r="AE3004" s="1"/>
      <c r="AG3004" s="2"/>
    </row>
    <row r="3005" spans="24:33" ht="49.95" customHeight="1" x14ac:dyDescent="0.3">
      <c r="X3005" s="2"/>
      <c r="Y3005" s="7"/>
      <c r="Z3005" s="2"/>
      <c r="AA3005" s="1"/>
      <c r="AC3005" s="2"/>
      <c r="AE3005" s="1"/>
      <c r="AG3005" s="2"/>
    </row>
    <row r="3006" spans="24:33" ht="49.95" customHeight="1" x14ac:dyDescent="0.3">
      <c r="X3006" s="2"/>
      <c r="Y3006" s="7"/>
      <c r="Z3006" s="2"/>
      <c r="AA3006" s="1"/>
      <c r="AC3006" s="2"/>
      <c r="AE3006" s="1"/>
      <c r="AG3006" s="2"/>
    </row>
    <row r="3007" spans="24:33" ht="49.95" customHeight="1" x14ac:dyDescent="0.3">
      <c r="X3007" s="2"/>
      <c r="Y3007" s="7"/>
      <c r="Z3007" s="2"/>
      <c r="AA3007" s="1"/>
      <c r="AC3007" s="2"/>
      <c r="AE3007" s="1"/>
      <c r="AG3007" s="2"/>
    </row>
    <row r="3008" spans="24:33" ht="49.95" customHeight="1" x14ac:dyDescent="0.3">
      <c r="X3008" s="2"/>
      <c r="Y3008" s="7"/>
      <c r="Z3008" s="2"/>
      <c r="AA3008" s="1"/>
      <c r="AC3008" s="2"/>
      <c r="AE3008" s="1"/>
      <c r="AG3008" s="2"/>
    </row>
    <row r="3009" spans="24:33" ht="49.95" customHeight="1" x14ac:dyDescent="0.3">
      <c r="X3009" s="2"/>
      <c r="Y3009" s="7"/>
      <c r="Z3009" s="2"/>
      <c r="AA3009" s="1"/>
      <c r="AC3009" s="2"/>
      <c r="AE3009" s="1"/>
      <c r="AG3009" s="2"/>
    </row>
    <row r="3010" spans="24:33" ht="49.95" customHeight="1" x14ac:dyDescent="0.3">
      <c r="X3010" s="2"/>
      <c r="Y3010" s="7"/>
      <c r="Z3010" s="2"/>
      <c r="AA3010" s="1"/>
      <c r="AC3010" s="2"/>
      <c r="AE3010" s="1"/>
      <c r="AG3010" s="2"/>
    </row>
    <row r="3011" spans="24:33" ht="49.95" customHeight="1" x14ac:dyDescent="0.3">
      <c r="X3011" s="2"/>
      <c r="Y3011" s="7"/>
      <c r="Z3011" s="2"/>
      <c r="AA3011" s="1"/>
      <c r="AC3011" s="2"/>
      <c r="AE3011" s="1"/>
      <c r="AG3011" s="2"/>
    </row>
    <row r="3012" spans="24:33" ht="49.95" customHeight="1" x14ac:dyDescent="0.3">
      <c r="X3012" s="2"/>
      <c r="Y3012" s="7"/>
      <c r="Z3012" s="2"/>
      <c r="AA3012" s="1"/>
      <c r="AC3012" s="2"/>
      <c r="AE3012" s="1"/>
      <c r="AG3012" s="2"/>
    </row>
    <row r="3013" spans="24:33" ht="49.95" customHeight="1" x14ac:dyDescent="0.3">
      <c r="X3013" s="2"/>
      <c r="Y3013" s="7"/>
      <c r="Z3013" s="2"/>
      <c r="AA3013" s="1"/>
      <c r="AC3013" s="2"/>
      <c r="AE3013" s="1"/>
      <c r="AG3013" s="2"/>
    </row>
    <row r="3014" spans="24:33" ht="49.95" customHeight="1" x14ac:dyDescent="0.3">
      <c r="X3014" s="2"/>
      <c r="Y3014" s="7"/>
      <c r="Z3014" s="2"/>
      <c r="AA3014" s="1"/>
      <c r="AC3014" s="2"/>
      <c r="AE3014" s="1"/>
      <c r="AG3014" s="2"/>
    </row>
    <row r="3015" spans="24:33" ht="49.95" customHeight="1" x14ac:dyDescent="0.3">
      <c r="X3015" s="134"/>
      <c r="Y3015" s="7"/>
      <c r="Z3015" s="2"/>
      <c r="AA3015" s="1"/>
      <c r="AC3015" s="2"/>
      <c r="AE3015" s="1"/>
      <c r="AG3015" s="2"/>
    </row>
    <row r="3016" spans="24:33" ht="49.95" customHeight="1" x14ac:dyDescent="0.3">
      <c r="X3016" s="134"/>
      <c r="Y3016" s="7"/>
      <c r="Z3016" s="2"/>
      <c r="AA3016" s="1"/>
      <c r="AC3016" s="2"/>
      <c r="AE3016" s="1"/>
      <c r="AG3016" s="2"/>
    </row>
    <row r="3017" spans="24:33" ht="49.95" customHeight="1" x14ac:dyDescent="0.3">
      <c r="X3017" s="134"/>
      <c r="Y3017" s="7"/>
      <c r="Z3017" s="2"/>
      <c r="AA3017" s="1"/>
      <c r="AC3017" s="2"/>
      <c r="AE3017" s="1"/>
      <c r="AG3017" s="2"/>
    </row>
    <row r="3018" spans="24:33" ht="49.95" customHeight="1" x14ac:dyDescent="0.3">
      <c r="X3018" s="134"/>
      <c r="Y3018" s="7"/>
      <c r="Z3018" s="2"/>
      <c r="AA3018" s="1"/>
      <c r="AC3018" s="2"/>
      <c r="AE3018" s="1"/>
      <c r="AG3018" s="2"/>
    </row>
    <row r="3019" spans="24:33" ht="49.95" customHeight="1" x14ac:dyDescent="0.3">
      <c r="X3019" s="2"/>
      <c r="Y3019" s="7"/>
      <c r="Z3019" s="2"/>
      <c r="AA3019" s="1"/>
      <c r="AC3019" s="2"/>
      <c r="AE3019" s="1"/>
      <c r="AG3019" s="2"/>
    </row>
    <row r="3020" spans="24:33" ht="49.95" customHeight="1" x14ac:dyDescent="0.3">
      <c r="X3020" s="2"/>
      <c r="Y3020" s="7"/>
      <c r="Z3020" s="2"/>
      <c r="AA3020" s="1"/>
      <c r="AC3020" s="2"/>
      <c r="AE3020" s="1"/>
      <c r="AG3020" s="2"/>
    </row>
    <row r="3021" spans="24:33" ht="49.95" customHeight="1" x14ac:dyDescent="0.3">
      <c r="X3021" s="134"/>
      <c r="Y3021" s="7"/>
      <c r="Z3021" s="2"/>
      <c r="AA3021" s="1"/>
      <c r="AC3021" s="2"/>
      <c r="AE3021" s="1"/>
      <c r="AG3021" s="2"/>
    </row>
    <row r="3022" spans="24:33" ht="49.95" customHeight="1" x14ac:dyDescent="0.3">
      <c r="X3022" s="2"/>
      <c r="Y3022" s="7"/>
      <c r="Z3022" s="2"/>
      <c r="AA3022" s="1"/>
      <c r="AC3022" s="2"/>
      <c r="AE3022" s="1"/>
      <c r="AG3022" s="2"/>
    </row>
    <row r="3023" spans="24:33" ht="49.95" customHeight="1" x14ac:dyDescent="0.3">
      <c r="X3023" s="2"/>
      <c r="Y3023" s="7"/>
      <c r="Z3023" s="2"/>
      <c r="AA3023" s="1"/>
      <c r="AC3023" s="2"/>
      <c r="AE3023" s="1"/>
      <c r="AG3023" s="2"/>
    </row>
    <row r="3024" spans="24:33" ht="49.95" customHeight="1" x14ac:dyDescent="0.3">
      <c r="X3024" s="2"/>
      <c r="Y3024" s="7"/>
      <c r="Z3024" s="2"/>
      <c r="AA3024" s="1"/>
      <c r="AC3024" s="2"/>
      <c r="AE3024" s="1"/>
      <c r="AG3024" s="2"/>
    </row>
    <row r="3025" spans="24:33" ht="49.95" customHeight="1" x14ac:dyDescent="0.3">
      <c r="X3025" s="2"/>
      <c r="Y3025" s="7"/>
      <c r="Z3025" s="2"/>
      <c r="AA3025" s="1"/>
      <c r="AC3025" s="2"/>
      <c r="AE3025" s="1"/>
      <c r="AG3025" s="2"/>
    </row>
    <row r="3026" spans="24:33" ht="49.95" customHeight="1" x14ac:dyDescent="0.3">
      <c r="X3026" s="2"/>
      <c r="Y3026" s="7"/>
      <c r="Z3026" s="2"/>
      <c r="AA3026" s="1"/>
      <c r="AC3026" s="2"/>
      <c r="AE3026" s="1"/>
      <c r="AG3026" s="2"/>
    </row>
    <row r="3027" spans="24:33" ht="49.95" customHeight="1" x14ac:dyDescent="0.3">
      <c r="X3027" s="2"/>
      <c r="Y3027" s="7"/>
      <c r="Z3027" s="2"/>
      <c r="AA3027" s="1"/>
      <c r="AC3027" s="2"/>
      <c r="AE3027" s="1"/>
      <c r="AG3027" s="2"/>
    </row>
    <row r="3028" spans="24:33" ht="49.95" customHeight="1" x14ac:dyDescent="0.3">
      <c r="X3028" s="2"/>
      <c r="Y3028" s="7"/>
      <c r="Z3028" s="2"/>
      <c r="AA3028" s="1"/>
      <c r="AC3028" s="2"/>
      <c r="AE3028" s="1"/>
      <c r="AG3028" s="2"/>
    </row>
    <row r="3029" spans="24:33" ht="49.95" customHeight="1" x14ac:dyDescent="0.3">
      <c r="X3029" s="134"/>
      <c r="Y3029" s="7"/>
      <c r="Z3029" s="2"/>
      <c r="AA3029" s="1"/>
      <c r="AC3029" s="2"/>
      <c r="AE3029" s="1"/>
      <c r="AG3029" s="2"/>
    </row>
    <row r="3030" spans="24:33" ht="49.95" customHeight="1" x14ac:dyDescent="0.3">
      <c r="X3030" s="134"/>
      <c r="Y3030" s="7"/>
      <c r="Z3030" s="2"/>
      <c r="AA3030" s="1"/>
      <c r="AC3030" s="2"/>
      <c r="AE3030" s="1"/>
      <c r="AG3030" s="2"/>
    </row>
    <row r="3031" spans="24:33" ht="49.95" customHeight="1" x14ac:dyDescent="0.3">
      <c r="X3031" s="134"/>
      <c r="Y3031" s="7"/>
      <c r="Z3031" s="2"/>
      <c r="AA3031" s="1"/>
      <c r="AC3031" s="2"/>
      <c r="AE3031" s="1"/>
      <c r="AG3031" s="2"/>
    </row>
    <row r="3032" spans="24:33" ht="49.95" customHeight="1" x14ac:dyDescent="0.3">
      <c r="X3032" s="2"/>
      <c r="Y3032" s="7"/>
      <c r="Z3032" s="2"/>
      <c r="AA3032" s="1"/>
      <c r="AC3032" s="2"/>
      <c r="AE3032" s="1"/>
      <c r="AG3032" s="2"/>
    </row>
    <row r="3033" spans="24:33" ht="49.95" customHeight="1" x14ac:dyDescent="0.3">
      <c r="X3033" s="2"/>
      <c r="Y3033" s="7"/>
      <c r="Z3033" s="2"/>
      <c r="AA3033" s="1"/>
      <c r="AC3033" s="2"/>
      <c r="AE3033" s="1"/>
      <c r="AG3033" s="2"/>
    </row>
    <row r="3034" spans="24:33" ht="49.95" customHeight="1" x14ac:dyDescent="0.3">
      <c r="X3034" s="135"/>
      <c r="Y3034" s="7"/>
      <c r="Z3034" s="2"/>
      <c r="AA3034" s="1"/>
      <c r="AC3034" s="2"/>
      <c r="AE3034" s="1"/>
      <c r="AG3034" s="2"/>
    </row>
    <row r="3035" spans="24:33" ht="49.95" customHeight="1" x14ac:dyDescent="0.3">
      <c r="X3035" s="2"/>
      <c r="Y3035" s="7"/>
      <c r="Z3035" s="2"/>
      <c r="AA3035" s="1"/>
      <c r="AC3035" s="2"/>
      <c r="AE3035" s="1"/>
      <c r="AG3035" s="2"/>
    </row>
    <row r="3036" spans="24:33" ht="49.95" customHeight="1" x14ac:dyDescent="0.3">
      <c r="X3036" s="2"/>
      <c r="Y3036" s="7"/>
      <c r="Z3036" s="2"/>
      <c r="AA3036" s="1"/>
      <c r="AC3036" s="2"/>
      <c r="AE3036" s="1"/>
      <c r="AG3036" s="2"/>
    </row>
    <row r="3037" spans="24:33" ht="49.95" customHeight="1" x14ac:dyDescent="0.3">
      <c r="X3037" s="2"/>
      <c r="Y3037" s="7"/>
      <c r="Z3037" s="2"/>
      <c r="AA3037" s="1"/>
      <c r="AC3037" s="2"/>
      <c r="AE3037" s="1"/>
      <c r="AG3037" s="2"/>
    </row>
    <row r="3038" spans="24:33" ht="49.95" customHeight="1" x14ac:dyDescent="0.3">
      <c r="X3038" s="2"/>
      <c r="Y3038" s="7"/>
      <c r="Z3038" s="2"/>
      <c r="AA3038" s="1"/>
      <c r="AC3038" s="2"/>
      <c r="AE3038" s="1"/>
      <c r="AG3038" s="2"/>
    </row>
    <row r="3039" spans="24:33" ht="49.95" customHeight="1" x14ac:dyDescent="0.3">
      <c r="X3039" s="2"/>
      <c r="Y3039" s="7"/>
      <c r="Z3039" s="2"/>
      <c r="AA3039" s="1"/>
      <c r="AC3039" s="2"/>
      <c r="AE3039" s="1"/>
      <c r="AG3039" s="2"/>
    </row>
    <row r="3040" spans="24:33" ht="49.95" customHeight="1" x14ac:dyDescent="0.3">
      <c r="X3040" s="2"/>
      <c r="Y3040" s="7"/>
      <c r="Z3040" s="2"/>
      <c r="AA3040" s="1"/>
      <c r="AC3040" s="2"/>
      <c r="AE3040" s="1"/>
      <c r="AG3040" s="2"/>
    </row>
    <row r="3041" spans="24:33" ht="49.95" customHeight="1" x14ac:dyDescent="0.3">
      <c r="X3041" s="2"/>
      <c r="Y3041" s="7"/>
      <c r="Z3041" s="2"/>
      <c r="AA3041" s="1"/>
      <c r="AC3041" s="2"/>
      <c r="AE3041" s="1"/>
      <c r="AG3041" s="2"/>
    </row>
    <row r="3042" spans="24:33" ht="49.95" customHeight="1" x14ac:dyDescent="0.3">
      <c r="X3042" s="2"/>
      <c r="Y3042" s="7"/>
      <c r="Z3042" s="2"/>
      <c r="AA3042" s="1"/>
      <c r="AC3042" s="2"/>
      <c r="AE3042" s="1"/>
      <c r="AG3042" s="2"/>
    </row>
    <row r="3043" spans="24:33" ht="49.95" customHeight="1" x14ac:dyDescent="0.3">
      <c r="X3043" s="2"/>
      <c r="Y3043" s="7"/>
      <c r="Z3043" s="2"/>
      <c r="AA3043" s="1"/>
      <c r="AC3043" s="2"/>
      <c r="AE3043" s="1"/>
      <c r="AG3043" s="2"/>
    </row>
    <row r="3044" spans="24:33" ht="49.95" customHeight="1" x14ac:dyDescent="0.3">
      <c r="X3044" s="2"/>
      <c r="Y3044" s="7"/>
      <c r="Z3044" s="2"/>
      <c r="AA3044" s="1"/>
      <c r="AC3044" s="2"/>
      <c r="AE3044" s="1"/>
      <c r="AG3044" s="2"/>
    </row>
    <row r="3045" spans="24:33" ht="49.95" customHeight="1" x14ac:dyDescent="0.3">
      <c r="X3045" s="2"/>
      <c r="Y3045" s="7"/>
      <c r="Z3045" s="2"/>
      <c r="AA3045" s="1"/>
      <c r="AC3045" s="2"/>
      <c r="AE3045" s="1"/>
      <c r="AG3045" s="2"/>
    </row>
    <row r="3046" spans="24:33" ht="49.95" customHeight="1" x14ac:dyDescent="0.3">
      <c r="X3046" s="2"/>
      <c r="Y3046" s="7"/>
      <c r="Z3046" s="2"/>
      <c r="AA3046" s="1"/>
      <c r="AC3046" s="2"/>
      <c r="AE3046" s="1"/>
      <c r="AG3046" s="2"/>
    </row>
    <row r="3047" spans="24:33" ht="49.95" customHeight="1" x14ac:dyDescent="0.3">
      <c r="X3047" s="2"/>
      <c r="Y3047" s="7"/>
      <c r="Z3047" s="2"/>
      <c r="AA3047" s="1"/>
      <c r="AC3047" s="2"/>
      <c r="AE3047" s="1"/>
      <c r="AG3047" s="2"/>
    </row>
    <row r="3048" spans="24:33" ht="49.95" customHeight="1" x14ac:dyDescent="0.3">
      <c r="X3048" s="2"/>
      <c r="Y3048" s="7"/>
      <c r="Z3048" s="2"/>
      <c r="AA3048" s="1"/>
      <c r="AC3048" s="2"/>
      <c r="AE3048" s="1"/>
      <c r="AG3048" s="2"/>
    </row>
    <row r="3049" spans="24:33" ht="49.95" customHeight="1" x14ac:dyDescent="0.3">
      <c r="X3049" s="2"/>
      <c r="Y3049" s="7"/>
      <c r="Z3049" s="2"/>
      <c r="AA3049" s="1"/>
      <c r="AC3049" s="2"/>
      <c r="AE3049" s="1"/>
      <c r="AG3049" s="2"/>
    </row>
    <row r="3050" spans="24:33" ht="49.95" customHeight="1" x14ac:dyDescent="0.3">
      <c r="X3050" s="2"/>
      <c r="Y3050" s="7"/>
      <c r="Z3050" s="2"/>
      <c r="AA3050" s="1"/>
      <c r="AC3050" s="2"/>
      <c r="AE3050" s="1"/>
      <c r="AG3050" s="2"/>
    </row>
    <row r="3051" spans="24:33" ht="49.95" customHeight="1" x14ac:dyDescent="0.3">
      <c r="X3051" s="2"/>
      <c r="Y3051" s="7"/>
      <c r="Z3051" s="2"/>
      <c r="AA3051" s="1"/>
      <c r="AC3051" s="2"/>
      <c r="AE3051" s="1"/>
      <c r="AG3051" s="2"/>
    </row>
    <row r="3052" spans="24:33" ht="49.95" customHeight="1" x14ac:dyDescent="0.3">
      <c r="X3052" s="2"/>
      <c r="Y3052" s="7"/>
      <c r="Z3052" s="2"/>
      <c r="AA3052" s="1"/>
      <c r="AC3052" s="2"/>
      <c r="AE3052" s="1"/>
      <c r="AG3052" s="2"/>
    </row>
    <row r="3053" spans="24:33" ht="49.95" customHeight="1" x14ac:dyDescent="0.3">
      <c r="X3053" s="2"/>
      <c r="Y3053" s="7"/>
      <c r="Z3053" s="2"/>
      <c r="AA3053" s="1"/>
      <c r="AC3053" s="2"/>
      <c r="AE3053" s="1"/>
      <c r="AG3053" s="2"/>
    </row>
    <row r="3054" spans="24:33" ht="49.95" customHeight="1" x14ac:dyDescent="0.3">
      <c r="X3054" s="2"/>
      <c r="Y3054" s="7"/>
      <c r="Z3054" s="2"/>
      <c r="AA3054" s="1"/>
      <c r="AC3054" s="2"/>
      <c r="AE3054" s="1"/>
      <c r="AG3054" s="2"/>
    </row>
    <row r="3055" spans="24:33" ht="49.95" customHeight="1" x14ac:dyDescent="0.3">
      <c r="X3055" s="2"/>
      <c r="Y3055" s="7"/>
      <c r="Z3055" s="2"/>
      <c r="AA3055" s="1"/>
      <c r="AC3055" s="2"/>
      <c r="AE3055" s="1"/>
      <c r="AG3055" s="2"/>
    </row>
    <row r="3056" spans="24:33" ht="49.95" customHeight="1" x14ac:dyDescent="0.3">
      <c r="X3056" s="2"/>
      <c r="Y3056" s="7"/>
      <c r="Z3056" s="2"/>
      <c r="AA3056" s="1"/>
      <c r="AC3056" s="2"/>
      <c r="AE3056" s="1"/>
      <c r="AG3056" s="2"/>
    </row>
    <row r="3057" spans="24:33" ht="49.95" customHeight="1" x14ac:dyDescent="0.3">
      <c r="X3057" s="2"/>
      <c r="Y3057" s="7"/>
      <c r="Z3057" s="2"/>
      <c r="AA3057" s="1"/>
      <c r="AC3057" s="2"/>
      <c r="AE3057" s="1"/>
      <c r="AG3057" s="2"/>
    </row>
    <row r="3058" spans="24:33" ht="49.95" customHeight="1" x14ac:dyDescent="0.3">
      <c r="X3058" s="2"/>
      <c r="Y3058" s="7"/>
      <c r="Z3058" s="2"/>
      <c r="AA3058" s="1"/>
      <c r="AC3058" s="2"/>
      <c r="AE3058" s="1"/>
      <c r="AG3058" s="2"/>
    </row>
    <row r="3059" spans="24:33" ht="49.95" customHeight="1" x14ac:dyDescent="0.3">
      <c r="X3059" s="2"/>
      <c r="Y3059" s="7"/>
      <c r="Z3059" s="2"/>
      <c r="AA3059" s="1"/>
      <c r="AC3059" s="2"/>
      <c r="AE3059" s="1"/>
      <c r="AG3059" s="2"/>
    </row>
    <row r="3060" spans="24:33" ht="49.95" customHeight="1" x14ac:dyDescent="0.3">
      <c r="X3060" s="2"/>
      <c r="Y3060" s="7"/>
      <c r="Z3060" s="2"/>
      <c r="AA3060" s="1"/>
      <c r="AC3060" s="2"/>
      <c r="AE3060" s="1"/>
      <c r="AG3060" s="2"/>
    </row>
    <row r="3061" spans="24:33" ht="49.95" customHeight="1" x14ac:dyDescent="0.3">
      <c r="X3061" s="2"/>
      <c r="Y3061" s="7"/>
      <c r="Z3061" s="2"/>
      <c r="AA3061" s="1"/>
      <c r="AC3061" s="2"/>
      <c r="AE3061" s="1"/>
      <c r="AG3061" s="2"/>
    </row>
    <row r="3062" spans="24:33" ht="49.95" customHeight="1" x14ac:dyDescent="0.3">
      <c r="X3062" s="2"/>
      <c r="Y3062" s="7"/>
      <c r="Z3062" s="2"/>
      <c r="AA3062" s="1"/>
      <c r="AC3062" s="2"/>
      <c r="AE3062" s="1"/>
      <c r="AG3062" s="2"/>
    </row>
    <row r="3063" spans="24:33" ht="49.95" customHeight="1" x14ac:dyDescent="0.3">
      <c r="X3063" s="2"/>
      <c r="Y3063" s="7"/>
      <c r="Z3063" s="2"/>
      <c r="AA3063" s="1"/>
      <c r="AC3063" s="2"/>
      <c r="AE3063" s="1"/>
      <c r="AG3063" s="2"/>
    </row>
    <row r="3064" spans="24:33" ht="49.95" customHeight="1" x14ac:dyDescent="0.3">
      <c r="X3064" s="2"/>
      <c r="Y3064" s="7"/>
      <c r="Z3064" s="2"/>
      <c r="AA3064" s="1"/>
      <c r="AC3064" s="2"/>
      <c r="AE3064" s="1"/>
      <c r="AG3064" s="2"/>
    </row>
    <row r="3065" spans="24:33" ht="49.95" customHeight="1" x14ac:dyDescent="0.3">
      <c r="X3065" s="2"/>
      <c r="Y3065" s="7"/>
      <c r="Z3065" s="2"/>
      <c r="AA3065" s="1"/>
      <c r="AC3065" s="2"/>
      <c r="AE3065" s="1"/>
      <c r="AG3065" s="2"/>
    </row>
    <row r="3066" spans="24:33" ht="49.95" customHeight="1" x14ac:dyDescent="0.3">
      <c r="X3066" s="2"/>
      <c r="Y3066" s="7"/>
      <c r="Z3066" s="2"/>
      <c r="AA3066" s="1"/>
      <c r="AC3066" s="2"/>
      <c r="AE3066" s="1"/>
      <c r="AG3066" s="2"/>
    </row>
    <row r="3067" spans="24:33" ht="49.95" customHeight="1" x14ac:dyDescent="0.3">
      <c r="X3067" s="2"/>
      <c r="Y3067" s="7"/>
      <c r="Z3067" s="2"/>
      <c r="AA3067" s="1"/>
      <c r="AC3067" s="2"/>
      <c r="AE3067" s="1"/>
      <c r="AG3067" s="2"/>
    </row>
    <row r="3068" spans="24:33" ht="49.95" customHeight="1" x14ac:dyDescent="0.3">
      <c r="X3068" s="2"/>
      <c r="Y3068" s="7"/>
      <c r="Z3068" s="2"/>
      <c r="AA3068" s="1"/>
      <c r="AC3068" s="2"/>
      <c r="AE3068" s="1"/>
      <c r="AG3068" s="2"/>
    </row>
    <row r="3069" spans="24:33" ht="49.95" customHeight="1" x14ac:dyDescent="0.3">
      <c r="X3069" s="2"/>
      <c r="Y3069" s="7"/>
      <c r="Z3069" s="2"/>
      <c r="AA3069" s="1"/>
      <c r="AC3069" s="2"/>
      <c r="AE3069" s="1"/>
      <c r="AG3069" s="2"/>
    </row>
    <row r="3070" spans="24:33" ht="49.95" customHeight="1" x14ac:dyDescent="0.3">
      <c r="X3070" s="2"/>
      <c r="Y3070" s="7"/>
      <c r="Z3070" s="2"/>
      <c r="AA3070" s="1"/>
      <c r="AC3070" s="2"/>
      <c r="AE3070" s="1"/>
      <c r="AG3070" s="2"/>
    </row>
    <row r="3071" spans="24:33" ht="49.95" customHeight="1" x14ac:dyDescent="0.3">
      <c r="X3071" s="2"/>
      <c r="Y3071" s="7"/>
      <c r="Z3071" s="2"/>
      <c r="AA3071" s="1"/>
      <c r="AC3071" s="2"/>
      <c r="AE3071" s="1"/>
      <c r="AG3071" s="2"/>
    </row>
    <row r="3072" spans="24:33" ht="49.95" customHeight="1" x14ac:dyDescent="0.3">
      <c r="X3072" s="2"/>
      <c r="Y3072" s="7"/>
      <c r="Z3072" s="2"/>
      <c r="AA3072" s="1"/>
      <c r="AC3072" s="2"/>
      <c r="AE3072" s="1"/>
      <c r="AG3072" s="2"/>
    </row>
    <row r="3073" spans="24:33" ht="49.95" customHeight="1" x14ac:dyDescent="0.3">
      <c r="X3073" s="2"/>
      <c r="Y3073" s="7"/>
      <c r="Z3073" s="2"/>
      <c r="AA3073" s="1"/>
      <c r="AC3073" s="2"/>
      <c r="AE3073" s="1"/>
      <c r="AG3073" s="2"/>
    </row>
    <row r="3074" spans="24:33" ht="49.95" customHeight="1" x14ac:dyDescent="0.3">
      <c r="X3074" s="2"/>
      <c r="Y3074" s="7"/>
      <c r="Z3074" s="2"/>
      <c r="AA3074" s="1"/>
      <c r="AC3074" s="2"/>
      <c r="AE3074" s="1"/>
      <c r="AG3074" s="2"/>
    </row>
    <row r="3075" spans="24:33" ht="49.95" customHeight="1" x14ac:dyDescent="0.3">
      <c r="X3075" s="2"/>
      <c r="Y3075" s="7"/>
      <c r="Z3075" s="2"/>
      <c r="AA3075" s="1"/>
      <c r="AC3075" s="2"/>
      <c r="AE3075" s="1"/>
      <c r="AG3075" s="2"/>
    </row>
    <row r="3076" spans="24:33" ht="49.95" customHeight="1" x14ac:dyDescent="0.3">
      <c r="X3076" s="2"/>
      <c r="Y3076" s="7"/>
      <c r="Z3076" s="2"/>
      <c r="AA3076" s="1"/>
      <c r="AC3076" s="2"/>
      <c r="AE3076" s="1"/>
      <c r="AG3076" s="2"/>
    </row>
    <row r="3077" spans="24:33" ht="49.95" customHeight="1" x14ac:dyDescent="0.3">
      <c r="X3077" s="2"/>
      <c r="Y3077" s="7"/>
      <c r="Z3077" s="2"/>
      <c r="AA3077" s="1"/>
      <c r="AC3077" s="2"/>
      <c r="AE3077" s="1"/>
      <c r="AG3077" s="2"/>
    </row>
    <row r="3078" spans="24:33" ht="49.95" customHeight="1" x14ac:dyDescent="0.3">
      <c r="X3078" s="2"/>
      <c r="Y3078" s="7"/>
      <c r="Z3078" s="2"/>
      <c r="AA3078" s="1"/>
      <c r="AC3078" s="2"/>
      <c r="AE3078" s="1"/>
      <c r="AG3078" s="2"/>
    </row>
    <row r="3079" spans="24:33" ht="49.95" customHeight="1" x14ac:dyDescent="0.3">
      <c r="X3079" s="2"/>
      <c r="Y3079" s="7"/>
      <c r="Z3079" s="2"/>
      <c r="AA3079" s="1"/>
      <c r="AC3079" s="2"/>
      <c r="AE3079" s="1"/>
      <c r="AG3079" s="2"/>
    </row>
    <row r="3080" spans="24:33" ht="49.95" customHeight="1" x14ac:dyDescent="0.3">
      <c r="X3080" s="2"/>
      <c r="Y3080" s="7"/>
      <c r="Z3080" s="2"/>
      <c r="AA3080" s="1"/>
      <c r="AC3080" s="2"/>
      <c r="AE3080" s="1"/>
      <c r="AG3080" s="2"/>
    </row>
    <row r="3081" spans="24:33" ht="49.95" customHeight="1" x14ac:dyDescent="0.3">
      <c r="X3081" s="2"/>
      <c r="Y3081" s="7"/>
      <c r="Z3081" s="2"/>
      <c r="AA3081" s="1"/>
      <c r="AC3081" s="2"/>
      <c r="AE3081" s="1"/>
      <c r="AG3081" s="2"/>
    </row>
    <row r="3082" spans="24:33" ht="49.95" customHeight="1" x14ac:dyDescent="0.3">
      <c r="X3082" s="2"/>
      <c r="Y3082" s="7"/>
      <c r="Z3082" s="2"/>
      <c r="AA3082" s="1"/>
      <c r="AC3082" s="2"/>
      <c r="AE3082" s="1"/>
      <c r="AG3082" s="2"/>
    </row>
    <row r="3083" spans="24:33" ht="49.95" customHeight="1" x14ac:dyDescent="0.3">
      <c r="X3083" s="2"/>
      <c r="Y3083" s="7"/>
      <c r="Z3083" s="2"/>
      <c r="AA3083" s="1"/>
      <c r="AC3083" s="2"/>
      <c r="AE3083" s="1"/>
      <c r="AG3083" s="2"/>
    </row>
    <row r="3084" spans="24:33" ht="49.95" customHeight="1" x14ac:dyDescent="0.3">
      <c r="X3084" s="2"/>
      <c r="Y3084" s="7"/>
      <c r="Z3084" s="2"/>
      <c r="AA3084" s="1"/>
      <c r="AC3084" s="2"/>
      <c r="AE3084" s="1"/>
      <c r="AG3084" s="2"/>
    </row>
    <row r="3085" spans="24:33" ht="49.95" customHeight="1" x14ac:dyDescent="0.3">
      <c r="X3085" s="2"/>
      <c r="Y3085" s="7"/>
      <c r="Z3085" s="2"/>
      <c r="AA3085" s="1"/>
      <c r="AC3085" s="2"/>
      <c r="AE3085" s="1"/>
      <c r="AG3085" s="2"/>
    </row>
    <row r="3086" spans="24:33" ht="49.95" customHeight="1" x14ac:dyDescent="0.3">
      <c r="X3086" s="2"/>
      <c r="Y3086" s="7"/>
      <c r="Z3086" s="2"/>
      <c r="AA3086" s="1"/>
      <c r="AC3086" s="2"/>
      <c r="AE3086" s="1"/>
      <c r="AG3086" s="2"/>
    </row>
    <row r="3087" spans="24:33" ht="49.95" customHeight="1" x14ac:dyDescent="0.3">
      <c r="X3087" s="2"/>
      <c r="Y3087" s="7"/>
      <c r="Z3087" s="2"/>
      <c r="AA3087" s="1"/>
      <c r="AC3087" s="2"/>
      <c r="AE3087" s="1"/>
      <c r="AG3087" s="2"/>
    </row>
    <row r="3088" spans="24:33" ht="49.95" customHeight="1" x14ac:dyDescent="0.3">
      <c r="X3088" s="2"/>
      <c r="Y3088" s="7"/>
      <c r="Z3088" s="2"/>
      <c r="AA3088" s="1"/>
      <c r="AC3088" s="2"/>
      <c r="AE3088" s="1"/>
      <c r="AG3088" s="2"/>
    </row>
    <row r="3089" spans="24:33" ht="49.95" customHeight="1" x14ac:dyDescent="0.3">
      <c r="X3089" s="2"/>
      <c r="Y3089" s="7"/>
      <c r="Z3089" s="2"/>
      <c r="AA3089" s="1"/>
      <c r="AC3089" s="2"/>
      <c r="AE3089" s="1"/>
      <c r="AG3089" s="2"/>
    </row>
    <row r="3090" spans="24:33" ht="49.95" customHeight="1" x14ac:dyDescent="0.3">
      <c r="X3090" s="2"/>
      <c r="Y3090" s="7"/>
      <c r="Z3090" s="2"/>
      <c r="AA3090" s="1"/>
      <c r="AC3090" s="2"/>
      <c r="AE3090" s="1"/>
      <c r="AG3090" s="2"/>
    </row>
    <row r="3091" spans="24:33" ht="49.95" customHeight="1" x14ac:dyDescent="0.3">
      <c r="X3091" s="2"/>
      <c r="Y3091" s="7"/>
      <c r="Z3091" s="2"/>
      <c r="AA3091" s="1"/>
      <c r="AC3091" s="2"/>
      <c r="AE3091" s="1"/>
      <c r="AG3091" s="2"/>
    </row>
    <row r="3092" spans="24:33" ht="49.95" customHeight="1" x14ac:dyDescent="0.3">
      <c r="X3092" s="2"/>
      <c r="Y3092" s="7"/>
      <c r="Z3092" s="2"/>
      <c r="AA3092" s="1"/>
      <c r="AC3092" s="2"/>
      <c r="AE3092" s="1"/>
      <c r="AG3092" s="2"/>
    </row>
    <row r="3093" spans="24:33" ht="49.95" customHeight="1" x14ac:dyDescent="0.3">
      <c r="X3093" s="2"/>
      <c r="Y3093" s="7"/>
      <c r="Z3093" s="2"/>
      <c r="AA3093" s="1"/>
      <c r="AC3093" s="2"/>
      <c r="AE3093" s="1"/>
      <c r="AG3093" s="2"/>
    </row>
    <row r="3094" spans="24:33" ht="49.95" customHeight="1" x14ac:dyDescent="0.3">
      <c r="X3094" s="2"/>
      <c r="Y3094" s="7"/>
      <c r="Z3094" s="2"/>
      <c r="AA3094" s="1"/>
      <c r="AC3094" s="2"/>
      <c r="AE3094" s="1"/>
      <c r="AG3094" s="2"/>
    </row>
    <row r="3095" spans="24:33" ht="49.95" customHeight="1" x14ac:dyDescent="0.3">
      <c r="X3095" s="2"/>
      <c r="Y3095" s="7"/>
      <c r="Z3095" s="2"/>
      <c r="AA3095" s="1"/>
      <c r="AC3095" s="2"/>
      <c r="AE3095" s="1"/>
      <c r="AG3095" s="2"/>
    </row>
    <row r="3096" spans="24:33" ht="49.95" customHeight="1" x14ac:dyDescent="0.3">
      <c r="X3096" s="2"/>
      <c r="Y3096" s="7"/>
      <c r="Z3096" s="2"/>
      <c r="AA3096" s="1"/>
      <c r="AC3096" s="2"/>
      <c r="AE3096" s="1"/>
      <c r="AG3096" s="2"/>
    </row>
    <row r="3097" spans="24:33" ht="49.95" customHeight="1" x14ac:dyDescent="0.3">
      <c r="X3097" s="2"/>
      <c r="Y3097" s="7"/>
      <c r="Z3097" s="2"/>
      <c r="AA3097" s="1"/>
      <c r="AC3097" s="2"/>
      <c r="AE3097" s="1"/>
      <c r="AG3097" s="2"/>
    </row>
    <row r="3098" spans="24:33" ht="49.95" customHeight="1" x14ac:dyDescent="0.3">
      <c r="X3098" s="2"/>
      <c r="Y3098" s="7"/>
      <c r="Z3098" s="2"/>
      <c r="AA3098" s="1"/>
      <c r="AC3098" s="2"/>
      <c r="AE3098" s="1"/>
      <c r="AG3098" s="2"/>
    </row>
    <row r="3099" spans="24:33" ht="49.95" customHeight="1" x14ac:dyDescent="0.3">
      <c r="X3099" s="2"/>
      <c r="Y3099" s="7"/>
      <c r="Z3099" s="2"/>
      <c r="AA3099" s="1"/>
      <c r="AC3099" s="2"/>
      <c r="AE3099" s="1"/>
      <c r="AG3099" s="2"/>
    </row>
    <row r="3100" spans="24:33" ht="49.95" customHeight="1" x14ac:dyDescent="0.3">
      <c r="X3100" s="2"/>
      <c r="Y3100" s="7"/>
      <c r="Z3100" s="2"/>
      <c r="AA3100" s="1"/>
      <c r="AC3100" s="2"/>
      <c r="AE3100" s="1"/>
      <c r="AG3100" s="2"/>
    </row>
    <row r="3101" spans="24:33" ht="49.95" customHeight="1" x14ac:dyDescent="0.3">
      <c r="X3101" s="2"/>
      <c r="Y3101" s="7"/>
      <c r="Z3101" s="2"/>
      <c r="AA3101" s="1"/>
      <c r="AC3101" s="2"/>
      <c r="AE3101" s="1"/>
      <c r="AG3101" s="2"/>
    </row>
    <row r="3102" spans="24:33" ht="49.95" customHeight="1" x14ac:dyDescent="0.3">
      <c r="X3102" s="2"/>
      <c r="Y3102" s="7"/>
      <c r="Z3102" s="2"/>
      <c r="AA3102" s="1"/>
      <c r="AC3102" s="2"/>
      <c r="AE3102" s="1"/>
      <c r="AG3102" s="2"/>
    </row>
    <row r="3103" spans="24:33" ht="49.95" customHeight="1" x14ac:dyDescent="0.3">
      <c r="X3103" s="2"/>
      <c r="Y3103" s="7"/>
      <c r="Z3103" s="2"/>
      <c r="AA3103" s="1"/>
      <c r="AC3103" s="2"/>
      <c r="AE3103" s="1"/>
      <c r="AG3103" s="2"/>
    </row>
    <row r="3104" spans="24:33" ht="49.95" customHeight="1" x14ac:dyDescent="0.3">
      <c r="X3104" s="2"/>
      <c r="Y3104" s="7"/>
      <c r="Z3104" s="2"/>
      <c r="AA3104" s="1"/>
      <c r="AC3104" s="2"/>
      <c r="AE3104" s="1"/>
      <c r="AG3104" s="2"/>
    </row>
    <row r="3105" spans="24:33" ht="49.95" customHeight="1" x14ac:dyDescent="0.3">
      <c r="X3105" s="2"/>
      <c r="Y3105" s="7"/>
      <c r="Z3105" s="2"/>
      <c r="AA3105" s="1"/>
      <c r="AC3105" s="2"/>
      <c r="AE3105" s="1"/>
      <c r="AG3105" s="2"/>
    </row>
    <row r="3106" spans="24:33" ht="49.95" customHeight="1" x14ac:dyDescent="0.3">
      <c r="X3106" s="2"/>
      <c r="Y3106" s="7"/>
      <c r="Z3106" s="2"/>
      <c r="AA3106" s="1"/>
      <c r="AC3106" s="2"/>
      <c r="AE3106" s="1"/>
      <c r="AG3106" s="2"/>
    </row>
    <row r="3107" spans="24:33" ht="49.95" customHeight="1" x14ac:dyDescent="0.3">
      <c r="X3107" s="2"/>
      <c r="Y3107" s="7"/>
      <c r="Z3107" s="2"/>
      <c r="AA3107" s="1"/>
      <c r="AC3107" s="2"/>
      <c r="AE3107" s="1"/>
      <c r="AG3107" s="2"/>
    </row>
    <row r="3108" spans="24:33" ht="49.95" customHeight="1" x14ac:dyDescent="0.3">
      <c r="X3108" s="2"/>
      <c r="Y3108" s="7"/>
      <c r="Z3108" s="2"/>
      <c r="AA3108" s="1"/>
      <c r="AC3108" s="2"/>
      <c r="AE3108" s="1"/>
      <c r="AG3108" s="2"/>
    </row>
    <row r="3109" spans="24:33" ht="49.95" customHeight="1" x14ac:dyDescent="0.3">
      <c r="X3109" s="2"/>
      <c r="Y3109" s="7"/>
      <c r="Z3109" s="2"/>
      <c r="AA3109" s="1"/>
      <c r="AC3109" s="2"/>
      <c r="AE3109" s="1"/>
      <c r="AG3109" s="2"/>
    </row>
    <row r="3110" spans="24:33" ht="49.95" customHeight="1" x14ac:dyDescent="0.3">
      <c r="X3110" s="2"/>
      <c r="Y3110" s="7"/>
      <c r="Z3110" s="2"/>
      <c r="AA3110" s="1"/>
      <c r="AC3110" s="2"/>
      <c r="AE3110" s="1"/>
      <c r="AG3110" s="2"/>
    </row>
    <row r="3111" spans="24:33" ht="49.95" customHeight="1" x14ac:dyDescent="0.3">
      <c r="X3111" s="2"/>
      <c r="Y3111" s="7"/>
      <c r="Z3111" s="2"/>
      <c r="AA3111" s="1"/>
      <c r="AC3111" s="2"/>
      <c r="AE3111" s="1"/>
      <c r="AG3111" s="2"/>
    </row>
    <row r="3112" spans="24:33" ht="49.95" customHeight="1" x14ac:dyDescent="0.3">
      <c r="X3112" s="2"/>
      <c r="Y3112" s="7"/>
      <c r="Z3112" s="2"/>
      <c r="AA3112" s="1"/>
      <c r="AC3112" s="2"/>
      <c r="AE3112" s="1"/>
      <c r="AG3112" s="2"/>
    </row>
    <row r="3113" spans="24:33" ht="49.95" customHeight="1" x14ac:dyDescent="0.3">
      <c r="X3113" s="2"/>
      <c r="Y3113" s="7"/>
      <c r="Z3113" s="2"/>
      <c r="AA3113" s="1"/>
      <c r="AC3113" s="2"/>
      <c r="AE3113" s="1"/>
      <c r="AG3113" s="2"/>
    </row>
    <row r="3114" spans="24:33" ht="49.95" customHeight="1" x14ac:dyDescent="0.3">
      <c r="X3114" s="2"/>
      <c r="Y3114" s="7"/>
      <c r="Z3114" s="2"/>
      <c r="AA3114" s="1"/>
      <c r="AC3114" s="2"/>
      <c r="AE3114" s="1"/>
      <c r="AG3114" s="2"/>
    </row>
    <row r="3115" spans="24:33" ht="49.95" customHeight="1" x14ac:dyDescent="0.3">
      <c r="X3115" s="2"/>
      <c r="Y3115" s="7"/>
      <c r="Z3115" s="2"/>
      <c r="AA3115" s="1"/>
      <c r="AC3115" s="2"/>
      <c r="AE3115" s="1"/>
      <c r="AG3115" s="2"/>
    </row>
    <row r="3116" spans="24:33" ht="49.95" customHeight="1" x14ac:dyDescent="0.3">
      <c r="X3116" s="2"/>
      <c r="Y3116" s="7"/>
      <c r="Z3116" s="2"/>
      <c r="AA3116" s="1"/>
      <c r="AC3116" s="2"/>
      <c r="AE3116" s="1"/>
      <c r="AG3116" s="2"/>
    </row>
    <row r="3117" spans="24:33" ht="49.95" customHeight="1" x14ac:dyDescent="0.3">
      <c r="X3117" s="2"/>
      <c r="Y3117" s="7"/>
      <c r="Z3117" s="2"/>
      <c r="AA3117" s="1"/>
      <c r="AC3117" s="2"/>
      <c r="AE3117" s="1"/>
      <c r="AG3117" s="2"/>
    </row>
    <row r="3118" spans="24:33" ht="49.95" customHeight="1" x14ac:dyDescent="0.3">
      <c r="X3118" s="2"/>
      <c r="Y3118" s="7"/>
      <c r="Z3118" s="2"/>
      <c r="AA3118" s="1"/>
      <c r="AC3118" s="2"/>
      <c r="AE3118" s="1"/>
      <c r="AG3118" s="2"/>
    </row>
    <row r="3119" spans="24:33" ht="49.95" customHeight="1" x14ac:dyDescent="0.3">
      <c r="X3119" s="2"/>
      <c r="Y3119" s="7"/>
      <c r="Z3119" s="2"/>
      <c r="AA3119" s="1"/>
      <c r="AC3119" s="2"/>
      <c r="AE3119" s="1"/>
      <c r="AG3119" s="2"/>
    </row>
    <row r="3120" spans="24:33" ht="49.95" customHeight="1" x14ac:dyDescent="0.3">
      <c r="X3120" s="2"/>
      <c r="Y3120" s="7"/>
      <c r="Z3120" s="2"/>
      <c r="AA3120" s="1"/>
      <c r="AC3120" s="2"/>
      <c r="AE3120" s="1"/>
      <c r="AG3120" s="2"/>
    </row>
    <row r="3121" spans="24:33" ht="49.95" customHeight="1" x14ac:dyDescent="0.3">
      <c r="X3121" s="2"/>
      <c r="Y3121" s="7"/>
      <c r="Z3121" s="2"/>
      <c r="AA3121" s="1"/>
      <c r="AC3121" s="2"/>
      <c r="AE3121" s="1"/>
      <c r="AG3121" s="2"/>
    </row>
    <row r="3122" spans="24:33" ht="49.95" customHeight="1" x14ac:dyDescent="0.3">
      <c r="X3122" s="2"/>
      <c r="Y3122" s="7"/>
      <c r="Z3122" s="2"/>
      <c r="AA3122" s="1"/>
      <c r="AC3122" s="2"/>
      <c r="AE3122" s="1"/>
      <c r="AG3122" s="2"/>
    </row>
    <row r="3123" spans="24:33" ht="49.95" customHeight="1" x14ac:dyDescent="0.3">
      <c r="X3123" s="2"/>
      <c r="Y3123" s="7"/>
      <c r="Z3123" s="2"/>
      <c r="AA3123" s="1"/>
      <c r="AC3123" s="2"/>
      <c r="AE3123" s="1"/>
      <c r="AG3123" s="2"/>
    </row>
    <row r="3124" spans="24:33" ht="49.95" customHeight="1" x14ac:dyDescent="0.3">
      <c r="X3124" s="2"/>
      <c r="Y3124" s="7"/>
      <c r="Z3124" s="2"/>
      <c r="AA3124" s="1"/>
      <c r="AC3124" s="2"/>
      <c r="AE3124" s="1"/>
      <c r="AG3124" s="2"/>
    </row>
    <row r="3125" spans="24:33" ht="49.95" customHeight="1" x14ac:dyDescent="0.3">
      <c r="X3125" s="138"/>
      <c r="Y3125" s="7"/>
      <c r="Z3125" s="2"/>
      <c r="AA3125" s="1"/>
      <c r="AC3125" s="2"/>
      <c r="AE3125" s="1"/>
      <c r="AG3125" s="2"/>
    </row>
    <row r="3126" spans="24:33" ht="49.95" customHeight="1" x14ac:dyDescent="0.3">
      <c r="X3126" s="2"/>
      <c r="Y3126" s="7"/>
      <c r="Z3126" s="2"/>
      <c r="AA3126" s="1"/>
      <c r="AC3126" s="2"/>
      <c r="AE3126" s="1"/>
      <c r="AG3126" s="2"/>
    </row>
    <row r="3127" spans="24:33" ht="49.95" customHeight="1" x14ac:dyDescent="0.3">
      <c r="X3127" s="2"/>
      <c r="Y3127" s="7"/>
      <c r="Z3127" s="2"/>
      <c r="AA3127" s="1"/>
      <c r="AC3127" s="2"/>
      <c r="AE3127" s="1"/>
      <c r="AG3127" s="2"/>
    </row>
    <row r="3128" spans="24:33" ht="49.95" customHeight="1" x14ac:dyDescent="0.3">
      <c r="X3128" s="2"/>
      <c r="Y3128" s="7"/>
      <c r="Z3128" s="2"/>
      <c r="AA3128" s="1"/>
      <c r="AC3128" s="2"/>
      <c r="AE3128" s="1"/>
      <c r="AG3128" s="2"/>
    </row>
    <row r="3129" spans="24:33" ht="49.95" customHeight="1" x14ac:dyDescent="0.3">
      <c r="X3129" s="2"/>
      <c r="Y3129" s="7"/>
      <c r="Z3129" s="2"/>
      <c r="AA3129" s="1"/>
      <c r="AC3129" s="2"/>
      <c r="AE3129" s="1"/>
      <c r="AG3129" s="2"/>
    </row>
    <row r="3130" spans="24:33" ht="49.95" customHeight="1" x14ac:dyDescent="0.3">
      <c r="X3130" s="2"/>
      <c r="Y3130" s="7"/>
      <c r="Z3130" s="2"/>
      <c r="AA3130" s="1"/>
      <c r="AC3130" s="2"/>
      <c r="AE3130" s="1"/>
      <c r="AG3130" s="2"/>
    </row>
    <row r="3131" spans="24:33" ht="49.95" customHeight="1" x14ac:dyDescent="0.3">
      <c r="X3131" s="2"/>
      <c r="Y3131" s="7"/>
      <c r="Z3131" s="2"/>
      <c r="AA3131" s="1"/>
      <c r="AC3131" s="2"/>
      <c r="AE3131" s="1"/>
      <c r="AG3131" s="2"/>
    </row>
    <row r="3132" spans="24:33" ht="49.95" customHeight="1" x14ac:dyDescent="0.3">
      <c r="X3132" s="2"/>
      <c r="Y3132" s="7"/>
      <c r="Z3132" s="2"/>
      <c r="AA3132" s="1"/>
      <c r="AC3132" s="2"/>
      <c r="AE3132" s="1"/>
      <c r="AG3132" s="2"/>
    </row>
    <row r="3133" spans="24:33" ht="49.95" customHeight="1" x14ac:dyDescent="0.3">
      <c r="X3133" s="2"/>
      <c r="Y3133" s="7"/>
      <c r="Z3133" s="2"/>
      <c r="AA3133" s="1"/>
      <c r="AC3133" s="2"/>
      <c r="AE3133" s="1"/>
      <c r="AG3133" s="2"/>
    </row>
    <row r="3134" spans="24:33" ht="49.95" customHeight="1" x14ac:dyDescent="0.3">
      <c r="X3134" s="2"/>
      <c r="Y3134" s="7"/>
      <c r="Z3134" s="2"/>
      <c r="AA3134" s="1"/>
      <c r="AC3134" s="2"/>
      <c r="AE3134" s="1"/>
      <c r="AG3134" s="2"/>
    </row>
    <row r="3135" spans="24:33" ht="49.95" customHeight="1" x14ac:dyDescent="0.3">
      <c r="X3135" s="2"/>
      <c r="Y3135" s="7"/>
      <c r="Z3135" s="2"/>
      <c r="AA3135" s="1"/>
      <c r="AC3135" s="2"/>
      <c r="AE3135" s="1"/>
      <c r="AG3135" s="2"/>
    </row>
    <row r="3136" spans="24:33" ht="49.95" customHeight="1" x14ac:dyDescent="0.3">
      <c r="X3136" s="2"/>
      <c r="Y3136" s="7"/>
      <c r="Z3136" s="2"/>
      <c r="AA3136" s="1"/>
      <c r="AC3136" s="2"/>
      <c r="AE3136" s="1"/>
      <c r="AG3136" s="2"/>
    </row>
    <row r="3137" spans="24:33" ht="49.95" customHeight="1" x14ac:dyDescent="0.3">
      <c r="X3137" s="2"/>
      <c r="Y3137" s="7"/>
      <c r="Z3137" s="2"/>
      <c r="AA3137" s="1"/>
      <c r="AC3137" s="2"/>
      <c r="AE3137" s="1"/>
      <c r="AG3137" s="2"/>
    </row>
    <row r="3138" spans="24:33" ht="49.95" customHeight="1" x14ac:dyDescent="0.3">
      <c r="X3138" s="2"/>
      <c r="Y3138" s="7"/>
      <c r="Z3138" s="2"/>
      <c r="AA3138" s="1"/>
      <c r="AC3138" s="2"/>
      <c r="AE3138" s="1"/>
      <c r="AG3138" s="2"/>
    </row>
    <row r="3139" spans="24:33" ht="49.95" customHeight="1" x14ac:dyDescent="0.3">
      <c r="X3139" s="2"/>
      <c r="Y3139" s="7"/>
      <c r="Z3139" s="2"/>
      <c r="AA3139" s="1"/>
      <c r="AC3139" s="2"/>
      <c r="AE3139" s="1"/>
      <c r="AG3139" s="2"/>
    </row>
    <row r="3140" spans="24:33" ht="49.95" customHeight="1" x14ac:dyDescent="0.3">
      <c r="X3140" s="142"/>
      <c r="Y3140" s="7"/>
      <c r="Z3140" s="2"/>
      <c r="AA3140" s="1"/>
      <c r="AC3140" s="2"/>
      <c r="AE3140" s="1"/>
      <c r="AG3140" s="2"/>
    </row>
    <row r="3141" spans="24:33" ht="49.95" customHeight="1" x14ac:dyDescent="0.3">
      <c r="X3141" s="2"/>
      <c r="Y3141" s="7"/>
      <c r="Z3141" s="2"/>
      <c r="AA3141" s="1"/>
      <c r="AC3141" s="2"/>
      <c r="AE3141" s="1"/>
      <c r="AG3141" s="2"/>
    </row>
    <row r="3142" spans="24:33" ht="49.95" customHeight="1" x14ac:dyDescent="0.3">
      <c r="X3142" s="2"/>
      <c r="Y3142" s="7"/>
      <c r="Z3142" s="2"/>
      <c r="AA3142" s="1"/>
      <c r="AC3142" s="2"/>
      <c r="AE3142" s="1"/>
      <c r="AG3142" s="2"/>
    </row>
    <row r="3143" spans="24:33" ht="49.95" customHeight="1" x14ac:dyDescent="0.3">
      <c r="X3143" s="2"/>
      <c r="Y3143" s="7"/>
      <c r="Z3143" s="2"/>
      <c r="AA3143" s="1"/>
      <c r="AC3143" s="2"/>
      <c r="AE3143" s="1"/>
      <c r="AG3143" s="2"/>
    </row>
    <row r="3144" spans="24:33" ht="49.95" customHeight="1" x14ac:dyDescent="0.3">
      <c r="X3144" s="2"/>
      <c r="Y3144" s="7"/>
      <c r="Z3144" s="2"/>
      <c r="AA3144" s="1"/>
      <c r="AC3144" s="2"/>
      <c r="AE3144" s="1"/>
      <c r="AG3144" s="2"/>
    </row>
    <row r="3145" spans="24:33" ht="49.95" customHeight="1" x14ac:dyDescent="0.3">
      <c r="X3145" s="2"/>
      <c r="Y3145" s="7"/>
      <c r="Z3145" s="2"/>
      <c r="AA3145" s="1"/>
      <c r="AC3145" s="2"/>
      <c r="AE3145" s="1"/>
      <c r="AG3145" s="2"/>
    </row>
    <row r="3146" spans="24:33" ht="49.95" customHeight="1" x14ac:dyDescent="0.3">
      <c r="X3146" s="2"/>
      <c r="Y3146" s="7"/>
      <c r="Z3146" s="2"/>
      <c r="AA3146" s="1"/>
      <c r="AC3146" s="2"/>
      <c r="AE3146" s="1"/>
      <c r="AG3146" s="2"/>
    </row>
    <row r="3147" spans="24:33" ht="49.95" customHeight="1" x14ac:dyDescent="0.3">
      <c r="X3147" s="2"/>
      <c r="Y3147" s="7"/>
      <c r="Z3147" s="2"/>
      <c r="AA3147" s="1"/>
      <c r="AC3147" s="2"/>
      <c r="AE3147" s="1"/>
      <c r="AG3147" s="2"/>
    </row>
    <row r="3148" spans="24:33" ht="49.95" customHeight="1" x14ac:dyDescent="0.3">
      <c r="X3148" s="2"/>
      <c r="Y3148" s="7"/>
      <c r="Z3148" s="2"/>
      <c r="AA3148" s="1"/>
      <c r="AC3148" s="2"/>
      <c r="AE3148" s="1"/>
      <c r="AG3148" s="2"/>
    </row>
    <row r="3149" spans="24:33" ht="49.95" customHeight="1" x14ac:dyDescent="0.3">
      <c r="X3149" s="2"/>
      <c r="Y3149" s="7"/>
      <c r="Z3149" s="2"/>
      <c r="AA3149" s="1"/>
      <c r="AC3149" s="2"/>
      <c r="AE3149" s="1"/>
      <c r="AG3149" s="2"/>
    </row>
    <row r="3150" spans="24:33" ht="49.95" customHeight="1" x14ac:dyDescent="0.3">
      <c r="X3150" s="2"/>
      <c r="Y3150" s="7"/>
      <c r="Z3150" s="2"/>
      <c r="AA3150" s="1"/>
      <c r="AC3150" s="2"/>
      <c r="AE3150" s="1"/>
      <c r="AG3150" s="2"/>
    </row>
    <row r="3151" spans="24:33" ht="49.95" customHeight="1" x14ac:dyDescent="0.3">
      <c r="X3151" s="2"/>
      <c r="Y3151" s="7"/>
      <c r="Z3151" s="2"/>
      <c r="AA3151" s="1"/>
      <c r="AC3151" s="2"/>
      <c r="AE3151" s="1"/>
      <c r="AG3151" s="2"/>
    </row>
    <row r="3152" spans="24:33" ht="49.95" customHeight="1" x14ac:dyDescent="0.3">
      <c r="X3152" s="2"/>
      <c r="Y3152" s="7"/>
      <c r="Z3152" s="2"/>
      <c r="AA3152" s="1"/>
      <c r="AC3152" s="2"/>
      <c r="AE3152" s="1"/>
      <c r="AG3152" s="2"/>
    </row>
    <row r="3153" spans="24:33" ht="49.95" customHeight="1" x14ac:dyDescent="0.3">
      <c r="X3153" s="2"/>
      <c r="Y3153" s="7"/>
      <c r="Z3153" s="2"/>
      <c r="AA3153" s="1"/>
      <c r="AC3153" s="2"/>
      <c r="AE3153" s="1"/>
      <c r="AG3153" s="2"/>
    </row>
    <row r="3154" spans="24:33" ht="49.95" customHeight="1" x14ac:dyDescent="0.3">
      <c r="X3154" s="2"/>
      <c r="Y3154" s="7"/>
      <c r="Z3154" s="2"/>
      <c r="AA3154" s="1"/>
      <c r="AC3154" s="2"/>
      <c r="AE3154" s="1"/>
      <c r="AG3154" s="2"/>
    </row>
    <row r="3155" spans="24:33" ht="49.95" customHeight="1" x14ac:dyDescent="0.3">
      <c r="X3155" s="2"/>
      <c r="Y3155" s="7"/>
      <c r="Z3155" s="2"/>
      <c r="AA3155" s="1"/>
      <c r="AC3155" s="2"/>
      <c r="AE3155" s="1"/>
      <c r="AG3155" s="2"/>
    </row>
    <row r="3156" spans="24:33" ht="49.95" customHeight="1" x14ac:dyDescent="0.3">
      <c r="X3156" s="2"/>
      <c r="Y3156" s="7"/>
      <c r="Z3156" s="2"/>
      <c r="AA3156" s="1"/>
      <c r="AC3156" s="2"/>
      <c r="AE3156" s="1"/>
      <c r="AG3156" s="2"/>
    </row>
    <row r="3157" spans="24:33" ht="49.95" customHeight="1" x14ac:dyDescent="0.3">
      <c r="X3157" s="2"/>
      <c r="Y3157" s="7"/>
      <c r="Z3157" s="2"/>
      <c r="AA3157" s="1"/>
      <c r="AC3157" s="2"/>
      <c r="AE3157" s="1"/>
      <c r="AG3157" s="2"/>
    </row>
    <row r="3158" spans="24:33" ht="49.95" customHeight="1" x14ac:dyDescent="0.3">
      <c r="X3158" s="2"/>
      <c r="Y3158" s="7"/>
      <c r="Z3158" s="2"/>
      <c r="AA3158" s="1"/>
      <c r="AC3158" s="2"/>
      <c r="AE3158" s="1"/>
      <c r="AG3158" s="2"/>
    </row>
    <row r="3159" spans="24:33" ht="49.95" customHeight="1" x14ac:dyDescent="0.3">
      <c r="X3159" s="2"/>
      <c r="Y3159"/>
      <c r="Z3159" s="2"/>
      <c r="AA3159" s="1"/>
      <c r="AC3159" s="2"/>
      <c r="AE3159" s="1"/>
      <c r="AG3159" s="2"/>
    </row>
    <row r="3160" spans="24:33" ht="49.95" customHeight="1" x14ac:dyDescent="0.3">
      <c r="X3160" s="2"/>
      <c r="Y3160"/>
      <c r="Z3160" s="2"/>
      <c r="AA3160" s="1"/>
      <c r="AC3160" s="2"/>
      <c r="AE3160" s="1"/>
      <c r="AG3160" s="2"/>
    </row>
    <row r="3161" spans="24:33" ht="49.95" customHeight="1" x14ac:dyDescent="0.3">
      <c r="X3161"/>
      <c r="Y3161"/>
      <c r="Z3161" s="2"/>
      <c r="AA3161" s="1"/>
      <c r="AC3161" s="2"/>
      <c r="AE3161" s="1"/>
      <c r="AG3161" s="2"/>
    </row>
    <row r="3162" spans="24:33" ht="49.95" customHeight="1" x14ac:dyDescent="0.3">
      <c r="X3162"/>
      <c r="Y3162"/>
      <c r="Z3162" s="2"/>
      <c r="AA3162" s="1"/>
      <c r="AC3162" s="2"/>
      <c r="AE3162" s="1"/>
      <c r="AG3162" s="2"/>
    </row>
    <row r="3163" spans="24:33" ht="49.95" customHeight="1" x14ac:dyDescent="0.3">
      <c r="X3163"/>
      <c r="Y3163"/>
      <c r="Z3163" s="2"/>
      <c r="AA3163" s="1"/>
      <c r="AC3163" s="2"/>
      <c r="AE3163" s="1"/>
      <c r="AG3163" s="2"/>
    </row>
    <row r="3164" spans="24:33" ht="49.95" customHeight="1" x14ac:dyDescent="0.3">
      <c r="X3164"/>
      <c r="Y3164"/>
      <c r="Z3164" s="2"/>
      <c r="AA3164" s="1"/>
      <c r="AC3164" s="2"/>
      <c r="AE3164" s="1"/>
      <c r="AG3164" s="2"/>
    </row>
    <row r="3165" spans="24:33" ht="49.95" customHeight="1" x14ac:dyDescent="0.3">
      <c r="X3165"/>
      <c r="Y3165"/>
      <c r="Z3165" s="2"/>
      <c r="AA3165" s="1"/>
      <c r="AC3165" s="2"/>
      <c r="AE3165" s="1"/>
      <c r="AG3165" s="2"/>
    </row>
    <row r="3166" spans="24:33" ht="49.95" customHeight="1" x14ac:dyDescent="0.3">
      <c r="X3166" s="2"/>
      <c r="Y3166"/>
      <c r="Z3166" s="2"/>
      <c r="AA3166" s="1"/>
      <c r="AC3166" s="2"/>
      <c r="AE3166" s="1"/>
      <c r="AG3166" s="2"/>
    </row>
    <row r="3167" spans="24:33" ht="49.95" customHeight="1" thickBot="1" x14ac:dyDescent="0.35">
      <c r="X3167"/>
      <c r="Y3167" s="143"/>
      <c r="Z3167" s="2"/>
      <c r="AA3167" s="1"/>
      <c r="AC3167" s="2"/>
      <c r="AE3167" s="1"/>
      <c r="AG3167" s="2"/>
    </row>
    <row r="3168" spans="24:33" ht="49.95" customHeight="1" thickBot="1" x14ac:dyDescent="0.35">
      <c r="X3168"/>
      <c r="Y3168" s="143"/>
      <c r="Z3168" s="2"/>
      <c r="AA3168" s="1"/>
      <c r="AC3168" s="2"/>
      <c r="AE3168" s="1"/>
      <c r="AG3168" s="2"/>
    </row>
    <row r="3169" spans="24:33" ht="49.95" customHeight="1" x14ac:dyDescent="0.3">
      <c r="X3169" s="2"/>
      <c r="Y3169"/>
      <c r="Z3169" s="2"/>
      <c r="AA3169" s="1"/>
      <c r="AC3169" s="2"/>
      <c r="AE3169" s="1"/>
      <c r="AG3169" s="2"/>
    </row>
    <row r="3170" spans="24:33" ht="49.95" customHeight="1" x14ac:dyDescent="0.3">
      <c r="X3170" s="2"/>
      <c r="Y3170"/>
      <c r="Z3170" s="2"/>
      <c r="AA3170" s="1"/>
      <c r="AC3170" s="2"/>
      <c r="AE3170" s="1"/>
      <c r="AG3170" s="2"/>
    </row>
    <row r="3171" spans="24:33" ht="49.95" customHeight="1" x14ac:dyDescent="0.3">
      <c r="X3171" s="2"/>
      <c r="Y3171"/>
      <c r="Z3171" s="2"/>
      <c r="AA3171" s="1"/>
      <c r="AC3171" s="2"/>
      <c r="AE3171" s="1"/>
      <c r="AG3171" s="2"/>
    </row>
    <row r="3172" spans="24:33" ht="49.95" customHeight="1" x14ac:dyDescent="0.3">
      <c r="X3172" s="148"/>
      <c r="Y3172"/>
      <c r="Z3172" s="2"/>
      <c r="AA3172" s="1"/>
      <c r="AC3172" s="2"/>
      <c r="AE3172" s="1"/>
      <c r="AG3172" s="2"/>
    </row>
    <row r="3173" spans="24:33" ht="49.95" customHeight="1" x14ac:dyDescent="0.3">
      <c r="X3173" s="2"/>
      <c r="Y3173"/>
      <c r="Z3173" s="2"/>
      <c r="AA3173" s="1"/>
      <c r="AC3173" s="2"/>
      <c r="AE3173" s="1"/>
      <c r="AG3173" s="2"/>
    </row>
    <row r="3174" spans="24:33" ht="49.95" customHeight="1" x14ac:dyDescent="0.3">
      <c r="X3174" s="2"/>
      <c r="Y3174"/>
      <c r="Z3174" s="2"/>
      <c r="AA3174" s="1"/>
      <c r="AC3174" s="2"/>
      <c r="AE3174" s="1"/>
      <c r="AG3174" s="2"/>
    </row>
    <row r="3175" spans="24:33" ht="49.95" customHeight="1" x14ac:dyDescent="0.3">
      <c r="X3175"/>
      <c r="Y3175"/>
      <c r="Z3175" s="2"/>
      <c r="AA3175" s="1"/>
      <c r="AC3175" s="2"/>
      <c r="AE3175" s="1"/>
      <c r="AG3175" s="2"/>
    </row>
    <row r="3176" spans="24:33" ht="49.95" customHeight="1" x14ac:dyDescent="0.3">
      <c r="X3176" s="2"/>
      <c r="Y3176"/>
      <c r="Z3176" s="2"/>
      <c r="AA3176" s="1"/>
      <c r="AC3176" s="2"/>
      <c r="AE3176" s="1"/>
      <c r="AG3176" s="2"/>
    </row>
    <row r="3177" spans="24:33" ht="49.95" customHeight="1" x14ac:dyDescent="0.3">
      <c r="X3177" s="2"/>
      <c r="Y3177"/>
      <c r="Z3177" s="2"/>
      <c r="AA3177" s="1"/>
      <c r="AC3177" s="2"/>
      <c r="AE3177" s="1"/>
      <c r="AG3177" s="2"/>
    </row>
    <row r="3178" spans="24:33" ht="49.95" customHeight="1" x14ac:dyDescent="0.3">
      <c r="X3178" s="2"/>
      <c r="Y3178"/>
      <c r="Z3178" s="2"/>
      <c r="AA3178" s="1"/>
      <c r="AC3178" s="2"/>
      <c r="AE3178" s="1"/>
      <c r="AG3178" s="2"/>
    </row>
    <row r="3179" spans="24:33" ht="49.95" customHeight="1" x14ac:dyDescent="0.3">
      <c r="X3179" s="2"/>
      <c r="Y3179"/>
      <c r="Z3179" s="2"/>
      <c r="AA3179" s="1"/>
      <c r="AC3179" s="2"/>
      <c r="AE3179" s="1"/>
      <c r="AG3179" s="2"/>
    </row>
    <row r="3180" spans="24:33" ht="49.95" customHeight="1" x14ac:dyDescent="0.3">
      <c r="X3180" s="2"/>
      <c r="Y3180"/>
      <c r="Z3180" s="2"/>
      <c r="AA3180" s="1"/>
      <c r="AC3180" s="2"/>
      <c r="AE3180" s="1"/>
      <c r="AG3180" s="2"/>
    </row>
    <row r="3181" spans="24:33" ht="49.95" customHeight="1" x14ac:dyDescent="0.3">
      <c r="X3181" s="2"/>
      <c r="Y3181"/>
      <c r="Z3181" s="2"/>
      <c r="AA3181" s="1"/>
      <c r="AC3181" s="2"/>
      <c r="AE3181" s="1"/>
      <c r="AG3181" s="2"/>
    </row>
    <row r="3182" spans="24:33" ht="49.95" customHeight="1" x14ac:dyDescent="0.3">
      <c r="X3182" s="2"/>
      <c r="Y3182"/>
      <c r="Z3182" s="2"/>
      <c r="AA3182" s="1"/>
      <c r="AC3182" s="2"/>
      <c r="AE3182" s="1"/>
      <c r="AG3182" s="2"/>
    </row>
    <row r="3183" spans="24:33" ht="49.95" customHeight="1" x14ac:dyDescent="0.3">
      <c r="X3183" s="2"/>
      <c r="Y3183"/>
      <c r="Z3183" s="2"/>
      <c r="AA3183" s="1"/>
      <c r="AC3183" s="2"/>
      <c r="AE3183" s="1"/>
      <c r="AG3183" s="2"/>
    </row>
    <row r="3184" spans="24:33" ht="49.95" customHeight="1" x14ac:dyDescent="0.3">
      <c r="X3184" s="2"/>
      <c r="Y3184"/>
      <c r="Z3184" s="2"/>
      <c r="AA3184" s="1"/>
      <c r="AC3184" s="2"/>
      <c r="AE3184" s="1"/>
      <c r="AG3184" s="2"/>
    </row>
    <row r="3185" spans="24:33" ht="49.95" customHeight="1" x14ac:dyDescent="0.3">
      <c r="X3185" s="2"/>
      <c r="Y3185"/>
      <c r="Z3185" s="2"/>
      <c r="AA3185" s="1"/>
      <c r="AC3185" s="2"/>
      <c r="AE3185" s="1"/>
      <c r="AG3185" s="2"/>
    </row>
    <row r="3186" spans="24:33" ht="49.95" customHeight="1" x14ac:dyDescent="0.3">
      <c r="X3186" s="2"/>
      <c r="Y3186"/>
      <c r="Z3186" s="2"/>
      <c r="AA3186" s="1"/>
      <c r="AC3186" s="2"/>
      <c r="AE3186" s="1"/>
      <c r="AG3186" s="2"/>
    </row>
    <row r="3187" spans="24:33" ht="49.95" customHeight="1" x14ac:dyDescent="0.3">
      <c r="X3187" s="2"/>
      <c r="Y3187"/>
      <c r="Z3187" s="2"/>
      <c r="AA3187" s="1"/>
      <c r="AC3187" s="2"/>
      <c r="AE3187" s="1"/>
      <c r="AG3187" s="2"/>
    </row>
    <row r="3188" spans="24:33" ht="49.95" customHeight="1" x14ac:dyDescent="0.3">
      <c r="X3188" s="2"/>
      <c r="Y3188"/>
      <c r="Z3188" s="2"/>
      <c r="AA3188" s="1"/>
      <c r="AC3188" s="2"/>
      <c r="AE3188" s="1"/>
      <c r="AG3188" s="2"/>
    </row>
    <row r="3189" spans="24:33" ht="49.95" customHeight="1" x14ac:dyDescent="0.3">
      <c r="X3189" s="172"/>
      <c r="Y3189"/>
      <c r="Z3189" s="2"/>
      <c r="AA3189" s="1"/>
      <c r="AC3189" s="2"/>
      <c r="AE3189" s="1"/>
      <c r="AG3189" s="2"/>
    </row>
    <row r="3190" spans="24:33" ht="49.95" customHeight="1" x14ac:dyDescent="0.3">
      <c r="X3190" s="2"/>
      <c r="Y3190"/>
      <c r="Z3190" s="2"/>
      <c r="AA3190" s="1"/>
      <c r="AC3190" s="2"/>
      <c r="AE3190" s="1"/>
      <c r="AG3190" s="2"/>
    </row>
    <row r="3191" spans="24:33" ht="49.95" customHeight="1" x14ac:dyDescent="0.3">
      <c r="X3191" s="2"/>
      <c r="Y3191"/>
      <c r="Z3191" s="2"/>
      <c r="AA3191" s="1"/>
      <c r="AC3191" s="2"/>
      <c r="AE3191" s="1"/>
      <c r="AG3191" s="2"/>
    </row>
    <row r="3192" spans="24:33" ht="49.95" customHeight="1" x14ac:dyDescent="0.3">
      <c r="X3192" s="2"/>
      <c r="Y3192"/>
      <c r="Z3192" s="2"/>
      <c r="AA3192" s="1"/>
      <c r="AC3192" s="2"/>
      <c r="AE3192" s="1"/>
      <c r="AG3192" s="2"/>
    </row>
    <row r="3193" spans="24:33" ht="49.95" customHeight="1" x14ac:dyDescent="0.3">
      <c r="X3193" s="2"/>
      <c r="Y3193"/>
      <c r="Z3193" s="2"/>
      <c r="AA3193" s="1"/>
      <c r="AC3193" s="2"/>
      <c r="AE3193" s="1"/>
      <c r="AG3193" s="2"/>
    </row>
    <row r="3194" spans="24:33" ht="49.95" customHeight="1" x14ac:dyDescent="0.3">
      <c r="X3194" s="2"/>
      <c r="Y3194"/>
      <c r="Z3194" s="2"/>
      <c r="AA3194" s="1"/>
      <c r="AC3194" s="2"/>
      <c r="AE3194" s="1"/>
      <c r="AG3194" s="2"/>
    </row>
    <row r="3195" spans="24:33" ht="49.95" customHeight="1" x14ac:dyDescent="0.3">
      <c r="X3195" s="2"/>
      <c r="Y3195"/>
      <c r="Z3195" s="2"/>
      <c r="AA3195" s="1"/>
      <c r="AC3195" s="2"/>
      <c r="AE3195" s="1"/>
      <c r="AG3195" s="2"/>
    </row>
    <row r="3196" spans="24:33" ht="49.95" customHeight="1" x14ac:dyDescent="0.3">
      <c r="X3196" s="2"/>
      <c r="Y3196"/>
      <c r="Z3196" s="2"/>
      <c r="AA3196" s="1"/>
      <c r="AC3196" s="2"/>
      <c r="AE3196" s="1"/>
      <c r="AG3196" s="2"/>
    </row>
    <row r="3197" spans="24:33" ht="49.95" customHeight="1" x14ac:dyDescent="0.3">
      <c r="X3197" s="2"/>
      <c r="Y3197"/>
      <c r="Z3197" s="2"/>
      <c r="AA3197" s="1"/>
      <c r="AC3197" s="2"/>
      <c r="AE3197" s="1"/>
      <c r="AG3197" s="2"/>
    </row>
    <row r="3198" spans="24:33" ht="49.95" customHeight="1" x14ac:dyDescent="0.3">
      <c r="X3198" s="2"/>
      <c r="Y3198"/>
      <c r="Z3198" s="2"/>
      <c r="AA3198" s="1"/>
      <c r="AC3198" s="2"/>
      <c r="AE3198" s="1"/>
      <c r="AG3198" s="2"/>
    </row>
    <row r="3199" spans="24:33" ht="49.95" customHeight="1" x14ac:dyDescent="0.3">
      <c r="X3199" s="2"/>
      <c r="Y3199"/>
      <c r="Z3199" s="2"/>
      <c r="AA3199" s="1"/>
      <c r="AC3199" s="2"/>
      <c r="AE3199" s="1"/>
      <c r="AG3199" s="2"/>
    </row>
    <row r="3200" spans="24:33" ht="49.95" customHeight="1" x14ac:dyDescent="0.3">
      <c r="X3200" s="2"/>
      <c r="Y3200"/>
      <c r="Z3200" s="2"/>
      <c r="AA3200" s="1"/>
      <c r="AC3200" s="2"/>
      <c r="AE3200" s="1"/>
      <c r="AG3200" s="2"/>
    </row>
    <row r="3201" spans="24:33" ht="49.95" customHeight="1" x14ac:dyDescent="0.3">
      <c r="X3201" s="2"/>
      <c r="Y3201"/>
      <c r="Z3201" s="2"/>
      <c r="AA3201" s="1"/>
      <c r="AC3201" s="2"/>
      <c r="AE3201" s="1"/>
      <c r="AG3201" s="2"/>
    </row>
    <row r="3202" spans="24:33" ht="49.95" customHeight="1" x14ac:dyDescent="0.3">
      <c r="X3202" s="149"/>
      <c r="Y3202"/>
      <c r="Z3202" s="2"/>
      <c r="AA3202" s="1"/>
      <c r="AC3202" s="2"/>
      <c r="AE3202" s="1"/>
      <c r="AG3202" s="2"/>
    </row>
    <row r="3203" spans="24:33" ht="49.95" customHeight="1" x14ac:dyDescent="0.3">
      <c r="X3203" s="2"/>
      <c r="Y3203"/>
      <c r="Z3203" s="2"/>
      <c r="AA3203" s="1"/>
      <c r="AC3203" s="2"/>
      <c r="AE3203" s="1"/>
      <c r="AG3203" s="2"/>
    </row>
    <row r="3204" spans="24:33" ht="49.95" customHeight="1" x14ac:dyDescent="0.3">
      <c r="X3204" s="2"/>
      <c r="Y3204" s="7"/>
      <c r="Z3204" s="2"/>
      <c r="AA3204" s="1"/>
      <c r="AC3204" s="2"/>
      <c r="AE3204" s="1"/>
      <c r="AG3204" s="2"/>
    </row>
    <row r="3205" spans="24:33" ht="49.95" customHeight="1" x14ac:dyDescent="0.3">
      <c r="X3205" s="2"/>
      <c r="Y3205" s="7"/>
      <c r="Z3205" s="2"/>
      <c r="AA3205" s="1"/>
      <c r="AC3205" s="2"/>
      <c r="AE3205" s="1"/>
      <c r="AG3205" s="2"/>
    </row>
    <row r="3206" spans="24:33" ht="49.95" customHeight="1" x14ac:dyDescent="0.3">
      <c r="X3206" s="2"/>
      <c r="Y3206" s="7"/>
      <c r="Z3206" s="2"/>
      <c r="AA3206" s="1"/>
      <c r="AC3206" s="2"/>
      <c r="AE3206" s="1"/>
      <c r="AG3206" s="2"/>
    </row>
    <row r="3207" spans="24:33" ht="49.95" customHeight="1" x14ac:dyDescent="0.3">
      <c r="X3207" s="2"/>
      <c r="Y3207" s="7"/>
      <c r="Z3207" s="2"/>
      <c r="AA3207" s="1"/>
      <c r="AC3207" s="2"/>
      <c r="AE3207" s="1"/>
      <c r="AG3207" s="2"/>
    </row>
    <row r="3208" spans="24:33" ht="49.95" customHeight="1" x14ac:dyDescent="0.3">
      <c r="X3208" s="2"/>
      <c r="Y3208" s="7"/>
      <c r="Z3208" s="2"/>
      <c r="AA3208" s="1"/>
      <c r="AC3208" s="2"/>
      <c r="AE3208" s="1"/>
      <c r="AG3208" s="2"/>
    </row>
    <row r="3209" spans="24:33" ht="49.95" customHeight="1" x14ac:dyDescent="0.3">
      <c r="X3209" s="2"/>
      <c r="Y3209" s="7"/>
      <c r="Z3209" s="2"/>
      <c r="AA3209" s="1"/>
      <c r="AC3209" s="2"/>
      <c r="AE3209" s="1"/>
      <c r="AG3209" s="2"/>
    </row>
    <row r="3210" spans="24:33" ht="49.95" customHeight="1" x14ac:dyDescent="0.3">
      <c r="X3210" s="2"/>
      <c r="Y3210" s="7"/>
      <c r="Z3210" s="2"/>
      <c r="AA3210" s="1"/>
      <c r="AC3210" s="2"/>
      <c r="AE3210" s="1"/>
      <c r="AG3210" s="2"/>
    </row>
    <row r="3211" spans="24:33" ht="49.95" customHeight="1" x14ac:dyDescent="0.3">
      <c r="X3211" s="2"/>
      <c r="Y3211" s="7"/>
      <c r="Z3211" s="2"/>
      <c r="AA3211" s="1"/>
      <c r="AC3211" s="2"/>
      <c r="AE3211" s="1"/>
      <c r="AG3211" s="2"/>
    </row>
    <row r="3212" spans="24:33" ht="49.95" customHeight="1" x14ac:dyDescent="0.3">
      <c r="X3212" s="2"/>
      <c r="Y3212" s="7"/>
      <c r="Z3212" s="2"/>
      <c r="AA3212" s="1"/>
      <c r="AC3212" s="2"/>
      <c r="AE3212" s="1"/>
      <c r="AG3212" s="2"/>
    </row>
    <row r="3213" spans="24:33" ht="49.95" customHeight="1" x14ac:dyDescent="0.3">
      <c r="X3213" s="2"/>
      <c r="Y3213" s="7"/>
      <c r="Z3213" s="2"/>
      <c r="AA3213" s="1"/>
      <c r="AC3213" s="2"/>
      <c r="AE3213" s="1"/>
      <c r="AG3213" s="2"/>
    </row>
    <row r="3214" spans="24:33" ht="49.95" customHeight="1" x14ac:dyDescent="0.3">
      <c r="X3214" s="2"/>
      <c r="Y3214" s="7"/>
      <c r="Z3214" s="2"/>
      <c r="AA3214" s="1"/>
      <c r="AC3214" s="2"/>
      <c r="AE3214" s="1"/>
      <c r="AG3214" s="2"/>
    </row>
    <row r="3215" spans="24:33" ht="49.95" customHeight="1" x14ac:dyDescent="0.3">
      <c r="X3215" s="172"/>
      <c r="Y3215" s="7"/>
      <c r="Z3215" s="2"/>
      <c r="AA3215" s="1"/>
      <c r="AC3215" s="2"/>
      <c r="AE3215" s="1"/>
      <c r="AG3215" s="2"/>
    </row>
    <row r="3216" spans="24:33" ht="49.95" customHeight="1" x14ac:dyDescent="0.3">
      <c r="X3216" s="2"/>
      <c r="Y3216" s="7"/>
      <c r="Z3216" s="2"/>
      <c r="AA3216" s="1"/>
      <c r="AC3216" s="2"/>
      <c r="AE3216" s="1"/>
      <c r="AG3216" s="2"/>
    </row>
    <row r="3217" spans="24:33" ht="49.95" customHeight="1" x14ac:dyDescent="0.3">
      <c r="X3217" s="2"/>
      <c r="Y3217" s="7"/>
      <c r="Z3217" s="2"/>
      <c r="AA3217" s="1"/>
      <c r="AC3217" s="2"/>
      <c r="AE3217" s="1"/>
      <c r="AG3217" s="2"/>
    </row>
    <row r="3218" spans="24:33" ht="49.95" customHeight="1" x14ac:dyDescent="0.3">
      <c r="X3218" s="2"/>
      <c r="Y3218" s="7"/>
      <c r="Z3218" s="2"/>
      <c r="AA3218" s="1"/>
      <c r="AC3218" s="2"/>
      <c r="AE3218" s="1"/>
      <c r="AG3218" s="2"/>
    </row>
    <row r="3219" spans="24:33" ht="49.95" customHeight="1" x14ac:dyDescent="0.3">
      <c r="X3219" s="2"/>
      <c r="Y3219" s="7"/>
      <c r="Z3219" s="2"/>
      <c r="AA3219" s="1"/>
      <c r="AC3219" s="2"/>
      <c r="AE3219" s="1"/>
      <c r="AG3219" s="2"/>
    </row>
    <row r="3220" spans="24:33" ht="49.95" customHeight="1" x14ac:dyDescent="0.3">
      <c r="X3220" s="2"/>
      <c r="Y3220" s="7"/>
      <c r="Z3220" s="2"/>
      <c r="AA3220" s="1"/>
      <c r="AC3220" s="2"/>
      <c r="AE3220" s="1"/>
      <c r="AG3220" s="2"/>
    </row>
    <row r="3221" spans="24:33" ht="49.95" customHeight="1" x14ac:dyDescent="0.3">
      <c r="X3221" s="2"/>
      <c r="Y3221" s="7"/>
      <c r="Z3221" s="2"/>
      <c r="AA3221" s="1"/>
      <c r="AC3221" s="2"/>
      <c r="AE3221" s="1"/>
      <c r="AG3221" s="2"/>
    </row>
    <row r="3222" spans="24:33" ht="49.95" customHeight="1" x14ac:dyDescent="0.3">
      <c r="X3222" s="2"/>
      <c r="Y3222" s="7"/>
      <c r="Z3222" s="2"/>
      <c r="AA3222" s="1"/>
      <c r="AC3222" s="2"/>
      <c r="AE3222" s="1"/>
      <c r="AG3222" s="2"/>
    </row>
    <row r="3223" spans="24:33" ht="49.95" customHeight="1" x14ac:dyDescent="0.3">
      <c r="X3223" s="2"/>
      <c r="Y3223" s="7"/>
      <c r="Z3223" s="2"/>
      <c r="AA3223" s="1"/>
      <c r="AC3223" s="2"/>
      <c r="AE3223" s="1"/>
      <c r="AG3223" s="2"/>
    </row>
    <row r="3224" spans="24:33" ht="49.95" customHeight="1" x14ac:dyDescent="0.3">
      <c r="X3224" s="2"/>
      <c r="Y3224" s="7"/>
      <c r="Z3224" s="2"/>
      <c r="AA3224" s="1"/>
      <c r="AC3224" s="2"/>
      <c r="AE3224" s="1"/>
      <c r="AG3224" s="2"/>
    </row>
    <row r="3225" spans="24:33" ht="49.95" customHeight="1" x14ac:dyDescent="0.3">
      <c r="X3225" s="2"/>
      <c r="Y3225" s="7"/>
      <c r="Z3225" s="2"/>
      <c r="AA3225" s="1"/>
      <c r="AC3225" s="2"/>
      <c r="AE3225" s="1"/>
      <c r="AG3225" s="2"/>
    </row>
    <row r="3226" spans="24:33" ht="49.95" customHeight="1" x14ac:dyDescent="0.3">
      <c r="X3226" s="2"/>
      <c r="Y3226" s="7"/>
      <c r="Z3226" s="2"/>
      <c r="AA3226" s="1"/>
      <c r="AC3226" s="2"/>
      <c r="AE3226" s="1"/>
      <c r="AG3226" s="2"/>
    </row>
    <row r="3227" spans="24:33" ht="49.95" customHeight="1" x14ac:dyDescent="0.3">
      <c r="X3227" s="2"/>
      <c r="Y3227" s="7"/>
      <c r="Z3227" s="2"/>
      <c r="AA3227" s="1"/>
      <c r="AC3227" s="2"/>
      <c r="AE3227" s="1"/>
      <c r="AG3227" s="2"/>
    </row>
    <row r="3228" spans="24:33" ht="49.95" customHeight="1" x14ac:dyDescent="0.3">
      <c r="X3228" s="2"/>
      <c r="Y3228" s="7"/>
      <c r="Z3228" s="2"/>
      <c r="AA3228" s="1"/>
      <c r="AC3228" s="2"/>
      <c r="AE3228" s="1"/>
      <c r="AG3228" s="2"/>
    </row>
    <row r="3229" spans="24:33" ht="49.95" customHeight="1" x14ac:dyDescent="0.3">
      <c r="X3229" s="2"/>
      <c r="Y3229" s="7"/>
      <c r="Z3229" s="2"/>
      <c r="AA3229" s="1"/>
      <c r="AC3229" s="2"/>
      <c r="AE3229" s="1"/>
      <c r="AG3229" s="2"/>
    </row>
    <row r="3230" spans="24:33" ht="49.95" customHeight="1" x14ac:dyDescent="0.3">
      <c r="X3230" s="2"/>
      <c r="Y3230" s="7"/>
      <c r="Z3230" s="2"/>
      <c r="AA3230" s="1"/>
      <c r="AC3230" s="2"/>
      <c r="AE3230" s="1"/>
      <c r="AG3230" s="2"/>
    </row>
    <row r="3231" spans="24:33" ht="49.95" customHeight="1" x14ac:dyDescent="0.3">
      <c r="X3231" s="2"/>
      <c r="Y3231" s="7"/>
      <c r="Z3231" s="2"/>
      <c r="AA3231" s="1"/>
      <c r="AC3231" s="2"/>
      <c r="AE3231" s="1"/>
      <c r="AG3231" s="2"/>
    </row>
    <row r="3232" spans="24:33" ht="49.95" customHeight="1" x14ac:dyDescent="0.3">
      <c r="X3232" s="2"/>
      <c r="Y3232" s="7"/>
      <c r="Z3232" s="2"/>
      <c r="AA3232" s="1"/>
      <c r="AC3232" s="2"/>
      <c r="AE3232" s="1"/>
      <c r="AG3232" s="2"/>
    </row>
    <row r="3233" spans="24:33" ht="49.95" customHeight="1" x14ac:dyDescent="0.3">
      <c r="X3233" s="2"/>
      <c r="Y3233" s="7"/>
      <c r="Z3233" s="2"/>
      <c r="AA3233" s="1"/>
      <c r="AC3233" s="2"/>
      <c r="AE3233" s="1"/>
      <c r="AG3233" s="2"/>
    </row>
    <row r="3234" spans="24:33" ht="49.95" customHeight="1" x14ac:dyDescent="0.3">
      <c r="X3234" s="2"/>
      <c r="Y3234" s="7"/>
      <c r="Z3234" s="2"/>
      <c r="AA3234" s="1"/>
      <c r="AC3234" s="2"/>
      <c r="AE3234" s="1"/>
      <c r="AG3234" s="2"/>
    </row>
    <row r="3235" spans="24:33" ht="49.95" customHeight="1" x14ac:dyDescent="0.3">
      <c r="X3235" s="2"/>
      <c r="Y3235" s="7"/>
      <c r="Z3235" s="2"/>
      <c r="AA3235" s="1"/>
      <c r="AC3235" s="2"/>
      <c r="AE3235" s="1"/>
      <c r="AG3235" s="2"/>
    </row>
    <row r="3236" spans="24:33" ht="49.95" customHeight="1" x14ac:dyDescent="0.3">
      <c r="X3236" s="2"/>
      <c r="Y3236" s="7"/>
      <c r="Z3236" s="2"/>
      <c r="AA3236" s="1"/>
      <c r="AC3236" s="2"/>
      <c r="AE3236" s="1"/>
      <c r="AG3236" s="2"/>
    </row>
    <row r="3237" spans="24:33" ht="49.95" customHeight="1" x14ac:dyDescent="0.3">
      <c r="X3237" s="2"/>
      <c r="Y3237" s="7"/>
      <c r="Z3237" s="2"/>
      <c r="AA3237" s="1"/>
      <c r="AC3237" s="2"/>
      <c r="AE3237" s="1"/>
      <c r="AG3237" s="2"/>
    </row>
    <row r="3238" spans="24:33" ht="49.95" customHeight="1" x14ac:dyDescent="0.3">
      <c r="X3238" s="2"/>
      <c r="Y3238" s="7"/>
      <c r="Z3238" s="2"/>
      <c r="AA3238" s="1"/>
      <c r="AC3238" s="2"/>
      <c r="AE3238" s="1"/>
      <c r="AG3238" s="2"/>
    </row>
    <row r="3239" spans="24:33" ht="49.95" customHeight="1" x14ac:dyDescent="0.3">
      <c r="X3239" s="2"/>
      <c r="Y3239" s="7"/>
      <c r="Z3239" s="2"/>
      <c r="AA3239" s="1"/>
      <c r="AC3239" s="2"/>
      <c r="AE3239" s="1"/>
      <c r="AG3239" s="2"/>
    </row>
    <row r="3240" spans="24:33" ht="49.95" customHeight="1" x14ac:dyDescent="0.3">
      <c r="X3240" s="2"/>
      <c r="Y3240" s="7"/>
      <c r="Z3240" s="2"/>
      <c r="AA3240" s="1"/>
      <c r="AC3240" s="2"/>
      <c r="AE3240" s="1"/>
      <c r="AG3240" s="2"/>
    </row>
    <row r="3241" spans="24:33" ht="49.95" customHeight="1" x14ac:dyDescent="0.3">
      <c r="X3241" s="2"/>
      <c r="Y3241" s="7"/>
      <c r="Z3241" s="2"/>
      <c r="AA3241" s="1"/>
      <c r="AC3241" s="2"/>
      <c r="AE3241" s="1"/>
      <c r="AG3241" s="2"/>
    </row>
    <row r="3242" spans="24:33" ht="49.95" customHeight="1" x14ac:dyDescent="0.3">
      <c r="X3242" s="2"/>
      <c r="Y3242" s="7"/>
      <c r="Z3242" s="2"/>
      <c r="AA3242" s="1"/>
      <c r="AC3242" s="2"/>
      <c r="AE3242" s="1"/>
      <c r="AG3242" s="2"/>
    </row>
    <row r="3243" spans="24:33" ht="49.95" customHeight="1" x14ac:dyDescent="0.3">
      <c r="X3243" s="2"/>
      <c r="Y3243" s="7"/>
      <c r="Z3243" s="2"/>
      <c r="AA3243" s="1"/>
      <c r="AC3243" s="2"/>
      <c r="AE3243" s="1"/>
      <c r="AG3243" s="2"/>
    </row>
    <row r="3244" spans="24:33" ht="49.95" customHeight="1" x14ac:dyDescent="0.3">
      <c r="X3244" s="2"/>
      <c r="Y3244" s="7"/>
      <c r="Z3244" s="2"/>
      <c r="AA3244" s="1"/>
      <c r="AC3244" s="2"/>
      <c r="AE3244" s="1"/>
      <c r="AG3244" s="2"/>
    </row>
    <row r="3245" spans="24:33" ht="49.95" customHeight="1" x14ac:dyDescent="0.3">
      <c r="X3245" s="2"/>
      <c r="Y3245" s="7"/>
      <c r="Z3245" s="2"/>
      <c r="AA3245" s="1"/>
      <c r="AC3245" s="2"/>
      <c r="AE3245" s="1"/>
      <c r="AG3245" s="2"/>
    </row>
    <row r="3246" spans="24:33" ht="49.95" customHeight="1" x14ac:dyDescent="0.3">
      <c r="X3246" s="2"/>
      <c r="Y3246" s="7"/>
      <c r="Z3246" s="2"/>
      <c r="AA3246" s="1"/>
      <c r="AC3246" s="2"/>
      <c r="AE3246" s="1"/>
      <c r="AG3246" s="2"/>
    </row>
    <row r="3247" spans="24:33" ht="49.95" customHeight="1" x14ac:dyDescent="0.3">
      <c r="X3247" s="2"/>
      <c r="Y3247" s="7"/>
      <c r="Z3247" s="2"/>
      <c r="AA3247" s="1"/>
      <c r="AC3247" s="2"/>
      <c r="AE3247" s="1"/>
      <c r="AG3247" s="2"/>
    </row>
    <row r="3248" spans="24:33" ht="49.95" customHeight="1" x14ac:dyDescent="0.3">
      <c r="X3248" s="2"/>
      <c r="Y3248" s="7"/>
      <c r="Z3248" s="2"/>
      <c r="AA3248" s="1"/>
      <c r="AC3248" s="2"/>
      <c r="AE3248" s="1"/>
      <c r="AG3248" s="2"/>
    </row>
    <row r="3249" spans="24:33" ht="49.95" customHeight="1" x14ac:dyDescent="0.3">
      <c r="X3249" s="2"/>
      <c r="Y3249" s="7"/>
      <c r="Z3249" s="2"/>
      <c r="AA3249" s="1"/>
      <c r="AC3249" s="2"/>
      <c r="AE3249" s="1"/>
      <c r="AG3249" s="2"/>
    </row>
    <row r="3250" spans="24:33" ht="49.95" customHeight="1" x14ac:dyDescent="0.3">
      <c r="X3250" s="2"/>
      <c r="Y3250" s="7"/>
      <c r="Z3250" s="2"/>
      <c r="AA3250" s="1"/>
      <c r="AC3250" s="2"/>
      <c r="AE3250" s="1"/>
      <c r="AG3250" s="2"/>
    </row>
    <row r="3251" spans="24:33" ht="49.95" customHeight="1" x14ac:dyDescent="0.3">
      <c r="X3251" s="2"/>
      <c r="Y3251" s="7"/>
      <c r="Z3251" s="2"/>
      <c r="AA3251" s="1"/>
      <c r="AC3251" s="2"/>
      <c r="AE3251" s="1"/>
      <c r="AG3251" s="2"/>
    </row>
    <row r="3252" spans="24:33" ht="49.95" customHeight="1" x14ac:dyDescent="0.3">
      <c r="X3252" s="2"/>
      <c r="Y3252" s="7"/>
      <c r="Z3252" s="2"/>
      <c r="AA3252" s="1"/>
      <c r="AC3252" s="2"/>
      <c r="AE3252" s="1"/>
      <c r="AG3252" s="2"/>
    </row>
    <row r="3253" spans="24:33" ht="49.95" customHeight="1" x14ac:dyDescent="0.3">
      <c r="X3253" s="2"/>
      <c r="Y3253" s="7"/>
      <c r="Z3253" s="2"/>
      <c r="AA3253" s="1"/>
      <c r="AC3253" s="2"/>
      <c r="AE3253" s="1"/>
      <c r="AG3253" s="2"/>
    </row>
    <row r="3254" spans="24:33" ht="49.95" customHeight="1" x14ac:dyDescent="0.3">
      <c r="X3254" s="2"/>
      <c r="Y3254" s="7"/>
      <c r="Z3254" s="2"/>
      <c r="AA3254" s="1"/>
      <c r="AC3254" s="2"/>
      <c r="AE3254" s="1"/>
      <c r="AG3254" s="2"/>
    </row>
    <row r="3255" spans="24:33" ht="49.95" customHeight="1" x14ac:dyDescent="0.3">
      <c r="X3255" s="2"/>
      <c r="Y3255" s="7"/>
      <c r="Z3255" s="2"/>
      <c r="AA3255" s="1"/>
      <c r="AC3255" s="2"/>
      <c r="AE3255" s="1"/>
      <c r="AG3255" s="2"/>
    </row>
    <row r="3256" spans="24:33" ht="49.95" customHeight="1" x14ac:dyDescent="0.3">
      <c r="X3256" s="2"/>
      <c r="Y3256" s="7"/>
      <c r="Z3256" s="2"/>
      <c r="AA3256" s="1"/>
      <c r="AC3256" s="2"/>
      <c r="AE3256" s="1"/>
      <c r="AG3256" s="2"/>
    </row>
    <row r="3257" spans="24:33" ht="49.95" customHeight="1" x14ac:dyDescent="0.3">
      <c r="X3257" s="2"/>
      <c r="Y3257" s="7"/>
      <c r="Z3257" s="2"/>
      <c r="AA3257" s="1"/>
      <c r="AC3257" s="2"/>
      <c r="AE3257" s="1"/>
      <c r="AG3257" s="2"/>
    </row>
    <row r="3258" spans="24:33" ht="49.95" customHeight="1" x14ac:dyDescent="0.3">
      <c r="X3258" s="2"/>
      <c r="Y3258" s="7"/>
      <c r="Z3258" s="2"/>
      <c r="AA3258" s="1"/>
      <c r="AC3258" s="2"/>
      <c r="AE3258" s="1"/>
      <c r="AG3258" s="2"/>
    </row>
    <row r="3259" spans="24:33" ht="49.95" customHeight="1" x14ac:dyDescent="0.3">
      <c r="X3259" s="2"/>
      <c r="Y3259" s="7"/>
      <c r="Z3259" s="2"/>
      <c r="AA3259" s="1"/>
      <c r="AC3259" s="2"/>
      <c r="AE3259" s="1"/>
      <c r="AG3259" s="2"/>
    </row>
    <row r="3260" spans="24:33" ht="49.95" customHeight="1" x14ac:dyDescent="0.3">
      <c r="X3260" s="2"/>
      <c r="Y3260" s="7"/>
      <c r="Z3260" s="2"/>
      <c r="AA3260" s="1"/>
      <c r="AC3260" s="2"/>
      <c r="AE3260" s="1"/>
      <c r="AG3260" s="2"/>
    </row>
    <row r="3261" spans="24:33" ht="49.95" customHeight="1" x14ac:dyDescent="0.3">
      <c r="X3261" s="2"/>
      <c r="Y3261" s="7"/>
      <c r="Z3261" s="2"/>
      <c r="AA3261" s="1"/>
      <c r="AC3261" s="2"/>
      <c r="AE3261" s="1"/>
      <c r="AG3261" s="2"/>
    </row>
    <row r="3262" spans="24:33" ht="49.95" customHeight="1" x14ac:dyDescent="0.3">
      <c r="X3262" s="2"/>
      <c r="Y3262" s="7"/>
      <c r="Z3262" s="2"/>
      <c r="AA3262" s="1"/>
      <c r="AC3262" s="2"/>
      <c r="AE3262" s="1"/>
      <c r="AG3262" s="2"/>
    </row>
    <row r="3263" spans="24:33" ht="49.95" customHeight="1" x14ac:dyDescent="0.3">
      <c r="X3263" s="2"/>
      <c r="Y3263" s="7"/>
      <c r="Z3263" s="2"/>
      <c r="AA3263" s="1"/>
      <c r="AC3263" s="2"/>
      <c r="AE3263" s="1"/>
      <c r="AG3263" s="2"/>
    </row>
    <row r="3264" spans="24:33" ht="49.95" customHeight="1" x14ac:dyDescent="0.3">
      <c r="X3264" s="1"/>
      <c r="Y3264" s="7"/>
      <c r="Z3264" s="2"/>
      <c r="AA3264" s="1"/>
      <c r="AC3264" s="2"/>
      <c r="AE3264" s="1"/>
      <c r="AG3264" s="2"/>
    </row>
    <row r="3265" spans="24:33" ht="49.95" customHeight="1" x14ac:dyDescent="0.3">
      <c r="X3265" s="1"/>
      <c r="Y3265" s="7"/>
      <c r="Z3265" s="2"/>
      <c r="AA3265" s="1"/>
      <c r="AC3265" s="2"/>
      <c r="AE3265" s="1"/>
      <c r="AG3265" s="2"/>
    </row>
    <row r="3266" spans="24:33" ht="49.95" customHeight="1" x14ac:dyDescent="0.3">
      <c r="X3266" s="1"/>
      <c r="Y3266" s="7"/>
      <c r="Z3266" s="2"/>
      <c r="AA3266" s="1"/>
      <c r="AC3266" s="2"/>
      <c r="AE3266" s="1"/>
      <c r="AG3266" s="2"/>
    </row>
    <row r="3267" spans="24:33" ht="49.95" customHeight="1" x14ac:dyDescent="0.3">
      <c r="X3267" s="1"/>
      <c r="Y3267" s="7"/>
      <c r="Z3267" s="2"/>
      <c r="AA3267" s="1"/>
      <c r="AC3267" s="2"/>
      <c r="AE3267" s="1"/>
      <c r="AG3267" s="2"/>
    </row>
    <row r="3268" spans="24:33" ht="49.95" customHeight="1" x14ac:dyDescent="0.3">
      <c r="X3268" s="1"/>
      <c r="Y3268" s="7"/>
      <c r="Z3268" s="2"/>
      <c r="AA3268" s="1"/>
      <c r="AC3268" s="2"/>
      <c r="AE3268" s="1"/>
      <c r="AG3268" s="2"/>
    </row>
    <row r="3269" spans="24:33" ht="49.95" customHeight="1" x14ac:dyDescent="0.3">
      <c r="X3269" s="1"/>
      <c r="Y3269" s="7"/>
      <c r="Z3269" s="2"/>
      <c r="AA3269" s="1"/>
      <c r="AC3269" s="2"/>
      <c r="AE3269" s="1"/>
      <c r="AG3269" s="2"/>
    </row>
    <row r="3270" spans="24:33" ht="49.95" customHeight="1" x14ac:dyDescent="0.3">
      <c r="X3270" s="1"/>
      <c r="Y3270" s="7"/>
      <c r="Z3270" s="2"/>
      <c r="AA3270" s="1"/>
      <c r="AC3270" s="2"/>
      <c r="AE3270" s="1"/>
      <c r="AG3270" s="2"/>
    </row>
    <row r="3271" spans="24:33" ht="49.95" customHeight="1" x14ac:dyDescent="0.3">
      <c r="X3271" s="1"/>
      <c r="Y3271" s="7"/>
      <c r="Z3271" s="2"/>
      <c r="AA3271" s="1"/>
      <c r="AC3271" s="2"/>
      <c r="AE3271" s="1"/>
      <c r="AG3271" s="2"/>
    </row>
    <row r="3272" spans="24:33" ht="49.95" customHeight="1" x14ac:dyDescent="0.3">
      <c r="X3272" s="1"/>
      <c r="Y3272" s="7"/>
      <c r="Z3272" s="2"/>
      <c r="AA3272" s="1"/>
      <c r="AC3272" s="2"/>
      <c r="AE3272" s="1"/>
      <c r="AG3272" s="2"/>
    </row>
    <row r="3273" spans="24:33" ht="49.95" customHeight="1" x14ac:dyDescent="0.3">
      <c r="X3273" s="2"/>
      <c r="Y3273" s="7"/>
      <c r="Z3273" s="2"/>
      <c r="AA3273" s="1"/>
      <c r="AC3273" s="2"/>
      <c r="AE3273" s="1"/>
      <c r="AG3273" s="2"/>
    </row>
    <row r="3274" spans="24:33" ht="49.95" customHeight="1" x14ac:dyDescent="0.3">
      <c r="X3274" s="2"/>
      <c r="Y3274" s="7"/>
      <c r="Z3274" s="2"/>
      <c r="AA3274" s="1"/>
      <c r="AC3274" s="2"/>
      <c r="AE3274" s="1"/>
      <c r="AG3274" s="2"/>
    </row>
    <row r="3275" spans="24:33" ht="49.95" customHeight="1" x14ac:dyDescent="0.3">
      <c r="X3275" s="2"/>
      <c r="Y3275" s="7"/>
      <c r="Z3275" s="2"/>
      <c r="AA3275" s="1"/>
      <c r="AC3275" s="2"/>
      <c r="AE3275" s="1"/>
      <c r="AG3275" s="2"/>
    </row>
    <row r="3276" spans="24:33" ht="49.95" customHeight="1" x14ac:dyDescent="0.3">
      <c r="X3276" s="2"/>
      <c r="Y3276" s="7"/>
      <c r="Z3276" s="2"/>
      <c r="AA3276" s="1"/>
      <c r="AC3276" s="2"/>
      <c r="AE3276" s="1"/>
      <c r="AG3276" s="2"/>
    </row>
    <row r="3277" spans="24:33" ht="49.95" customHeight="1" x14ac:dyDescent="0.3">
      <c r="X3277" s="2"/>
      <c r="Y3277" s="7"/>
      <c r="Z3277" s="2"/>
      <c r="AA3277" s="1"/>
      <c r="AC3277" s="2"/>
      <c r="AE3277" s="1"/>
      <c r="AG3277" s="2"/>
    </row>
    <row r="3278" spans="24:33" ht="49.95" customHeight="1" x14ac:dyDescent="0.3">
      <c r="X3278" s="2"/>
      <c r="Y3278" s="7"/>
      <c r="Z3278" s="2"/>
      <c r="AA3278" s="1"/>
      <c r="AC3278" s="2"/>
      <c r="AE3278" s="1"/>
      <c r="AG3278" s="2"/>
    </row>
    <row r="3279" spans="24:33" ht="49.95" customHeight="1" x14ac:dyDescent="0.3">
      <c r="X3279" s="2"/>
      <c r="Y3279" s="7"/>
      <c r="Z3279" s="2"/>
      <c r="AA3279" s="1"/>
      <c r="AC3279" s="2"/>
      <c r="AE3279" s="1"/>
      <c r="AG3279" s="2"/>
    </row>
    <row r="3280" spans="24:33" ht="49.95" customHeight="1" x14ac:dyDescent="0.3">
      <c r="X3280" s="2"/>
      <c r="Y3280" s="7"/>
      <c r="Z3280" s="2"/>
      <c r="AA3280" s="1"/>
      <c r="AC3280" s="2"/>
      <c r="AE3280" s="1"/>
      <c r="AG3280" s="2"/>
    </row>
    <row r="3281" spans="24:33" ht="49.95" customHeight="1" x14ac:dyDescent="0.3">
      <c r="X3281" s="2"/>
      <c r="Y3281" s="7"/>
      <c r="Z3281" s="2"/>
      <c r="AA3281" s="1"/>
      <c r="AC3281" s="2"/>
      <c r="AE3281" s="1"/>
      <c r="AG3281" s="2"/>
    </row>
    <row r="3282" spans="24:33" ht="49.95" customHeight="1" x14ac:dyDescent="0.3">
      <c r="X3282" s="2"/>
      <c r="Y3282" s="7"/>
      <c r="Z3282" s="2"/>
      <c r="AA3282" s="1"/>
      <c r="AC3282" s="2"/>
      <c r="AE3282" s="1"/>
      <c r="AG3282" s="2"/>
    </row>
    <row r="3283" spans="24:33" ht="49.95" customHeight="1" x14ac:dyDescent="0.3">
      <c r="X3283" s="2"/>
      <c r="Y3283" s="7"/>
      <c r="Z3283" s="2"/>
      <c r="AA3283" s="1"/>
      <c r="AC3283" s="2"/>
      <c r="AE3283" s="1"/>
      <c r="AG3283" s="2"/>
    </row>
    <row r="3284" spans="24:33" ht="49.95" customHeight="1" x14ac:dyDescent="0.3">
      <c r="X3284" s="2"/>
      <c r="Y3284" s="7"/>
      <c r="Z3284" s="2"/>
      <c r="AA3284" s="1"/>
      <c r="AC3284" s="2"/>
      <c r="AE3284" s="1"/>
      <c r="AG3284" s="2"/>
    </row>
    <row r="3285" spans="24:33" ht="49.95" customHeight="1" x14ac:dyDescent="0.3">
      <c r="X3285" s="2"/>
      <c r="Y3285" s="7"/>
      <c r="Z3285" s="2"/>
      <c r="AA3285" s="1"/>
      <c r="AC3285" s="2"/>
      <c r="AE3285" s="1"/>
      <c r="AG3285" s="2"/>
    </row>
    <row r="3286" spans="24:33" ht="49.95" customHeight="1" x14ac:dyDescent="0.3">
      <c r="X3286" s="2"/>
      <c r="Y3286" s="7"/>
      <c r="Z3286" s="2"/>
      <c r="AA3286" s="1"/>
      <c r="AC3286" s="2"/>
      <c r="AE3286" s="1"/>
      <c r="AG3286" s="2"/>
    </row>
    <row r="3287" spans="24:33" ht="49.95" customHeight="1" x14ac:dyDescent="0.3">
      <c r="X3287" s="2"/>
      <c r="Y3287" s="7"/>
      <c r="Z3287" s="2"/>
      <c r="AA3287" s="1"/>
      <c r="AC3287" s="2"/>
      <c r="AE3287" s="1"/>
      <c r="AG3287" s="2"/>
    </row>
    <row r="3288" spans="24:33" ht="49.95" customHeight="1" x14ac:dyDescent="0.3">
      <c r="X3288" s="2"/>
      <c r="Y3288" s="7"/>
      <c r="Z3288" s="2"/>
      <c r="AA3288" s="1"/>
      <c r="AC3288" s="2"/>
      <c r="AE3288" s="1"/>
      <c r="AG3288" s="2"/>
    </row>
    <row r="3289" spans="24:33" ht="49.95" customHeight="1" x14ac:dyDescent="0.3">
      <c r="X3289" s="2"/>
      <c r="Y3289" s="7"/>
      <c r="Z3289" s="2"/>
      <c r="AA3289" s="1"/>
      <c r="AC3289" s="2"/>
      <c r="AE3289" s="1"/>
      <c r="AG3289" s="2"/>
    </row>
    <row r="3290" spans="24:33" ht="49.95" customHeight="1" x14ac:dyDescent="0.3">
      <c r="X3290" s="2"/>
      <c r="Y3290" s="7"/>
      <c r="Z3290" s="2"/>
      <c r="AA3290" s="1"/>
      <c r="AC3290" s="2"/>
      <c r="AE3290" s="1"/>
      <c r="AG3290" s="2"/>
    </row>
    <row r="3291" spans="24:33" ht="49.95" customHeight="1" x14ac:dyDescent="0.3">
      <c r="X3291" s="2"/>
      <c r="Y3291" s="7"/>
      <c r="Z3291" s="2"/>
      <c r="AA3291" s="1"/>
      <c r="AC3291" s="2"/>
      <c r="AE3291" s="1"/>
      <c r="AG3291" s="2"/>
    </row>
    <row r="3292" spans="24:33" ht="49.95" customHeight="1" x14ac:dyDescent="0.3">
      <c r="X3292" s="2"/>
      <c r="Y3292" s="7"/>
      <c r="Z3292" s="2"/>
      <c r="AA3292" s="1"/>
      <c r="AC3292" s="2"/>
      <c r="AE3292" s="1"/>
      <c r="AG3292" s="2"/>
    </row>
    <row r="3293" spans="24:33" ht="49.95" customHeight="1" x14ac:dyDescent="0.3">
      <c r="X3293" s="2"/>
      <c r="Y3293" s="7"/>
      <c r="Z3293" s="2"/>
      <c r="AA3293" s="1"/>
      <c r="AC3293" s="2"/>
      <c r="AE3293" s="1"/>
      <c r="AG3293" s="2"/>
    </row>
    <row r="3294" spans="24:33" ht="49.95" customHeight="1" x14ac:dyDescent="0.3">
      <c r="X3294" s="2"/>
      <c r="Y3294" s="7"/>
      <c r="Z3294" s="2"/>
      <c r="AA3294" s="1"/>
      <c r="AC3294" s="2"/>
      <c r="AE3294" s="1"/>
      <c r="AG3294" s="2"/>
    </row>
    <row r="3295" spans="24:33" ht="49.95" customHeight="1" x14ac:dyDescent="0.3">
      <c r="X3295" s="2"/>
      <c r="Y3295" s="7"/>
      <c r="Z3295" s="2"/>
      <c r="AA3295" s="1"/>
      <c r="AC3295" s="2"/>
      <c r="AE3295" s="1"/>
      <c r="AG3295" s="2"/>
    </row>
    <row r="3296" spans="24:33" ht="49.95" customHeight="1" x14ac:dyDescent="0.3">
      <c r="X3296" s="2"/>
      <c r="Y3296" s="7"/>
      <c r="Z3296" s="2"/>
      <c r="AA3296" s="1"/>
      <c r="AC3296" s="2"/>
      <c r="AE3296" s="1"/>
      <c r="AG3296" s="2"/>
    </row>
    <row r="3297" spans="24:33" ht="49.95" customHeight="1" x14ac:dyDescent="0.3">
      <c r="X3297" s="2"/>
      <c r="Y3297" s="7"/>
      <c r="Z3297" s="2"/>
      <c r="AA3297" s="1"/>
      <c r="AC3297" s="2"/>
      <c r="AE3297" s="1"/>
      <c r="AG3297" s="2"/>
    </row>
    <row r="3298" spans="24:33" ht="49.95" customHeight="1" x14ac:dyDescent="0.3">
      <c r="X3298" s="2"/>
      <c r="Y3298" s="7"/>
      <c r="Z3298" s="2"/>
      <c r="AA3298" s="1"/>
      <c r="AC3298" s="2"/>
      <c r="AE3298" s="1"/>
      <c r="AG3298" s="2"/>
    </row>
    <row r="3299" spans="24:33" ht="49.95" customHeight="1" x14ac:dyDescent="0.3">
      <c r="X3299" s="2"/>
      <c r="Y3299" s="7"/>
      <c r="Z3299" s="2"/>
      <c r="AA3299" s="1"/>
      <c r="AC3299" s="2"/>
      <c r="AE3299" s="1"/>
      <c r="AG3299" s="2"/>
    </row>
    <row r="3300" spans="24:33" ht="49.95" customHeight="1" x14ac:dyDescent="0.3">
      <c r="X3300" s="2"/>
      <c r="Y3300" s="7"/>
      <c r="Z3300" s="2"/>
      <c r="AA3300" s="1"/>
      <c r="AC3300" s="2"/>
      <c r="AE3300" s="1"/>
      <c r="AG3300" s="2"/>
    </row>
    <row r="3301" spans="24:33" ht="49.95" customHeight="1" x14ac:dyDescent="0.3">
      <c r="X3301" s="2"/>
      <c r="Y3301" s="7"/>
      <c r="Z3301" s="2"/>
      <c r="AA3301" s="1"/>
      <c r="AC3301" s="2"/>
      <c r="AE3301" s="1"/>
      <c r="AG3301" s="2"/>
    </row>
    <row r="3302" spans="24:33" ht="49.95" customHeight="1" x14ac:dyDescent="0.3">
      <c r="X3302" s="2"/>
      <c r="Y3302" s="7"/>
      <c r="Z3302" s="2"/>
      <c r="AA3302" s="1"/>
      <c r="AC3302" s="2"/>
      <c r="AE3302" s="1"/>
      <c r="AG3302" s="2"/>
    </row>
    <row r="3303" spans="24:33" ht="49.95" customHeight="1" x14ac:dyDescent="0.3">
      <c r="X3303" s="2"/>
      <c r="Y3303" s="7"/>
      <c r="Z3303" s="2"/>
      <c r="AA3303" s="1"/>
      <c r="AC3303" s="2"/>
      <c r="AE3303" s="1"/>
      <c r="AG3303" s="2"/>
    </row>
    <row r="3304" spans="24:33" ht="49.95" customHeight="1" x14ac:dyDescent="0.3">
      <c r="X3304" s="2"/>
      <c r="Y3304" s="7"/>
      <c r="Z3304" s="2"/>
      <c r="AA3304" s="1"/>
      <c r="AC3304" s="2"/>
      <c r="AE3304" s="1"/>
      <c r="AG3304" s="2"/>
    </row>
    <row r="3305" spans="24:33" ht="49.95" customHeight="1" x14ac:dyDescent="0.3">
      <c r="X3305" s="2"/>
      <c r="Y3305" s="7"/>
      <c r="Z3305" s="2"/>
      <c r="AA3305" s="1"/>
      <c r="AC3305" s="2"/>
      <c r="AE3305" s="1"/>
      <c r="AG3305" s="2"/>
    </row>
    <row r="3306" spans="24:33" ht="49.95" customHeight="1" x14ac:dyDescent="0.3">
      <c r="X3306" s="2"/>
      <c r="Y3306" s="7"/>
      <c r="Z3306" s="2"/>
      <c r="AA3306" s="1"/>
      <c r="AC3306" s="2"/>
      <c r="AE3306" s="1"/>
      <c r="AG3306" s="2"/>
    </row>
    <row r="3307" spans="24:33" ht="49.95" customHeight="1" x14ac:dyDescent="0.3">
      <c r="X3307" s="2"/>
      <c r="Y3307" s="7"/>
      <c r="Z3307" s="2"/>
      <c r="AA3307" s="1"/>
      <c r="AC3307" s="2"/>
      <c r="AE3307" s="1"/>
      <c r="AG3307" s="2"/>
    </row>
    <row r="3308" spans="24:33" ht="49.95" customHeight="1" x14ac:dyDescent="0.3">
      <c r="X3308" s="2"/>
      <c r="Y3308" s="7"/>
      <c r="Z3308" s="2"/>
      <c r="AA3308" s="1"/>
      <c r="AC3308" s="2"/>
      <c r="AE3308" s="1"/>
      <c r="AG3308" s="2"/>
    </row>
    <row r="3309" spans="24:33" ht="49.95" customHeight="1" x14ac:dyDescent="0.3">
      <c r="X3309" s="2"/>
      <c r="Y3309" s="7"/>
      <c r="Z3309" s="2"/>
      <c r="AA3309" s="1"/>
      <c r="AC3309" s="2"/>
      <c r="AE3309" s="1"/>
      <c r="AG3309" s="2"/>
    </row>
    <row r="3310" spans="24:33" ht="49.95" customHeight="1" x14ac:dyDescent="0.3">
      <c r="X3310" s="2"/>
      <c r="Y3310" s="7"/>
      <c r="Z3310" s="2"/>
      <c r="AA3310" s="1"/>
      <c r="AC3310" s="2"/>
      <c r="AE3310" s="1"/>
      <c r="AG3310" s="2"/>
    </row>
    <row r="3311" spans="24:33" ht="49.95" customHeight="1" x14ac:dyDescent="0.3">
      <c r="X3311" s="2"/>
      <c r="Y3311" s="7"/>
      <c r="Z3311" s="2"/>
      <c r="AA3311" s="1"/>
      <c r="AC3311" s="2"/>
      <c r="AE3311" s="1"/>
      <c r="AG3311" s="2"/>
    </row>
    <row r="3312" spans="24:33" ht="49.95" customHeight="1" x14ac:dyDescent="0.3">
      <c r="X3312" s="2"/>
      <c r="Y3312" s="7"/>
      <c r="Z3312" s="2"/>
      <c r="AA3312" s="1"/>
      <c r="AC3312" s="2"/>
      <c r="AE3312" s="1"/>
      <c r="AG3312" s="2"/>
    </row>
    <row r="3313" spans="24:33" ht="49.95" customHeight="1" x14ac:dyDescent="0.3">
      <c r="X3313" s="2"/>
      <c r="Y3313" s="7"/>
      <c r="Z3313" s="2"/>
      <c r="AA3313" s="1"/>
      <c r="AC3313" s="2"/>
      <c r="AE3313" s="1"/>
      <c r="AG3313" s="2"/>
    </row>
    <row r="3314" spans="24:33" ht="49.95" customHeight="1" x14ac:dyDescent="0.3">
      <c r="X3314" s="2"/>
      <c r="Y3314" s="7"/>
      <c r="Z3314" s="2"/>
      <c r="AA3314" s="1"/>
      <c r="AC3314" s="2"/>
      <c r="AE3314" s="1"/>
      <c r="AG3314" s="2"/>
    </row>
    <row r="3315" spans="24:33" ht="49.95" customHeight="1" x14ac:dyDescent="0.3">
      <c r="X3315" s="2"/>
      <c r="Y3315" s="7"/>
      <c r="Z3315" s="2"/>
      <c r="AA3315" s="1"/>
      <c r="AC3315" s="2"/>
      <c r="AE3315" s="1"/>
      <c r="AG3315" s="2"/>
    </row>
    <row r="3316" spans="24:33" ht="49.95" customHeight="1" x14ac:dyDescent="0.3">
      <c r="X3316" s="2"/>
      <c r="Y3316" s="7"/>
      <c r="Z3316" s="2"/>
      <c r="AA3316" s="1"/>
      <c r="AC3316" s="2"/>
      <c r="AE3316" s="1"/>
      <c r="AG3316" s="2"/>
    </row>
    <row r="3317" spans="24:33" ht="49.95" customHeight="1" x14ac:dyDescent="0.3">
      <c r="X3317" s="158"/>
      <c r="Y3317" s="7"/>
      <c r="Z3317" s="2"/>
      <c r="AA3317" s="1"/>
      <c r="AC3317" s="2"/>
      <c r="AE3317" s="1"/>
      <c r="AG3317" s="2"/>
    </row>
    <row r="3318" spans="24:33" ht="49.95" customHeight="1" x14ac:dyDescent="0.3">
      <c r="X3318" s="158"/>
      <c r="Y3318" s="7"/>
      <c r="Z3318" s="2"/>
      <c r="AA3318" s="1"/>
      <c r="AC3318" s="2"/>
      <c r="AE3318" s="1"/>
      <c r="AG3318" s="2"/>
    </row>
    <row r="3319" spans="24:33" ht="49.95" customHeight="1" x14ac:dyDescent="0.3">
      <c r="X3319" s="158"/>
      <c r="Y3319" s="7"/>
      <c r="Z3319" s="2"/>
      <c r="AA3319" s="1"/>
      <c r="AC3319" s="2"/>
      <c r="AE3319" s="1"/>
      <c r="AG3319" s="2"/>
    </row>
    <row r="3320" spans="24:33" ht="49.95" customHeight="1" x14ac:dyDescent="0.3">
      <c r="X3320" s="158"/>
      <c r="Y3320" s="7"/>
      <c r="Z3320" s="2"/>
      <c r="AA3320" s="1"/>
      <c r="AC3320" s="2"/>
      <c r="AE3320" s="1"/>
      <c r="AG3320" s="2"/>
    </row>
    <row r="3321" spans="24:33" ht="49.95" customHeight="1" x14ac:dyDescent="0.3">
      <c r="X3321" s="164"/>
      <c r="Y3321" s="7"/>
      <c r="Z3321" s="2"/>
      <c r="AA3321" s="1"/>
      <c r="AC3321" s="2"/>
      <c r="AE3321" s="1"/>
      <c r="AG3321" s="2"/>
    </row>
    <row r="3322" spans="24:33" ht="49.95" customHeight="1" x14ac:dyDescent="0.3">
      <c r="X3322" s="2"/>
      <c r="Y3322" s="7"/>
      <c r="Z3322" s="2"/>
      <c r="AA3322" s="1"/>
      <c r="AC3322" s="2"/>
      <c r="AE3322" s="1"/>
      <c r="AG3322" s="2"/>
    </row>
    <row r="3323" spans="24:33" ht="49.95" customHeight="1" x14ac:dyDescent="0.3">
      <c r="X3323" s="2"/>
      <c r="Y3323" s="7"/>
      <c r="Z3323" s="2"/>
      <c r="AA3323" s="1"/>
      <c r="AC3323" s="2"/>
      <c r="AE3323" s="1"/>
      <c r="AG3323" s="2"/>
    </row>
    <row r="3324" spans="24:33" ht="49.95" customHeight="1" x14ac:dyDescent="0.3">
      <c r="X3324" s="2"/>
      <c r="Y3324" s="7"/>
      <c r="Z3324" s="2"/>
      <c r="AA3324" s="1"/>
      <c r="AC3324" s="2"/>
      <c r="AE3324" s="1"/>
      <c r="AG3324" s="2"/>
    </row>
    <row r="3325" spans="24:33" ht="49.95" customHeight="1" x14ac:dyDescent="0.3">
      <c r="X3325" s="158"/>
      <c r="Y3325" s="7"/>
      <c r="Z3325" s="2"/>
      <c r="AA3325" s="1"/>
      <c r="AC3325" s="2"/>
      <c r="AE3325" s="1"/>
      <c r="AG3325" s="2"/>
    </row>
    <row r="3326" spans="24:33" ht="49.95" customHeight="1" x14ac:dyDescent="0.3">
      <c r="X3326" s="2"/>
      <c r="Y3326" s="7"/>
      <c r="Z3326" s="2"/>
      <c r="AA3326" s="1"/>
      <c r="AC3326" s="2"/>
      <c r="AE3326" s="1"/>
      <c r="AG3326" s="2"/>
    </row>
    <row r="3327" spans="24:33" ht="49.95" customHeight="1" x14ac:dyDescent="0.3">
      <c r="X3327" s="2"/>
      <c r="Y3327" s="7"/>
      <c r="Z3327" s="2"/>
      <c r="AA3327" s="1"/>
      <c r="AC3327" s="2"/>
      <c r="AE3327" s="1"/>
      <c r="AG3327" s="2"/>
    </row>
    <row r="3328" spans="24:33" ht="49.95" customHeight="1" x14ac:dyDescent="0.3">
      <c r="X3328" s="2"/>
      <c r="Y3328" s="7"/>
      <c r="Z3328" s="2"/>
      <c r="AA3328" s="1"/>
      <c r="AC3328" s="2"/>
      <c r="AE3328" s="1"/>
      <c r="AG3328" s="2"/>
    </row>
    <row r="3329" spans="24:33" ht="49.95" customHeight="1" x14ac:dyDescent="0.3">
      <c r="X3329" s="2"/>
      <c r="Y3329" s="7"/>
      <c r="Z3329" s="2"/>
      <c r="AA3329" s="1"/>
      <c r="AC3329" s="2"/>
      <c r="AE3329" s="1"/>
      <c r="AG3329" s="2"/>
    </row>
    <row r="3330" spans="24:33" ht="49.95" customHeight="1" x14ac:dyDescent="0.3">
      <c r="X3330" s="2"/>
      <c r="Y3330" s="7"/>
      <c r="Z3330" s="2"/>
      <c r="AA3330" s="1"/>
      <c r="AC3330" s="2"/>
      <c r="AE3330" s="1"/>
      <c r="AG3330" s="2"/>
    </row>
    <row r="3331" spans="24:33" ht="49.95" customHeight="1" x14ac:dyDescent="0.3">
      <c r="X3331" s="2"/>
      <c r="Y3331" s="7"/>
      <c r="Z3331" s="2"/>
      <c r="AA3331" s="1"/>
      <c r="AC3331" s="2"/>
      <c r="AE3331" s="1"/>
      <c r="AG3331" s="2"/>
    </row>
    <row r="3332" spans="24:33" ht="49.95" customHeight="1" x14ac:dyDescent="0.3">
      <c r="X3332" s="2"/>
      <c r="Y3332" s="7"/>
      <c r="Z3332" s="2"/>
      <c r="AA3332" s="1"/>
      <c r="AC3332" s="2"/>
      <c r="AE3332" s="1"/>
      <c r="AG3332" s="2"/>
    </row>
    <row r="3333" spans="24:33" ht="49.95" customHeight="1" x14ac:dyDescent="0.3">
      <c r="X3333" s="2"/>
      <c r="Y3333" s="7"/>
      <c r="Z3333" s="2"/>
      <c r="AA3333" s="1"/>
      <c r="AC3333" s="2"/>
      <c r="AE3333" s="1"/>
      <c r="AG3333" s="2"/>
    </row>
    <row r="3334" spans="24:33" ht="49.95" customHeight="1" x14ac:dyDescent="0.3">
      <c r="X3334" s="158"/>
      <c r="Y3334" s="7"/>
      <c r="Z3334" s="2"/>
      <c r="AA3334" s="1"/>
      <c r="AC3334" s="2"/>
      <c r="AE3334" s="1"/>
      <c r="AG3334" s="2"/>
    </row>
    <row r="3335" spans="24:33" ht="49.95" customHeight="1" x14ac:dyDescent="0.3">
      <c r="X3335" s="2"/>
      <c r="Y3335" s="7"/>
      <c r="Z3335" s="2"/>
      <c r="AA3335" s="1"/>
      <c r="AC3335" s="2"/>
      <c r="AE3335" s="1"/>
      <c r="AG3335" s="2"/>
    </row>
    <row r="3336" spans="24:33" ht="49.95" customHeight="1" x14ac:dyDescent="0.3">
      <c r="X3336" s="154"/>
      <c r="Y3336" s="7"/>
      <c r="Z3336" s="2"/>
      <c r="AA3336" s="1"/>
      <c r="AC3336" s="2"/>
      <c r="AE3336" s="1"/>
      <c r="AG3336" s="2"/>
    </row>
    <row r="3337" spans="24:33" ht="49.95" customHeight="1" x14ac:dyDescent="0.3">
      <c r="X3337" s="2"/>
      <c r="Y3337" s="7"/>
      <c r="Z3337" s="2"/>
      <c r="AA3337" s="1"/>
      <c r="AC3337" s="2"/>
      <c r="AE3337" s="1"/>
      <c r="AG3337" s="2"/>
    </row>
    <row r="3338" spans="24:33" ht="49.95" customHeight="1" x14ac:dyDescent="0.3">
      <c r="X3338" s="2"/>
      <c r="Y3338" s="7"/>
      <c r="Z3338" s="2"/>
      <c r="AA3338" s="1"/>
      <c r="AC3338" s="2"/>
      <c r="AE3338" s="1"/>
      <c r="AG3338" s="2"/>
    </row>
    <row r="3339" spans="24:33" ht="49.95" customHeight="1" x14ac:dyDescent="0.3">
      <c r="X3339" s="154"/>
      <c r="Y3339" s="7"/>
      <c r="Z3339" s="2"/>
      <c r="AA3339" s="1"/>
      <c r="AC3339" s="2"/>
      <c r="AE3339" s="1"/>
      <c r="AG3339" s="2"/>
    </row>
    <row r="3340" spans="24:33" ht="49.95" customHeight="1" x14ac:dyDescent="0.3">
      <c r="X3340" s="2"/>
      <c r="Y3340" s="7"/>
      <c r="Z3340" s="2"/>
      <c r="AA3340" s="1"/>
      <c r="AC3340" s="2"/>
      <c r="AE3340" s="1"/>
      <c r="AG3340" s="2"/>
    </row>
    <row r="3341" spans="24:33" ht="49.95" customHeight="1" x14ac:dyDescent="0.3">
      <c r="X3341" s="2"/>
      <c r="Y3341" s="7"/>
      <c r="Z3341" s="2"/>
      <c r="AA3341" s="1"/>
      <c r="AC3341" s="2"/>
      <c r="AE3341" s="1"/>
      <c r="AG3341" s="2"/>
    </row>
    <row r="3342" spans="24:33" ht="49.95" customHeight="1" x14ac:dyDescent="0.3">
      <c r="X3342" s="2"/>
      <c r="Y3342" s="7"/>
      <c r="Z3342" s="2"/>
      <c r="AA3342" s="1"/>
      <c r="AC3342" s="2"/>
      <c r="AE3342" s="1"/>
      <c r="AG3342" s="2"/>
    </row>
    <row r="3343" spans="24:33" ht="49.95" customHeight="1" x14ac:dyDescent="0.3">
      <c r="X3343" s="2"/>
      <c r="Y3343" s="7"/>
      <c r="Z3343" s="2"/>
      <c r="AA3343" s="1"/>
      <c r="AC3343" s="2"/>
      <c r="AE3343" s="1"/>
      <c r="AG3343" s="2"/>
    </row>
    <row r="3344" spans="24:33" ht="49.95" customHeight="1" x14ac:dyDescent="0.3">
      <c r="X3344" s="2"/>
      <c r="Y3344" s="7"/>
      <c r="Z3344" s="2"/>
      <c r="AA3344" s="1"/>
      <c r="AC3344" s="2"/>
      <c r="AE3344" s="1"/>
      <c r="AG3344" s="2"/>
    </row>
    <row r="3345" spans="24:33" ht="49.95" customHeight="1" x14ac:dyDescent="0.3">
      <c r="X3345" s="2"/>
      <c r="Y3345" s="7"/>
      <c r="Z3345" s="2"/>
      <c r="AA3345" s="1"/>
      <c r="AC3345" s="2"/>
      <c r="AE3345" s="1"/>
      <c r="AG3345" s="2"/>
    </row>
    <row r="3346" spans="24:33" ht="49.95" customHeight="1" x14ac:dyDescent="0.3">
      <c r="X3346" s="2"/>
      <c r="Y3346" s="7"/>
      <c r="Z3346" s="2"/>
      <c r="AA3346" s="1"/>
      <c r="AC3346" s="2"/>
      <c r="AE3346" s="1"/>
      <c r="AG3346" s="2"/>
    </row>
    <row r="3347" spans="24:33" ht="49.95" customHeight="1" x14ac:dyDescent="0.3">
      <c r="X3347" s="2"/>
      <c r="Y3347" s="7"/>
      <c r="Z3347" s="2"/>
      <c r="AA3347" s="1"/>
      <c r="AC3347" s="2"/>
      <c r="AE3347" s="1"/>
      <c r="AG3347" s="2"/>
    </row>
    <row r="3348" spans="24:33" ht="49.95" customHeight="1" x14ac:dyDescent="0.3">
      <c r="X3348" s="2"/>
      <c r="Y3348" s="7"/>
      <c r="Z3348" s="2"/>
      <c r="AA3348" s="1"/>
      <c r="AC3348" s="2"/>
      <c r="AE3348" s="1"/>
      <c r="AG3348" s="2"/>
    </row>
    <row r="3349" spans="24:33" ht="49.95" customHeight="1" x14ac:dyDescent="0.3">
      <c r="X3349" s="154"/>
      <c r="Y3349" s="7"/>
      <c r="Z3349" s="2"/>
      <c r="AA3349" s="1"/>
      <c r="AC3349" s="2"/>
      <c r="AE3349" s="1"/>
      <c r="AG3349" s="2"/>
    </row>
    <row r="3350" spans="24:33" ht="49.95" customHeight="1" x14ac:dyDescent="0.3">
      <c r="X3350" s="2"/>
      <c r="Y3350" s="7"/>
      <c r="Z3350" s="2"/>
      <c r="AA3350" s="1"/>
      <c r="AC3350" s="2"/>
      <c r="AE3350" s="1"/>
      <c r="AG3350" s="2"/>
    </row>
    <row r="3351" spans="24:33" ht="49.95" customHeight="1" x14ac:dyDescent="0.3">
      <c r="X3351" s="2"/>
      <c r="Y3351" s="7"/>
      <c r="Z3351" s="2"/>
      <c r="AA3351" s="1"/>
      <c r="AC3351" s="2"/>
      <c r="AE3351" s="1"/>
      <c r="AG3351" s="2"/>
    </row>
    <row r="3352" spans="24:33" ht="49.95" customHeight="1" x14ac:dyDescent="0.3">
      <c r="X3352" s="154"/>
      <c r="Y3352" s="7"/>
      <c r="Z3352" s="2"/>
      <c r="AA3352" s="1"/>
      <c r="AC3352" s="2"/>
      <c r="AE3352" s="1"/>
      <c r="AG3352" s="2"/>
    </row>
    <row r="3353" spans="24:33" ht="49.95" customHeight="1" x14ac:dyDescent="0.3">
      <c r="X3353" s="2"/>
      <c r="Y3353" s="7"/>
      <c r="Z3353" s="2"/>
      <c r="AA3353" s="1"/>
      <c r="AC3353" s="2"/>
      <c r="AE3353" s="1"/>
      <c r="AG3353" s="2"/>
    </row>
    <row r="3354" spans="24:33" ht="49.95" customHeight="1" x14ac:dyDescent="0.3">
      <c r="X3354" s="2"/>
      <c r="Y3354" s="7"/>
      <c r="Z3354" s="2"/>
      <c r="AA3354" s="1"/>
      <c r="AC3354" s="2"/>
      <c r="AE3354" s="1"/>
      <c r="AG3354" s="2"/>
    </row>
    <row r="3355" spans="24:33" ht="49.95" customHeight="1" x14ac:dyDescent="0.3">
      <c r="X3355" s="2"/>
      <c r="Y3355" s="7"/>
      <c r="Z3355" s="2"/>
      <c r="AA3355" s="1"/>
      <c r="AC3355" s="2"/>
      <c r="AE3355" s="1"/>
      <c r="AG3355" s="2"/>
    </row>
    <row r="3356" spans="24:33" ht="49.95" customHeight="1" x14ac:dyDescent="0.3">
      <c r="X3356" s="2"/>
      <c r="Y3356" s="7"/>
      <c r="Z3356" s="2"/>
      <c r="AA3356" s="1"/>
      <c r="AC3356" s="2"/>
      <c r="AE3356" s="1"/>
      <c r="AG3356" s="2"/>
    </row>
    <row r="3357" spans="24:33" ht="49.95" customHeight="1" x14ac:dyDescent="0.3">
      <c r="X3357" s="2"/>
      <c r="Y3357" s="7"/>
      <c r="Z3357" s="2"/>
      <c r="AA3357" s="1"/>
      <c r="AC3357" s="2"/>
      <c r="AE3357" s="1"/>
      <c r="AG3357" s="2"/>
    </row>
    <row r="3358" spans="24:33" ht="49.95" customHeight="1" x14ac:dyDescent="0.3">
      <c r="X3358" s="2"/>
      <c r="Y3358" s="7"/>
      <c r="Z3358" s="2"/>
      <c r="AA3358" s="1"/>
      <c r="AC3358" s="2"/>
      <c r="AE3358" s="1"/>
      <c r="AG3358" s="2"/>
    </row>
    <row r="3359" spans="24:33" ht="49.95" customHeight="1" x14ac:dyDescent="0.3">
      <c r="X3359" s="1"/>
      <c r="Y3359" s="7"/>
      <c r="Z3359" s="2"/>
      <c r="AA3359" s="1"/>
      <c r="AC3359" s="2"/>
      <c r="AE3359" s="1"/>
      <c r="AG3359" s="2"/>
    </row>
    <row r="3360" spans="24:33" ht="49.95" customHeight="1" x14ac:dyDescent="0.3">
      <c r="X3360" s="1"/>
      <c r="Y3360" s="7"/>
      <c r="Z3360" s="2"/>
      <c r="AA3360" s="1"/>
      <c r="AC3360" s="2"/>
      <c r="AE3360" s="1"/>
      <c r="AG3360" s="2"/>
    </row>
    <row r="3361" spans="24:33" ht="49.95" customHeight="1" x14ac:dyDescent="0.3">
      <c r="X3361" s="1"/>
      <c r="Y3361" s="7"/>
      <c r="Z3361" s="2"/>
      <c r="AA3361" s="1"/>
      <c r="AC3361" s="2"/>
      <c r="AE3361" s="1"/>
      <c r="AG3361" s="2"/>
    </row>
    <row r="3362" spans="24:33" ht="49.95" customHeight="1" x14ac:dyDescent="0.3">
      <c r="X3362" s="1"/>
      <c r="Y3362" s="7"/>
      <c r="Z3362" s="2"/>
      <c r="AA3362" s="1"/>
      <c r="AC3362" s="2"/>
      <c r="AE3362" s="1"/>
      <c r="AG3362" s="2"/>
    </row>
    <row r="3363" spans="24:33" ht="49.95" customHeight="1" x14ac:dyDescent="0.3">
      <c r="X3363" s="1"/>
      <c r="Y3363" s="7"/>
      <c r="Z3363" s="2"/>
      <c r="AA3363" s="1"/>
      <c r="AC3363" s="2"/>
      <c r="AE3363" s="1"/>
      <c r="AG3363" s="2"/>
    </row>
    <row r="3364" spans="24:33" ht="49.95" customHeight="1" x14ac:dyDescent="0.3">
      <c r="X3364" s="1"/>
      <c r="Y3364" s="7"/>
      <c r="Z3364" s="2"/>
      <c r="AA3364" s="1"/>
      <c r="AC3364" s="2"/>
      <c r="AE3364" s="1"/>
      <c r="AG3364" s="2"/>
    </row>
    <row r="3365" spans="24:33" ht="49.95" customHeight="1" x14ac:dyDescent="0.3">
      <c r="X3365" s="154"/>
      <c r="Y3365" s="7"/>
      <c r="Z3365" s="2"/>
      <c r="AA3365" s="1"/>
      <c r="AC3365" s="2"/>
      <c r="AE3365" s="1"/>
      <c r="AG3365" s="2"/>
    </row>
    <row r="3366" spans="24:33" ht="49.95" customHeight="1" x14ac:dyDescent="0.3">
      <c r="X3366" s="2"/>
      <c r="Y3366" s="7"/>
      <c r="Z3366" s="2"/>
      <c r="AA3366" s="1"/>
      <c r="AC3366" s="2"/>
      <c r="AE3366" s="1"/>
      <c r="AG3366" s="2"/>
    </row>
    <row r="3367" spans="24:33" ht="49.95" customHeight="1" x14ac:dyDescent="0.3">
      <c r="X3367" s="2"/>
      <c r="Y3367" s="7"/>
      <c r="Z3367" s="2"/>
      <c r="AA3367" s="1"/>
      <c r="AC3367" s="2"/>
      <c r="AE3367" s="1"/>
      <c r="AG3367" s="2"/>
    </row>
    <row r="3368" spans="24:33" ht="49.95" customHeight="1" x14ac:dyDescent="0.3">
      <c r="X3368" s="2"/>
      <c r="Y3368" s="7"/>
      <c r="Z3368" s="2"/>
      <c r="AA3368" s="1"/>
      <c r="AC3368" s="2"/>
      <c r="AE3368" s="1"/>
      <c r="AG3368" s="2"/>
    </row>
    <row r="3369" spans="24:33" ht="49.95" customHeight="1" x14ac:dyDescent="0.3">
      <c r="X3369" s="2"/>
      <c r="Y3369" s="7"/>
      <c r="Z3369" s="2"/>
      <c r="AA3369" s="1"/>
      <c r="AC3369" s="2"/>
      <c r="AE3369" s="1"/>
      <c r="AG3369" s="2"/>
    </row>
    <row r="3370" spans="24:33" ht="49.95" customHeight="1" x14ac:dyDescent="0.3">
      <c r="X3370" s="2"/>
      <c r="Y3370" s="7"/>
      <c r="Z3370" s="2"/>
      <c r="AA3370" s="1"/>
      <c r="AC3370" s="2"/>
      <c r="AE3370" s="1"/>
      <c r="AG3370" s="2"/>
    </row>
    <row r="3371" spans="24:33" ht="49.95" customHeight="1" x14ac:dyDescent="0.3">
      <c r="X3371" s="2"/>
      <c r="Y3371" s="7"/>
      <c r="Z3371" s="2"/>
      <c r="AA3371" s="1"/>
      <c r="AC3371" s="2"/>
      <c r="AE3371" s="1"/>
      <c r="AG3371" s="2"/>
    </row>
    <row r="3372" spans="24:33" ht="49.95" customHeight="1" x14ac:dyDescent="0.3">
      <c r="X3372" s="156"/>
      <c r="Y3372" s="7"/>
      <c r="Z3372" s="2"/>
      <c r="AA3372" s="1"/>
      <c r="AC3372" s="2"/>
      <c r="AE3372" s="1"/>
      <c r="AG3372" s="2"/>
    </row>
    <row r="3373" spans="24:33" ht="49.95" customHeight="1" x14ac:dyDescent="0.3">
      <c r="X3373" s="156"/>
      <c r="Y3373" s="7"/>
      <c r="Z3373" s="2"/>
      <c r="AA3373" s="1"/>
      <c r="AC3373" s="2"/>
      <c r="AE3373" s="1"/>
      <c r="AG3373" s="2"/>
    </row>
    <row r="3374" spans="24:33" ht="49.95" customHeight="1" x14ac:dyDescent="0.3">
      <c r="X3374" s="2"/>
      <c r="Y3374" s="7"/>
      <c r="Z3374" s="2"/>
      <c r="AA3374" s="1"/>
      <c r="AC3374" s="2"/>
      <c r="AE3374" s="1"/>
      <c r="AG3374" s="2"/>
    </row>
    <row r="3375" spans="24:33" ht="49.95" customHeight="1" x14ac:dyDescent="0.3">
      <c r="X3375" s="2"/>
      <c r="Y3375" s="7"/>
      <c r="Z3375" s="2"/>
      <c r="AA3375" s="1"/>
      <c r="AC3375" s="2"/>
      <c r="AE3375" s="1"/>
      <c r="AG3375" s="2"/>
    </row>
    <row r="3376" spans="24:33" ht="49.95" customHeight="1" x14ac:dyDescent="0.3">
      <c r="X3376" s="172"/>
      <c r="Y3376" s="7"/>
      <c r="Z3376" s="2"/>
      <c r="AA3376" s="1"/>
      <c r="AC3376" s="2"/>
      <c r="AE3376" s="1"/>
      <c r="AG3376" s="2"/>
    </row>
    <row r="3377" spans="24:33" ht="49.95" customHeight="1" x14ac:dyDescent="0.3">
      <c r="X3377" s="2"/>
      <c r="Y3377" s="7"/>
      <c r="Z3377" s="2"/>
      <c r="AA3377" s="1"/>
      <c r="AC3377" s="2"/>
      <c r="AE3377" s="1"/>
      <c r="AG3377" s="2"/>
    </row>
    <row r="3378" spans="24:33" ht="49.95" customHeight="1" x14ac:dyDescent="0.3">
      <c r="X3378" s="2"/>
      <c r="Y3378" s="7"/>
      <c r="Z3378" s="2"/>
      <c r="AA3378" s="1"/>
      <c r="AC3378" s="2"/>
      <c r="AE3378" s="1"/>
      <c r="AG3378" s="2"/>
    </row>
    <row r="3379" spans="24:33" ht="49.95" customHeight="1" x14ac:dyDescent="0.3">
      <c r="X3379" s="2"/>
      <c r="Y3379" s="7"/>
      <c r="Z3379" s="2"/>
      <c r="AA3379" s="1"/>
      <c r="AC3379" s="2"/>
      <c r="AE3379" s="1"/>
      <c r="AG3379" s="2"/>
    </row>
    <row r="3380" spans="24:33" ht="49.95" customHeight="1" x14ac:dyDescent="0.3">
      <c r="X3380" s="2"/>
      <c r="Y3380" s="7"/>
      <c r="Z3380" s="2"/>
      <c r="AA3380" s="1"/>
      <c r="AC3380" s="2"/>
      <c r="AE3380" s="1"/>
      <c r="AG3380" s="2"/>
    </row>
    <row r="3381" spans="24:33" ht="49.95" customHeight="1" x14ac:dyDescent="0.3">
      <c r="X3381" s="2"/>
      <c r="Y3381" s="7"/>
      <c r="Z3381" s="2"/>
      <c r="AA3381" s="1"/>
      <c r="AC3381" s="2"/>
      <c r="AE3381" s="1"/>
      <c r="AG3381" s="2"/>
    </row>
    <row r="3382" spans="24:33" ht="49.95" customHeight="1" x14ac:dyDescent="0.3">
      <c r="X3382" s="2"/>
      <c r="Y3382" s="7"/>
      <c r="Z3382" s="2"/>
      <c r="AA3382" s="1"/>
      <c r="AC3382" s="2"/>
      <c r="AE3382" s="1"/>
      <c r="AG3382" s="2"/>
    </row>
    <row r="3383" spans="24:33" ht="49.95" customHeight="1" x14ac:dyDescent="0.3">
      <c r="X3383" s="2"/>
      <c r="Y3383" s="7"/>
      <c r="Z3383" s="2"/>
      <c r="AA3383" s="1"/>
      <c r="AC3383" s="2"/>
      <c r="AE3383" s="1"/>
      <c r="AG3383" s="2"/>
    </row>
    <row r="3384" spans="24:33" ht="49.95" customHeight="1" x14ac:dyDescent="0.3">
      <c r="X3384" s="2"/>
      <c r="Y3384" s="7"/>
      <c r="Z3384" s="2"/>
      <c r="AA3384" s="1"/>
      <c r="AC3384" s="2"/>
      <c r="AE3384" s="1"/>
      <c r="AG3384" s="2"/>
    </row>
    <row r="3385" spans="24:33" ht="49.95" customHeight="1" x14ac:dyDescent="0.3">
      <c r="X3385" s="2"/>
      <c r="Y3385" s="7"/>
      <c r="Z3385" s="2"/>
      <c r="AA3385" s="1"/>
      <c r="AC3385" s="2"/>
      <c r="AE3385" s="1"/>
      <c r="AG3385" s="2"/>
    </row>
    <row r="3386" spans="24:33" ht="49.95" customHeight="1" x14ac:dyDescent="0.3">
      <c r="X3386" s="158"/>
      <c r="Y3386" s="7"/>
      <c r="Z3386" s="2"/>
      <c r="AA3386" s="1"/>
      <c r="AC3386" s="2"/>
      <c r="AE3386" s="1"/>
      <c r="AG3386" s="2"/>
    </row>
    <row r="3387" spans="24:33" ht="49.95" customHeight="1" x14ac:dyDescent="0.3">
      <c r="X3387" s="2"/>
      <c r="Y3387" s="7"/>
      <c r="Z3387" s="2"/>
      <c r="AA3387" s="1"/>
      <c r="AC3387" s="2"/>
      <c r="AE3387" s="1"/>
      <c r="AG3387" s="2"/>
    </row>
    <row r="3388" spans="24:33" ht="49.95" customHeight="1" x14ac:dyDescent="0.3">
      <c r="X3388" s="158"/>
      <c r="Y3388" s="7"/>
      <c r="Z3388" s="2"/>
      <c r="AA3388" s="1"/>
      <c r="AC3388" s="2"/>
      <c r="AE3388" s="1"/>
      <c r="AG3388" s="2"/>
    </row>
    <row r="3389" spans="24:33" ht="49.95" customHeight="1" x14ac:dyDescent="0.3">
      <c r="X3389" s="2"/>
      <c r="Y3389" s="7"/>
      <c r="Z3389" s="2"/>
      <c r="AA3389" s="1"/>
      <c r="AC3389" s="2"/>
      <c r="AE3389" s="1"/>
      <c r="AG3389" s="2"/>
    </row>
    <row r="3390" spans="24:33" ht="49.95" customHeight="1" x14ac:dyDescent="0.3">
      <c r="X3390" s="2"/>
      <c r="Y3390" s="7"/>
      <c r="Z3390" s="2"/>
      <c r="AA3390" s="1"/>
      <c r="AC3390" s="2"/>
      <c r="AE3390" s="1"/>
      <c r="AG3390" s="2"/>
    </row>
    <row r="3391" spans="24:33" ht="49.95" customHeight="1" x14ac:dyDescent="0.3">
      <c r="X3391" s="158"/>
      <c r="Y3391" s="7"/>
      <c r="Z3391" s="2"/>
      <c r="AA3391" s="1"/>
      <c r="AC3391" s="2"/>
      <c r="AE3391" s="1"/>
      <c r="AG3391" s="2"/>
    </row>
    <row r="3392" spans="24:33" ht="49.95" customHeight="1" x14ac:dyDescent="0.3">
      <c r="X3392" s="158"/>
      <c r="Y3392" s="7"/>
      <c r="Z3392" s="2"/>
      <c r="AA3392" s="1"/>
      <c r="AC3392" s="2"/>
      <c r="AE3392" s="1"/>
      <c r="AG3392" s="2"/>
    </row>
    <row r="3393" spans="24:33" ht="49.95" customHeight="1" x14ac:dyDescent="0.3">
      <c r="X3393" s="158"/>
      <c r="Y3393" s="7"/>
      <c r="Z3393" s="2"/>
      <c r="AA3393" s="1"/>
      <c r="AC3393" s="2"/>
      <c r="AE3393" s="1"/>
      <c r="AG3393" s="2"/>
    </row>
    <row r="3394" spans="24:33" ht="49.95" customHeight="1" x14ac:dyDescent="0.3">
      <c r="X3394" s="158"/>
      <c r="Y3394" s="7"/>
      <c r="Z3394" s="2"/>
      <c r="AA3394" s="1"/>
      <c r="AC3394" s="2"/>
      <c r="AE3394" s="1"/>
      <c r="AG3394" s="2"/>
    </row>
    <row r="3395" spans="24:33" ht="49.95" customHeight="1" x14ac:dyDescent="0.3">
      <c r="X3395" s="158"/>
      <c r="Y3395" s="7"/>
      <c r="Z3395" s="2"/>
      <c r="AA3395" s="1"/>
      <c r="AC3395" s="2"/>
      <c r="AE3395" s="1"/>
      <c r="AG3395" s="2"/>
    </row>
    <row r="3396" spans="24:33" ht="49.95" customHeight="1" x14ac:dyDescent="0.3">
      <c r="X3396" s="158"/>
      <c r="Y3396" s="7"/>
      <c r="Z3396" s="2"/>
      <c r="AA3396" s="1"/>
      <c r="AC3396" s="2"/>
      <c r="AE3396" s="1"/>
      <c r="AG3396" s="2"/>
    </row>
    <row r="3397" spans="24:33" ht="49.95" customHeight="1" x14ac:dyDescent="0.3">
      <c r="X3397" s="158"/>
      <c r="Y3397" s="7"/>
      <c r="Z3397" s="2"/>
      <c r="AA3397" s="1"/>
      <c r="AC3397" s="2"/>
      <c r="AE3397" s="1"/>
      <c r="AG3397" s="2"/>
    </row>
    <row r="3398" spans="24:33" ht="49.95" customHeight="1" x14ac:dyDescent="0.3">
      <c r="X3398" s="158"/>
      <c r="Y3398" s="7"/>
      <c r="Z3398" s="2"/>
      <c r="AA3398" s="1"/>
      <c r="AC3398" s="2"/>
      <c r="AE3398" s="1"/>
      <c r="AG3398" s="2"/>
    </row>
    <row r="3399" spans="24:33" ht="49.95" customHeight="1" x14ac:dyDescent="0.3">
      <c r="X3399" s="158"/>
      <c r="Y3399" s="7"/>
      <c r="Z3399" s="2"/>
      <c r="AA3399" s="1"/>
      <c r="AC3399" s="2"/>
      <c r="AE3399" s="1"/>
      <c r="AG3399" s="2"/>
    </row>
    <row r="3400" spans="24:33" ht="49.95" customHeight="1" x14ac:dyDescent="0.3">
      <c r="X3400" s="158"/>
      <c r="Y3400" s="7"/>
      <c r="Z3400" s="2"/>
      <c r="AA3400" s="1"/>
      <c r="AC3400" s="2"/>
      <c r="AE3400" s="1"/>
      <c r="AG3400" s="2"/>
    </row>
    <row r="3401" spans="24:33" ht="49.95" customHeight="1" x14ac:dyDescent="0.3">
      <c r="X3401" s="158"/>
      <c r="Y3401" s="7"/>
      <c r="Z3401" s="2"/>
      <c r="AA3401" s="1"/>
      <c r="AC3401" s="2"/>
      <c r="AE3401" s="1"/>
      <c r="AG3401" s="2"/>
    </row>
    <row r="3402" spans="24:33" ht="49.95" customHeight="1" x14ac:dyDescent="0.3">
      <c r="X3402" s="2"/>
      <c r="Y3402" s="7"/>
      <c r="Z3402" s="2"/>
      <c r="AA3402" s="1"/>
      <c r="AC3402" s="2"/>
      <c r="AE3402" s="1"/>
      <c r="AG3402" s="2"/>
    </row>
    <row r="3403" spans="24:33" ht="49.95" customHeight="1" x14ac:dyDescent="0.3">
      <c r="X3403" s="2"/>
      <c r="Y3403" s="7"/>
      <c r="Z3403" s="2"/>
      <c r="AA3403" s="1"/>
      <c r="AC3403" s="2"/>
      <c r="AE3403" s="1"/>
      <c r="AG3403" s="2"/>
    </row>
    <row r="3404" spans="24:33" ht="49.95" customHeight="1" x14ac:dyDescent="0.3">
      <c r="X3404" s="158"/>
      <c r="Y3404" s="7"/>
      <c r="Z3404" s="2"/>
      <c r="AA3404" s="1"/>
      <c r="AC3404" s="2"/>
      <c r="AE3404" s="1"/>
      <c r="AG3404" s="2"/>
    </row>
    <row r="3405" spans="24:33" ht="49.95" customHeight="1" x14ac:dyDescent="0.3">
      <c r="X3405" s="158"/>
      <c r="Y3405" s="7"/>
      <c r="Z3405" s="2"/>
      <c r="AA3405" s="1"/>
      <c r="AC3405" s="2"/>
      <c r="AE3405" s="1"/>
      <c r="AG3405" s="2"/>
    </row>
    <row r="3406" spans="24:33" ht="49.95" customHeight="1" x14ac:dyDescent="0.3">
      <c r="X3406" s="158"/>
      <c r="Y3406" s="7"/>
      <c r="Z3406" s="2"/>
      <c r="AA3406" s="1"/>
      <c r="AC3406" s="2"/>
      <c r="AE3406" s="1"/>
      <c r="AG3406" s="2"/>
    </row>
    <row r="3407" spans="24:33" ht="49.95" customHeight="1" x14ac:dyDescent="0.3">
      <c r="X3407" s="158"/>
      <c r="Y3407" s="7"/>
      <c r="Z3407" s="2"/>
      <c r="AA3407" s="1"/>
      <c r="AC3407" s="2"/>
      <c r="AE3407" s="1"/>
      <c r="AG3407" s="2"/>
    </row>
    <row r="3408" spans="24:33" ht="49.95" customHeight="1" x14ac:dyDescent="0.3">
      <c r="X3408" s="158"/>
      <c r="Y3408" s="7"/>
      <c r="Z3408" s="2"/>
      <c r="AA3408" s="1"/>
      <c r="AC3408" s="2"/>
      <c r="AE3408" s="1"/>
      <c r="AG3408" s="2"/>
    </row>
    <row r="3409" spans="24:33" ht="49.95" customHeight="1" x14ac:dyDescent="0.3">
      <c r="X3409" s="2"/>
      <c r="Y3409" s="7"/>
      <c r="Z3409" s="2"/>
      <c r="AA3409" s="1"/>
      <c r="AC3409" s="2"/>
      <c r="AE3409" s="1"/>
      <c r="AG3409" s="2"/>
    </row>
    <row r="3410" spans="24:33" ht="49.95" customHeight="1" x14ac:dyDescent="0.3">
      <c r="X3410" s="2"/>
      <c r="Y3410" s="7"/>
      <c r="Z3410" s="2"/>
      <c r="AA3410" s="1"/>
      <c r="AC3410" s="2"/>
      <c r="AE3410" s="1"/>
      <c r="AG3410" s="2"/>
    </row>
    <row r="3411" spans="24:33" ht="49.95" customHeight="1" x14ac:dyDescent="0.3">
      <c r="X3411" s="2"/>
      <c r="Y3411" s="7"/>
      <c r="Z3411" s="2"/>
      <c r="AA3411" s="1"/>
      <c r="AC3411" s="2"/>
      <c r="AE3411" s="1"/>
      <c r="AG3411" s="2"/>
    </row>
    <row r="3412" spans="24:33" ht="49.95" customHeight="1" x14ac:dyDescent="0.3">
      <c r="X3412" s="2"/>
      <c r="Y3412" s="7"/>
      <c r="Z3412" s="2"/>
      <c r="AA3412" s="1"/>
      <c r="AC3412" s="2"/>
      <c r="AE3412" s="1"/>
      <c r="AG3412" s="2"/>
    </row>
    <row r="3413" spans="24:33" ht="49.95" customHeight="1" x14ac:dyDescent="0.3">
      <c r="X3413" s="172"/>
      <c r="Y3413" s="7"/>
      <c r="Z3413" s="2"/>
      <c r="AA3413" s="1"/>
      <c r="AC3413" s="2"/>
      <c r="AE3413" s="1"/>
      <c r="AG3413" s="2"/>
    </row>
    <row r="3414" spans="24:33" ht="49.95" customHeight="1" x14ac:dyDescent="0.3">
      <c r="X3414" s="2"/>
      <c r="Y3414" s="7"/>
      <c r="Z3414" s="2"/>
      <c r="AA3414" s="1"/>
      <c r="AC3414" s="2"/>
      <c r="AE3414" s="1"/>
      <c r="AG3414" s="2"/>
    </row>
    <row r="3415" spans="24:33" ht="49.95" customHeight="1" x14ac:dyDescent="0.3">
      <c r="X3415" s="159"/>
      <c r="Y3415" s="7"/>
      <c r="Z3415" s="2"/>
      <c r="AA3415" s="1"/>
      <c r="AC3415" s="2"/>
      <c r="AE3415" s="1"/>
      <c r="AG3415" s="2"/>
    </row>
    <row r="3416" spans="24:33" ht="49.95" customHeight="1" x14ac:dyDescent="0.3">
      <c r="X3416" s="159"/>
      <c r="Y3416" s="7"/>
      <c r="Z3416" s="2"/>
      <c r="AA3416" s="1"/>
      <c r="AC3416" s="2"/>
      <c r="AE3416" s="1"/>
      <c r="AG3416" s="2"/>
    </row>
    <row r="3417" spans="24:33" ht="49.95" customHeight="1" x14ac:dyDescent="0.3">
      <c r="X3417" s="159"/>
      <c r="Y3417" s="7"/>
      <c r="Z3417" s="2"/>
      <c r="AA3417" s="1"/>
      <c r="AC3417" s="2"/>
      <c r="AE3417" s="1"/>
      <c r="AG3417" s="2"/>
    </row>
    <row r="3418" spans="24:33" ht="49.95" customHeight="1" x14ac:dyDescent="0.3">
      <c r="X3418" s="2"/>
      <c r="Y3418" s="7"/>
      <c r="Z3418" s="2"/>
      <c r="AA3418" s="1"/>
      <c r="AC3418" s="2"/>
      <c r="AE3418" s="1"/>
      <c r="AG3418" s="2"/>
    </row>
    <row r="3419" spans="24:33" ht="49.95" customHeight="1" x14ac:dyDescent="0.3">
      <c r="X3419" s="160"/>
      <c r="Y3419" s="7"/>
      <c r="Z3419" s="2"/>
      <c r="AA3419" s="1"/>
      <c r="AC3419" s="2"/>
      <c r="AE3419" s="1"/>
      <c r="AG3419" s="2"/>
    </row>
    <row r="3420" spans="24:33" ht="49.95" customHeight="1" x14ac:dyDescent="0.3">
      <c r="X3420" s="2"/>
      <c r="Y3420" s="7"/>
      <c r="Z3420" s="2"/>
      <c r="AA3420" s="1"/>
      <c r="AC3420" s="2"/>
      <c r="AE3420" s="1"/>
      <c r="AG3420" s="2"/>
    </row>
    <row r="3421" spans="24:33" ht="49.95" customHeight="1" x14ac:dyDescent="0.3">
      <c r="X3421" s="2"/>
      <c r="Y3421" s="7"/>
      <c r="Z3421" s="2"/>
      <c r="AA3421" s="1"/>
      <c r="AC3421" s="2"/>
      <c r="AE3421" s="1"/>
      <c r="AG3421" s="2"/>
    </row>
    <row r="3422" spans="24:33" ht="49.95" customHeight="1" x14ac:dyDescent="0.3">
      <c r="X3422" s="2"/>
      <c r="Y3422" s="7"/>
      <c r="Z3422" s="2"/>
      <c r="AA3422" s="1"/>
      <c r="AC3422" s="2"/>
      <c r="AE3422" s="1"/>
      <c r="AG3422" s="2"/>
    </row>
    <row r="3423" spans="24:33" ht="49.95" customHeight="1" x14ac:dyDescent="0.3">
      <c r="X3423" s="2"/>
      <c r="Y3423" s="7"/>
      <c r="Z3423" s="2"/>
      <c r="AA3423" s="1"/>
      <c r="AC3423" s="2"/>
      <c r="AE3423" s="1"/>
      <c r="AG3423" s="2"/>
    </row>
    <row r="3424" spans="24:33" ht="49.95" customHeight="1" x14ac:dyDescent="0.3">
      <c r="X3424" s="2"/>
      <c r="Y3424" s="7"/>
      <c r="Z3424" s="2"/>
      <c r="AA3424" s="1"/>
      <c r="AC3424" s="2"/>
      <c r="AE3424" s="1"/>
      <c r="AG3424" s="2"/>
    </row>
    <row r="3425" spans="24:33" ht="49.95" customHeight="1" x14ac:dyDescent="0.3">
      <c r="X3425" s="2"/>
      <c r="Y3425" s="7"/>
      <c r="Z3425" s="2"/>
      <c r="AA3425" s="1"/>
      <c r="AC3425" s="2"/>
      <c r="AE3425" s="1"/>
      <c r="AG3425" s="2"/>
    </row>
    <row r="3426" spans="24:33" ht="49.95" customHeight="1" x14ac:dyDescent="0.3">
      <c r="X3426" s="2"/>
      <c r="Y3426" s="7"/>
      <c r="Z3426" s="2"/>
      <c r="AA3426" s="1"/>
      <c r="AC3426" s="2"/>
      <c r="AE3426" s="1"/>
      <c r="AG3426" s="2"/>
    </row>
    <row r="3427" spans="24:33" ht="49.95" customHeight="1" x14ac:dyDescent="0.3">
      <c r="X3427" s="2"/>
      <c r="Y3427" s="7"/>
      <c r="Z3427" s="2"/>
      <c r="AA3427" s="1"/>
      <c r="AC3427" s="2"/>
      <c r="AE3427" s="1"/>
      <c r="AG3427" s="2"/>
    </row>
    <row r="3428" spans="24:33" ht="49.95" customHeight="1" x14ac:dyDescent="0.3">
      <c r="X3428" s="2"/>
      <c r="Y3428" s="7"/>
      <c r="Z3428" s="2"/>
      <c r="AA3428" s="1"/>
      <c r="AC3428" s="2"/>
      <c r="AE3428" s="1"/>
      <c r="AG3428" s="2"/>
    </row>
    <row r="3429" spans="24:33" ht="49.95" customHeight="1" x14ac:dyDescent="0.3">
      <c r="X3429" s="2"/>
      <c r="Y3429" s="7"/>
      <c r="Z3429" s="2"/>
      <c r="AA3429" s="1"/>
      <c r="AC3429" s="2"/>
      <c r="AE3429" s="1"/>
      <c r="AG3429" s="2"/>
    </row>
    <row r="3430" spans="24:33" ht="49.95" customHeight="1" x14ac:dyDescent="0.3">
      <c r="X3430" s="2"/>
      <c r="Y3430" s="7"/>
      <c r="Z3430" s="2"/>
      <c r="AA3430" s="1"/>
      <c r="AC3430" s="2"/>
      <c r="AE3430" s="1"/>
      <c r="AG3430" s="2"/>
    </row>
    <row r="3431" spans="24:33" ht="49.95" customHeight="1" x14ac:dyDescent="0.3">
      <c r="X3431" s="2"/>
      <c r="Y3431" s="7"/>
      <c r="Z3431" s="2"/>
      <c r="AA3431" s="1"/>
      <c r="AC3431" s="2"/>
      <c r="AE3431" s="1"/>
      <c r="AG3431" s="2"/>
    </row>
    <row r="3432" spans="24:33" ht="49.95" customHeight="1" x14ac:dyDescent="0.3">
      <c r="X3432" s="2"/>
      <c r="Y3432" s="7"/>
      <c r="Z3432" s="2"/>
      <c r="AA3432" s="1"/>
      <c r="AC3432" s="2"/>
      <c r="AE3432" s="1"/>
      <c r="AG3432" s="2"/>
    </row>
    <row r="3433" spans="24:33" ht="49.95" customHeight="1" x14ac:dyDescent="0.3">
      <c r="X3433" s="2"/>
      <c r="Y3433" s="7"/>
      <c r="Z3433" s="2"/>
      <c r="AA3433" s="1"/>
      <c r="AC3433" s="2"/>
      <c r="AE3433" s="1"/>
      <c r="AG3433" s="2"/>
    </row>
    <row r="3434" spans="24:33" ht="49.95" customHeight="1" x14ac:dyDescent="0.3">
      <c r="X3434" s="2"/>
      <c r="Y3434" s="7"/>
      <c r="Z3434" s="2"/>
      <c r="AA3434" s="1"/>
      <c r="AC3434" s="2"/>
      <c r="AE3434" s="1"/>
      <c r="AG3434" s="2"/>
    </row>
    <row r="3435" spans="24:33" ht="49.95" customHeight="1" x14ac:dyDescent="0.3">
      <c r="X3435" s="2"/>
      <c r="Y3435" s="7"/>
      <c r="Z3435" s="2"/>
      <c r="AA3435" s="1"/>
      <c r="AC3435" s="2"/>
      <c r="AE3435" s="1"/>
      <c r="AG3435" s="2"/>
    </row>
    <row r="3436" spans="24:33" ht="49.95" customHeight="1" x14ac:dyDescent="0.3">
      <c r="X3436" s="2"/>
      <c r="Y3436" s="7"/>
      <c r="Z3436" s="2"/>
      <c r="AA3436" s="1"/>
      <c r="AC3436" s="2"/>
      <c r="AE3436" s="1"/>
      <c r="AG3436" s="2"/>
    </row>
    <row r="3437" spans="24:33" ht="49.95" customHeight="1" x14ac:dyDescent="0.3">
      <c r="X3437" s="2"/>
      <c r="Y3437" s="7"/>
      <c r="Z3437" s="2"/>
      <c r="AA3437" s="1"/>
      <c r="AC3437" s="2"/>
      <c r="AE3437" s="1"/>
      <c r="AG3437" s="2"/>
    </row>
    <row r="3438" spans="24:33" ht="49.95" customHeight="1" x14ac:dyDescent="0.3">
      <c r="X3438" s="2"/>
      <c r="Y3438" s="7"/>
      <c r="Z3438" s="2"/>
      <c r="AA3438" s="1"/>
      <c r="AC3438" s="2"/>
      <c r="AE3438" s="1"/>
      <c r="AG3438" s="2"/>
    </row>
    <row r="3439" spans="24:33" ht="49.95" customHeight="1" x14ac:dyDescent="0.3">
      <c r="X3439" s="2"/>
      <c r="Y3439" s="7"/>
      <c r="Z3439" s="2"/>
      <c r="AA3439" s="1"/>
      <c r="AC3439" s="2"/>
      <c r="AE3439" s="1"/>
      <c r="AG3439" s="2"/>
    </row>
    <row r="3440" spans="24:33" ht="49.95" customHeight="1" x14ac:dyDescent="0.3">
      <c r="X3440" s="2"/>
      <c r="Y3440" s="7"/>
      <c r="Z3440" s="2"/>
      <c r="AA3440" s="1"/>
      <c r="AC3440" s="2"/>
      <c r="AE3440" s="1"/>
      <c r="AG3440" s="2"/>
    </row>
    <row r="3441" spans="24:33" ht="49.95" customHeight="1" x14ac:dyDescent="0.3">
      <c r="X3441" s="2"/>
      <c r="Y3441" s="7"/>
      <c r="Z3441" s="2"/>
      <c r="AA3441" s="1"/>
      <c r="AC3441" s="2"/>
      <c r="AE3441" s="1"/>
      <c r="AG3441" s="2"/>
    </row>
    <row r="3442" spans="24:33" ht="49.95" customHeight="1" x14ac:dyDescent="0.3">
      <c r="X3442" s="172"/>
      <c r="Y3442" s="7"/>
      <c r="Z3442" s="2"/>
      <c r="AA3442" s="1"/>
      <c r="AC3442" s="2"/>
      <c r="AE3442" s="1"/>
      <c r="AG3442" s="2"/>
    </row>
    <row r="3443" spans="24:33" ht="49.95" customHeight="1" x14ac:dyDescent="0.3">
      <c r="X3443" s="2"/>
      <c r="Y3443" s="7"/>
      <c r="Z3443" s="2"/>
      <c r="AA3443" s="1"/>
      <c r="AC3443" s="2"/>
      <c r="AE3443" s="1"/>
      <c r="AG3443" s="2"/>
    </row>
    <row r="3444" spans="24:33" ht="49.95" customHeight="1" x14ac:dyDescent="0.3">
      <c r="X3444" s="1"/>
      <c r="Y3444" s="7"/>
      <c r="Z3444" s="2"/>
      <c r="AA3444" s="1"/>
      <c r="AC3444" s="2"/>
      <c r="AE3444" s="1"/>
      <c r="AG3444" s="2"/>
    </row>
    <row r="3445" spans="24:33" ht="49.95" customHeight="1" x14ac:dyDescent="0.3">
      <c r="X3445" s="2"/>
      <c r="Y3445" s="7"/>
      <c r="Z3445" s="2"/>
      <c r="AA3445" s="1"/>
      <c r="AC3445" s="2"/>
      <c r="AE3445" s="1"/>
      <c r="AG3445" s="2"/>
    </row>
    <row r="3446" spans="24:33" ht="49.95" customHeight="1" x14ac:dyDescent="0.3">
      <c r="X3446" s="2"/>
      <c r="Y3446" s="7"/>
      <c r="Z3446" s="2"/>
      <c r="AA3446" s="1"/>
      <c r="AC3446" s="2"/>
      <c r="AE3446" s="1"/>
      <c r="AG3446" s="2"/>
    </row>
    <row r="3447" spans="24:33" ht="49.95" customHeight="1" x14ac:dyDescent="0.3">
      <c r="X3447" s="2"/>
      <c r="Y3447" s="7"/>
      <c r="Z3447" s="2"/>
      <c r="AA3447" s="1"/>
      <c r="AC3447" s="2"/>
      <c r="AE3447" s="1"/>
      <c r="AG3447" s="2"/>
    </row>
    <row r="3448" spans="24:33" ht="49.95" customHeight="1" x14ac:dyDescent="0.3">
      <c r="X3448" s="2"/>
      <c r="Y3448" s="7"/>
      <c r="Z3448" s="2"/>
      <c r="AA3448" s="1"/>
      <c r="AC3448" s="2"/>
      <c r="AE3448" s="1"/>
      <c r="AG3448" s="2"/>
    </row>
    <row r="3449" spans="24:33" ht="49.95" customHeight="1" x14ac:dyDescent="0.3">
      <c r="X3449" s="2"/>
      <c r="Y3449" s="7"/>
      <c r="Z3449" s="2"/>
      <c r="AA3449" s="1"/>
      <c r="AC3449" s="2"/>
      <c r="AE3449" s="1"/>
      <c r="AG3449" s="2"/>
    </row>
    <row r="3450" spans="24:33" ht="49.95" customHeight="1" x14ac:dyDescent="0.3">
      <c r="X3450" s="2"/>
      <c r="Y3450" s="7"/>
      <c r="Z3450" s="2"/>
      <c r="AA3450" s="1"/>
      <c r="AC3450" s="2"/>
      <c r="AE3450" s="1"/>
      <c r="AG3450" s="2"/>
    </row>
    <row r="3451" spans="24:33" ht="49.95" customHeight="1" x14ac:dyDescent="0.3">
      <c r="X3451" s="2"/>
      <c r="Y3451" s="7"/>
      <c r="Z3451" s="2"/>
      <c r="AA3451" s="1"/>
      <c r="AC3451" s="2"/>
      <c r="AE3451" s="1"/>
      <c r="AG3451" s="2"/>
    </row>
    <row r="3452" spans="24:33" ht="49.95" customHeight="1" x14ac:dyDescent="0.3">
      <c r="X3452" s="2"/>
      <c r="Y3452" s="7"/>
      <c r="Z3452" s="2"/>
      <c r="AA3452" s="1"/>
      <c r="AC3452" s="2"/>
      <c r="AE3452" s="1"/>
      <c r="AG3452" s="2"/>
    </row>
    <row r="3453" spans="24:33" ht="49.95" customHeight="1" x14ac:dyDescent="0.3">
      <c r="X3453" s="2"/>
      <c r="Y3453" s="7"/>
      <c r="Z3453" s="2"/>
      <c r="AA3453" s="1"/>
      <c r="AC3453" s="2"/>
      <c r="AE3453" s="1"/>
      <c r="AG3453" s="2"/>
    </row>
    <row r="3454" spans="24:33" ht="49.95" customHeight="1" x14ac:dyDescent="0.3">
      <c r="X3454" s="2"/>
      <c r="Y3454" s="7"/>
      <c r="Z3454" s="2"/>
      <c r="AA3454" s="1"/>
      <c r="AC3454" s="2"/>
      <c r="AE3454" s="1"/>
      <c r="AG3454" s="2"/>
    </row>
    <row r="3455" spans="24:33" ht="49.95" customHeight="1" x14ac:dyDescent="0.3">
      <c r="X3455" s="2"/>
      <c r="Y3455" s="7"/>
      <c r="Z3455" s="2"/>
      <c r="AA3455" s="1"/>
      <c r="AC3455" s="2"/>
      <c r="AE3455" s="1"/>
      <c r="AG3455" s="2"/>
    </row>
    <row r="3456" spans="24:33" ht="49.95" customHeight="1" x14ac:dyDescent="0.3">
      <c r="X3456" s="2"/>
      <c r="Y3456" s="7"/>
      <c r="Z3456" s="2"/>
      <c r="AA3456" s="1"/>
      <c r="AC3456" s="2"/>
      <c r="AE3456" s="1"/>
      <c r="AG3456" s="2"/>
    </row>
    <row r="3457" spans="24:33" ht="49.95" customHeight="1" x14ac:dyDescent="0.3">
      <c r="X3457" s="2"/>
      <c r="Y3457" s="7"/>
      <c r="Z3457" s="2"/>
      <c r="AA3457" s="1"/>
      <c r="AC3457" s="2"/>
      <c r="AE3457" s="1"/>
      <c r="AG3457" s="2"/>
    </row>
    <row r="3458" spans="24:33" ht="49.95" customHeight="1" x14ac:dyDescent="0.3">
      <c r="X3458" s="2"/>
      <c r="Y3458" s="7"/>
      <c r="Z3458" s="2"/>
      <c r="AA3458" s="1"/>
      <c r="AC3458" s="2"/>
      <c r="AE3458" s="1"/>
      <c r="AG3458" s="2"/>
    </row>
    <row r="3459" spans="24:33" ht="49.95" customHeight="1" x14ac:dyDescent="0.3">
      <c r="X3459" s="2"/>
      <c r="Y3459" s="7"/>
      <c r="Z3459" s="2"/>
      <c r="AA3459" s="1"/>
      <c r="AC3459" s="2"/>
      <c r="AE3459" s="1"/>
      <c r="AG3459" s="2"/>
    </row>
    <row r="3460" spans="24:33" ht="49.95" customHeight="1" x14ac:dyDescent="0.3">
      <c r="X3460" s="2"/>
      <c r="Y3460" s="7"/>
      <c r="Z3460" s="2"/>
      <c r="AA3460" s="1"/>
      <c r="AC3460" s="2"/>
      <c r="AE3460" s="1"/>
      <c r="AG3460" s="2"/>
    </row>
    <row r="3461" spans="24:33" ht="49.95" customHeight="1" x14ac:dyDescent="0.3">
      <c r="X3461" s="2"/>
      <c r="Y3461" s="7"/>
      <c r="Z3461" s="2"/>
      <c r="AA3461" s="1"/>
      <c r="AC3461" s="2"/>
      <c r="AE3461" s="1"/>
      <c r="AG3461" s="2"/>
    </row>
    <row r="3462" spans="24:33" ht="49.95" customHeight="1" x14ac:dyDescent="0.3">
      <c r="X3462" s="2"/>
      <c r="Y3462" s="7"/>
      <c r="Z3462" s="2"/>
      <c r="AA3462" s="1"/>
      <c r="AC3462" s="2"/>
      <c r="AE3462" s="1"/>
      <c r="AG3462" s="2"/>
    </row>
    <row r="3463" spans="24:33" ht="49.95" customHeight="1" x14ac:dyDescent="0.3">
      <c r="X3463" s="2"/>
      <c r="Y3463" s="7"/>
      <c r="Z3463" s="2"/>
      <c r="AA3463" s="1"/>
      <c r="AC3463" s="2"/>
      <c r="AE3463" s="1"/>
      <c r="AG3463" s="2"/>
    </row>
    <row r="3464" spans="24:33" ht="49.95" customHeight="1" x14ac:dyDescent="0.3">
      <c r="X3464" s="2"/>
      <c r="Y3464" s="7"/>
      <c r="Z3464" s="2"/>
      <c r="AA3464" s="1"/>
      <c r="AC3464" s="2"/>
      <c r="AE3464" s="1"/>
      <c r="AG3464" s="2"/>
    </row>
    <row r="3465" spans="24:33" ht="49.95" customHeight="1" x14ac:dyDescent="0.3">
      <c r="X3465" s="161"/>
      <c r="Y3465" s="7"/>
      <c r="Z3465" s="2"/>
      <c r="AA3465" s="1"/>
      <c r="AC3465" s="2"/>
      <c r="AE3465" s="1"/>
      <c r="AG3465" s="2"/>
    </row>
    <row r="3466" spans="24:33" ht="49.95" customHeight="1" x14ac:dyDescent="0.3">
      <c r="X3466" s="2"/>
      <c r="Y3466" s="7"/>
      <c r="Z3466" s="2"/>
      <c r="AA3466" s="1"/>
      <c r="AC3466" s="2"/>
      <c r="AE3466" s="1"/>
      <c r="AG3466" s="2"/>
    </row>
    <row r="3467" spans="24:33" ht="49.95" customHeight="1" x14ac:dyDescent="0.3">
      <c r="X3467" s="2"/>
      <c r="Y3467" s="7"/>
      <c r="Z3467" s="2"/>
      <c r="AA3467" s="1"/>
      <c r="AC3467" s="2"/>
      <c r="AE3467" s="1"/>
      <c r="AG3467" s="2"/>
    </row>
    <row r="3468" spans="24:33" ht="49.95" customHeight="1" x14ac:dyDescent="0.3">
      <c r="X3468" s="2"/>
      <c r="Y3468" s="7"/>
      <c r="Z3468" s="2"/>
      <c r="AA3468" s="1"/>
      <c r="AC3468" s="2"/>
      <c r="AE3468" s="1"/>
      <c r="AG3468" s="2"/>
    </row>
    <row r="3469" spans="24:33" ht="49.95" customHeight="1" x14ac:dyDescent="0.3">
      <c r="X3469" s="2"/>
      <c r="Y3469" s="7"/>
      <c r="Z3469" s="2"/>
      <c r="AA3469" s="1"/>
      <c r="AC3469" s="2"/>
      <c r="AE3469" s="1"/>
      <c r="AG3469" s="2"/>
    </row>
    <row r="3470" spans="24:33" ht="49.95" customHeight="1" x14ac:dyDescent="0.3">
      <c r="X3470" s="2"/>
      <c r="Y3470" s="7"/>
      <c r="Z3470" s="2"/>
      <c r="AA3470" s="1"/>
      <c r="AC3470" s="2"/>
      <c r="AE3470" s="1"/>
      <c r="AG3470" s="2"/>
    </row>
    <row r="3471" spans="24:33" ht="49.95" customHeight="1" x14ac:dyDescent="0.3">
      <c r="X3471" s="2"/>
      <c r="Y3471" s="7"/>
      <c r="Z3471" s="2"/>
      <c r="AA3471" s="1"/>
      <c r="AC3471" s="2"/>
      <c r="AE3471" s="1"/>
      <c r="AG3471" s="2"/>
    </row>
    <row r="3472" spans="24:33" ht="49.95" customHeight="1" x14ac:dyDescent="0.3">
      <c r="X3472" s="2"/>
      <c r="Y3472" s="7"/>
      <c r="Z3472" s="2"/>
      <c r="AA3472" s="1"/>
      <c r="AC3472" s="2"/>
      <c r="AE3472" s="1"/>
      <c r="AG3472" s="2"/>
    </row>
    <row r="3473" spans="24:33" ht="49.95" customHeight="1" x14ac:dyDescent="0.3">
      <c r="X3473" s="2"/>
      <c r="Y3473" s="7"/>
      <c r="Z3473" s="2"/>
      <c r="AA3473" s="1"/>
      <c r="AC3473" s="2"/>
      <c r="AE3473" s="1"/>
      <c r="AG3473" s="2"/>
    </row>
    <row r="3474" spans="24:33" ht="49.95" customHeight="1" x14ac:dyDescent="0.3">
      <c r="X3474" s="2"/>
      <c r="Y3474" s="7"/>
      <c r="Z3474" s="2"/>
      <c r="AA3474" s="1"/>
      <c r="AC3474" s="2"/>
      <c r="AE3474" s="1"/>
      <c r="AG3474" s="2"/>
    </row>
    <row r="3475" spans="24:33" ht="49.95" customHeight="1" x14ac:dyDescent="0.3">
      <c r="X3475" s="2"/>
      <c r="Y3475" s="7"/>
      <c r="Z3475" s="2"/>
      <c r="AA3475" s="1"/>
      <c r="AC3475" s="2"/>
      <c r="AE3475" s="1"/>
      <c r="AG3475" s="2"/>
    </row>
    <row r="3476" spans="24:33" ht="49.95" customHeight="1" x14ac:dyDescent="0.3">
      <c r="X3476" s="2"/>
      <c r="Y3476" s="7"/>
      <c r="Z3476" s="2"/>
      <c r="AA3476" s="1"/>
      <c r="AC3476" s="2"/>
      <c r="AE3476" s="1"/>
      <c r="AG3476" s="2"/>
    </row>
    <row r="3477" spans="24:33" ht="49.95" customHeight="1" x14ac:dyDescent="0.3">
      <c r="X3477" s="2"/>
      <c r="Y3477" s="7"/>
      <c r="Z3477" s="2"/>
      <c r="AA3477" s="1"/>
      <c r="AC3477" s="2"/>
      <c r="AE3477" s="1"/>
      <c r="AG3477" s="2"/>
    </row>
    <row r="3478" spans="24:33" ht="49.95" customHeight="1" x14ac:dyDescent="0.3">
      <c r="X3478" s="162"/>
      <c r="Y3478" s="7"/>
      <c r="Z3478" s="2"/>
      <c r="AA3478" s="1"/>
      <c r="AC3478" s="2"/>
      <c r="AE3478" s="1"/>
      <c r="AG3478" s="2"/>
    </row>
    <row r="3479" spans="24:33" ht="49.95" customHeight="1" x14ac:dyDescent="0.3">
      <c r="X3479" s="2"/>
      <c r="Y3479" s="7"/>
      <c r="Z3479" s="2"/>
      <c r="AA3479" s="1"/>
      <c r="AC3479" s="2"/>
      <c r="AE3479" s="1"/>
      <c r="AG3479" s="2"/>
    </row>
    <row r="3480" spans="24:33" ht="49.95" customHeight="1" x14ac:dyDescent="0.3">
      <c r="X3480" s="2"/>
      <c r="Y3480" s="7"/>
      <c r="Z3480" s="2"/>
      <c r="AA3480" s="1"/>
      <c r="AC3480" s="2"/>
      <c r="AE3480" s="1"/>
      <c r="AG3480" s="2"/>
    </row>
    <row r="3481" spans="24:33" ht="49.95" customHeight="1" x14ac:dyDescent="0.3">
      <c r="X3481" s="2"/>
      <c r="Y3481" s="7"/>
      <c r="Z3481" s="2"/>
      <c r="AA3481" s="1"/>
      <c r="AC3481" s="2"/>
      <c r="AE3481" s="1"/>
      <c r="AG3481" s="2"/>
    </row>
    <row r="3482" spans="24:33" ht="49.95" customHeight="1" x14ac:dyDescent="0.3">
      <c r="X3482" s="2"/>
      <c r="Y3482" s="7"/>
      <c r="Z3482" s="2"/>
      <c r="AA3482" s="1"/>
      <c r="AC3482" s="2"/>
      <c r="AE3482" s="1"/>
      <c r="AG3482" s="2"/>
    </row>
    <row r="3483" spans="24:33" ht="49.95" customHeight="1" x14ac:dyDescent="0.3">
      <c r="X3483" s="2"/>
      <c r="Y3483" s="7"/>
      <c r="Z3483" s="2"/>
      <c r="AA3483" s="1"/>
      <c r="AC3483" s="2"/>
      <c r="AE3483" s="1"/>
      <c r="AG3483" s="2"/>
    </row>
    <row r="3484" spans="24:33" ht="49.95" customHeight="1" x14ac:dyDescent="0.3">
      <c r="X3484" s="2"/>
      <c r="Y3484" s="7"/>
      <c r="Z3484" s="2"/>
      <c r="AA3484" s="1"/>
      <c r="AC3484" s="2"/>
      <c r="AE3484" s="1"/>
      <c r="AG3484" s="2"/>
    </row>
    <row r="3485" spans="24:33" ht="49.95" customHeight="1" x14ac:dyDescent="0.3">
      <c r="X3485" s="2"/>
      <c r="Y3485" s="7"/>
      <c r="Z3485" s="2"/>
      <c r="AA3485" s="1"/>
      <c r="AC3485" s="2"/>
      <c r="AE3485" s="1"/>
      <c r="AG3485" s="2"/>
    </row>
    <row r="3486" spans="24:33" ht="49.95" customHeight="1" x14ac:dyDescent="0.3">
      <c r="X3486" s="2"/>
      <c r="Y3486" s="7"/>
      <c r="Z3486" s="2"/>
      <c r="AA3486" s="1"/>
      <c r="AC3486" s="2"/>
      <c r="AE3486" s="1"/>
      <c r="AG3486" s="2"/>
    </row>
    <row r="3487" spans="24:33" ht="49.95" customHeight="1" x14ac:dyDescent="0.3">
      <c r="X3487" s="2"/>
      <c r="Y3487" s="7"/>
      <c r="Z3487" s="2"/>
      <c r="AA3487" s="1"/>
      <c r="AC3487" s="2"/>
      <c r="AE3487" s="1"/>
      <c r="AG3487" s="2"/>
    </row>
    <row r="3488" spans="24:33" ht="49.95" customHeight="1" x14ac:dyDescent="0.3">
      <c r="X3488" s="2"/>
      <c r="Y3488" s="7"/>
      <c r="Z3488" s="2"/>
      <c r="AA3488" s="1"/>
      <c r="AC3488" s="2"/>
      <c r="AE3488" s="1"/>
      <c r="AG3488" s="2"/>
    </row>
    <row r="3489" spans="24:33" ht="49.95" customHeight="1" x14ac:dyDescent="0.3">
      <c r="X3489" s="163"/>
      <c r="Y3489" s="7"/>
      <c r="Z3489" s="2"/>
      <c r="AA3489" s="1"/>
      <c r="AC3489" s="2"/>
      <c r="AE3489" s="1"/>
      <c r="AG3489" s="2"/>
    </row>
    <row r="3490" spans="24:33" ht="49.95" customHeight="1" x14ac:dyDescent="0.3">
      <c r="X3490" s="163"/>
      <c r="Y3490" s="7"/>
      <c r="Z3490" s="2"/>
      <c r="AA3490" s="1"/>
      <c r="AC3490" s="2"/>
      <c r="AE3490" s="1"/>
      <c r="AG3490" s="2"/>
    </row>
    <row r="3491" spans="24:33" ht="49.95" customHeight="1" x14ac:dyDescent="0.3">
      <c r="X3491" s="163"/>
      <c r="Y3491" s="7"/>
      <c r="Z3491" s="2"/>
      <c r="AA3491" s="1"/>
      <c r="AC3491" s="2"/>
      <c r="AE3491" s="1"/>
      <c r="AG3491" s="2"/>
    </row>
    <row r="3492" spans="24:33" ht="49.95" customHeight="1" x14ac:dyDescent="0.3">
      <c r="X3492" s="163"/>
      <c r="Y3492" s="7"/>
      <c r="Z3492" s="2"/>
      <c r="AA3492" s="1"/>
      <c r="AC3492" s="2"/>
      <c r="AE3492" s="1"/>
      <c r="AG3492" s="2"/>
    </row>
    <row r="3493" spans="24:33" ht="49.95" customHeight="1" x14ac:dyDescent="0.3">
      <c r="X3493" s="163"/>
      <c r="Y3493" s="7"/>
      <c r="Z3493" s="2"/>
      <c r="AA3493" s="1"/>
      <c r="AC3493" s="2"/>
      <c r="AE3493" s="1"/>
      <c r="AG3493" s="2"/>
    </row>
    <row r="3494" spans="24:33" ht="49.95" customHeight="1" x14ac:dyDescent="0.3">
      <c r="X3494" s="163"/>
      <c r="Y3494" s="7"/>
      <c r="Z3494" s="2"/>
      <c r="AA3494" s="1"/>
      <c r="AC3494" s="2"/>
      <c r="AE3494" s="1"/>
      <c r="AG3494" s="2"/>
    </row>
    <row r="3495" spans="24:33" ht="49.95" customHeight="1" x14ac:dyDescent="0.3">
      <c r="X3495" s="163"/>
      <c r="Y3495" s="7"/>
      <c r="Z3495" s="2"/>
      <c r="AA3495" s="1"/>
      <c r="AC3495" s="2"/>
      <c r="AE3495" s="1"/>
      <c r="AG3495" s="2"/>
    </row>
    <row r="3496" spans="24:33" ht="49.95" customHeight="1" x14ac:dyDescent="0.3">
      <c r="X3496" s="163"/>
      <c r="Y3496" s="7"/>
      <c r="Z3496" s="2"/>
      <c r="AA3496" s="1"/>
      <c r="AC3496" s="2"/>
      <c r="AE3496" s="1"/>
      <c r="AG3496" s="2"/>
    </row>
    <row r="3497" spans="24:33" ht="49.95" customHeight="1" x14ac:dyDescent="0.3">
      <c r="X3497" s="163"/>
      <c r="Y3497" s="7"/>
      <c r="Z3497" s="2"/>
      <c r="AA3497" s="1"/>
      <c r="AC3497" s="2"/>
      <c r="AE3497" s="1"/>
      <c r="AG3497" s="2"/>
    </row>
    <row r="3498" spans="24:33" ht="49.95" customHeight="1" x14ac:dyDescent="0.3">
      <c r="X3498" s="163"/>
      <c r="Y3498" s="7"/>
      <c r="Z3498" s="2"/>
      <c r="AA3498" s="1"/>
      <c r="AC3498" s="2"/>
      <c r="AE3498" s="1"/>
      <c r="AG3498" s="2"/>
    </row>
    <row r="3499" spans="24:33" ht="49.95" customHeight="1" x14ac:dyDescent="0.3">
      <c r="X3499" s="163"/>
      <c r="Y3499" s="7"/>
      <c r="Z3499" s="2"/>
      <c r="AA3499" s="1"/>
      <c r="AC3499" s="2"/>
      <c r="AE3499" s="1"/>
      <c r="AG3499" s="2"/>
    </row>
    <row r="3500" spans="24:33" ht="49.95" customHeight="1" x14ac:dyDescent="0.3">
      <c r="X3500" s="2"/>
      <c r="Y3500" s="7"/>
      <c r="Z3500" s="2"/>
      <c r="AA3500" s="1"/>
      <c r="AC3500" s="2"/>
      <c r="AE3500" s="1"/>
      <c r="AG3500" s="2"/>
    </row>
    <row r="3501" spans="24:33" ht="49.95" customHeight="1" x14ac:dyDescent="0.3">
      <c r="X3501" s="2"/>
      <c r="Y3501" s="7"/>
      <c r="Z3501" s="2"/>
      <c r="AA3501" s="1"/>
      <c r="AC3501" s="2"/>
      <c r="AE3501" s="1"/>
      <c r="AG3501" s="2"/>
    </row>
    <row r="3502" spans="24:33" ht="49.95" customHeight="1" x14ac:dyDescent="0.3">
      <c r="X3502" s="2"/>
      <c r="Y3502" s="7"/>
      <c r="Z3502" s="2"/>
      <c r="AA3502" s="1"/>
      <c r="AC3502" s="2"/>
      <c r="AE3502" s="1"/>
      <c r="AG3502" s="2"/>
    </row>
    <row r="3503" spans="24:33" ht="49.95" customHeight="1" x14ac:dyDescent="0.3">
      <c r="X3503" s="2"/>
      <c r="Y3503" s="7"/>
      <c r="Z3503" s="2"/>
      <c r="AA3503" s="1"/>
      <c r="AC3503" s="2"/>
      <c r="AE3503" s="1"/>
      <c r="AG3503" s="2"/>
    </row>
    <row r="3504" spans="24:33" ht="49.95" customHeight="1" x14ac:dyDescent="0.3">
      <c r="X3504" s="2"/>
      <c r="Y3504" s="7"/>
      <c r="Z3504" s="2"/>
      <c r="AA3504" s="1"/>
      <c r="AC3504" s="2"/>
      <c r="AE3504" s="1"/>
      <c r="AG3504" s="2"/>
    </row>
    <row r="3505" spans="24:33" ht="49.95" customHeight="1" x14ac:dyDescent="0.3">
      <c r="X3505" s="2"/>
      <c r="Y3505" s="7"/>
      <c r="Z3505" s="2"/>
      <c r="AA3505" s="1"/>
      <c r="AC3505" s="2"/>
      <c r="AE3505" s="1"/>
      <c r="AG3505" s="2"/>
    </row>
    <row r="3506" spans="24:33" ht="49.95" customHeight="1" x14ac:dyDescent="0.3">
      <c r="X3506" s="2"/>
      <c r="Y3506" s="7"/>
      <c r="Z3506" s="2"/>
      <c r="AA3506" s="1"/>
      <c r="AC3506" s="2"/>
      <c r="AE3506" s="1"/>
      <c r="AG3506" s="2"/>
    </row>
    <row r="3507" spans="24:33" ht="49.95" customHeight="1" x14ac:dyDescent="0.3">
      <c r="X3507" s="2"/>
      <c r="Y3507" s="7"/>
      <c r="Z3507" s="2"/>
      <c r="AA3507" s="1"/>
      <c r="AC3507" s="2"/>
      <c r="AE3507" s="1"/>
      <c r="AG3507" s="2"/>
    </row>
    <row r="3508" spans="24:33" ht="49.95" customHeight="1" x14ac:dyDescent="0.3">
      <c r="X3508" s="2"/>
      <c r="Y3508" s="7"/>
      <c r="Z3508" s="2"/>
      <c r="AA3508" s="1"/>
      <c r="AC3508" s="2"/>
      <c r="AE3508" s="1"/>
      <c r="AG3508" s="2"/>
    </row>
    <row r="3509" spans="24:33" ht="49.95" customHeight="1" x14ac:dyDescent="0.3">
      <c r="X3509" s="2"/>
      <c r="Y3509" s="7"/>
      <c r="Z3509" s="2"/>
      <c r="AA3509" s="1"/>
      <c r="AC3509" s="2"/>
      <c r="AE3509" s="1"/>
      <c r="AG3509" s="2"/>
    </row>
    <row r="3510" spans="24:33" ht="49.95" customHeight="1" x14ac:dyDescent="0.3">
      <c r="X3510" s="2"/>
      <c r="Y3510" s="7"/>
      <c r="Z3510" s="2"/>
      <c r="AA3510" s="1"/>
      <c r="AC3510" s="2"/>
      <c r="AE3510" s="1"/>
      <c r="AG3510" s="2"/>
    </row>
    <row r="3511" spans="24:33" ht="49.95" customHeight="1" x14ac:dyDescent="0.3">
      <c r="X3511" s="2"/>
      <c r="Y3511" s="7"/>
      <c r="Z3511" s="2"/>
      <c r="AA3511" s="1"/>
      <c r="AC3511" s="2"/>
      <c r="AE3511" s="1"/>
      <c r="AG3511" s="2"/>
    </row>
    <row r="3512" spans="24:33" ht="49.95" customHeight="1" x14ac:dyDescent="0.3">
      <c r="X3512" s="2"/>
      <c r="Y3512" s="7"/>
      <c r="Z3512" s="2"/>
      <c r="AA3512" s="1"/>
      <c r="AC3512" s="2"/>
      <c r="AE3512" s="1"/>
      <c r="AG3512" s="2"/>
    </row>
    <row r="3513" spans="24:33" ht="49.95" customHeight="1" x14ac:dyDescent="0.3">
      <c r="X3513" s="2"/>
      <c r="Y3513" s="7"/>
      <c r="Z3513" s="2"/>
      <c r="AA3513" s="1"/>
      <c r="AC3513" s="2"/>
      <c r="AE3513" s="1"/>
      <c r="AG3513" s="2"/>
    </row>
    <row r="3514" spans="24:33" ht="49.95" customHeight="1" x14ac:dyDescent="0.3">
      <c r="X3514" s="2"/>
      <c r="Y3514" s="7"/>
      <c r="Z3514" s="2"/>
      <c r="AA3514" s="1"/>
      <c r="AC3514" s="2"/>
      <c r="AE3514" s="1"/>
      <c r="AG3514" s="2"/>
    </row>
    <row r="3515" spans="24:33" ht="49.95" customHeight="1" x14ac:dyDescent="0.3">
      <c r="X3515" s="2"/>
      <c r="Y3515" s="7"/>
      <c r="Z3515" s="2"/>
      <c r="AA3515" s="1"/>
      <c r="AC3515" s="2"/>
      <c r="AE3515" s="1"/>
      <c r="AG3515" s="2"/>
    </row>
    <row r="3516" spans="24:33" ht="49.95" customHeight="1" x14ac:dyDescent="0.3">
      <c r="X3516" s="2"/>
      <c r="Y3516" s="7"/>
      <c r="Z3516" s="2"/>
      <c r="AA3516" s="1"/>
      <c r="AC3516" s="2"/>
      <c r="AE3516" s="1"/>
      <c r="AG3516" s="2"/>
    </row>
    <row r="3517" spans="24:33" ht="49.95" customHeight="1" x14ac:dyDescent="0.3">
      <c r="X3517" s="2"/>
      <c r="Y3517" s="7"/>
      <c r="Z3517" s="2"/>
      <c r="AA3517" s="1"/>
      <c r="AC3517" s="2"/>
      <c r="AE3517" s="1"/>
      <c r="AG3517" s="2"/>
    </row>
    <row r="3518" spans="24:33" ht="49.95" customHeight="1" x14ac:dyDescent="0.3">
      <c r="X3518" s="2"/>
      <c r="Y3518" s="7"/>
      <c r="Z3518" s="2"/>
      <c r="AA3518" s="1"/>
      <c r="AC3518" s="2"/>
      <c r="AE3518" s="1"/>
      <c r="AG3518" s="2"/>
    </row>
    <row r="3519" spans="24:33" ht="49.95" customHeight="1" x14ac:dyDescent="0.3">
      <c r="X3519" s="2"/>
      <c r="Y3519" s="7"/>
      <c r="Z3519" s="2"/>
      <c r="AA3519" s="1"/>
      <c r="AC3519" s="2"/>
      <c r="AE3519" s="1"/>
      <c r="AG3519" s="2"/>
    </row>
    <row r="3520" spans="24:33" ht="49.95" customHeight="1" x14ac:dyDescent="0.3">
      <c r="X3520" s="2"/>
      <c r="Y3520" s="7"/>
      <c r="Z3520" s="2"/>
      <c r="AA3520" s="1"/>
      <c r="AC3520" s="2"/>
      <c r="AE3520" s="1"/>
      <c r="AG3520" s="2"/>
    </row>
    <row r="3521" spans="24:33" ht="49.95" customHeight="1" x14ac:dyDescent="0.3">
      <c r="X3521" s="2"/>
      <c r="Y3521" s="7"/>
      <c r="Z3521" s="2"/>
      <c r="AA3521" s="1"/>
      <c r="AC3521" s="2"/>
      <c r="AE3521" s="1"/>
      <c r="AG3521" s="2"/>
    </row>
    <row r="3522" spans="24:33" ht="49.95" customHeight="1" x14ac:dyDescent="0.3">
      <c r="X3522" s="2"/>
      <c r="Y3522" s="7"/>
      <c r="Z3522" s="2"/>
      <c r="AA3522" s="1"/>
      <c r="AC3522" s="2"/>
      <c r="AE3522" s="1"/>
      <c r="AG3522" s="2"/>
    </row>
    <row r="3523" spans="24:33" ht="49.95" customHeight="1" x14ac:dyDescent="0.3">
      <c r="X3523" s="2"/>
      <c r="Y3523" s="7"/>
      <c r="Z3523" s="2"/>
      <c r="AA3523" s="1"/>
      <c r="AC3523" s="2"/>
      <c r="AE3523" s="1"/>
      <c r="AG3523" s="2"/>
    </row>
    <row r="3524" spans="24:33" ht="49.95" customHeight="1" x14ac:dyDescent="0.3">
      <c r="X3524" s="2"/>
      <c r="Y3524" s="7"/>
      <c r="Z3524" s="2"/>
      <c r="AA3524" s="1"/>
      <c r="AC3524" s="2"/>
      <c r="AE3524" s="1"/>
      <c r="AG3524" s="2"/>
    </row>
    <row r="3525" spans="24:33" ht="49.95" customHeight="1" x14ac:dyDescent="0.3">
      <c r="X3525" s="2"/>
      <c r="Y3525" s="7"/>
      <c r="Z3525" s="2"/>
      <c r="AA3525" s="1"/>
      <c r="AC3525" s="2"/>
      <c r="AE3525" s="1"/>
      <c r="AG3525" s="2"/>
    </row>
    <row r="3526" spans="24:33" ht="49.95" customHeight="1" x14ac:dyDescent="0.3">
      <c r="X3526" s="2"/>
      <c r="Y3526" s="7"/>
      <c r="Z3526" s="2"/>
      <c r="AA3526" s="1"/>
      <c r="AC3526" s="2"/>
      <c r="AE3526" s="1"/>
      <c r="AG3526" s="2"/>
    </row>
    <row r="3527" spans="24:33" ht="49.95" customHeight="1" x14ac:dyDescent="0.3">
      <c r="X3527" s="2"/>
      <c r="Y3527" s="7"/>
      <c r="Z3527" s="2"/>
      <c r="AA3527" s="1"/>
      <c r="AC3527" s="2"/>
      <c r="AE3527" s="1"/>
      <c r="AG3527" s="2"/>
    </row>
    <row r="3528" spans="24:33" ht="49.95" customHeight="1" x14ac:dyDescent="0.3">
      <c r="X3528" s="2"/>
      <c r="Y3528" s="7"/>
      <c r="Z3528" s="2"/>
      <c r="AA3528" s="1"/>
      <c r="AC3528" s="2"/>
      <c r="AE3528" s="1"/>
      <c r="AG3528" s="2"/>
    </row>
    <row r="3529" spans="24:33" ht="49.95" customHeight="1" x14ac:dyDescent="0.3">
      <c r="X3529" s="2"/>
      <c r="Y3529" s="7"/>
      <c r="Z3529" s="2"/>
      <c r="AA3529" s="1"/>
      <c r="AC3529" s="2"/>
      <c r="AE3529" s="1"/>
      <c r="AG3529" s="2"/>
    </row>
    <row r="3530" spans="24:33" ht="49.95" customHeight="1" x14ac:dyDescent="0.3">
      <c r="X3530" s="2"/>
      <c r="Y3530" s="7"/>
      <c r="Z3530" s="2"/>
      <c r="AA3530" s="1"/>
      <c r="AC3530" s="2"/>
      <c r="AE3530" s="1"/>
      <c r="AG3530" s="2"/>
    </row>
    <row r="3531" spans="24:33" ht="49.95" customHeight="1" x14ac:dyDescent="0.3">
      <c r="X3531" s="2"/>
      <c r="Y3531" s="7"/>
      <c r="Z3531" s="2"/>
      <c r="AA3531" s="1"/>
      <c r="AC3531" s="2"/>
      <c r="AE3531" s="1"/>
      <c r="AG3531" s="2"/>
    </row>
    <row r="3532" spans="24:33" ht="49.95" customHeight="1" x14ac:dyDescent="0.3">
      <c r="X3532" s="2"/>
      <c r="Y3532" s="7"/>
      <c r="Z3532" s="2"/>
      <c r="AA3532" s="1"/>
      <c r="AC3532" s="2"/>
      <c r="AE3532" s="1"/>
      <c r="AG3532" s="2"/>
    </row>
    <row r="3533" spans="24:33" ht="49.95" customHeight="1" x14ac:dyDescent="0.3">
      <c r="X3533" s="2"/>
      <c r="Y3533" s="7"/>
      <c r="Z3533" s="2"/>
      <c r="AA3533" s="1"/>
      <c r="AC3533" s="2"/>
      <c r="AE3533" s="1"/>
      <c r="AG3533" s="2"/>
    </row>
    <row r="3534" spans="24:33" ht="49.95" customHeight="1" x14ac:dyDescent="0.3">
      <c r="X3534" s="2"/>
      <c r="Y3534" s="7"/>
      <c r="Z3534" s="2"/>
      <c r="AA3534" s="1"/>
      <c r="AC3534" s="2"/>
      <c r="AE3534" s="1"/>
      <c r="AG3534" s="2"/>
    </row>
    <row r="3535" spans="24:33" ht="49.95" customHeight="1" x14ac:dyDescent="0.3">
      <c r="X3535" s="2"/>
      <c r="Y3535" s="7"/>
      <c r="Z3535" s="2"/>
      <c r="AA3535" s="1"/>
      <c r="AC3535" s="2"/>
      <c r="AE3535" s="1"/>
      <c r="AG3535" s="2"/>
    </row>
    <row r="3536" spans="24:33" ht="49.95" customHeight="1" x14ac:dyDescent="0.3">
      <c r="X3536" s="2"/>
      <c r="Y3536" s="7"/>
      <c r="Z3536" s="2"/>
      <c r="AA3536" s="1"/>
      <c r="AC3536" s="2"/>
      <c r="AE3536" s="1"/>
      <c r="AG3536" s="2"/>
    </row>
    <row r="3537" spans="24:33" ht="49.95" customHeight="1" x14ac:dyDescent="0.3">
      <c r="X3537" s="2"/>
      <c r="Y3537" s="7"/>
      <c r="Z3537" s="2"/>
      <c r="AA3537" s="1"/>
      <c r="AC3537" s="2"/>
      <c r="AE3537" s="1"/>
      <c r="AG3537" s="2"/>
    </row>
    <row r="3538" spans="24:33" ht="49.95" customHeight="1" x14ac:dyDescent="0.3">
      <c r="X3538" s="2"/>
      <c r="Y3538" s="7"/>
      <c r="Z3538" s="2"/>
      <c r="AA3538" s="1"/>
      <c r="AC3538" s="2"/>
      <c r="AE3538" s="1"/>
      <c r="AG3538" s="2"/>
    </row>
    <row r="3539" spans="24:33" ht="49.95" customHeight="1" x14ac:dyDescent="0.3">
      <c r="X3539" s="2"/>
      <c r="Y3539" s="7"/>
      <c r="Z3539" s="2"/>
      <c r="AA3539" s="1"/>
      <c r="AC3539" s="2"/>
      <c r="AE3539" s="1"/>
      <c r="AG3539" s="2"/>
    </row>
    <row r="3540" spans="24:33" ht="49.95" customHeight="1" x14ac:dyDescent="0.3">
      <c r="X3540" s="2"/>
      <c r="Y3540" s="7"/>
      <c r="Z3540" s="2"/>
      <c r="AA3540" s="1"/>
      <c r="AC3540" s="2"/>
      <c r="AE3540" s="1"/>
      <c r="AG3540" s="2"/>
    </row>
    <row r="3541" spans="24:33" ht="49.95" customHeight="1" x14ac:dyDescent="0.3">
      <c r="X3541" s="2"/>
      <c r="Y3541" s="7"/>
      <c r="Z3541" s="2"/>
      <c r="AA3541" s="1"/>
      <c r="AC3541" s="2"/>
      <c r="AE3541" s="1"/>
      <c r="AG3541" s="2"/>
    </row>
    <row r="3542" spans="24:33" ht="49.95" customHeight="1" x14ac:dyDescent="0.3">
      <c r="X3542" s="2"/>
      <c r="Y3542" s="7"/>
      <c r="Z3542" s="2"/>
      <c r="AA3542" s="1"/>
      <c r="AC3542" s="2"/>
      <c r="AE3542" s="1"/>
      <c r="AG3542" s="2"/>
    </row>
    <row r="3543" spans="24:33" ht="49.95" customHeight="1" x14ac:dyDescent="0.3">
      <c r="X3543" s="2"/>
      <c r="Y3543" s="7"/>
      <c r="Z3543" s="2"/>
      <c r="AA3543" s="1"/>
      <c r="AC3543" s="2"/>
      <c r="AE3543" s="1"/>
      <c r="AG3543" s="2"/>
    </row>
    <row r="3544" spans="24:33" ht="49.95" customHeight="1" x14ac:dyDescent="0.3">
      <c r="X3544" s="2"/>
      <c r="Y3544" s="7"/>
      <c r="Z3544" s="2"/>
      <c r="AA3544" s="1"/>
      <c r="AC3544" s="2"/>
      <c r="AE3544" s="1"/>
      <c r="AG3544" s="2"/>
    </row>
    <row r="3545" spans="24:33" ht="49.95" customHeight="1" x14ac:dyDescent="0.3">
      <c r="X3545" s="2"/>
      <c r="Y3545" s="7"/>
      <c r="Z3545" s="2"/>
      <c r="AA3545" s="1"/>
      <c r="AC3545" s="2"/>
      <c r="AE3545" s="1"/>
      <c r="AG3545" s="2"/>
    </row>
    <row r="3546" spans="24:33" ht="49.95" customHeight="1" x14ac:dyDescent="0.3">
      <c r="X3546" s="2"/>
      <c r="Y3546" s="7"/>
      <c r="Z3546" s="2"/>
      <c r="AA3546" s="1"/>
      <c r="AC3546" s="2"/>
      <c r="AE3546" s="1"/>
      <c r="AG3546" s="2"/>
    </row>
    <row r="3547" spans="24:33" ht="49.95" customHeight="1" x14ac:dyDescent="0.3">
      <c r="X3547" s="2"/>
      <c r="Y3547" s="7"/>
      <c r="Z3547" s="2"/>
      <c r="AA3547" s="1"/>
      <c r="AC3547" s="2"/>
      <c r="AE3547" s="1"/>
      <c r="AG3547" s="2"/>
    </row>
    <row r="3548" spans="24:33" ht="49.95" customHeight="1" x14ac:dyDescent="0.3">
      <c r="X3548" s="2"/>
      <c r="Y3548" s="7"/>
      <c r="Z3548" s="2"/>
      <c r="AA3548" s="1"/>
      <c r="AC3548" s="2"/>
      <c r="AE3548" s="1"/>
      <c r="AG3548" s="2"/>
    </row>
    <row r="3549" spans="24:33" ht="49.95" customHeight="1" x14ac:dyDescent="0.3">
      <c r="X3549" s="2"/>
      <c r="Y3549" s="7"/>
      <c r="Z3549" s="2"/>
      <c r="AA3549" s="1"/>
      <c r="AC3549" s="2"/>
      <c r="AE3549" s="1"/>
      <c r="AG3549" s="2"/>
    </row>
    <row r="3550" spans="24:33" ht="49.95" customHeight="1" x14ac:dyDescent="0.3">
      <c r="X3550" s="2"/>
      <c r="Y3550" s="7"/>
      <c r="Z3550" s="2"/>
      <c r="AA3550" s="1"/>
      <c r="AC3550" s="2"/>
      <c r="AE3550" s="1"/>
      <c r="AG3550" s="2"/>
    </row>
    <row r="3551" spans="24:33" ht="49.95" customHeight="1" x14ac:dyDescent="0.3">
      <c r="X3551" s="2"/>
      <c r="Y3551" s="7"/>
      <c r="Z3551" s="2"/>
      <c r="AA3551" s="1"/>
      <c r="AC3551" s="2"/>
      <c r="AE3551" s="1"/>
      <c r="AG3551" s="2"/>
    </row>
    <row r="3552" spans="24:33" ht="49.95" customHeight="1" x14ac:dyDescent="0.3">
      <c r="X3552" s="2"/>
      <c r="Y3552" s="7"/>
      <c r="Z3552" s="2"/>
      <c r="AA3552" s="1"/>
      <c r="AC3552" s="2"/>
      <c r="AE3552" s="1"/>
      <c r="AG3552" s="2"/>
    </row>
    <row r="3553" spans="24:33" ht="49.95" customHeight="1" x14ac:dyDescent="0.3">
      <c r="X3553" s="2"/>
      <c r="Y3553" s="7"/>
      <c r="Z3553" s="2"/>
      <c r="AA3553" s="1"/>
      <c r="AC3553" s="2"/>
      <c r="AE3553" s="1"/>
      <c r="AG3553" s="2"/>
    </row>
    <row r="3554" spans="24:33" ht="49.95" customHeight="1" x14ac:dyDescent="0.3">
      <c r="X3554" s="2"/>
      <c r="Y3554" s="7"/>
      <c r="Z3554" s="2"/>
      <c r="AA3554" s="1"/>
      <c r="AC3554" s="2"/>
      <c r="AE3554" s="1"/>
      <c r="AG3554" s="2"/>
    </row>
    <row r="3555" spans="24:33" ht="49.95" customHeight="1" x14ac:dyDescent="0.3">
      <c r="X3555" s="2"/>
      <c r="Y3555" s="7"/>
      <c r="Z3555" s="2"/>
      <c r="AA3555" s="1"/>
      <c r="AC3555" s="2"/>
      <c r="AE3555" s="1"/>
      <c r="AG3555" s="2"/>
    </row>
    <row r="3556" spans="24:33" ht="49.95" customHeight="1" x14ac:dyDescent="0.3">
      <c r="X3556" s="2"/>
      <c r="Y3556" s="7"/>
      <c r="Z3556" s="2"/>
      <c r="AA3556" s="1"/>
      <c r="AC3556" s="2"/>
      <c r="AE3556" s="1"/>
      <c r="AG3556" s="2"/>
    </row>
    <row r="3557" spans="24:33" ht="49.95" customHeight="1" x14ac:dyDescent="0.3">
      <c r="X3557" s="2"/>
      <c r="Y3557" s="7"/>
      <c r="Z3557" s="2"/>
      <c r="AA3557" s="1"/>
      <c r="AC3557" s="2"/>
      <c r="AE3557" s="1"/>
      <c r="AG3557" s="2"/>
    </row>
    <row r="3558" spans="24:33" ht="49.95" customHeight="1" x14ac:dyDescent="0.3">
      <c r="X3558" s="2"/>
      <c r="Y3558" s="7"/>
      <c r="Z3558" s="2"/>
      <c r="AA3558" s="1"/>
      <c r="AC3558" s="2"/>
      <c r="AE3558" s="1"/>
      <c r="AG3558" s="2"/>
    </row>
    <row r="3559" spans="24:33" ht="49.95" customHeight="1" x14ac:dyDescent="0.3">
      <c r="X3559" s="2"/>
      <c r="Y3559" s="7"/>
      <c r="Z3559" s="2"/>
      <c r="AA3559" s="1"/>
      <c r="AC3559" s="2"/>
      <c r="AE3559" s="1"/>
      <c r="AG3559" s="2"/>
    </row>
    <row r="3560" spans="24:33" ht="49.95" customHeight="1" x14ac:dyDescent="0.3">
      <c r="X3560" s="2"/>
      <c r="Y3560" s="7"/>
      <c r="Z3560" s="2"/>
      <c r="AA3560" s="1"/>
      <c r="AC3560" s="2"/>
      <c r="AE3560" s="1"/>
      <c r="AG3560" s="2"/>
    </row>
    <row r="3561" spans="24:33" ht="49.95" customHeight="1" x14ac:dyDescent="0.3">
      <c r="X3561" s="2"/>
      <c r="Y3561" s="7"/>
      <c r="Z3561" s="2"/>
      <c r="AA3561" s="1"/>
      <c r="AC3561" s="2"/>
      <c r="AE3561" s="1"/>
      <c r="AG3561" s="2"/>
    </row>
    <row r="3562" spans="24:33" ht="49.95" customHeight="1" x14ac:dyDescent="0.3">
      <c r="X3562" s="2"/>
      <c r="Y3562" s="7"/>
      <c r="Z3562" s="2"/>
      <c r="AA3562" s="1"/>
      <c r="AC3562" s="2"/>
      <c r="AE3562" s="1"/>
      <c r="AG3562" s="2"/>
    </row>
    <row r="3563" spans="24:33" ht="49.95" customHeight="1" x14ac:dyDescent="0.3">
      <c r="X3563" s="2"/>
      <c r="Y3563" s="7"/>
      <c r="Z3563" s="2"/>
      <c r="AA3563" s="1"/>
      <c r="AC3563" s="2"/>
      <c r="AE3563" s="1"/>
      <c r="AG3563" s="2"/>
    </row>
    <row r="3564" spans="24:33" ht="49.95" customHeight="1" x14ac:dyDescent="0.3">
      <c r="X3564" s="2"/>
      <c r="Y3564" s="7"/>
      <c r="Z3564" s="2"/>
      <c r="AA3564" s="1"/>
      <c r="AC3564" s="2"/>
      <c r="AE3564" s="1"/>
      <c r="AG3564" s="2"/>
    </row>
    <row r="3565" spans="24:33" ht="49.95" customHeight="1" x14ac:dyDescent="0.3">
      <c r="X3565" s="2"/>
      <c r="Y3565" s="7"/>
      <c r="Z3565" s="2"/>
      <c r="AA3565" s="1"/>
      <c r="AC3565" s="2"/>
      <c r="AE3565" s="1"/>
      <c r="AG3565" s="2"/>
    </row>
    <row r="3566" spans="24:33" ht="49.95" customHeight="1" x14ac:dyDescent="0.3">
      <c r="X3566" s="2"/>
      <c r="Y3566" s="7"/>
      <c r="Z3566" s="2"/>
      <c r="AA3566" s="1"/>
      <c r="AC3566" s="2"/>
      <c r="AE3566" s="1"/>
      <c r="AG3566" s="2"/>
    </row>
    <row r="3567" spans="24:33" ht="49.95" customHeight="1" x14ac:dyDescent="0.3">
      <c r="X3567" s="2"/>
      <c r="Y3567" s="7"/>
      <c r="Z3567" s="2"/>
      <c r="AA3567" s="1"/>
      <c r="AC3567" s="2"/>
      <c r="AE3567" s="1"/>
      <c r="AG3567" s="2"/>
    </row>
    <row r="3568" spans="24:33" ht="49.95" customHeight="1" x14ac:dyDescent="0.3">
      <c r="X3568" s="2"/>
      <c r="Y3568" s="7"/>
      <c r="Z3568" s="2"/>
      <c r="AA3568" s="1"/>
      <c r="AC3568" s="2"/>
      <c r="AE3568" s="1"/>
      <c r="AG3568" s="2"/>
    </row>
    <row r="3569" spans="24:33" ht="49.95" customHeight="1" x14ac:dyDescent="0.3">
      <c r="X3569" s="2"/>
      <c r="Y3569" s="7"/>
      <c r="Z3569" s="2"/>
      <c r="AA3569" s="1"/>
      <c r="AC3569" s="2"/>
      <c r="AE3569" s="1"/>
      <c r="AG3569" s="2"/>
    </row>
    <row r="3570" spans="24:33" ht="49.95" customHeight="1" x14ac:dyDescent="0.3">
      <c r="X3570" s="2"/>
      <c r="Y3570" s="7"/>
      <c r="Z3570" s="2"/>
      <c r="AA3570" s="1"/>
      <c r="AC3570" s="2"/>
      <c r="AE3570" s="1"/>
      <c r="AG3570" s="2"/>
    </row>
    <row r="3571" spans="24:33" ht="49.95" customHeight="1" x14ac:dyDescent="0.3">
      <c r="X3571" s="1"/>
      <c r="Y3571" s="7"/>
      <c r="Z3571" s="2"/>
      <c r="AA3571" s="1"/>
      <c r="AC3571" s="2"/>
      <c r="AE3571" s="1"/>
      <c r="AG3571" s="2"/>
    </row>
    <row r="3572" spans="24:33" ht="49.95" customHeight="1" x14ac:dyDescent="0.3">
      <c r="X3572" s="1"/>
      <c r="Y3572" s="7"/>
      <c r="Z3572" s="2"/>
      <c r="AA3572" s="1"/>
      <c r="AC3572" s="2"/>
      <c r="AE3572" s="1"/>
      <c r="AG3572" s="2"/>
    </row>
    <row r="3573" spans="24:33" ht="49.95" customHeight="1" x14ac:dyDescent="0.3">
      <c r="X3573" s="1"/>
      <c r="Y3573" s="7"/>
      <c r="Z3573" s="2"/>
      <c r="AA3573" s="1"/>
      <c r="AC3573" s="2"/>
      <c r="AE3573" s="1"/>
      <c r="AG3573" s="2"/>
    </row>
    <row r="3574" spans="24:33" ht="49.95" customHeight="1" x14ac:dyDescent="0.3">
      <c r="X3574" s="1"/>
      <c r="Y3574" s="7"/>
      <c r="Z3574" s="2"/>
      <c r="AA3574" s="1"/>
      <c r="AC3574" s="2"/>
      <c r="AE3574" s="1"/>
      <c r="AG3574" s="2"/>
    </row>
    <row r="3575" spans="24:33" ht="49.95" customHeight="1" x14ac:dyDescent="0.3">
      <c r="X3575" s="2"/>
      <c r="Y3575" s="7"/>
      <c r="Z3575" s="2"/>
      <c r="AA3575" s="1"/>
      <c r="AC3575" s="2"/>
      <c r="AE3575" s="1"/>
      <c r="AG3575" s="2"/>
    </row>
    <row r="3576" spans="24:33" ht="49.95" customHeight="1" x14ac:dyDescent="0.3">
      <c r="X3576" s="2"/>
      <c r="Y3576" s="7"/>
      <c r="Z3576" s="2"/>
      <c r="AA3576" s="1"/>
      <c r="AC3576" s="2"/>
      <c r="AE3576" s="1"/>
      <c r="AG3576" s="2"/>
    </row>
    <row r="3577" spans="24:33" ht="49.95" customHeight="1" x14ac:dyDescent="0.3">
      <c r="X3577" s="2"/>
      <c r="Y3577" s="7"/>
      <c r="Z3577" s="2"/>
      <c r="AA3577" s="1"/>
      <c r="AC3577" s="2"/>
      <c r="AE3577" s="1"/>
      <c r="AG3577" s="2"/>
    </row>
    <row r="3578" spans="24:33" ht="49.95" customHeight="1" x14ac:dyDescent="0.3">
      <c r="X3578" s="2"/>
      <c r="Y3578" s="7"/>
      <c r="Z3578" s="2"/>
      <c r="AA3578" s="1"/>
      <c r="AC3578" s="2"/>
      <c r="AE3578" s="1"/>
      <c r="AG3578" s="2"/>
    </row>
    <row r="3579" spans="24:33" ht="49.95" customHeight="1" x14ac:dyDescent="0.3">
      <c r="X3579" s="165"/>
      <c r="Y3579" s="7"/>
      <c r="Z3579" s="2"/>
      <c r="AA3579" s="1"/>
      <c r="AC3579" s="2"/>
      <c r="AE3579" s="1"/>
      <c r="AG3579" s="2"/>
    </row>
    <row r="3580" spans="24:33" ht="49.95" customHeight="1" x14ac:dyDescent="0.3">
      <c r="X3580" s="2"/>
      <c r="Y3580" s="7"/>
      <c r="Z3580" s="2"/>
      <c r="AA3580" s="1"/>
      <c r="AC3580" s="2"/>
      <c r="AE3580" s="1"/>
      <c r="AG3580" s="2"/>
    </row>
    <row r="3581" spans="24:33" ht="49.95" customHeight="1" x14ac:dyDescent="0.3">
      <c r="X3581" s="2"/>
      <c r="Y3581" s="7"/>
      <c r="Z3581" s="2"/>
      <c r="AA3581" s="1"/>
      <c r="AC3581" s="2"/>
      <c r="AE3581" s="1"/>
      <c r="AG3581" s="2"/>
    </row>
    <row r="3582" spans="24:33" ht="49.95" customHeight="1" x14ac:dyDescent="0.3">
      <c r="X3582" s="166"/>
      <c r="Y3582" s="7"/>
      <c r="Z3582" s="2"/>
      <c r="AA3582" s="1"/>
      <c r="AC3582" s="2"/>
      <c r="AE3582" s="1"/>
      <c r="AG3582" s="2"/>
    </row>
    <row r="3583" spans="24:33" ht="49.95" customHeight="1" x14ac:dyDescent="0.3">
      <c r="X3583" s="2"/>
      <c r="Y3583" s="7"/>
      <c r="Z3583" s="2"/>
      <c r="AA3583" s="1"/>
      <c r="AC3583" s="2"/>
      <c r="AE3583" s="1"/>
      <c r="AG3583" s="2"/>
    </row>
    <row r="3584" spans="24:33" ht="49.95" customHeight="1" x14ac:dyDescent="0.3">
      <c r="X3584" s="2"/>
      <c r="Y3584" s="7"/>
      <c r="Z3584" s="2"/>
      <c r="AA3584" s="1"/>
      <c r="AC3584" s="2"/>
      <c r="AE3584" s="1"/>
      <c r="AG3584" s="2"/>
    </row>
    <row r="3585" spans="24:33" ht="49.95" customHeight="1" x14ac:dyDescent="0.3">
      <c r="X3585" s="2"/>
      <c r="Y3585" s="7"/>
      <c r="Z3585" s="2"/>
      <c r="AA3585" s="1"/>
      <c r="AC3585" s="2"/>
      <c r="AE3585" s="1"/>
      <c r="AG3585" s="2"/>
    </row>
    <row r="3586" spans="24:33" ht="49.95" customHeight="1" x14ac:dyDescent="0.3">
      <c r="X3586" s="2"/>
      <c r="Y3586" s="7"/>
      <c r="Z3586" s="2"/>
      <c r="AA3586" s="1"/>
      <c r="AC3586" s="2"/>
      <c r="AE3586" s="1"/>
      <c r="AG3586" s="2"/>
    </row>
    <row r="3587" spans="24:33" ht="49.95" customHeight="1" x14ac:dyDescent="0.3">
      <c r="X3587" s="2"/>
      <c r="Y3587" s="7"/>
      <c r="Z3587" s="2"/>
      <c r="AA3587" s="1"/>
      <c r="AC3587" s="2"/>
      <c r="AE3587" s="1"/>
      <c r="AG3587" s="2"/>
    </row>
    <row r="3588" spans="24:33" ht="49.95" customHeight="1" x14ac:dyDescent="0.3">
      <c r="X3588" s="1"/>
      <c r="Y3588" s="7"/>
      <c r="Z3588" s="2"/>
      <c r="AA3588" s="1"/>
      <c r="AC3588" s="2"/>
      <c r="AE3588" s="1"/>
      <c r="AG3588" s="2"/>
    </row>
    <row r="3589" spans="24:33" ht="49.95" customHeight="1" x14ac:dyDescent="0.3">
      <c r="X3589" s="2"/>
      <c r="Y3589" s="7"/>
      <c r="Z3589" s="2"/>
      <c r="AA3589" s="1"/>
      <c r="AC3589" s="2"/>
      <c r="AE3589" s="1"/>
      <c r="AG3589" s="2"/>
    </row>
    <row r="3590" spans="24:33" ht="49.95" customHeight="1" x14ac:dyDescent="0.3">
      <c r="X3590" s="2"/>
      <c r="Y3590" s="7"/>
      <c r="Z3590" s="2"/>
      <c r="AA3590" s="1"/>
      <c r="AC3590" s="2"/>
      <c r="AE3590" s="1"/>
      <c r="AG3590" s="2"/>
    </row>
    <row r="3591" spans="24:33" ht="49.95" customHeight="1" x14ac:dyDescent="0.3">
      <c r="X3591" s="2"/>
      <c r="Y3591" s="7"/>
      <c r="Z3591" s="2"/>
      <c r="AA3591" s="1"/>
      <c r="AC3591" s="2"/>
      <c r="AE3591" s="1"/>
      <c r="AG3591" s="2"/>
    </row>
    <row r="3592" spans="24:33" ht="49.95" customHeight="1" x14ac:dyDescent="0.3">
      <c r="X3592" s="2"/>
      <c r="Y3592" s="7"/>
      <c r="Z3592" s="2"/>
      <c r="AA3592" s="1"/>
      <c r="AC3592" s="2"/>
      <c r="AE3592" s="1"/>
      <c r="AG3592" s="2"/>
    </row>
    <row r="3593" spans="24:33" ht="49.95" customHeight="1" x14ac:dyDescent="0.3">
      <c r="X3593" s="2"/>
      <c r="Y3593" s="7"/>
      <c r="Z3593" s="2"/>
      <c r="AA3593" s="1"/>
      <c r="AC3593" s="2"/>
      <c r="AE3593" s="1"/>
      <c r="AG3593" s="2"/>
    </row>
    <row r="3594" spans="24:33" ht="49.95" customHeight="1" x14ac:dyDescent="0.3">
      <c r="X3594" s="2"/>
      <c r="Y3594" s="7"/>
      <c r="Z3594" s="2"/>
      <c r="AA3594" s="1"/>
      <c r="AC3594" s="2"/>
      <c r="AE3594" s="1"/>
      <c r="AG3594" s="2"/>
    </row>
    <row r="3595" spans="24:33" ht="49.95" customHeight="1" x14ac:dyDescent="0.3">
      <c r="X3595" s="2"/>
      <c r="Y3595" s="7"/>
      <c r="Z3595" s="2"/>
      <c r="AA3595" s="1"/>
      <c r="AC3595" s="2"/>
      <c r="AE3595" s="1"/>
      <c r="AG3595" s="2"/>
    </row>
    <row r="3596" spans="24:33" ht="49.95" customHeight="1" x14ac:dyDescent="0.3">
      <c r="X3596" s="2"/>
      <c r="Y3596" s="7"/>
      <c r="Z3596" s="2"/>
      <c r="AA3596" s="1"/>
      <c r="AC3596" s="2"/>
      <c r="AE3596" s="1"/>
      <c r="AG3596" s="2"/>
    </row>
    <row r="3597" spans="24:33" ht="49.95" customHeight="1" x14ac:dyDescent="0.3">
      <c r="X3597" s="2"/>
      <c r="Y3597" s="7"/>
      <c r="Z3597" s="2"/>
      <c r="AA3597" s="1"/>
      <c r="AC3597" s="2"/>
      <c r="AE3597" s="1"/>
      <c r="AG3597" s="2"/>
    </row>
    <row r="3598" spans="24:33" ht="49.95" customHeight="1" x14ac:dyDescent="0.3">
      <c r="X3598" s="2"/>
      <c r="Y3598" s="7"/>
      <c r="Z3598" s="2"/>
      <c r="AA3598" s="1"/>
      <c r="AC3598" s="2"/>
      <c r="AE3598" s="1"/>
      <c r="AG3598" s="2"/>
    </row>
    <row r="3599" spans="24:33" ht="49.95" customHeight="1" x14ac:dyDescent="0.3">
      <c r="X3599" s="2"/>
      <c r="Y3599" s="7"/>
      <c r="Z3599" s="2"/>
      <c r="AA3599" s="1"/>
      <c r="AC3599" s="2"/>
      <c r="AE3599" s="1"/>
      <c r="AG3599" s="2"/>
    </row>
    <row r="3600" spans="24:33" ht="49.95" customHeight="1" x14ac:dyDescent="0.3">
      <c r="X3600" s="2"/>
      <c r="Y3600" s="7"/>
      <c r="Z3600" s="2"/>
      <c r="AA3600" s="1"/>
      <c r="AC3600" s="2"/>
      <c r="AE3600" s="1"/>
      <c r="AG3600" s="2"/>
    </row>
    <row r="3601" spans="24:33" ht="49.95" customHeight="1" x14ac:dyDescent="0.3">
      <c r="X3601" s="2"/>
      <c r="Y3601" s="7"/>
      <c r="Z3601" s="2"/>
      <c r="AA3601" s="1"/>
      <c r="AC3601" s="2"/>
      <c r="AE3601" s="1"/>
      <c r="AG3601" s="2"/>
    </row>
    <row r="3602" spans="24:33" ht="49.95" customHeight="1" x14ac:dyDescent="0.3">
      <c r="X3602" s="2"/>
      <c r="Y3602" s="7"/>
      <c r="Z3602" s="2"/>
      <c r="AA3602" s="1"/>
      <c r="AC3602" s="2"/>
      <c r="AE3602" s="1"/>
      <c r="AG3602" s="2"/>
    </row>
    <row r="3603" spans="24:33" ht="49.95" customHeight="1" x14ac:dyDescent="0.3">
      <c r="X3603" s="2"/>
      <c r="Y3603" s="7"/>
      <c r="Z3603" s="2"/>
      <c r="AA3603" s="1"/>
      <c r="AC3603" s="2"/>
      <c r="AE3603" s="1"/>
      <c r="AG3603" s="2"/>
    </row>
    <row r="3604" spans="24:33" ht="49.95" customHeight="1" x14ac:dyDescent="0.3">
      <c r="X3604" s="2"/>
      <c r="Y3604" s="7"/>
      <c r="Z3604" s="2"/>
      <c r="AA3604" s="1"/>
      <c r="AC3604" s="2"/>
      <c r="AE3604" s="1"/>
      <c r="AG3604" s="2"/>
    </row>
    <row r="3605" spans="24:33" ht="49.95" customHeight="1" x14ac:dyDescent="0.3">
      <c r="X3605" s="2"/>
      <c r="Y3605" s="7"/>
      <c r="Z3605" s="2"/>
      <c r="AA3605" s="1"/>
      <c r="AC3605" s="2"/>
      <c r="AE3605" s="1"/>
      <c r="AG3605" s="2"/>
    </row>
    <row r="3606" spans="24:33" ht="49.95" customHeight="1" x14ac:dyDescent="0.3">
      <c r="X3606" s="2"/>
      <c r="Y3606" s="7"/>
      <c r="Z3606" s="2"/>
      <c r="AA3606" s="1"/>
      <c r="AC3606" s="2"/>
      <c r="AE3606" s="1"/>
      <c r="AG3606" s="2"/>
    </row>
    <row r="3607" spans="24:33" ht="49.95" customHeight="1" x14ac:dyDescent="0.3">
      <c r="X3607" s="2"/>
      <c r="Y3607" s="7"/>
      <c r="Z3607" s="2"/>
      <c r="AA3607" s="1"/>
      <c r="AC3607" s="2"/>
      <c r="AE3607" s="1"/>
      <c r="AG3607" s="2"/>
    </row>
    <row r="3608" spans="24:33" ht="49.95" customHeight="1" x14ac:dyDescent="0.3">
      <c r="X3608" s="2"/>
      <c r="Y3608" s="7"/>
      <c r="Z3608" s="2"/>
      <c r="AA3608" s="1"/>
      <c r="AC3608" s="2"/>
      <c r="AE3608" s="1"/>
      <c r="AG3608" s="2"/>
    </row>
    <row r="3609" spans="24:33" ht="49.95" customHeight="1" x14ac:dyDescent="0.3">
      <c r="X3609" s="2"/>
      <c r="Y3609" s="7"/>
      <c r="Z3609" s="2"/>
      <c r="AA3609" s="1"/>
      <c r="AC3609" s="2"/>
      <c r="AE3609" s="1"/>
      <c r="AG3609" s="2"/>
    </row>
    <row r="3610" spans="24:33" ht="49.95" customHeight="1" x14ac:dyDescent="0.3">
      <c r="X3610" s="2"/>
      <c r="Y3610" s="7"/>
      <c r="Z3610" s="2"/>
      <c r="AA3610" s="1"/>
      <c r="AC3610" s="2"/>
      <c r="AE3610" s="1"/>
      <c r="AG3610" s="2"/>
    </row>
    <row r="3611" spans="24:33" ht="49.95" customHeight="1" x14ac:dyDescent="0.3">
      <c r="X3611" s="2"/>
      <c r="Y3611" s="7"/>
      <c r="Z3611" s="2"/>
      <c r="AA3611" s="1"/>
      <c r="AC3611" s="2"/>
      <c r="AE3611" s="1"/>
      <c r="AG3611" s="2"/>
    </row>
    <row r="3612" spans="24:33" ht="49.95" customHeight="1" x14ac:dyDescent="0.3">
      <c r="X3612" s="168"/>
      <c r="Y3612" s="7"/>
      <c r="Z3612" s="2"/>
      <c r="AA3612" s="1"/>
      <c r="AC3612" s="2"/>
      <c r="AE3612" s="1"/>
      <c r="AG3612" s="2"/>
    </row>
    <row r="3613" spans="24:33" ht="49.95" customHeight="1" x14ac:dyDescent="0.3">
      <c r="X3613" s="168"/>
      <c r="Y3613" s="7"/>
      <c r="Z3613" s="2"/>
      <c r="AA3613" s="1"/>
      <c r="AC3613" s="2"/>
      <c r="AE3613" s="1"/>
      <c r="AG3613" s="2"/>
    </row>
    <row r="3614" spans="24:33" ht="49.95" customHeight="1" x14ac:dyDescent="0.3">
      <c r="X3614" s="2"/>
      <c r="Y3614" s="7"/>
      <c r="Z3614" s="2"/>
      <c r="AA3614" s="1"/>
      <c r="AC3614" s="2"/>
      <c r="AE3614" s="1"/>
      <c r="AG3614" s="2"/>
    </row>
    <row r="3615" spans="24:33" ht="49.95" customHeight="1" x14ac:dyDescent="0.3">
      <c r="X3615" s="2"/>
      <c r="Y3615" s="7"/>
      <c r="Z3615" s="2"/>
      <c r="AA3615" s="1"/>
      <c r="AC3615" s="2"/>
      <c r="AE3615" s="1"/>
      <c r="AG3615" s="2"/>
    </row>
    <row r="3616" spans="24:33" ht="49.95" customHeight="1" x14ac:dyDescent="0.3">
      <c r="X3616" s="2"/>
      <c r="Y3616" s="7"/>
      <c r="Z3616" s="2"/>
      <c r="AA3616" s="1"/>
      <c r="AC3616" s="2"/>
      <c r="AE3616" s="1"/>
      <c r="AG3616" s="2"/>
    </row>
    <row r="3617" spans="24:33" ht="49.95" customHeight="1" x14ac:dyDescent="0.3">
      <c r="X3617" s="169"/>
      <c r="Y3617" s="7"/>
      <c r="Z3617" s="2"/>
      <c r="AA3617" s="1"/>
      <c r="AC3617" s="2"/>
      <c r="AE3617" s="1"/>
      <c r="AG3617" s="2"/>
    </row>
    <row r="3618" spans="24:33" ht="49.95" customHeight="1" x14ac:dyDescent="0.3">
      <c r="X3618" s="2"/>
      <c r="Y3618" s="7"/>
      <c r="Z3618" s="2"/>
      <c r="AA3618" s="1"/>
      <c r="AC3618" s="2"/>
      <c r="AE3618" s="1"/>
      <c r="AG3618" s="2"/>
    </row>
    <row r="3619" spans="24:33" ht="49.95" customHeight="1" x14ac:dyDescent="0.3">
      <c r="X3619" s="2"/>
      <c r="Y3619" s="7"/>
      <c r="Z3619" s="2"/>
      <c r="AA3619" s="1"/>
      <c r="AC3619" s="2"/>
      <c r="AE3619" s="1"/>
      <c r="AG3619" s="2"/>
    </row>
    <row r="3620" spans="24:33" ht="49.95" customHeight="1" x14ac:dyDescent="0.3">
      <c r="X3620" s="170"/>
      <c r="Y3620" s="7"/>
      <c r="Z3620" s="2"/>
      <c r="AA3620" s="1"/>
      <c r="AC3620" s="2"/>
      <c r="AE3620" s="1"/>
      <c r="AG3620" s="2"/>
    </row>
    <row r="3621" spans="24:33" ht="49.95" customHeight="1" x14ac:dyDescent="0.3">
      <c r="X3621" s="2"/>
      <c r="Y3621" s="7"/>
      <c r="Z3621" s="2"/>
      <c r="AA3621" s="1"/>
      <c r="AC3621" s="2"/>
      <c r="AE3621" s="1"/>
      <c r="AG3621" s="2"/>
    </row>
    <row r="3622" spans="24:33" ht="49.95" customHeight="1" x14ac:dyDescent="0.3">
      <c r="X3622" s="2"/>
      <c r="Y3622" s="7"/>
      <c r="Z3622" s="2"/>
      <c r="AA3622" s="1"/>
      <c r="AC3622" s="2"/>
      <c r="AE3622" s="1"/>
      <c r="AG3622" s="2"/>
    </row>
    <row r="3623" spans="24:33" ht="49.95" customHeight="1" x14ac:dyDescent="0.3">
      <c r="X3623" s="2"/>
      <c r="Y3623" s="7"/>
      <c r="Z3623" s="2"/>
      <c r="AA3623" s="1"/>
      <c r="AC3623" s="2"/>
      <c r="AE3623" s="1"/>
      <c r="AG3623" s="2"/>
    </row>
    <row r="3624" spans="24:33" ht="49.95" customHeight="1" x14ac:dyDescent="0.3">
      <c r="X3624" s="2"/>
      <c r="Y3624" s="7"/>
      <c r="Z3624" s="2"/>
      <c r="AA3624" s="1"/>
      <c r="AC3624" s="2"/>
      <c r="AE3624" s="1"/>
      <c r="AG3624" s="2"/>
    </row>
    <row r="3625" spans="24:33" ht="49.95" customHeight="1" x14ac:dyDescent="0.3">
      <c r="X3625" s="2"/>
      <c r="Y3625" s="7"/>
      <c r="Z3625" s="2"/>
      <c r="AA3625" s="1"/>
      <c r="AC3625" s="2"/>
      <c r="AE3625" s="1"/>
      <c r="AG3625" s="2"/>
    </row>
    <row r="3626" spans="24:33" ht="49.95" customHeight="1" x14ac:dyDescent="0.3">
      <c r="X3626" s="2"/>
      <c r="Y3626" s="7"/>
      <c r="Z3626" s="2"/>
      <c r="AA3626" s="1"/>
      <c r="AC3626" s="2"/>
      <c r="AE3626" s="1"/>
      <c r="AG3626" s="2"/>
    </row>
    <row r="3627" spans="24:33" ht="49.95" customHeight="1" x14ac:dyDescent="0.3">
      <c r="X3627" s="2"/>
      <c r="Y3627" s="7"/>
      <c r="Z3627" s="2"/>
      <c r="AA3627" s="1"/>
      <c r="AC3627" s="2"/>
      <c r="AE3627" s="1"/>
      <c r="AG3627" s="2"/>
    </row>
    <row r="3628" spans="24:33" ht="49.95" customHeight="1" x14ac:dyDescent="0.3">
      <c r="X3628" s="2"/>
      <c r="Y3628" s="7"/>
      <c r="Z3628" s="2"/>
      <c r="AA3628" s="1"/>
      <c r="AC3628" s="2"/>
      <c r="AE3628" s="1"/>
      <c r="AG3628" s="2"/>
    </row>
    <row r="3629" spans="24:33" ht="49.95" customHeight="1" x14ac:dyDescent="0.3">
      <c r="X3629" s="2"/>
      <c r="Y3629" s="7"/>
      <c r="Z3629" s="2"/>
      <c r="AA3629" s="1"/>
      <c r="AC3629" s="2"/>
      <c r="AE3629" s="1"/>
      <c r="AG3629" s="2"/>
    </row>
    <row r="3630" spans="24:33" ht="49.95" customHeight="1" x14ac:dyDescent="0.3">
      <c r="X3630" s="2"/>
      <c r="Y3630" s="7"/>
      <c r="Z3630" s="2"/>
      <c r="AA3630" s="1"/>
      <c r="AC3630" s="2"/>
      <c r="AE3630" s="1"/>
      <c r="AG3630" s="2"/>
    </row>
    <row r="3631" spans="24:33" ht="49.95" customHeight="1" x14ac:dyDescent="0.3">
      <c r="X3631" s="2"/>
      <c r="Y3631" s="7"/>
      <c r="Z3631" s="2"/>
      <c r="AA3631" s="1"/>
      <c r="AC3631" s="2"/>
      <c r="AE3631" s="1"/>
      <c r="AG3631" s="2"/>
    </row>
    <row r="3632" spans="24:33" ht="49.95" customHeight="1" x14ac:dyDescent="0.3">
      <c r="X3632" s="2"/>
      <c r="Y3632" s="7"/>
      <c r="Z3632" s="2"/>
      <c r="AA3632" s="1"/>
      <c r="AC3632" s="2"/>
      <c r="AE3632" s="1"/>
      <c r="AG3632" s="2"/>
    </row>
    <row r="3633" spans="24:33" ht="49.95" customHeight="1" x14ac:dyDescent="0.3">
      <c r="X3633" s="2"/>
      <c r="Y3633" s="7"/>
      <c r="Z3633" s="2"/>
      <c r="AA3633" s="1"/>
      <c r="AC3633" s="2"/>
      <c r="AE3633" s="1"/>
      <c r="AG3633" s="2"/>
    </row>
    <row r="3634" spans="24:33" ht="49.95" customHeight="1" x14ac:dyDescent="0.3">
      <c r="X3634" s="2"/>
      <c r="Y3634" s="7"/>
      <c r="Z3634" s="2"/>
      <c r="AA3634" s="1"/>
      <c r="AC3634" s="2"/>
      <c r="AE3634" s="1"/>
      <c r="AG3634" s="2"/>
    </row>
    <row r="3635" spans="24:33" ht="49.95" customHeight="1" x14ac:dyDescent="0.3">
      <c r="X3635" s="171"/>
      <c r="Y3635" s="7"/>
      <c r="Z3635" s="2"/>
      <c r="AA3635" s="1"/>
      <c r="AC3635" s="2"/>
      <c r="AE3635" s="1"/>
      <c r="AG3635" s="2"/>
    </row>
    <row r="3636" spans="24:33" ht="49.95" customHeight="1" x14ac:dyDescent="0.3">
      <c r="X3636" s="2"/>
      <c r="Y3636" s="7"/>
      <c r="Z3636" s="2"/>
      <c r="AA3636" s="1"/>
      <c r="AC3636" s="2"/>
      <c r="AE3636" s="1"/>
      <c r="AG3636" s="2"/>
    </row>
    <row r="3637" spans="24:33" ht="49.95" customHeight="1" x14ac:dyDescent="0.3">
      <c r="X3637" s="2"/>
      <c r="Y3637" s="7"/>
      <c r="Z3637" s="2"/>
      <c r="AA3637" s="1"/>
      <c r="AC3637" s="2"/>
      <c r="AE3637" s="1"/>
      <c r="AG3637" s="2"/>
    </row>
    <row r="3638" spans="24:33" ht="49.95" customHeight="1" x14ac:dyDescent="0.3">
      <c r="X3638" s="2"/>
      <c r="Y3638" s="7"/>
      <c r="Z3638" s="2"/>
      <c r="AA3638" s="1"/>
      <c r="AC3638" s="2"/>
      <c r="AE3638" s="1"/>
      <c r="AG3638" s="2"/>
    </row>
    <row r="3639" spans="24:33" ht="49.95" customHeight="1" x14ac:dyDescent="0.3">
      <c r="X3639" s="2"/>
      <c r="Y3639" s="7"/>
      <c r="Z3639" s="2"/>
      <c r="AA3639" s="1"/>
      <c r="AC3639" s="2"/>
      <c r="AE3639" s="1"/>
      <c r="AG3639" s="2"/>
    </row>
    <row r="3640" spans="24:33" ht="49.95" customHeight="1" x14ac:dyDescent="0.3">
      <c r="X3640" s="2"/>
      <c r="Y3640" s="7"/>
      <c r="Z3640" s="2"/>
      <c r="AA3640" s="1"/>
      <c r="AC3640" s="2"/>
      <c r="AE3640" s="1"/>
      <c r="AG3640" s="2"/>
    </row>
    <row r="3641" spans="24:33" ht="49.95" customHeight="1" x14ac:dyDescent="0.3">
      <c r="X3641" s="2"/>
      <c r="Y3641" s="7"/>
      <c r="Z3641" s="2"/>
      <c r="AA3641" s="1"/>
      <c r="AC3641" s="2"/>
      <c r="AE3641" s="1"/>
      <c r="AG3641" s="2"/>
    </row>
    <row r="3642" spans="24:33" ht="49.95" customHeight="1" x14ac:dyDescent="0.3">
      <c r="X3642" s="2"/>
      <c r="Y3642" s="7"/>
      <c r="Z3642" s="2"/>
      <c r="AA3642" s="1"/>
      <c r="AC3642" s="2"/>
      <c r="AE3642" s="1"/>
      <c r="AG3642" s="2"/>
    </row>
    <row r="3643" spans="24:33" ht="49.95" customHeight="1" x14ac:dyDescent="0.3">
      <c r="X3643" s="2"/>
      <c r="Y3643" s="7"/>
      <c r="Z3643" s="2"/>
      <c r="AA3643" s="1"/>
      <c r="AC3643" s="2"/>
      <c r="AE3643" s="1"/>
      <c r="AG3643" s="2"/>
    </row>
    <row r="3644" spans="24:33" ht="49.95" customHeight="1" x14ac:dyDescent="0.3">
      <c r="X3644" s="2"/>
      <c r="Y3644" s="7"/>
      <c r="Z3644" s="2"/>
      <c r="AA3644" s="1"/>
      <c r="AC3644" s="2"/>
      <c r="AE3644" s="1"/>
      <c r="AG3644" s="2"/>
    </row>
    <row r="3645" spans="24:33" ht="49.95" customHeight="1" x14ac:dyDescent="0.3">
      <c r="X3645" s="2"/>
      <c r="Y3645" s="7"/>
      <c r="Z3645" s="2"/>
      <c r="AA3645" s="1"/>
      <c r="AC3645" s="2"/>
      <c r="AE3645" s="1"/>
      <c r="AG3645" s="2"/>
    </row>
    <row r="3646" spans="24:33" ht="49.95" customHeight="1" x14ac:dyDescent="0.3">
      <c r="X3646" s="2"/>
      <c r="Y3646" s="7"/>
      <c r="Z3646" s="2"/>
      <c r="AA3646" s="1"/>
      <c r="AC3646" s="2"/>
      <c r="AE3646" s="1"/>
      <c r="AG3646" s="2"/>
    </row>
    <row r="3647" spans="24:33" ht="49.95" customHeight="1" x14ac:dyDescent="0.3">
      <c r="X3647" s="172"/>
      <c r="Y3647" s="7"/>
      <c r="Z3647" s="2"/>
      <c r="AA3647" s="1"/>
      <c r="AC3647" s="2"/>
      <c r="AE3647" s="1"/>
      <c r="AG3647" s="2"/>
    </row>
    <row r="3648" spans="24:33" ht="49.95" customHeight="1" x14ac:dyDescent="0.3">
      <c r="X3648" s="172"/>
      <c r="Y3648" s="7"/>
      <c r="Z3648" s="2"/>
      <c r="AA3648" s="1"/>
      <c r="AC3648" s="2"/>
      <c r="AE3648" s="1"/>
      <c r="AG3648" s="2"/>
    </row>
    <row r="3649" spans="24:33" ht="49.95" customHeight="1" x14ac:dyDescent="0.3">
      <c r="X3649" s="172"/>
      <c r="Y3649" s="7"/>
      <c r="Z3649" s="2"/>
      <c r="AA3649" s="1"/>
      <c r="AC3649" s="2"/>
      <c r="AE3649" s="1"/>
      <c r="AG3649" s="2"/>
    </row>
    <row r="3650" spans="24:33" ht="49.95" customHeight="1" x14ac:dyDescent="0.3">
      <c r="X3650" s="172"/>
      <c r="Y3650" s="7"/>
      <c r="Z3650" s="2"/>
      <c r="AA3650" s="1"/>
      <c r="AC3650" s="2"/>
      <c r="AE3650" s="1"/>
      <c r="AG3650" s="2"/>
    </row>
    <row r="3651" spans="24:33" ht="49.95" customHeight="1" x14ac:dyDescent="0.3">
      <c r="X3651" s="172"/>
      <c r="Y3651" s="7"/>
      <c r="Z3651" s="2"/>
      <c r="AA3651" s="1"/>
      <c r="AC3651" s="2"/>
      <c r="AE3651" s="1"/>
      <c r="AG3651" s="2"/>
    </row>
    <row r="3652" spans="24:33" ht="49.95" customHeight="1" x14ac:dyDescent="0.3">
      <c r="X3652" s="2"/>
      <c r="Y3652" s="7"/>
      <c r="Z3652" s="2"/>
      <c r="AA3652" s="1"/>
      <c r="AC3652" s="2"/>
      <c r="AE3652" s="1"/>
      <c r="AG3652" s="2"/>
    </row>
    <row r="3653" spans="24:33" ht="49.95" customHeight="1" x14ac:dyDescent="0.3">
      <c r="X3653" s="2"/>
      <c r="Y3653" s="7"/>
      <c r="Z3653" s="2"/>
      <c r="AA3653" s="1"/>
      <c r="AC3653" s="2"/>
      <c r="AE3653" s="1"/>
      <c r="AG3653" s="2"/>
    </row>
    <row r="3654" spans="24:33" ht="49.95" customHeight="1" x14ac:dyDescent="0.3">
      <c r="X3654" s="2"/>
      <c r="Y3654" s="7"/>
      <c r="Z3654" s="2"/>
      <c r="AA3654" s="1"/>
      <c r="AC3654" s="2"/>
      <c r="AE3654" s="1"/>
      <c r="AG3654" s="2"/>
    </row>
    <row r="3655" spans="24:33" ht="49.95" customHeight="1" x14ac:dyDescent="0.3">
      <c r="X3655" s="2"/>
      <c r="Y3655" s="7"/>
      <c r="Z3655" s="2"/>
      <c r="AA3655" s="1"/>
      <c r="AC3655" s="2"/>
      <c r="AE3655" s="1"/>
      <c r="AG3655" s="2"/>
    </row>
    <row r="3656" spans="24:33" ht="49.95" customHeight="1" x14ac:dyDescent="0.3">
      <c r="X3656" s="2"/>
      <c r="Y3656" s="7"/>
      <c r="Z3656" s="2"/>
      <c r="AA3656" s="1"/>
      <c r="AC3656" s="2"/>
      <c r="AE3656" s="1"/>
      <c r="AG3656" s="2"/>
    </row>
    <row r="3657" spans="24:33" ht="49.95" customHeight="1" x14ac:dyDescent="0.3">
      <c r="X3657" s="2"/>
      <c r="Y3657" s="7"/>
      <c r="Z3657" s="2"/>
      <c r="AA3657" s="1"/>
      <c r="AC3657" s="2"/>
      <c r="AE3657" s="1"/>
      <c r="AG3657" s="2"/>
    </row>
    <row r="3658" spans="24:33" ht="49.95" customHeight="1" x14ac:dyDescent="0.3">
      <c r="X3658" s="2"/>
      <c r="Y3658" s="7"/>
      <c r="Z3658" s="2"/>
      <c r="AA3658" s="1"/>
      <c r="AC3658" s="2"/>
      <c r="AE3658" s="1"/>
      <c r="AG3658" s="2"/>
    </row>
    <row r="3659" spans="24:33" ht="49.95" customHeight="1" x14ac:dyDescent="0.3">
      <c r="X3659" s="2"/>
      <c r="Y3659" s="7"/>
      <c r="Z3659" s="2"/>
      <c r="AA3659" s="1"/>
      <c r="AC3659" s="2"/>
      <c r="AE3659" s="1"/>
      <c r="AG3659" s="2"/>
    </row>
    <row r="3660" spans="24:33" ht="49.95" customHeight="1" x14ac:dyDescent="0.3">
      <c r="X3660" s="2"/>
      <c r="Y3660" s="7"/>
      <c r="Z3660" s="2"/>
      <c r="AA3660" s="1"/>
      <c r="AC3660" s="2"/>
      <c r="AE3660" s="1"/>
      <c r="AG3660" s="2"/>
    </row>
    <row r="3661" spans="24:33" ht="49.95" customHeight="1" x14ac:dyDescent="0.3">
      <c r="X3661" s="2"/>
      <c r="Y3661" s="7"/>
      <c r="Z3661" s="2"/>
      <c r="AA3661" s="1"/>
      <c r="AC3661" s="2"/>
      <c r="AE3661" s="1"/>
      <c r="AG3661" s="2"/>
    </row>
    <row r="3662" spans="24:33" ht="49.95" customHeight="1" x14ac:dyDescent="0.3">
      <c r="X3662" s="2"/>
      <c r="Y3662" s="7"/>
      <c r="Z3662" s="2"/>
      <c r="AA3662" s="1"/>
      <c r="AC3662" s="2"/>
      <c r="AE3662" s="1"/>
      <c r="AG3662" s="2"/>
    </row>
    <row r="3663" spans="24:33" ht="49.95" customHeight="1" x14ac:dyDescent="0.3">
      <c r="X3663" s="2"/>
      <c r="Y3663" s="7"/>
      <c r="Z3663" s="2"/>
      <c r="AA3663" s="1"/>
      <c r="AC3663" s="2"/>
      <c r="AE3663" s="1"/>
      <c r="AG3663" s="2"/>
    </row>
    <row r="3664" spans="24:33" ht="49.95" customHeight="1" x14ac:dyDescent="0.3">
      <c r="X3664" s="2"/>
      <c r="Y3664" s="7"/>
      <c r="Z3664" s="2"/>
      <c r="AA3664" s="1"/>
      <c r="AC3664" s="2"/>
      <c r="AE3664" s="1"/>
      <c r="AG3664" s="2"/>
    </row>
    <row r="3665" spans="24:33" ht="49.95" customHeight="1" x14ac:dyDescent="0.3">
      <c r="X3665" s="2"/>
      <c r="Y3665" s="7"/>
      <c r="Z3665" s="2"/>
      <c r="AA3665" s="1"/>
      <c r="AC3665" s="2"/>
      <c r="AE3665" s="1"/>
      <c r="AG3665" s="2"/>
    </row>
    <row r="3666" spans="24:33" ht="49.95" customHeight="1" x14ac:dyDescent="0.3">
      <c r="X3666" s="2"/>
      <c r="Y3666" s="7"/>
      <c r="Z3666" s="2"/>
      <c r="AA3666" s="1"/>
      <c r="AC3666" s="2"/>
      <c r="AE3666" s="1"/>
      <c r="AG3666" s="2"/>
    </row>
    <row r="3667" spans="24:33" ht="49.95" customHeight="1" x14ac:dyDescent="0.3">
      <c r="X3667" s="2"/>
      <c r="Y3667" s="7"/>
      <c r="Z3667" s="2"/>
      <c r="AA3667" s="1"/>
      <c r="AC3667" s="2"/>
      <c r="AE3667" s="1"/>
      <c r="AG3667" s="2"/>
    </row>
    <row r="3668" spans="24:33" ht="49.95" customHeight="1" x14ac:dyDescent="0.3">
      <c r="X3668" s="2"/>
      <c r="Y3668" s="7"/>
      <c r="Z3668" s="2"/>
      <c r="AA3668" s="1"/>
      <c r="AC3668" s="2"/>
      <c r="AE3668" s="1"/>
      <c r="AG3668" s="2"/>
    </row>
    <row r="3669" spans="24:33" ht="49.95" customHeight="1" x14ac:dyDescent="0.3">
      <c r="X3669" s="2"/>
      <c r="Y3669" s="7"/>
      <c r="Z3669" s="2"/>
      <c r="AA3669" s="1"/>
      <c r="AC3669" s="2"/>
      <c r="AE3669" s="1"/>
      <c r="AG3669" s="2"/>
    </row>
    <row r="3670" spans="24:33" ht="49.95" customHeight="1" x14ac:dyDescent="0.3">
      <c r="X3670" s="2"/>
      <c r="Y3670" s="7"/>
      <c r="Z3670" s="2"/>
      <c r="AA3670" s="1"/>
      <c r="AC3670" s="2"/>
      <c r="AE3670" s="1"/>
      <c r="AG3670" s="2"/>
    </row>
    <row r="3671" spans="24:33" ht="49.95" customHeight="1" x14ac:dyDescent="0.3">
      <c r="X3671" s="2"/>
      <c r="Y3671" s="7"/>
      <c r="Z3671" s="2"/>
      <c r="AA3671" s="1"/>
      <c r="AC3671" s="2"/>
      <c r="AE3671" s="1"/>
      <c r="AG3671" s="2"/>
    </row>
    <row r="3672" spans="24:33" ht="49.95" customHeight="1" x14ac:dyDescent="0.3">
      <c r="X3672" s="2"/>
      <c r="Y3672" s="7"/>
      <c r="Z3672" s="2"/>
      <c r="AA3672" s="1"/>
      <c r="AC3672" s="2"/>
      <c r="AE3672" s="1"/>
      <c r="AG3672" s="2"/>
    </row>
    <row r="3673" spans="24:33" ht="49.95" customHeight="1" x14ac:dyDescent="0.3">
      <c r="X3673" s="2"/>
      <c r="Y3673" s="7"/>
      <c r="Z3673" s="2"/>
      <c r="AA3673" s="1"/>
      <c r="AC3673" s="2"/>
      <c r="AE3673" s="1"/>
      <c r="AG3673" s="2"/>
    </row>
    <row r="3674" spans="24:33" ht="49.95" customHeight="1" x14ac:dyDescent="0.3">
      <c r="X3674" s="2"/>
      <c r="Y3674" s="7"/>
      <c r="Z3674" s="2"/>
      <c r="AA3674" s="1"/>
      <c r="AC3674" s="2"/>
      <c r="AE3674" s="1"/>
      <c r="AG3674" s="2"/>
    </row>
    <row r="3675" spans="24:33" ht="49.95" customHeight="1" x14ac:dyDescent="0.3">
      <c r="X3675" s="2"/>
      <c r="Y3675" s="7"/>
      <c r="Z3675" s="2"/>
      <c r="AA3675" s="1"/>
      <c r="AC3675" s="2"/>
      <c r="AE3675" s="1"/>
      <c r="AG3675" s="2"/>
    </row>
    <row r="3676" spans="24:33" ht="49.95" customHeight="1" x14ac:dyDescent="0.3">
      <c r="X3676" s="2"/>
      <c r="Y3676" s="7"/>
      <c r="Z3676" s="2"/>
      <c r="AA3676" s="1"/>
      <c r="AC3676" s="2"/>
      <c r="AE3676" s="1"/>
      <c r="AG3676" s="2"/>
    </row>
    <row r="3677" spans="24:33" ht="49.95" customHeight="1" x14ac:dyDescent="0.3">
      <c r="X3677" s="2"/>
      <c r="Y3677" s="7"/>
      <c r="Z3677" s="2"/>
      <c r="AA3677" s="1"/>
      <c r="AC3677" s="2"/>
      <c r="AE3677" s="1"/>
      <c r="AG3677" s="2"/>
    </row>
    <row r="3678" spans="24:33" ht="49.95" customHeight="1" x14ac:dyDescent="0.3">
      <c r="X3678" s="2"/>
      <c r="Y3678" s="7"/>
      <c r="Z3678" s="2"/>
      <c r="AA3678" s="1"/>
      <c r="AC3678" s="2"/>
      <c r="AE3678" s="1"/>
      <c r="AG3678" s="2"/>
    </row>
    <row r="3679" spans="24:33" ht="49.95" customHeight="1" x14ac:dyDescent="0.3">
      <c r="X3679" s="2"/>
      <c r="Y3679" s="7"/>
      <c r="Z3679" s="2"/>
      <c r="AA3679" s="1"/>
      <c r="AC3679" s="2"/>
      <c r="AE3679" s="1"/>
      <c r="AG3679" s="2"/>
    </row>
    <row r="3680" spans="24:33" ht="49.95" customHeight="1" x14ac:dyDescent="0.3">
      <c r="X3680" s="2"/>
      <c r="Y3680" s="7"/>
      <c r="Z3680" s="2"/>
      <c r="AA3680" s="1"/>
      <c r="AC3680" s="2"/>
      <c r="AE3680" s="1"/>
      <c r="AG3680" s="2"/>
    </row>
    <row r="3681" spans="24:33" ht="49.95" customHeight="1" x14ac:dyDescent="0.3">
      <c r="X3681" s="2"/>
      <c r="Y3681" s="7"/>
      <c r="Z3681" s="2"/>
      <c r="AA3681" s="1"/>
      <c r="AC3681" s="2"/>
      <c r="AE3681" s="1"/>
      <c r="AG3681" s="2"/>
    </row>
    <row r="3682" spans="24:33" ht="49.95" customHeight="1" x14ac:dyDescent="0.3">
      <c r="X3682" s="2"/>
      <c r="Y3682" s="7"/>
      <c r="Z3682" s="2"/>
      <c r="AA3682" s="1"/>
      <c r="AC3682" s="2"/>
      <c r="AE3682" s="1"/>
      <c r="AG3682" s="2"/>
    </row>
    <row r="3683" spans="24:33" ht="49.95" customHeight="1" x14ac:dyDescent="0.3">
      <c r="X3683" s="2"/>
      <c r="Y3683" s="7"/>
      <c r="Z3683" s="2"/>
      <c r="AA3683" s="1"/>
      <c r="AC3683" s="2"/>
      <c r="AE3683" s="1"/>
      <c r="AG3683" s="2"/>
    </row>
    <row r="3684" spans="24:33" ht="49.95" customHeight="1" x14ac:dyDescent="0.3">
      <c r="X3684" s="2"/>
      <c r="Y3684" s="7"/>
      <c r="Z3684" s="2"/>
      <c r="AA3684" s="1"/>
      <c r="AC3684" s="2"/>
      <c r="AE3684" s="1"/>
      <c r="AG3684" s="2"/>
    </row>
    <row r="3685" spans="24:33" ht="49.95" customHeight="1" x14ac:dyDescent="0.3">
      <c r="X3685" s="2"/>
      <c r="Y3685" s="7"/>
      <c r="Z3685" s="2"/>
      <c r="AA3685" s="1"/>
      <c r="AC3685" s="2"/>
      <c r="AE3685" s="1"/>
      <c r="AG3685" s="2"/>
    </row>
    <row r="3686" spans="24:33" ht="49.95" customHeight="1" x14ac:dyDescent="0.3">
      <c r="X3686" s="2"/>
      <c r="Y3686" s="7"/>
      <c r="Z3686" s="2"/>
      <c r="AA3686" s="1"/>
      <c r="AC3686" s="2"/>
      <c r="AE3686" s="1"/>
      <c r="AG3686" s="2"/>
    </row>
    <row r="3687" spans="24:33" ht="49.95" customHeight="1" x14ac:dyDescent="0.3">
      <c r="X3687" s="2"/>
      <c r="Y3687" s="7"/>
      <c r="Z3687" s="2"/>
      <c r="AA3687" s="1"/>
      <c r="AC3687" s="2"/>
      <c r="AE3687" s="1"/>
      <c r="AG3687" s="2"/>
    </row>
    <row r="3688" spans="24:33" ht="49.95" customHeight="1" x14ac:dyDescent="0.3">
      <c r="X3688" s="172"/>
      <c r="Y3688" s="7"/>
      <c r="Z3688" s="2"/>
      <c r="AA3688" s="1"/>
      <c r="AC3688" s="2"/>
      <c r="AE3688" s="1"/>
      <c r="AG3688" s="2"/>
    </row>
    <row r="3689" spans="24:33" ht="49.95" customHeight="1" x14ac:dyDescent="0.3">
      <c r="X3689" s="2"/>
      <c r="Y3689" s="7"/>
      <c r="Z3689" s="2"/>
      <c r="AA3689" s="1"/>
      <c r="AC3689" s="2"/>
      <c r="AE3689" s="1"/>
      <c r="AG3689" s="2"/>
    </row>
    <row r="3690" spans="24:33" ht="49.95" customHeight="1" x14ac:dyDescent="0.3">
      <c r="X3690" s="2"/>
      <c r="Y3690" s="7"/>
      <c r="Z3690" s="2"/>
      <c r="AA3690" s="1"/>
      <c r="AC3690" s="2"/>
      <c r="AE3690" s="1"/>
      <c r="AG3690" s="2"/>
    </row>
    <row r="3691" spans="24:33" ht="49.95" customHeight="1" x14ac:dyDescent="0.3">
      <c r="X3691" s="2"/>
      <c r="Y3691" s="7"/>
      <c r="Z3691" s="2"/>
      <c r="AA3691" s="1"/>
      <c r="AC3691" s="2"/>
      <c r="AE3691" s="1"/>
      <c r="AG3691" s="2"/>
    </row>
    <row r="3692" spans="24:33" ht="49.95" customHeight="1" x14ac:dyDescent="0.3">
      <c r="X3692" s="172"/>
      <c r="Y3692" s="7"/>
      <c r="Z3692" s="2"/>
      <c r="AA3692" s="1"/>
      <c r="AC3692" s="2"/>
      <c r="AE3692" s="1"/>
      <c r="AG3692" s="2"/>
    </row>
    <row r="3693" spans="24:33" ht="49.95" customHeight="1" x14ac:dyDescent="0.3">
      <c r="X3693" s="172"/>
      <c r="Y3693" s="7"/>
      <c r="Z3693" s="2"/>
      <c r="AA3693" s="1"/>
      <c r="AC3693" s="2"/>
      <c r="AE3693" s="1"/>
      <c r="AG3693" s="2"/>
    </row>
    <row r="3694" spans="24:33" ht="49.95" customHeight="1" x14ac:dyDescent="0.3">
      <c r="X3694" s="172"/>
      <c r="Y3694" s="7"/>
      <c r="Z3694" s="2"/>
      <c r="AA3694" s="1"/>
      <c r="AC3694" s="2"/>
      <c r="AE3694" s="1"/>
      <c r="AG3694" s="2"/>
    </row>
    <row r="3695" spans="24:33" ht="49.95" customHeight="1" x14ac:dyDescent="0.3">
      <c r="X3695" s="2"/>
      <c r="Y3695" s="7"/>
      <c r="Z3695" s="2"/>
      <c r="AA3695" s="1"/>
      <c r="AC3695" s="2"/>
      <c r="AE3695" s="1"/>
      <c r="AG3695" s="2"/>
    </row>
    <row r="3696" spans="24:33" ht="49.95" customHeight="1" x14ac:dyDescent="0.3">
      <c r="X3696" s="2"/>
      <c r="Y3696" s="7"/>
      <c r="Z3696" s="2"/>
      <c r="AA3696" s="1"/>
      <c r="AC3696" s="2"/>
      <c r="AE3696" s="1"/>
      <c r="AG3696" s="2"/>
    </row>
    <row r="3697" spans="24:33" ht="49.95" customHeight="1" x14ac:dyDescent="0.3">
      <c r="X3697" s="2"/>
      <c r="Y3697" s="7"/>
      <c r="Z3697" s="2"/>
      <c r="AA3697" s="1"/>
      <c r="AC3697" s="2"/>
      <c r="AE3697" s="1"/>
      <c r="AG3697" s="2"/>
    </row>
    <row r="3698" spans="24:33" ht="49.95" customHeight="1" x14ac:dyDescent="0.3">
      <c r="X3698" s="2"/>
      <c r="Y3698" s="7"/>
      <c r="Z3698" s="2"/>
      <c r="AA3698" s="1"/>
      <c r="AC3698" s="2"/>
      <c r="AE3698" s="1"/>
      <c r="AG3698" s="2"/>
    </row>
    <row r="3699" spans="24:33" ht="49.95" customHeight="1" x14ac:dyDescent="0.3">
      <c r="X3699" s="2"/>
      <c r="Y3699" s="7"/>
      <c r="Z3699" s="2"/>
      <c r="AA3699" s="1"/>
      <c r="AC3699" s="2"/>
      <c r="AE3699" s="1"/>
      <c r="AG3699" s="2"/>
    </row>
    <row r="3700" spans="24:33" ht="49.95" customHeight="1" x14ac:dyDescent="0.3">
      <c r="X3700" s="2"/>
      <c r="Y3700" s="7"/>
      <c r="Z3700" s="2"/>
      <c r="AA3700" s="1"/>
      <c r="AC3700" s="2"/>
      <c r="AE3700" s="1"/>
      <c r="AG3700" s="2"/>
    </row>
    <row r="3701" spans="24:33" ht="49.95" customHeight="1" x14ac:dyDescent="0.3">
      <c r="X3701" s="2"/>
      <c r="Y3701" s="7"/>
      <c r="Z3701" s="2"/>
      <c r="AA3701" s="1"/>
      <c r="AC3701" s="2"/>
      <c r="AE3701" s="1"/>
      <c r="AG3701" s="2"/>
    </row>
    <row r="3702" spans="24:33" ht="49.95" customHeight="1" x14ac:dyDescent="0.3">
      <c r="X3702" s="2"/>
      <c r="Y3702" s="7"/>
      <c r="Z3702" s="2"/>
      <c r="AA3702" s="1"/>
      <c r="AC3702" s="2"/>
      <c r="AE3702" s="1"/>
      <c r="AG3702" s="2"/>
    </row>
    <row r="3703" spans="24:33" ht="49.95" customHeight="1" x14ac:dyDescent="0.3">
      <c r="X3703" s="2"/>
      <c r="Y3703" s="7"/>
      <c r="Z3703" s="2"/>
      <c r="AA3703" s="1"/>
      <c r="AC3703" s="2"/>
      <c r="AE3703" s="1"/>
      <c r="AG3703" s="2"/>
    </row>
    <row r="3704" spans="24:33" ht="49.95" customHeight="1" x14ac:dyDescent="0.3">
      <c r="X3704" s="2"/>
      <c r="Y3704" s="7"/>
      <c r="Z3704" s="2"/>
      <c r="AA3704" s="1"/>
      <c r="AC3704" s="2"/>
      <c r="AE3704" s="1"/>
      <c r="AG3704" s="2"/>
    </row>
    <row r="3705" spans="24:33" ht="49.95" customHeight="1" x14ac:dyDescent="0.3">
      <c r="X3705" s="2"/>
      <c r="Y3705" s="7"/>
      <c r="Z3705" s="2"/>
      <c r="AA3705" s="1"/>
      <c r="AC3705" s="2"/>
      <c r="AE3705" s="1"/>
      <c r="AG3705" s="2"/>
    </row>
    <row r="3706" spans="24:33" ht="49.95" customHeight="1" x14ac:dyDescent="0.3">
      <c r="X3706" s="2"/>
      <c r="Y3706" s="7"/>
      <c r="Z3706" s="2"/>
      <c r="AA3706" s="1"/>
      <c r="AC3706" s="2"/>
      <c r="AE3706" s="1"/>
      <c r="AG3706" s="2"/>
    </row>
    <row r="3707" spans="24:33" ht="49.95" customHeight="1" x14ac:dyDescent="0.3">
      <c r="X3707" s="2"/>
      <c r="Y3707" s="7"/>
      <c r="Z3707" s="2"/>
      <c r="AA3707" s="1"/>
      <c r="AC3707" s="2"/>
      <c r="AE3707" s="1"/>
      <c r="AG3707" s="2"/>
    </row>
    <row r="3708" spans="24:33" ht="49.95" customHeight="1" x14ac:dyDescent="0.3">
      <c r="X3708" s="2"/>
      <c r="Y3708" s="7"/>
      <c r="Z3708" s="2"/>
      <c r="AA3708" s="1"/>
      <c r="AC3708" s="2"/>
      <c r="AE3708" s="1"/>
      <c r="AG3708" s="2"/>
    </row>
    <row r="3709" spans="24:33" ht="49.95" customHeight="1" x14ac:dyDescent="0.3">
      <c r="X3709" s="172"/>
      <c r="Y3709" s="7"/>
      <c r="Z3709" s="2"/>
      <c r="AA3709" s="1"/>
      <c r="AC3709" s="2"/>
      <c r="AE3709" s="1"/>
      <c r="AG3709" s="2"/>
    </row>
    <row r="3710" spans="24:33" ht="49.95" customHeight="1" x14ac:dyDescent="0.3">
      <c r="X3710" s="2"/>
      <c r="Y3710" s="7"/>
      <c r="Z3710" s="2"/>
      <c r="AA3710" s="1"/>
      <c r="AC3710" s="2"/>
      <c r="AE3710" s="1"/>
      <c r="AG3710" s="2"/>
    </row>
    <row r="3711" spans="24:33" ht="49.95" customHeight="1" x14ac:dyDescent="0.3">
      <c r="X3711" s="2"/>
      <c r="Y3711" s="7"/>
      <c r="Z3711" s="2"/>
      <c r="AA3711" s="1"/>
      <c r="AC3711" s="2"/>
      <c r="AE3711" s="1"/>
      <c r="AG3711" s="2"/>
    </row>
    <row r="3712" spans="24:33" ht="49.95" customHeight="1" x14ac:dyDescent="0.3">
      <c r="X3712" s="2"/>
      <c r="Y3712" s="7"/>
      <c r="Z3712" s="2"/>
      <c r="AA3712" s="1"/>
      <c r="AC3712" s="2"/>
      <c r="AE3712" s="1"/>
      <c r="AG3712" s="2"/>
    </row>
    <row r="3713" spans="24:33" ht="49.95" customHeight="1" x14ac:dyDescent="0.3">
      <c r="X3713" s="2"/>
      <c r="Y3713" s="7"/>
      <c r="Z3713" s="2"/>
      <c r="AA3713" s="1"/>
      <c r="AC3713" s="2"/>
      <c r="AE3713" s="1"/>
      <c r="AG3713" s="2"/>
    </row>
    <row r="3714" spans="24:33" ht="49.95" customHeight="1" x14ac:dyDescent="0.3">
      <c r="X3714" s="2"/>
      <c r="Y3714" s="7"/>
      <c r="Z3714" s="2"/>
      <c r="AA3714" s="1"/>
      <c r="AC3714" s="2"/>
      <c r="AE3714" s="1"/>
      <c r="AG3714" s="2"/>
    </row>
    <row r="3715" spans="24:33" ht="49.95" customHeight="1" x14ac:dyDescent="0.3">
      <c r="X3715" s="2"/>
      <c r="Y3715" s="7"/>
      <c r="Z3715" s="2"/>
      <c r="AA3715" s="1"/>
      <c r="AC3715" s="2"/>
      <c r="AE3715" s="1"/>
      <c r="AG3715" s="2"/>
    </row>
    <row r="3716" spans="24:33" ht="49.95" customHeight="1" x14ac:dyDescent="0.3">
      <c r="X3716" s="2"/>
      <c r="Y3716" s="7"/>
      <c r="Z3716" s="2"/>
      <c r="AA3716" s="1"/>
      <c r="AC3716" s="2"/>
      <c r="AE3716" s="1"/>
      <c r="AG3716" s="2"/>
    </row>
    <row r="3717" spans="24:33" ht="49.95" customHeight="1" x14ac:dyDescent="0.3">
      <c r="X3717" s="2"/>
      <c r="Y3717" s="7"/>
      <c r="Z3717" s="2"/>
      <c r="AA3717" s="1"/>
      <c r="AC3717" s="2"/>
      <c r="AE3717" s="1"/>
      <c r="AG3717" s="2"/>
    </row>
    <row r="3718" spans="24:33" ht="49.95" customHeight="1" x14ac:dyDescent="0.3">
      <c r="X3718" s="2"/>
      <c r="Y3718" s="7"/>
      <c r="Z3718" s="2"/>
      <c r="AA3718" s="1"/>
      <c r="AC3718" s="2"/>
      <c r="AE3718" s="1"/>
      <c r="AG3718" s="2"/>
    </row>
    <row r="3719" spans="24:33" ht="49.95" customHeight="1" x14ac:dyDescent="0.3">
      <c r="X3719" s="2"/>
      <c r="Y3719" s="7"/>
      <c r="Z3719" s="2"/>
      <c r="AA3719" s="1"/>
      <c r="AC3719" s="2"/>
      <c r="AE3719" s="1"/>
      <c r="AG3719" s="2"/>
    </row>
    <row r="3720" spans="24:33" ht="49.95" customHeight="1" x14ac:dyDescent="0.3">
      <c r="X3720" s="2"/>
      <c r="Y3720" s="7"/>
      <c r="Z3720" s="2"/>
      <c r="AA3720" s="1"/>
      <c r="AC3720" s="2"/>
      <c r="AE3720" s="1"/>
      <c r="AG3720" s="2"/>
    </row>
    <row r="3721" spans="24:33" ht="49.95" customHeight="1" x14ac:dyDescent="0.3">
      <c r="X3721" s="2"/>
      <c r="Y3721" s="7"/>
      <c r="Z3721" s="2"/>
      <c r="AA3721" s="1"/>
      <c r="AC3721" s="2"/>
      <c r="AE3721" s="1"/>
      <c r="AG3721" s="2"/>
    </row>
    <row r="3722" spans="24:33" ht="49.95" customHeight="1" x14ac:dyDescent="0.3">
      <c r="X3722" s="2"/>
      <c r="Y3722" s="7"/>
      <c r="Z3722" s="2"/>
      <c r="AA3722" s="1"/>
      <c r="AC3722" s="2"/>
      <c r="AE3722" s="1"/>
      <c r="AG3722" s="2"/>
    </row>
    <row r="3723" spans="24:33" ht="49.95" customHeight="1" x14ac:dyDescent="0.3">
      <c r="X3723" s="2"/>
      <c r="Y3723" s="7"/>
      <c r="Z3723" s="2"/>
      <c r="AA3723" s="1"/>
      <c r="AC3723" s="2"/>
      <c r="AE3723" s="1"/>
      <c r="AG3723" s="2"/>
    </row>
    <row r="3724" spans="24:33" ht="49.95" customHeight="1" x14ac:dyDescent="0.3">
      <c r="X3724" s="2"/>
      <c r="Y3724" s="7"/>
      <c r="Z3724" s="2"/>
      <c r="AA3724" s="1"/>
      <c r="AC3724" s="2"/>
      <c r="AE3724" s="1"/>
      <c r="AG3724" s="2"/>
    </row>
    <row r="3725" spans="24:33" ht="49.95" customHeight="1" x14ac:dyDescent="0.3">
      <c r="X3725" s="2"/>
      <c r="Y3725" s="7"/>
      <c r="Z3725" s="2"/>
      <c r="AA3725" s="1"/>
      <c r="AC3725" s="2"/>
      <c r="AE3725" s="1"/>
      <c r="AG3725" s="2"/>
    </row>
    <row r="3726" spans="24:33" ht="49.95" customHeight="1" x14ac:dyDescent="0.3">
      <c r="X3726" s="2"/>
      <c r="Y3726" s="7"/>
      <c r="Z3726" s="2"/>
      <c r="AA3726" s="1"/>
      <c r="AC3726" s="2"/>
      <c r="AE3726" s="1"/>
      <c r="AG3726" s="2"/>
    </row>
    <row r="3727" spans="24:33" ht="49.95" customHeight="1" x14ac:dyDescent="0.3">
      <c r="X3727" s="2"/>
      <c r="Y3727" s="7"/>
      <c r="Z3727" s="2"/>
      <c r="AA3727" s="1"/>
      <c r="AC3727" s="2"/>
      <c r="AE3727" s="1"/>
      <c r="AG3727" s="2"/>
    </row>
    <row r="3728" spans="24:33" ht="49.95" customHeight="1" x14ac:dyDescent="0.3">
      <c r="X3728" s="2"/>
      <c r="Y3728" s="7"/>
      <c r="Z3728" s="2"/>
      <c r="AA3728" s="1"/>
      <c r="AC3728" s="2"/>
      <c r="AE3728" s="1"/>
      <c r="AG3728" s="2"/>
    </row>
    <row r="3729" spans="24:33" ht="49.95" customHeight="1" x14ac:dyDescent="0.3">
      <c r="X3729" s="2"/>
      <c r="Y3729" s="7"/>
      <c r="Z3729" s="2"/>
      <c r="AA3729" s="1"/>
      <c r="AC3729" s="2"/>
      <c r="AE3729" s="1"/>
      <c r="AG3729" s="2"/>
    </row>
    <row r="3730" spans="24:33" ht="49.95" customHeight="1" x14ac:dyDescent="0.3">
      <c r="X3730" s="2"/>
      <c r="Y3730" s="7"/>
      <c r="Z3730" s="2"/>
      <c r="AA3730" s="1"/>
      <c r="AC3730" s="2"/>
      <c r="AE3730" s="1"/>
      <c r="AG3730" s="2"/>
    </row>
    <row r="3731" spans="24:33" ht="49.95" customHeight="1" x14ac:dyDescent="0.3">
      <c r="X3731" s="2"/>
      <c r="Y3731" s="7"/>
      <c r="Z3731" s="2"/>
      <c r="AA3731" s="1"/>
      <c r="AC3731" s="2"/>
      <c r="AE3731" s="1"/>
      <c r="AG3731" s="2"/>
    </row>
    <row r="3732" spans="24:33" ht="49.95" customHeight="1" x14ac:dyDescent="0.3">
      <c r="X3732" s="2"/>
      <c r="Y3732" s="7"/>
      <c r="Z3732" s="2"/>
      <c r="AA3732" s="1"/>
      <c r="AC3732" s="2"/>
      <c r="AE3732" s="1"/>
      <c r="AG3732" s="2"/>
    </row>
    <row r="3733" spans="24:33" ht="49.95" customHeight="1" x14ac:dyDescent="0.3">
      <c r="X3733" s="2"/>
      <c r="Y3733" s="7"/>
      <c r="Z3733" s="2"/>
      <c r="AA3733" s="1"/>
      <c r="AC3733" s="2"/>
      <c r="AE3733" s="1"/>
      <c r="AG3733" s="2"/>
    </row>
    <row r="3734" spans="24:33" ht="49.95" customHeight="1" x14ac:dyDescent="0.3">
      <c r="X3734" s="2"/>
      <c r="Y3734" s="7"/>
      <c r="Z3734" s="2"/>
      <c r="AA3734" s="1"/>
      <c r="AC3734" s="2"/>
      <c r="AE3734" s="1"/>
      <c r="AG3734" s="2"/>
    </row>
    <row r="3735" spans="24:33" ht="49.95" customHeight="1" x14ac:dyDescent="0.3">
      <c r="X3735" s="2"/>
      <c r="Y3735" s="7"/>
      <c r="Z3735" s="2"/>
      <c r="AA3735" s="1"/>
      <c r="AC3735" s="2"/>
      <c r="AE3735" s="1"/>
      <c r="AG3735" s="2"/>
    </row>
    <row r="3736" spans="24:33" ht="49.95" customHeight="1" x14ac:dyDescent="0.3">
      <c r="X3736" s="2"/>
      <c r="Y3736" s="7"/>
      <c r="Z3736" s="2"/>
      <c r="AA3736" s="1"/>
      <c r="AC3736" s="2"/>
      <c r="AE3736" s="1"/>
      <c r="AG3736" s="2"/>
    </row>
    <row r="3737" spans="24:33" ht="49.95" customHeight="1" x14ac:dyDescent="0.3">
      <c r="X3737" s="2"/>
      <c r="Y3737" s="7"/>
      <c r="Z3737" s="2"/>
      <c r="AA3737" s="1"/>
      <c r="AC3737" s="2"/>
      <c r="AE3737" s="1"/>
      <c r="AG3737" s="2"/>
    </row>
    <row r="3738" spans="24:33" ht="49.95" customHeight="1" x14ac:dyDescent="0.3">
      <c r="X3738" s="2"/>
      <c r="Y3738" s="7"/>
      <c r="Z3738" s="2"/>
      <c r="AA3738" s="1"/>
      <c r="AC3738" s="2"/>
      <c r="AE3738" s="1"/>
      <c r="AG3738" s="2"/>
    </row>
    <row r="3739" spans="24:33" ht="49.95" customHeight="1" x14ac:dyDescent="0.3">
      <c r="X3739" s="2"/>
      <c r="Y3739" s="7"/>
      <c r="Z3739" s="2"/>
      <c r="AA3739" s="1"/>
      <c r="AC3739" s="2"/>
      <c r="AE3739" s="1"/>
      <c r="AG3739" s="2"/>
    </row>
    <row r="3740" spans="24:33" ht="49.95" customHeight="1" x14ac:dyDescent="0.3">
      <c r="X3740" s="2"/>
      <c r="Y3740" s="7"/>
      <c r="Z3740" s="2"/>
      <c r="AA3740" s="1"/>
      <c r="AC3740" s="2"/>
      <c r="AE3740" s="1"/>
      <c r="AG3740" s="2"/>
    </row>
    <row r="3741" spans="24:33" ht="49.95" customHeight="1" x14ac:dyDescent="0.3">
      <c r="X3741" s="2"/>
      <c r="Y3741" s="7"/>
      <c r="Z3741" s="2"/>
      <c r="AA3741" s="1"/>
      <c r="AC3741" s="2"/>
      <c r="AE3741" s="1"/>
      <c r="AG3741" s="2"/>
    </row>
    <row r="3742" spans="24:33" ht="49.95" customHeight="1" x14ac:dyDescent="0.3">
      <c r="X3742" s="2"/>
      <c r="Y3742" s="7"/>
      <c r="Z3742" s="2"/>
      <c r="AA3742" s="1"/>
      <c r="AC3742" s="2"/>
      <c r="AE3742" s="1"/>
      <c r="AG3742" s="2"/>
    </row>
    <row r="3743" spans="24:33" ht="49.95" customHeight="1" x14ac:dyDescent="0.3">
      <c r="X3743" s="2"/>
      <c r="Y3743" s="7"/>
      <c r="Z3743" s="2"/>
      <c r="AA3743" s="1"/>
      <c r="AC3743" s="2"/>
      <c r="AE3743" s="1"/>
      <c r="AG3743" s="2"/>
    </row>
    <row r="3744" spans="24:33" ht="49.95" customHeight="1" x14ac:dyDescent="0.3">
      <c r="X3744" s="2"/>
      <c r="Y3744" s="7"/>
      <c r="Z3744" s="2"/>
      <c r="AA3744" s="1"/>
      <c r="AC3744" s="2"/>
      <c r="AE3744" s="1"/>
      <c r="AG3744" s="2"/>
    </row>
    <row r="3745" spans="24:33" ht="49.95" customHeight="1" x14ac:dyDescent="0.3">
      <c r="X3745" s="2"/>
      <c r="Y3745" s="7"/>
      <c r="Z3745" s="2"/>
      <c r="AA3745" s="1"/>
      <c r="AC3745" s="2"/>
      <c r="AE3745" s="1"/>
      <c r="AG3745" s="2"/>
    </row>
    <row r="3746" spans="24:33" ht="49.95" customHeight="1" x14ac:dyDescent="0.3">
      <c r="X3746" s="2"/>
      <c r="Y3746" s="7"/>
      <c r="Z3746" s="2"/>
      <c r="AA3746" s="1"/>
      <c r="AC3746" s="2"/>
      <c r="AE3746" s="1"/>
      <c r="AG3746" s="2"/>
    </row>
    <row r="3747" spans="24:33" ht="49.95" customHeight="1" x14ac:dyDescent="0.3">
      <c r="X3747" s="2"/>
      <c r="Y3747" s="7"/>
      <c r="Z3747" s="2"/>
      <c r="AA3747" s="1"/>
      <c r="AC3747" s="2"/>
      <c r="AE3747" s="1"/>
      <c r="AG3747" s="2"/>
    </row>
    <row r="3748" spans="24:33" ht="49.95" customHeight="1" x14ac:dyDescent="0.3">
      <c r="X3748" s="175"/>
      <c r="Y3748" s="7"/>
      <c r="Z3748" s="2"/>
      <c r="AA3748" s="1"/>
      <c r="AC3748" s="2"/>
      <c r="AE3748" s="1"/>
      <c r="AG3748" s="2"/>
    </row>
    <row r="3749" spans="24:33" ht="49.95" customHeight="1" x14ac:dyDescent="0.3">
      <c r="X3749" s="175"/>
      <c r="Y3749" s="7"/>
      <c r="Z3749" s="2"/>
      <c r="AA3749" s="1"/>
      <c r="AC3749" s="2"/>
      <c r="AE3749" s="1"/>
      <c r="AG3749" s="2"/>
    </row>
    <row r="3750" spans="24:33" ht="49.95" customHeight="1" x14ac:dyDescent="0.3">
      <c r="X3750" s="175"/>
      <c r="Y3750" s="7"/>
      <c r="Z3750" s="2"/>
      <c r="AA3750" s="1"/>
      <c r="AC3750" s="2"/>
      <c r="AE3750" s="1"/>
      <c r="AG3750" s="2"/>
    </row>
    <row r="3751" spans="24:33" ht="49.95" customHeight="1" x14ac:dyDescent="0.3">
      <c r="X3751" s="175"/>
      <c r="Y3751" s="7"/>
      <c r="Z3751" s="2"/>
      <c r="AA3751" s="1"/>
      <c r="AC3751" s="2"/>
      <c r="AE3751" s="1"/>
      <c r="AG3751" s="2"/>
    </row>
    <row r="3752" spans="24:33" ht="49.95" customHeight="1" x14ac:dyDescent="0.3">
      <c r="X3752" s="2"/>
      <c r="Y3752" s="7"/>
      <c r="Z3752" s="2"/>
      <c r="AA3752" s="1"/>
      <c r="AC3752" s="2"/>
      <c r="AE3752" s="1"/>
      <c r="AG3752" s="2"/>
    </row>
    <row r="3753" spans="24:33" ht="49.95" customHeight="1" x14ac:dyDescent="0.3">
      <c r="X3753" s="2"/>
      <c r="Y3753" s="7"/>
      <c r="Z3753" s="2"/>
      <c r="AA3753" s="1"/>
      <c r="AC3753" s="2"/>
      <c r="AE3753" s="1"/>
      <c r="AG3753" s="2"/>
    </row>
    <row r="3754" spans="24:33" ht="49.95" customHeight="1" x14ac:dyDescent="0.3">
      <c r="X3754" s="2"/>
      <c r="Y3754" s="7"/>
      <c r="Z3754" s="2"/>
      <c r="AA3754" s="1"/>
      <c r="AC3754" s="2"/>
      <c r="AE3754" s="1"/>
      <c r="AG3754" s="2"/>
    </row>
    <row r="3755" spans="24:33" ht="49.95" customHeight="1" x14ac:dyDescent="0.3">
      <c r="X3755" s="2"/>
      <c r="Y3755" s="7"/>
      <c r="Z3755" s="2"/>
      <c r="AA3755" s="1"/>
      <c r="AC3755" s="2"/>
      <c r="AE3755" s="1"/>
      <c r="AG3755" s="2"/>
    </row>
    <row r="3756" spans="24:33" ht="49.95" customHeight="1" x14ac:dyDescent="0.3">
      <c r="X3756" s="2"/>
      <c r="Y3756" s="7"/>
      <c r="Z3756" s="2"/>
      <c r="AA3756" s="1"/>
      <c r="AC3756" s="2"/>
      <c r="AE3756" s="1"/>
      <c r="AG3756" s="2"/>
    </row>
    <row r="3757" spans="24:33" ht="49.95" customHeight="1" x14ac:dyDescent="0.3">
      <c r="X3757" s="2"/>
      <c r="Y3757" s="7"/>
      <c r="Z3757" s="2"/>
      <c r="AA3757" s="1"/>
      <c r="AC3757" s="2"/>
      <c r="AE3757" s="1"/>
      <c r="AG3757" s="2"/>
    </row>
    <row r="3758" spans="24:33" ht="49.95" customHeight="1" x14ac:dyDescent="0.3">
      <c r="X3758" s="2"/>
      <c r="Y3758" s="7"/>
      <c r="Z3758" s="2"/>
      <c r="AA3758" s="1"/>
      <c r="AC3758" s="2"/>
      <c r="AE3758" s="1"/>
      <c r="AG3758" s="2"/>
    </row>
    <row r="3759" spans="24:33" ht="49.95" customHeight="1" x14ac:dyDescent="0.3">
      <c r="X3759" s="2"/>
      <c r="Y3759" s="7"/>
      <c r="Z3759" s="2"/>
      <c r="AA3759" s="1"/>
      <c r="AC3759" s="2"/>
      <c r="AE3759" s="1"/>
      <c r="AG3759" s="2"/>
    </row>
    <row r="3760" spans="24:33" ht="49.95" customHeight="1" x14ac:dyDescent="0.3">
      <c r="X3760" s="2"/>
      <c r="Y3760" s="7"/>
      <c r="Z3760" s="2"/>
      <c r="AA3760" s="1"/>
      <c r="AC3760" s="2"/>
      <c r="AE3760" s="1"/>
      <c r="AG3760" s="2"/>
    </row>
    <row r="3761" spans="24:33" ht="49.95" customHeight="1" x14ac:dyDescent="0.3">
      <c r="X3761" s="2"/>
      <c r="Y3761" s="7"/>
      <c r="Z3761" s="2"/>
      <c r="AA3761" s="1"/>
      <c r="AC3761" s="2"/>
      <c r="AE3761" s="1"/>
      <c r="AG3761" s="2"/>
    </row>
    <row r="3762" spans="24:33" ht="49.95" customHeight="1" x14ac:dyDescent="0.3">
      <c r="X3762" s="2"/>
      <c r="Y3762" s="7"/>
      <c r="Z3762" s="2"/>
      <c r="AA3762" s="1"/>
      <c r="AC3762" s="2"/>
      <c r="AE3762" s="1"/>
      <c r="AG3762" s="2"/>
    </row>
    <row r="3763" spans="24:33" ht="49.95" customHeight="1" x14ac:dyDescent="0.3">
      <c r="X3763" s="2"/>
      <c r="Y3763" s="7"/>
      <c r="Z3763" s="2"/>
      <c r="AA3763" s="1"/>
      <c r="AC3763" s="2"/>
      <c r="AE3763" s="1"/>
      <c r="AG3763" s="2"/>
    </row>
    <row r="3764" spans="24:33" ht="49.95" customHeight="1" x14ac:dyDescent="0.3">
      <c r="X3764" s="2"/>
      <c r="Y3764" s="7"/>
      <c r="Z3764" s="2"/>
      <c r="AA3764" s="1"/>
      <c r="AC3764" s="2"/>
      <c r="AE3764" s="1"/>
      <c r="AG3764" s="2"/>
    </row>
    <row r="3765" spans="24:33" ht="49.95" customHeight="1" x14ac:dyDescent="0.3">
      <c r="X3765" s="2"/>
      <c r="Y3765" s="7"/>
      <c r="Z3765" s="2"/>
      <c r="AA3765" s="1"/>
      <c r="AC3765" s="2"/>
      <c r="AE3765" s="1"/>
      <c r="AG3765" s="2"/>
    </row>
    <row r="3766" spans="24:33" ht="49.95" customHeight="1" x14ac:dyDescent="0.3">
      <c r="X3766" s="2"/>
      <c r="Y3766" s="7"/>
      <c r="Z3766" s="2"/>
      <c r="AA3766" s="1"/>
      <c r="AC3766" s="2"/>
      <c r="AE3766" s="1"/>
      <c r="AG3766" s="2"/>
    </row>
    <row r="3767" spans="24:33" ht="49.95" customHeight="1" x14ac:dyDescent="0.3">
      <c r="X3767" s="2"/>
      <c r="Y3767" s="7"/>
      <c r="Z3767" s="2"/>
      <c r="AA3767" s="1"/>
      <c r="AC3767" s="2"/>
      <c r="AE3767" s="1"/>
      <c r="AG3767" s="2"/>
    </row>
    <row r="3768" spans="24:33" ht="49.95" customHeight="1" x14ac:dyDescent="0.3">
      <c r="X3768" s="2"/>
      <c r="Y3768" s="7"/>
      <c r="Z3768" s="2"/>
      <c r="AA3768" s="1"/>
      <c r="AC3768" s="2"/>
      <c r="AE3768" s="1"/>
      <c r="AG3768" s="2"/>
    </row>
    <row r="3769" spans="24:33" ht="49.95" customHeight="1" x14ac:dyDescent="0.3">
      <c r="X3769" s="2"/>
      <c r="Y3769" s="7"/>
      <c r="Z3769" s="2"/>
      <c r="AA3769" s="1"/>
      <c r="AC3769" s="2"/>
      <c r="AE3769" s="1"/>
      <c r="AG3769" s="2"/>
    </row>
    <row r="3770" spans="24:33" ht="49.95" customHeight="1" x14ac:dyDescent="0.3">
      <c r="X3770" s="2"/>
      <c r="Y3770" s="7"/>
      <c r="Z3770" s="2"/>
      <c r="AA3770" s="1"/>
      <c r="AC3770" s="2"/>
      <c r="AE3770" s="1"/>
      <c r="AG3770" s="2"/>
    </row>
    <row r="3771" spans="24:33" ht="49.95" customHeight="1" x14ac:dyDescent="0.3">
      <c r="X3771" s="2"/>
      <c r="Y3771" s="7"/>
      <c r="Z3771" s="2"/>
      <c r="AA3771" s="1"/>
      <c r="AC3771" s="2"/>
      <c r="AE3771" s="1"/>
      <c r="AG3771" s="2"/>
    </row>
    <row r="3772" spans="24:33" ht="49.95" customHeight="1" x14ac:dyDescent="0.3">
      <c r="X3772" s="2"/>
      <c r="Y3772" s="7"/>
      <c r="Z3772" s="2"/>
      <c r="AA3772" s="1"/>
      <c r="AC3772" s="2"/>
      <c r="AE3772" s="1"/>
      <c r="AG3772" s="2"/>
    </row>
    <row r="3773" spans="24:33" ht="49.95" customHeight="1" x14ac:dyDescent="0.3">
      <c r="X3773" s="2"/>
      <c r="Y3773" s="7"/>
      <c r="Z3773" s="2"/>
      <c r="AA3773" s="1"/>
      <c r="AC3773" s="2"/>
      <c r="AE3773" s="1"/>
      <c r="AG3773" s="2"/>
    </row>
    <row r="3774" spans="24:33" ht="49.95" customHeight="1" x14ac:dyDescent="0.3">
      <c r="X3774" s="2"/>
      <c r="Y3774" s="7"/>
      <c r="Z3774" s="2"/>
      <c r="AA3774" s="1"/>
      <c r="AC3774" s="2"/>
      <c r="AE3774" s="1"/>
      <c r="AG3774" s="2"/>
    </row>
    <row r="3775" spans="24:33" ht="49.95" customHeight="1" x14ac:dyDescent="0.3">
      <c r="X3775" s="2"/>
      <c r="Y3775" s="7"/>
      <c r="Z3775" s="2"/>
      <c r="AA3775" s="1"/>
      <c r="AC3775" s="2"/>
      <c r="AE3775" s="1"/>
      <c r="AG3775" s="2"/>
    </row>
    <row r="3776" spans="24:33" ht="49.95" customHeight="1" x14ac:dyDescent="0.3">
      <c r="X3776" s="2"/>
      <c r="Y3776" s="7"/>
      <c r="Z3776" s="2"/>
      <c r="AA3776" s="1"/>
      <c r="AC3776" s="2"/>
      <c r="AE3776" s="1"/>
      <c r="AG3776" s="2"/>
    </row>
    <row r="3777" spans="24:33" ht="49.95" customHeight="1" x14ac:dyDescent="0.3">
      <c r="X3777" s="2"/>
      <c r="Y3777" s="7"/>
      <c r="Z3777" s="2"/>
      <c r="AA3777" s="1"/>
      <c r="AC3777" s="2"/>
      <c r="AE3777" s="1"/>
      <c r="AG3777" s="2"/>
    </row>
    <row r="3778" spans="24:33" ht="49.95" customHeight="1" x14ac:dyDescent="0.3">
      <c r="X3778" s="2"/>
      <c r="Y3778" s="7"/>
      <c r="Z3778" s="2"/>
      <c r="AA3778" s="1"/>
      <c r="AC3778" s="2"/>
      <c r="AE3778" s="1"/>
      <c r="AG3778" s="2"/>
    </row>
    <row r="3779" spans="24:33" ht="49.95" customHeight="1" x14ac:dyDescent="0.3">
      <c r="X3779" s="2"/>
      <c r="Y3779" s="7"/>
      <c r="Z3779" s="2"/>
      <c r="AA3779" s="1"/>
      <c r="AC3779" s="2"/>
      <c r="AE3779" s="1"/>
      <c r="AG3779" s="2"/>
    </row>
    <row r="3780" spans="24:33" ht="49.95" customHeight="1" x14ac:dyDescent="0.3">
      <c r="X3780" s="2"/>
      <c r="Y3780" s="7"/>
      <c r="Z3780" s="2"/>
      <c r="AA3780" s="1"/>
      <c r="AC3780" s="2"/>
      <c r="AE3780" s="1"/>
      <c r="AG3780" s="2"/>
    </row>
    <row r="3781" spans="24:33" ht="49.95" customHeight="1" x14ac:dyDescent="0.3">
      <c r="X3781" s="2"/>
      <c r="Y3781" s="7"/>
      <c r="Z3781" s="2"/>
      <c r="AA3781" s="1"/>
      <c r="AC3781" s="2"/>
      <c r="AE3781" s="1"/>
      <c r="AG3781" s="2"/>
    </row>
    <row r="3782" spans="24:33" ht="49.95" customHeight="1" x14ac:dyDescent="0.3">
      <c r="X3782" s="2"/>
      <c r="Y3782" s="7"/>
      <c r="Z3782" s="2"/>
      <c r="AA3782" s="1"/>
      <c r="AC3782" s="2"/>
      <c r="AE3782" s="1"/>
      <c r="AG3782" s="2"/>
    </row>
    <row r="3783" spans="24:33" ht="49.95" customHeight="1" x14ac:dyDescent="0.3">
      <c r="X3783" s="2"/>
      <c r="Y3783" s="7"/>
      <c r="Z3783" s="2"/>
      <c r="AA3783" s="1"/>
      <c r="AC3783" s="2"/>
      <c r="AE3783" s="1"/>
      <c r="AG3783" s="2"/>
    </row>
    <row r="3784" spans="24:33" ht="49.95" customHeight="1" x14ac:dyDescent="0.3">
      <c r="X3784" s="2"/>
      <c r="Y3784" s="7"/>
      <c r="Z3784" s="2"/>
      <c r="AA3784" s="1"/>
      <c r="AC3784" s="2"/>
      <c r="AE3784" s="1"/>
      <c r="AG3784" s="2"/>
    </row>
    <row r="3785" spans="24:33" ht="49.95" customHeight="1" x14ac:dyDescent="0.3">
      <c r="X3785" s="2"/>
      <c r="Y3785" s="7"/>
      <c r="Z3785" s="2"/>
      <c r="AA3785" s="1"/>
      <c r="AC3785" s="2"/>
      <c r="AE3785" s="1"/>
      <c r="AG3785" s="2"/>
    </row>
    <row r="3786" spans="24:33" ht="49.95" customHeight="1" x14ac:dyDescent="0.3">
      <c r="X3786" s="2"/>
      <c r="Y3786" s="7"/>
      <c r="Z3786" s="2"/>
      <c r="AA3786" s="1"/>
      <c r="AC3786" s="2"/>
      <c r="AE3786" s="1"/>
      <c r="AG3786" s="2"/>
    </row>
    <row r="3787" spans="24:33" ht="49.95" customHeight="1" x14ac:dyDescent="0.3">
      <c r="X3787" s="2"/>
      <c r="Y3787" s="7"/>
      <c r="Z3787" s="2"/>
      <c r="AA3787" s="1"/>
      <c r="AC3787" s="2"/>
      <c r="AE3787" s="1"/>
      <c r="AG3787" s="2"/>
    </row>
    <row r="3788" spans="24:33" ht="49.95" customHeight="1" x14ac:dyDescent="0.3">
      <c r="X3788" s="2"/>
      <c r="Y3788" s="7"/>
      <c r="Z3788" s="2"/>
      <c r="AA3788" s="1"/>
      <c r="AC3788" s="2"/>
      <c r="AE3788" s="1"/>
      <c r="AG3788" s="2"/>
    </row>
    <row r="3789" spans="24:33" ht="49.95" customHeight="1" x14ac:dyDescent="0.3">
      <c r="X3789" s="2"/>
      <c r="Y3789" s="7"/>
      <c r="Z3789" s="2"/>
      <c r="AA3789" s="1"/>
      <c r="AC3789" s="2"/>
      <c r="AE3789" s="1"/>
      <c r="AG3789" s="2"/>
    </row>
    <row r="3790" spans="24:33" ht="49.95" customHeight="1" x14ac:dyDescent="0.3">
      <c r="X3790" s="2"/>
      <c r="Y3790" s="7"/>
      <c r="Z3790" s="2"/>
      <c r="AA3790" s="1"/>
      <c r="AC3790" s="2"/>
      <c r="AE3790" s="1"/>
      <c r="AG3790" s="2"/>
    </row>
    <row r="3791" spans="24:33" ht="49.95" customHeight="1" x14ac:dyDescent="0.3">
      <c r="X3791" s="2"/>
      <c r="Y3791" s="7"/>
      <c r="Z3791" s="2"/>
      <c r="AA3791" s="1"/>
      <c r="AC3791" s="2"/>
      <c r="AE3791" s="1"/>
      <c r="AG3791" s="2"/>
    </row>
    <row r="3792" spans="24:33" ht="49.95" customHeight="1" x14ac:dyDescent="0.3">
      <c r="X3792" s="2"/>
      <c r="Y3792" s="7"/>
      <c r="Z3792" s="2"/>
      <c r="AA3792" s="1"/>
      <c r="AC3792" s="2"/>
      <c r="AE3792" s="1"/>
      <c r="AG3792" s="2"/>
    </row>
    <row r="3793" spans="10:33" ht="49.95" customHeight="1" x14ac:dyDescent="0.3">
      <c r="X3793" s="2"/>
      <c r="Y3793" s="7"/>
      <c r="Z3793" s="2"/>
      <c r="AA3793" s="1"/>
      <c r="AC3793" s="2"/>
      <c r="AE3793" s="1"/>
      <c r="AG3793" s="2"/>
    </row>
    <row r="3794" spans="10:33" ht="49.95" customHeight="1" x14ac:dyDescent="0.3">
      <c r="X3794" s="2"/>
      <c r="Y3794" s="7"/>
      <c r="Z3794" s="2"/>
      <c r="AA3794" s="1"/>
      <c r="AC3794" s="2"/>
      <c r="AE3794" s="1"/>
      <c r="AG3794" s="2"/>
    </row>
    <row r="3795" spans="10:33" ht="49.95" customHeight="1" x14ac:dyDescent="0.3">
      <c r="X3795" s="2"/>
      <c r="Y3795" s="7"/>
      <c r="Z3795" s="2"/>
      <c r="AA3795" s="1"/>
      <c r="AC3795" s="2"/>
      <c r="AE3795" s="1"/>
      <c r="AG3795" s="2"/>
    </row>
    <row r="3796" spans="10:33" ht="49.95" customHeight="1" x14ac:dyDescent="0.3">
      <c r="X3796" s="2"/>
      <c r="Y3796" s="7"/>
      <c r="Z3796" s="2"/>
      <c r="AA3796" s="1"/>
      <c r="AC3796" s="2"/>
      <c r="AE3796" s="1"/>
      <c r="AG3796" s="2"/>
    </row>
    <row r="3797" spans="10:33" ht="49.95" customHeight="1" x14ac:dyDescent="0.3">
      <c r="X3797" s="2"/>
      <c r="Y3797" s="7"/>
      <c r="Z3797" s="2"/>
      <c r="AA3797" s="1"/>
      <c r="AC3797" s="2"/>
      <c r="AE3797" s="1"/>
      <c r="AG3797" s="2"/>
    </row>
    <row r="3798" spans="10:33" ht="49.95" customHeight="1" x14ac:dyDescent="0.3">
      <c r="X3798" s="2"/>
      <c r="Y3798" s="7"/>
      <c r="Z3798" s="2"/>
      <c r="AA3798" s="1"/>
      <c r="AC3798" s="2"/>
      <c r="AE3798" s="1"/>
      <c r="AG3798" s="2"/>
    </row>
    <row r="3799" spans="10:33" ht="49.95" customHeight="1" x14ac:dyDescent="0.3">
      <c r="X3799" s="2"/>
      <c r="Y3799" s="7"/>
      <c r="Z3799" s="2"/>
      <c r="AA3799" s="1"/>
      <c r="AC3799" s="2"/>
      <c r="AE3799" s="1"/>
      <c r="AG3799" s="2"/>
    </row>
    <row r="3800" spans="10:33" ht="49.95" customHeight="1" x14ac:dyDescent="0.3">
      <c r="X3800" s="2"/>
      <c r="Y3800" s="7"/>
      <c r="Z3800" s="2"/>
      <c r="AA3800" s="1"/>
      <c r="AC3800" s="2"/>
      <c r="AE3800" s="1"/>
      <c r="AG3800" s="2"/>
    </row>
    <row r="3801" spans="10:33" ht="49.95" customHeight="1" x14ac:dyDescent="0.3">
      <c r="X3801" s="2"/>
      <c r="Y3801" s="7"/>
      <c r="Z3801" s="2"/>
      <c r="AA3801" s="1"/>
      <c r="AC3801" s="2"/>
      <c r="AE3801" s="1"/>
      <c r="AG3801" s="2"/>
    </row>
    <row r="3802" spans="10:33" ht="49.95" customHeight="1" x14ac:dyDescent="0.3">
      <c r="X3802" s="2"/>
      <c r="Y3802" s="7"/>
      <c r="Z3802" s="2"/>
      <c r="AA3802" s="1"/>
      <c r="AC3802" s="2"/>
      <c r="AE3802" s="1"/>
      <c r="AG3802" s="2"/>
    </row>
    <row r="3803" spans="10:33" ht="49.95" customHeight="1" x14ac:dyDescent="0.3">
      <c r="X3803" s="2"/>
      <c r="Y3803" s="7"/>
      <c r="Z3803" s="2"/>
      <c r="AA3803" s="1"/>
      <c r="AC3803" s="2"/>
      <c r="AE3803" s="1"/>
      <c r="AG3803" s="2"/>
    </row>
    <row r="3804" spans="10:33" ht="49.95" customHeight="1" x14ac:dyDescent="0.3">
      <c r="X3804" s="2"/>
      <c r="Y3804" s="7"/>
      <c r="Z3804" s="2"/>
      <c r="AA3804" s="1"/>
      <c r="AC3804" s="2"/>
      <c r="AE3804" s="1"/>
      <c r="AG3804" s="2"/>
    </row>
    <row r="3805" spans="10:33" ht="49.95" customHeight="1" x14ac:dyDescent="0.3">
      <c r="X3805" s="2"/>
      <c r="Y3805" s="7"/>
      <c r="Z3805" s="2"/>
      <c r="AA3805" s="1"/>
      <c r="AC3805" s="2"/>
      <c r="AE3805" s="1"/>
      <c r="AG3805" s="2"/>
    </row>
    <row r="3806" spans="10:33" ht="49.95" customHeight="1" x14ac:dyDescent="0.3">
      <c r="X3806" s="2"/>
      <c r="Y3806" s="7"/>
      <c r="Z3806" s="2"/>
      <c r="AA3806" s="1"/>
      <c r="AC3806" s="2"/>
      <c r="AE3806" s="1"/>
      <c r="AG3806" s="2"/>
    </row>
    <row r="3807" spans="10:33" ht="49.95" customHeight="1" x14ac:dyDescent="0.3">
      <c r="X3807" s="2"/>
      <c r="Y3807" s="7"/>
      <c r="Z3807" s="2"/>
      <c r="AA3807" s="1"/>
      <c r="AC3807" s="2"/>
      <c r="AE3807" s="1"/>
      <c r="AG3807" s="2"/>
    </row>
    <row r="3808" spans="10:33" ht="49.95" customHeight="1" x14ac:dyDescent="0.3">
      <c r="J3808" s="167"/>
      <c r="X3808" s="2"/>
      <c r="Y3808" s="7"/>
      <c r="Z3808" s="2"/>
      <c r="AA3808" s="1"/>
      <c r="AC3808" s="2"/>
      <c r="AE3808" s="1"/>
      <c r="AG3808" s="2"/>
    </row>
    <row r="3809" spans="24:33" ht="49.95" customHeight="1" x14ac:dyDescent="0.3">
      <c r="X3809" s="2"/>
      <c r="Y3809" s="7"/>
      <c r="Z3809" s="2"/>
      <c r="AA3809" s="1"/>
      <c r="AC3809" s="2"/>
      <c r="AE3809" s="1"/>
      <c r="AG3809" s="2"/>
    </row>
    <row r="3810" spans="24:33" ht="49.95" customHeight="1" x14ac:dyDescent="0.3">
      <c r="X3810" s="2"/>
      <c r="Y3810" s="7"/>
      <c r="Z3810" s="2"/>
      <c r="AA3810" s="1"/>
      <c r="AC3810" s="2"/>
      <c r="AE3810" s="1"/>
      <c r="AG3810" s="2"/>
    </row>
    <row r="3811" spans="24:33" ht="49.95" customHeight="1" x14ac:dyDescent="0.3">
      <c r="X3811" s="2"/>
      <c r="Y3811" s="7"/>
      <c r="Z3811" s="2"/>
      <c r="AA3811" s="1"/>
      <c r="AC3811" s="2"/>
      <c r="AE3811" s="1"/>
      <c r="AG3811" s="2"/>
    </row>
    <row r="3812" spans="24:33" ht="49.95" customHeight="1" x14ac:dyDescent="0.3">
      <c r="X3812" s="2"/>
      <c r="Y3812" s="7"/>
      <c r="Z3812" s="2"/>
      <c r="AA3812" s="1"/>
      <c r="AC3812" s="2"/>
      <c r="AE3812" s="1"/>
      <c r="AG3812" s="2"/>
    </row>
    <row r="3813" spans="24:33" ht="49.95" customHeight="1" x14ac:dyDescent="0.3">
      <c r="X3813" s="2"/>
      <c r="Y3813" s="7"/>
      <c r="Z3813" s="2"/>
      <c r="AA3813" s="1"/>
      <c r="AC3813" s="2"/>
      <c r="AE3813" s="1"/>
      <c r="AG3813" s="2"/>
    </row>
    <row r="3814" spans="24:33" ht="49.95" customHeight="1" x14ac:dyDescent="0.3">
      <c r="X3814" s="2"/>
      <c r="Y3814" s="7"/>
      <c r="Z3814" s="2"/>
      <c r="AA3814" s="1"/>
      <c r="AC3814" s="2"/>
      <c r="AE3814" s="1"/>
      <c r="AG3814" s="2"/>
    </row>
    <row r="3815" spans="24:33" ht="49.95" customHeight="1" x14ac:dyDescent="0.3">
      <c r="X3815" s="2"/>
      <c r="Y3815" s="7"/>
      <c r="Z3815" s="2"/>
      <c r="AA3815" s="1"/>
      <c r="AC3815" s="2"/>
      <c r="AE3815" s="1"/>
      <c r="AG3815" s="2"/>
    </row>
    <row r="3816" spans="24:33" ht="49.95" customHeight="1" x14ac:dyDescent="0.3">
      <c r="X3816" s="2"/>
      <c r="Y3816" s="7"/>
      <c r="Z3816" s="2"/>
      <c r="AA3816" s="1"/>
      <c r="AC3816" s="2"/>
      <c r="AE3816" s="1"/>
      <c r="AG3816" s="2"/>
    </row>
    <row r="3817" spans="24:33" ht="49.95" customHeight="1" x14ac:dyDescent="0.3">
      <c r="X3817" s="2"/>
      <c r="Y3817" s="7"/>
      <c r="Z3817" s="2"/>
      <c r="AA3817" s="1"/>
      <c r="AC3817" s="2"/>
      <c r="AE3817" s="1"/>
      <c r="AG3817" s="2"/>
    </row>
    <row r="3818" spans="24:33" ht="49.95" customHeight="1" x14ac:dyDescent="0.3">
      <c r="X3818" s="2"/>
      <c r="Y3818" s="7"/>
      <c r="Z3818" s="2"/>
      <c r="AA3818" s="1"/>
      <c r="AC3818" s="2"/>
      <c r="AE3818" s="1"/>
      <c r="AG3818" s="2"/>
    </row>
    <row r="3819" spans="24:33" ht="49.95" customHeight="1" x14ac:dyDescent="0.3">
      <c r="X3819" s="2"/>
      <c r="Y3819" s="7"/>
      <c r="Z3819" s="2"/>
      <c r="AA3819" s="1"/>
      <c r="AC3819" s="2"/>
      <c r="AE3819" s="1"/>
      <c r="AG3819" s="2"/>
    </row>
    <row r="3820" spans="24:33" ht="49.95" customHeight="1" x14ac:dyDescent="0.3">
      <c r="X3820" s="2"/>
      <c r="Y3820" s="7"/>
      <c r="Z3820" s="2"/>
      <c r="AA3820" s="1"/>
      <c r="AC3820" s="2"/>
      <c r="AE3820" s="1"/>
      <c r="AG3820" s="2"/>
    </row>
    <row r="3821" spans="24:33" ht="49.95" customHeight="1" x14ac:dyDescent="0.3">
      <c r="X3821" s="2"/>
      <c r="Y3821" s="7"/>
      <c r="Z3821" s="2"/>
      <c r="AA3821" s="1"/>
      <c r="AC3821" s="2"/>
      <c r="AE3821" s="1"/>
      <c r="AG3821" s="2"/>
    </row>
    <row r="3822" spans="24:33" ht="49.95" customHeight="1" x14ac:dyDescent="0.3">
      <c r="X3822" s="2"/>
      <c r="Y3822" s="7"/>
      <c r="Z3822" s="2"/>
      <c r="AA3822" s="1"/>
      <c r="AC3822" s="2"/>
      <c r="AE3822" s="1"/>
      <c r="AG3822" s="2"/>
    </row>
    <row r="3823" spans="24:33" ht="49.95" customHeight="1" x14ac:dyDescent="0.3">
      <c r="X3823" s="2"/>
      <c r="Y3823" s="7"/>
      <c r="Z3823" s="2"/>
      <c r="AA3823" s="1"/>
      <c r="AC3823" s="2"/>
      <c r="AE3823" s="1"/>
      <c r="AG3823" s="2"/>
    </row>
    <row r="3824" spans="24:33" ht="49.95" customHeight="1" x14ac:dyDescent="0.3">
      <c r="X3824" s="2"/>
      <c r="Y3824" s="7"/>
      <c r="Z3824" s="2"/>
      <c r="AA3824" s="1"/>
      <c r="AC3824" s="2"/>
      <c r="AE3824" s="1"/>
      <c r="AG3824" s="2"/>
    </row>
    <row r="3825" spans="24:33" ht="49.95" customHeight="1" x14ac:dyDescent="0.3">
      <c r="X3825" s="2"/>
      <c r="Y3825" s="7"/>
      <c r="Z3825" s="2"/>
      <c r="AA3825" s="1"/>
      <c r="AC3825" s="2"/>
      <c r="AE3825" s="1"/>
      <c r="AG3825" s="2"/>
    </row>
    <row r="3826" spans="24:33" ht="49.95" customHeight="1" x14ac:dyDescent="0.3">
      <c r="X3826" s="2"/>
      <c r="Y3826" s="7"/>
      <c r="Z3826" s="2"/>
      <c r="AA3826" s="1"/>
      <c r="AC3826" s="2"/>
      <c r="AE3826" s="1"/>
      <c r="AG3826" s="2"/>
    </row>
    <row r="3827" spans="24:33" ht="49.95" customHeight="1" x14ac:dyDescent="0.3">
      <c r="X3827" s="2"/>
      <c r="Y3827" s="7"/>
      <c r="Z3827" s="2"/>
      <c r="AA3827" s="1"/>
      <c r="AC3827" s="2"/>
      <c r="AE3827" s="1"/>
      <c r="AG3827" s="2"/>
    </row>
    <row r="3828" spans="24:33" ht="49.95" customHeight="1" x14ac:dyDescent="0.3">
      <c r="X3828" s="2"/>
      <c r="Y3828" s="7"/>
      <c r="Z3828" s="2"/>
      <c r="AA3828" s="1"/>
      <c r="AC3828" s="2"/>
      <c r="AE3828" s="1"/>
      <c r="AG3828" s="2"/>
    </row>
    <row r="3829" spans="24:33" ht="49.95" customHeight="1" x14ac:dyDescent="0.3">
      <c r="X3829" s="2"/>
      <c r="Y3829" s="7"/>
      <c r="Z3829" s="2"/>
      <c r="AA3829" s="1"/>
      <c r="AC3829" s="2"/>
      <c r="AE3829" s="1"/>
      <c r="AG3829" s="2"/>
    </row>
    <row r="3830" spans="24:33" ht="49.95" customHeight="1" x14ac:dyDescent="0.3">
      <c r="X3830" s="2"/>
      <c r="Y3830" s="7"/>
      <c r="Z3830" s="2"/>
      <c r="AA3830" s="1"/>
      <c r="AC3830" s="2"/>
      <c r="AE3830" s="1"/>
      <c r="AG3830" s="2"/>
    </row>
    <row r="3831" spans="24:33" ht="49.95" customHeight="1" x14ac:dyDescent="0.3">
      <c r="X3831" s="2"/>
      <c r="Y3831" s="7"/>
      <c r="Z3831" s="2"/>
      <c r="AA3831" s="1"/>
      <c r="AC3831" s="2"/>
      <c r="AE3831" s="1"/>
      <c r="AG3831" s="2"/>
    </row>
    <row r="3832" spans="24:33" ht="49.95" customHeight="1" x14ac:dyDescent="0.3">
      <c r="X3832" s="2"/>
      <c r="Y3832" s="7"/>
      <c r="Z3832" s="2"/>
      <c r="AA3832" s="1"/>
      <c r="AC3832" s="2"/>
      <c r="AE3832" s="1"/>
      <c r="AG3832" s="2"/>
    </row>
    <row r="3833" spans="24:33" ht="49.95" customHeight="1" x14ac:dyDescent="0.3">
      <c r="X3833" s="2"/>
      <c r="Y3833" s="7"/>
      <c r="Z3833" s="2"/>
      <c r="AA3833" s="1"/>
      <c r="AC3833" s="2"/>
      <c r="AE3833" s="1"/>
      <c r="AG3833" s="2"/>
    </row>
    <row r="3834" spans="24:33" ht="49.95" customHeight="1" x14ac:dyDescent="0.3">
      <c r="X3834" s="2"/>
      <c r="Y3834" s="7"/>
      <c r="Z3834" s="2"/>
      <c r="AA3834" s="1"/>
      <c r="AC3834" s="2"/>
      <c r="AE3834" s="1"/>
      <c r="AG3834" s="2"/>
    </row>
    <row r="3835" spans="24:33" ht="49.95" customHeight="1" x14ac:dyDescent="0.3">
      <c r="X3835" s="2"/>
      <c r="Y3835" s="7"/>
      <c r="Z3835" s="2"/>
      <c r="AA3835" s="1"/>
      <c r="AC3835" s="2"/>
      <c r="AE3835" s="1"/>
      <c r="AG3835" s="2"/>
    </row>
    <row r="3836" spans="24:33" ht="49.95" customHeight="1" x14ac:dyDescent="0.3">
      <c r="X3836" s="2"/>
      <c r="Y3836" s="7"/>
      <c r="Z3836" s="2"/>
      <c r="AA3836" s="1"/>
      <c r="AC3836" s="2"/>
      <c r="AE3836" s="1"/>
      <c r="AG3836" s="2"/>
    </row>
    <row r="3837" spans="24:33" ht="49.95" customHeight="1" x14ac:dyDescent="0.3">
      <c r="X3837" s="2"/>
      <c r="Y3837" s="7"/>
      <c r="Z3837" s="2"/>
      <c r="AA3837" s="1"/>
      <c r="AC3837" s="2"/>
      <c r="AE3837" s="1"/>
      <c r="AG3837" s="2"/>
    </row>
    <row r="3838" spans="24:33" ht="49.95" customHeight="1" x14ac:dyDescent="0.3">
      <c r="X3838" s="2"/>
      <c r="Y3838" s="7"/>
      <c r="Z3838" s="2"/>
      <c r="AA3838" s="1"/>
      <c r="AC3838" s="2"/>
      <c r="AE3838" s="1"/>
      <c r="AG3838" s="2"/>
    </row>
    <row r="3839" spans="24:33" ht="49.95" customHeight="1" x14ac:dyDescent="0.3">
      <c r="X3839" s="2"/>
      <c r="Y3839" s="7"/>
      <c r="Z3839" s="2"/>
      <c r="AA3839" s="1"/>
      <c r="AC3839" s="2"/>
      <c r="AE3839" s="1"/>
      <c r="AG3839" s="2"/>
    </row>
    <row r="3840" spans="24:33" ht="49.95" customHeight="1" x14ac:dyDescent="0.3">
      <c r="X3840" s="2"/>
      <c r="Y3840" s="7"/>
      <c r="Z3840" s="2"/>
      <c r="AA3840" s="1"/>
      <c r="AC3840" s="2"/>
      <c r="AE3840" s="1"/>
      <c r="AG3840" s="2"/>
    </row>
    <row r="3841" spans="24:33" ht="49.95" customHeight="1" x14ac:dyDescent="0.3">
      <c r="X3841" s="2"/>
      <c r="Y3841" s="7"/>
      <c r="Z3841" s="2"/>
      <c r="AA3841" s="1"/>
      <c r="AC3841" s="2"/>
      <c r="AE3841" s="1"/>
      <c r="AG3841" s="2"/>
    </row>
    <row r="3842" spans="24:33" ht="49.95" customHeight="1" x14ac:dyDescent="0.3">
      <c r="X3842" s="2"/>
      <c r="Y3842" s="7"/>
      <c r="Z3842" s="2"/>
      <c r="AA3842" s="1"/>
      <c r="AC3842" s="2"/>
      <c r="AE3842" s="1"/>
      <c r="AG3842" s="2"/>
    </row>
    <row r="3843" spans="24:33" ht="49.95" customHeight="1" x14ac:dyDescent="0.3">
      <c r="X3843" s="2"/>
      <c r="Y3843" s="7"/>
      <c r="Z3843" s="2"/>
      <c r="AA3843" s="1"/>
      <c r="AC3843" s="2"/>
      <c r="AE3843" s="1"/>
      <c r="AG3843" s="2"/>
    </row>
    <row r="3844" spans="24:33" ht="49.95" customHeight="1" x14ac:dyDescent="0.3">
      <c r="X3844" s="2"/>
      <c r="Y3844" s="7"/>
      <c r="Z3844" s="2"/>
      <c r="AA3844" s="1"/>
      <c r="AC3844" s="2"/>
      <c r="AE3844" s="1"/>
      <c r="AG3844" s="2"/>
    </row>
    <row r="3845" spans="24:33" ht="49.95" customHeight="1" x14ac:dyDescent="0.3">
      <c r="X3845" s="2"/>
      <c r="Y3845" s="7"/>
      <c r="Z3845" s="2"/>
      <c r="AA3845" s="1"/>
      <c r="AC3845" s="2"/>
      <c r="AE3845" s="1"/>
      <c r="AG3845" s="2"/>
    </row>
    <row r="3846" spans="24:33" ht="49.95" customHeight="1" x14ac:dyDescent="0.3">
      <c r="X3846" s="2"/>
      <c r="Y3846" s="7"/>
      <c r="Z3846" s="2"/>
      <c r="AA3846" s="1"/>
      <c r="AC3846" s="2"/>
      <c r="AE3846" s="1"/>
      <c r="AG3846" s="2"/>
    </row>
    <row r="3847" spans="24:33" ht="49.95" customHeight="1" x14ac:dyDescent="0.3">
      <c r="X3847" s="2"/>
      <c r="Y3847" s="7"/>
      <c r="Z3847" s="2"/>
      <c r="AA3847" s="1"/>
      <c r="AC3847" s="2"/>
      <c r="AE3847" s="1"/>
      <c r="AG3847" s="2"/>
    </row>
    <row r="3848" spans="24:33" ht="49.95" customHeight="1" x14ac:dyDescent="0.3">
      <c r="X3848" s="2"/>
      <c r="Y3848" s="7"/>
      <c r="Z3848" s="2"/>
      <c r="AA3848" s="1"/>
      <c r="AC3848" s="2"/>
      <c r="AE3848" s="1"/>
      <c r="AG3848" s="2"/>
    </row>
    <row r="3849" spans="24:33" ht="49.95" customHeight="1" x14ac:dyDescent="0.3">
      <c r="X3849" s="2"/>
      <c r="Y3849" s="7"/>
      <c r="Z3849" s="2"/>
      <c r="AA3849" s="1"/>
      <c r="AC3849" s="2"/>
      <c r="AE3849" s="1"/>
      <c r="AG3849" s="2"/>
    </row>
    <row r="3850" spans="24:33" ht="49.95" customHeight="1" x14ac:dyDescent="0.3">
      <c r="X3850" s="2"/>
      <c r="Y3850" s="7"/>
      <c r="Z3850" s="2"/>
      <c r="AA3850" s="1"/>
      <c r="AC3850" s="2"/>
      <c r="AE3850" s="1"/>
      <c r="AG3850" s="2"/>
    </row>
    <row r="3851" spans="24:33" ht="49.95" customHeight="1" x14ac:dyDescent="0.3">
      <c r="X3851" s="2"/>
      <c r="Y3851" s="7"/>
      <c r="Z3851" s="2"/>
      <c r="AA3851" s="1"/>
      <c r="AC3851" s="2"/>
      <c r="AE3851" s="1"/>
      <c r="AG3851" s="2"/>
    </row>
    <row r="3852" spans="24:33" ht="49.95" customHeight="1" x14ac:dyDescent="0.3">
      <c r="X3852" s="2"/>
      <c r="Y3852" s="7"/>
      <c r="Z3852" s="2"/>
      <c r="AA3852" s="1"/>
      <c r="AC3852" s="2"/>
      <c r="AE3852" s="1"/>
      <c r="AG3852" s="2"/>
    </row>
    <row r="3853" spans="24:33" ht="49.95" customHeight="1" x14ac:dyDescent="0.3">
      <c r="X3853" s="2"/>
      <c r="Y3853" s="7"/>
      <c r="Z3853" s="2"/>
      <c r="AA3853" s="1"/>
      <c r="AC3853" s="2"/>
      <c r="AE3853" s="1"/>
      <c r="AG3853" s="2"/>
    </row>
    <row r="3854" spans="24:33" ht="49.95" customHeight="1" x14ac:dyDescent="0.3">
      <c r="X3854" s="2"/>
      <c r="Y3854" s="7"/>
      <c r="Z3854" s="2"/>
      <c r="AA3854" s="1"/>
      <c r="AC3854" s="2"/>
      <c r="AE3854" s="1"/>
      <c r="AG3854" s="2"/>
    </row>
    <row r="3855" spans="24:33" ht="49.95" customHeight="1" x14ac:dyDescent="0.3">
      <c r="X3855" s="2"/>
      <c r="Y3855" s="7"/>
      <c r="Z3855" s="2"/>
      <c r="AA3855" s="1"/>
      <c r="AC3855" s="2"/>
      <c r="AE3855" s="1"/>
      <c r="AG3855" s="2"/>
    </row>
    <row r="3856" spans="24:33" ht="49.95" customHeight="1" x14ac:dyDescent="0.3">
      <c r="X3856" s="2"/>
      <c r="Y3856" s="7"/>
      <c r="Z3856" s="2"/>
      <c r="AA3856" s="1"/>
      <c r="AC3856" s="2"/>
      <c r="AE3856" s="1"/>
      <c r="AG3856" s="2"/>
    </row>
    <row r="3857" spans="24:33" ht="49.95" customHeight="1" x14ac:dyDescent="0.3">
      <c r="X3857" s="2"/>
      <c r="Y3857" s="7"/>
      <c r="Z3857" s="2"/>
      <c r="AA3857" s="1"/>
      <c r="AC3857" s="2"/>
      <c r="AE3857" s="1"/>
      <c r="AG3857" s="2"/>
    </row>
    <row r="3858" spans="24:33" ht="49.95" customHeight="1" x14ac:dyDescent="0.3">
      <c r="X3858" s="2"/>
      <c r="Y3858" s="7"/>
      <c r="Z3858" s="2"/>
      <c r="AA3858" s="1"/>
      <c r="AC3858" s="2"/>
      <c r="AE3858" s="1"/>
      <c r="AG3858" s="2"/>
    </row>
    <row r="3859" spans="24:33" ht="49.95" customHeight="1" x14ac:dyDescent="0.3">
      <c r="X3859" s="2"/>
      <c r="Y3859" s="7"/>
      <c r="Z3859" s="2"/>
      <c r="AA3859" s="1"/>
      <c r="AC3859" s="2"/>
      <c r="AE3859" s="1"/>
      <c r="AG3859" s="2"/>
    </row>
    <row r="3860" spans="24:33" ht="49.95" customHeight="1" x14ac:dyDescent="0.3">
      <c r="X3860" s="2"/>
      <c r="Y3860" s="7"/>
      <c r="Z3860" s="2"/>
      <c r="AA3860" s="1"/>
      <c r="AC3860" s="2"/>
      <c r="AE3860" s="1"/>
      <c r="AG3860" s="2"/>
    </row>
    <row r="3861" spans="24:33" ht="49.95" customHeight="1" x14ac:dyDescent="0.3">
      <c r="X3861" s="2"/>
      <c r="Y3861" s="7"/>
      <c r="Z3861" s="2"/>
      <c r="AA3861" s="1"/>
      <c r="AC3861" s="2"/>
      <c r="AE3861" s="1"/>
      <c r="AG3861" s="2"/>
    </row>
    <row r="3862" spans="24:33" ht="49.95" customHeight="1" x14ac:dyDescent="0.3">
      <c r="X3862" s="2"/>
      <c r="Y3862" s="7"/>
      <c r="Z3862" s="2"/>
      <c r="AA3862" s="1"/>
      <c r="AC3862" s="2"/>
      <c r="AE3862" s="1"/>
      <c r="AG3862" s="2"/>
    </row>
    <row r="3863" spans="24:33" ht="42.6" customHeight="1" x14ac:dyDescent="0.3">
      <c r="X3863" s="2"/>
      <c r="Y3863" s="7"/>
      <c r="Z3863" s="2"/>
      <c r="AA3863" s="1"/>
      <c r="AC3863" s="2"/>
      <c r="AE3863" s="1"/>
      <c r="AG3863" s="2"/>
    </row>
    <row r="3864" spans="24:33" ht="44.4" customHeight="1" x14ac:dyDescent="0.3">
      <c r="X3864" s="2"/>
      <c r="Y3864" s="7"/>
      <c r="Z3864" s="2"/>
      <c r="AA3864" s="1"/>
      <c r="AC3864" s="2"/>
      <c r="AE3864" s="1"/>
      <c r="AG3864" s="2"/>
    </row>
    <row r="3865" spans="24:33" ht="43.95" customHeight="1" x14ac:dyDescent="0.3">
      <c r="X3865" s="2"/>
      <c r="Y3865" s="7"/>
      <c r="Z3865" s="2"/>
      <c r="AA3865" s="1"/>
      <c r="AC3865" s="2"/>
      <c r="AE3865" s="1"/>
      <c r="AG3865" s="2"/>
    </row>
    <row r="3866" spans="24:33" ht="43.95" customHeight="1" x14ac:dyDescent="0.3">
      <c r="X3866" s="178"/>
      <c r="Y3866" s="7"/>
      <c r="Z3866" s="2"/>
      <c r="AA3866" s="1"/>
      <c r="AC3866" s="2"/>
      <c r="AE3866" s="1"/>
      <c r="AG3866" s="2"/>
    </row>
    <row r="3867" spans="24:33" ht="43.95" customHeight="1" x14ac:dyDescent="0.3">
      <c r="X3867" s="2"/>
      <c r="Y3867" s="7"/>
      <c r="Z3867" s="2"/>
      <c r="AA3867" s="1"/>
      <c r="AC3867" s="2"/>
      <c r="AE3867" s="1"/>
      <c r="AG3867" s="2"/>
    </row>
    <row r="3868" spans="24:33" ht="43.95" customHeight="1" x14ac:dyDescent="0.3">
      <c r="X3868" s="2"/>
      <c r="Y3868" s="7"/>
      <c r="Z3868" s="2"/>
      <c r="AA3868" s="1"/>
      <c r="AC3868" s="2"/>
      <c r="AE3868" s="1"/>
      <c r="AG3868" s="2"/>
    </row>
    <row r="3869" spans="24:33" ht="43.95" customHeight="1" x14ac:dyDescent="0.3">
      <c r="X3869" s="2"/>
      <c r="Y3869" s="7"/>
      <c r="Z3869" s="2"/>
      <c r="AA3869" s="1"/>
      <c r="AC3869" s="2"/>
      <c r="AE3869" s="1"/>
      <c r="AG3869" s="2"/>
    </row>
    <row r="3870" spans="24:33" ht="43.95" customHeight="1" x14ac:dyDescent="0.3">
      <c r="X3870" s="2"/>
      <c r="Y3870" s="7"/>
      <c r="Z3870" s="2"/>
      <c r="AA3870" s="1"/>
      <c r="AC3870" s="2"/>
      <c r="AE3870" s="1"/>
      <c r="AG3870" s="2"/>
    </row>
    <row r="3871" spans="24:33" ht="43.95" customHeight="1" x14ac:dyDescent="0.3">
      <c r="X3871" s="2"/>
      <c r="Y3871" s="7"/>
      <c r="Z3871" s="2"/>
      <c r="AA3871" s="1"/>
      <c r="AC3871" s="2"/>
      <c r="AE3871" s="1"/>
      <c r="AG3871" s="2"/>
    </row>
    <row r="3872" spans="24:33" ht="43.95" customHeight="1" x14ac:dyDescent="0.3">
      <c r="X3872" s="2"/>
      <c r="Y3872" s="7"/>
      <c r="Z3872" s="2"/>
      <c r="AA3872" s="1"/>
      <c r="AC3872" s="2"/>
      <c r="AE3872" s="1"/>
      <c r="AG3872" s="2"/>
    </row>
    <row r="3873" spans="24:33" ht="43.95" customHeight="1" x14ac:dyDescent="0.3">
      <c r="X3873" s="2"/>
      <c r="Y3873" s="7"/>
      <c r="Z3873" s="2"/>
      <c r="AA3873" s="1"/>
      <c r="AC3873" s="2"/>
      <c r="AE3873" s="1"/>
      <c r="AG3873" s="2"/>
    </row>
    <row r="3874" spans="24:33" ht="43.95" customHeight="1" x14ac:dyDescent="0.3">
      <c r="X3874" s="2"/>
      <c r="Y3874" s="7"/>
      <c r="Z3874" s="2"/>
      <c r="AA3874" s="1"/>
      <c r="AC3874" s="2"/>
      <c r="AE3874" s="1"/>
      <c r="AG3874" s="2"/>
    </row>
    <row r="3875" spans="24:33" ht="43.95" customHeight="1" x14ac:dyDescent="0.3">
      <c r="X3875" s="2"/>
      <c r="Y3875" s="7"/>
      <c r="Z3875" s="2"/>
      <c r="AA3875" s="1"/>
      <c r="AC3875" s="2"/>
      <c r="AE3875" s="1"/>
      <c r="AG3875" s="2"/>
    </row>
    <row r="3876" spans="24:33" ht="43.95" customHeight="1" x14ac:dyDescent="0.3">
      <c r="X3876" s="2"/>
      <c r="Y3876" s="7"/>
      <c r="Z3876" s="2"/>
      <c r="AA3876" s="1"/>
      <c r="AC3876" s="2"/>
      <c r="AE3876" s="1"/>
      <c r="AG3876" s="2"/>
    </row>
    <row r="3877" spans="24:33" ht="43.95" customHeight="1" x14ac:dyDescent="0.3">
      <c r="X3877" s="2"/>
      <c r="Y3877" s="7"/>
      <c r="Z3877" s="2"/>
      <c r="AA3877" s="1"/>
      <c r="AC3877" s="2"/>
      <c r="AE3877" s="1"/>
      <c r="AG3877" s="2"/>
    </row>
    <row r="3878" spans="24:33" ht="43.95" customHeight="1" x14ac:dyDescent="0.3">
      <c r="X3878" s="2"/>
      <c r="Y3878" s="7"/>
      <c r="Z3878" s="2"/>
      <c r="AA3878" s="1"/>
      <c r="AC3878" s="2"/>
      <c r="AE3878" s="1"/>
      <c r="AG3878" s="2"/>
    </row>
    <row r="3879" spans="24:33" ht="43.95" customHeight="1" x14ac:dyDescent="0.3">
      <c r="X3879" s="2"/>
      <c r="Y3879" s="7"/>
      <c r="Z3879" s="2"/>
      <c r="AA3879" s="1"/>
      <c r="AC3879" s="2"/>
      <c r="AE3879" s="1"/>
      <c r="AG3879" s="2"/>
    </row>
    <row r="3880" spans="24:33" ht="43.95" customHeight="1" x14ac:dyDescent="0.3">
      <c r="X3880" s="2"/>
      <c r="Y3880" s="7"/>
      <c r="Z3880" s="2"/>
      <c r="AA3880" s="1"/>
      <c r="AC3880" s="2"/>
      <c r="AE3880" s="1"/>
      <c r="AG3880" s="2"/>
    </row>
    <row r="3881" spans="24:33" ht="43.95" customHeight="1" x14ac:dyDescent="0.3">
      <c r="X3881" s="2"/>
      <c r="Y3881" s="7"/>
      <c r="Z3881" s="2"/>
      <c r="AA3881" s="1"/>
      <c r="AC3881" s="2"/>
      <c r="AE3881" s="1"/>
      <c r="AG3881" s="2"/>
    </row>
    <row r="3882" spans="24:33" ht="43.95" customHeight="1" x14ac:dyDescent="0.3">
      <c r="X3882" s="179"/>
      <c r="Y3882" s="7"/>
      <c r="Z3882" s="2"/>
      <c r="AA3882" s="1"/>
      <c r="AC3882" s="2"/>
      <c r="AE3882" s="1"/>
      <c r="AG3882" s="2"/>
    </row>
    <row r="3883" spans="24:33" ht="43.95" customHeight="1" x14ac:dyDescent="0.3">
      <c r="X3883" s="2"/>
      <c r="Y3883" s="7"/>
      <c r="Z3883" s="2"/>
      <c r="AA3883" s="1"/>
      <c r="AC3883" s="2"/>
      <c r="AE3883" s="1"/>
      <c r="AG3883" s="2"/>
    </row>
    <row r="3884" spans="24:33" ht="43.95" customHeight="1" x14ac:dyDescent="0.3">
      <c r="X3884" s="2"/>
      <c r="Y3884" s="7"/>
      <c r="Z3884" s="2"/>
      <c r="AA3884" s="1"/>
      <c r="AC3884" s="2"/>
      <c r="AE3884" s="1"/>
      <c r="AG3884" s="2"/>
    </row>
    <row r="3885" spans="24:33" ht="43.95" customHeight="1" x14ac:dyDescent="0.3">
      <c r="X3885" s="2"/>
      <c r="Y3885" s="7"/>
      <c r="Z3885" s="2"/>
      <c r="AA3885" s="1"/>
      <c r="AC3885" s="2"/>
      <c r="AE3885" s="1"/>
      <c r="AG3885" s="2"/>
    </row>
    <row r="3886" spans="24:33" ht="43.95" customHeight="1" x14ac:dyDescent="0.3">
      <c r="X3886" s="2"/>
      <c r="Y3886" s="7"/>
      <c r="Z3886" s="2"/>
      <c r="AA3886" s="1"/>
      <c r="AC3886" s="2"/>
      <c r="AE3886" s="1"/>
      <c r="AG3886" s="2"/>
    </row>
    <row r="3887" spans="24:33" ht="43.95" customHeight="1" x14ac:dyDescent="0.3">
      <c r="X3887" s="2"/>
      <c r="Y3887" s="7"/>
      <c r="Z3887" s="2"/>
      <c r="AA3887" s="1"/>
      <c r="AC3887" s="2"/>
      <c r="AE3887" s="1"/>
      <c r="AG3887" s="2"/>
    </row>
    <row r="3888" spans="24:33" ht="43.95" customHeight="1" x14ac:dyDescent="0.3">
      <c r="X3888" s="2"/>
      <c r="Y3888" s="7"/>
      <c r="Z3888" s="2"/>
      <c r="AA3888" s="1"/>
      <c r="AC3888" s="2"/>
      <c r="AE3888" s="1"/>
      <c r="AG3888" s="2"/>
    </row>
    <row r="3889" spans="24:33" ht="43.95" customHeight="1" x14ac:dyDescent="0.3">
      <c r="X3889" s="2"/>
      <c r="Y3889" s="7"/>
      <c r="Z3889" s="2"/>
      <c r="AA3889" s="1"/>
      <c r="AC3889" s="2"/>
      <c r="AE3889" s="1"/>
      <c r="AG3889" s="2"/>
    </row>
    <row r="3890" spans="24:33" ht="43.95" customHeight="1" x14ac:dyDescent="0.3">
      <c r="X3890" s="2"/>
      <c r="Y3890" s="7"/>
      <c r="Z3890" s="2"/>
      <c r="AA3890" s="1"/>
      <c r="AC3890" s="2"/>
      <c r="AE3890" s="1"/>
      <c r="AG3890" s="2"/>
    </row>
    <row r="3891" spans="24:33" ht="43.95" customHeight="1" x14ac:dyDescent="0.3">
      <c r="X3891" s="2"/>
      <c r="Y3891" s="7"/>
      <c r="Z3891" s="2"/>
      <c r="AA3891" s="1"/>
      <c r="AC3891" s="2"/>
      <c r="AE3891" s="1"/>
      <c r="AG3891" s="2"/>
    </row>
    <row r="3892" spans="24:33" ht="43.95" customHeight="1" x14ac:dyDescent="0.3">
      <c r="X3892" s="2"/>
      <c r="Y3892" s="7"/>
      <c r="Z3892" s="2"/>
      <c r="AA3892" s="1"/>
      <c r="AC3892" s="2"/>
      <c r="AE3892" s="1"/>
      <c r="AG3892" s="2"/>
    </row>
    <row r="3893" spans="24:33" ht="43.95" customHeight="1" x14ac:dyDescent="0.3">
      <c r="X3893" s="2"/>
      <c r="Y3893" s="7"/>
      <c r="Z3893" s="2"/>
      <c r="AA3893" s="1"/>
      <c r="AC3893" s="2"/>
      <c r="AE3893" s="1"/>
      <c r="AG3893" s="2"/>
    </row>
    <row r="3894" spans="24:33" ht="43.95" customHeight="1" x14ac:dyDescent="0.3">
      <c r="X3894" s="2"/>
      <c r="Y3894" s="7"/>
      <c r="Z3894" s="2"/>
      <c r="AA3894" s="1"/>
      <c r="AC3894" s="2"/>
      <c r="AE3894" s="1"/>
      <c r="AG3894" s="2"/>
    </row>
    <row r="3895" spans="24:33" ht="43.95" customHeight="1" x14ac:dyDescent="0.3">
      <c r="X3895" s="2"/>
      <c r="Y3895" s="7"/>
      <c r="Z3895" s="2"/>
      <c r="AA3895" s="1"/>
      <c r="AC3895" s="2"/>
      <c r="AE3895" s="1"/>
      <c r="AG3895" s="2"/>
    </row>
    <row r="3896" spans="24:33" ht="43.95" customHeight="1" x14ac:dyDescent="0.3">
      <c r="X3896" s="2"/>
      <c r="Y3896" s="7"/>
      <c r="Z3896" s="2"/>
      <c r="AA3896" s="1"/>
      <c r="AC3896" s="2"/>
      <c r="AE3896" s="1"/>
      <c r="AG3896" s="2"/>
    </row>
    <row r="3897" spans="24:33" ht="43.95" customHeight="1" x14ac:dyDescent="0.3">
      <c r="X3897" s="2"/>
      <c r="Y3897" s="7"/>
      <c r="Z3897" s="2"/>
      <c r="AA3897" s="1"/>
      <c r="AC3897" s="2"/>
      <c r="AE3897" s="1"/>
      <c r="AG3897" s="2"/>
    </row>
    <row r="3898" spans="24:33" ht="43.95" customHeight="1" x14ac:dyDescent="0.3">
      <c r="X3898" s="2"/>
      <c r="Y3898" s="7"/>
      <c r="Z3898" s="2"/>
      <c r="AA3898" s="1"/>
      <c r="AC3898" s="2"/>
      <c r="AE3898" s="1"/>
      <c r="AG3898" s="2"/>
    </row>
    <row r="3899" spans="24:33" ht="43.95" customHeight="1" x14ac:dyDescent="0.3">
      <c r="X3899" s="180"/>
      <c r="Y3899" s="7"/>
      <c r="Z3899" s="2"/>
      <c r="AA3899" s="1"/>
      <c r="AC3899" s="2"/>
      <c r="AE3899" s="1"/>
      <c r="AG3899" s="2"/>
    </row>
    <row r="3900" spans="24:33" ht="43.95" customHeight="1" x14ac:dyDescent="0.3">
      <c r="X3900" s="180"/>
      <c r="Y3900" s="7"/>
      <c r="Z3900" s="2"/>
      <c r="AA3900" s="1"/>
      <c r="AC3900" s="2"/>
      <c r="AE3900" s="1"/>
      <c r="AG3900" s="2"/>
    </row>
    <row r="3901" spans="24:33" ht="43.95" customHeight="1" x14ac:dyDescent="0.3">
      <c r="X3901" s="2"/>
      <c r="Y3901" s="7"/>
      <c r="Z3901" s="2"/>
      <c r="AA3901" s="1"/>
      <c r="AC3901" s="2"/>
      <c r="AE3901" s="1"/>
      <c r="AG3901" s="2"/>
    </row>
    <row r="3902" spans="24:33" ht="43.95" customHeight="1" x14ac:dyDescent="0.3">
      <c r="X3902" s="2"/>
      <c r="Y3902" s="7"/>
      <c r="Z3902" s="2"/>
      <c r="AA3902" s="1"/>
      <c r="AC3902" s="2"/>
      <c r="AE3902" s="1"/>
      <c r="AG3902" s="2"/>
    </row>
    <row r="3903" spans="24:33" ht="43.95" customHeight="1" x14ac:dyDescent="0.3">
      <c r="X3903" s="2"/>
      <c r="Y3903" s="7"/>
      <c r="Z3903" s="2"/>
      <c r="AA3903" s="1"/>
      <c r="AC3903" s="2"/>
      <c r="AE3903" s="1"/>
      <c r="AG3903" s="2"/>
    </row>
    <row r="3904" spans="24:33" ht="43.95" customHeight="1" x14ac:dyDescent="0.3">
      <c r="X3904" s="2"/>
      <c r="Y3904" s="7"/>
      <c r="Z3904" s="2"/>
      <c r="AA3904" s="1"/>
      <c r="AC3904" s="2"/>
      <c r="AE3904" s="1"/>
      <c r="AG3904" s="2"/>
    </row>
    <row r="3905" spans="24:33" ht="43.95" customHeight="1" x14ac:dyDescent="0.3">
      <c r="X3905" s="2"/>
      <c r="Y3905" s="7"/>
      <c r="Z3905" s="2"/>
      <c r="AA3905" s="1"/>
      <c r="AC3905" s="2"/>
      <c r="AE3905" s="1"/>
      <c r="AG3905" s="2"/>
    </row>
    <row r="3906" spans="24:33" ht="43.95" customHeight="1" x14ac:dyDescent="0.3">
      <c r="X3906" s="2"/>
      <c r="Y3906" s="7"/>
      <c r="Z3906" s="2"/>
      <c r="AA3906" s="1"/>
      <c r="AC3906" s="2"/>
      <c r="AE3906" s="1"/>
      <c r="AG3906" s="2"/>
    </row>
    <row r="3907" spans="24:33" ht="43.95" customHeight="1" x14ac:dyDescent="0.3">
      <c r="X3907" s="2"/>
      <c r="Y3907" s="7"/>
      <c r="Z3907" s="2"/>
      <c r="AA3907" s="1"/>
      <c r="AC3907" s="2"/>
      <c r="AE3907" s="1"/>
      <c r="AG3907" s="2"/>
    </row>
    <row r="3908" spans="24:33" ht="43.95" customHeight="1" x14ac:dyDescent="0.3">
      <c r="X3908" s="2"/>
      <c r="Y3908" s="7"/>
      <c r="Z3908" s="2"/>
      <c r="AA3908" s="1"/>
      <c r="AC3908" s="2"/>
      <c r="AE3908" s="1"/>
      <c r="AG3908" s="2"/>
    </row>
    <row r="3909" spans="24:33" ht="43.95" customHeight="1" x14ac:dyDescent="0.3">
      <c r="X3909" s="2"/>
      <c r="Y3909" s="7"/>
      <c r="Z3909" s="2"/>
      <c r="AA3909" s="1"/>
      <c r="AC3909" s="2"/>
      <c r="AE3909" s="1"/>
      <c r="AG3909" s="2"/>
    </row>
    <row r="3910" spans="24:33" ht="43.95" customHeight="1" x14ac:dyDescent="0.3">
      <c r="X3910" s="2"/>
      <c r="Y3910" s="7"/>
      <c r="Z3910" s="2"/>
      <c r="AA3910" s="1"/>
      <c r="AC3910" s="2"/>
      <c r="AE3910" s="1"/>
      <c r="AG3910" s="2"/>
    </row>
    <row r="3911" spans="24:33" ht="43.95" customHeight="1" x14ac:dyDescent="0.3">
      <c r="X3911" s="2"/>
      <c r="Y3911" s="7"/>
      <c r="Z3911" s="2"/>
      <c r="AA3911" s="1"/>
      <c r="AC3911" s="2"/>
      <c r="AE3911" s="1"/>
      <c r="AG3911" s="2"/>
    </row>
    <row r="3912" spans="24:33" ht="43.95" customHeight="1" x14ac:dyDescent="0.3">
      <c r="X3912" s="2"/>
      <c r="Y3912" s="7"/>
      <c r="Z3912" s="2"/>
      <c r="AA3912" s="1"/>
      <c r="AC3912" s="2"/>
      <c r="AE3912" s="1"/>
      <c r="AG3912" s="2"/>
    </row>
    <row r="3913" spans="24:33" ht="43.95" customHeight="1" x14ac:dyDescent="0.3">
      <c r="X3913" s="2"/>
      <c r="Y3913" s="7"/>
      <c r="Z3913" s="2"/>
      <c r="AA3913" s="1"/>
      <c r="AC3913" s="2"/>
      <c r="AE3913" s="1"/>
      <c r="AG3913" s="2"/>
    </row>
    <row r="3914" spans="24:33" ht="43.95" customHeight="1" x14ac:dyDescent="0.3">
      <c r="X3914" s="2"/>
      <c r="Y3914" s="7"/>
      <c r="Z3914" s="2"/>
      <c r="AA3914" s="1"/>
      <c r="AC3914" s="2"/>
      <c r="AE3914" s="1"/>
      <c r="AG3914" s="2"/>
    </row>
    <row r="3915" spans="24:33" ht="43.95" customHeight="1" x14ac:dyDescent="0.3">
      <c r="X3915" s="2"/>
      <c r="Y3915" s="7"/>
      <c r="Z3915" s="2"/>
      <c r="AA3915" s="1"/>
      <c r="AC3915" s="2"/>
      <c r="AE3915" s="1"/>
      <c r="AG3915" s="2"/>
    </row>
    <row r="3916" spans="24:33" ht="43.95" customHeight="1" x14ac:dyDescent="0.3">
      <c r="X3916" s="2"/>
      <c r="Y3916" s="7"/>
      <c r="Z3916" s="2"/>
      <c r="AA3916" s="1"/>
      <c r="AC3916" s="2"/>
      <c r="AE3916" s="1"/>
      <c r="AG3916" s="2"/>
    </row>
    <row r="3917" spans="24:33" ht="43.95" customHeight="1" x14ac:dyDescent="0.3">
      <c r="X3917" s="2"/>
      <c r="Y3917" s="7"/>
      <c r="Z3917" s="2"/>
      <c r="AA3917" s="1"/>
      <c r="AC3917" s="2"/>
      <c r="AE3917" s="1"/>
      <c r="AG3917" s="2"/>
    </row>
    <row r="3918" spans="24:33" ht="43.95" customHeight="1" x14ac:dyDescent="0.3">
      <c r="X3918" s="2"/>
      <c r="Y3918" s="7"/>
      <c r="Z3918" s="2"/>
      <c r="AA3918" s="1"/>
      <c r="AC3918" s="2"/>
      <c r="AE3918" s="1"/>
      <c r="AG3918" s="2"/>
    </row>
    <row r="3919" spans="24:33" ht="43.95" customHeight="1" x14ac:dyDescent="0.3">
      <c r="X3919" s="2"/>
      <c r="Y3919" s="7"/>
      <c r="Z3919" s="2"/>
      <c r="AA3919" s="1"/>
      <c r="AC3919" s="2"/>
      <c r="AE3919" s="1"/>
      <c r="AG3919" s="2"/>
    </row>
    <row r="3920" spans="24:33" ht="43.95" customHeight="1" x14ac:dyDescent="0.3">
      <c r="X3920" s="2"/>
      <c r="Y3920" s="7"/>
      <c r="Z3920" s="2"/>
      <c r="AA3920" s="1"/>
      <c r="AC3920" s="2"/>
      <c r="AE3920" s="1"/>
      <c r="AG3920" s="2"/>
    </row>
    <row r="3921" spans="24:33" ht="43.95" customHeight="1" x14ac:dyDescent="0.3">
      <c r="X3921" s="2"/>
      <c r="Y3921" s="7"/>
      <c r="Z3921" s="2"/>
      <c r="AA3921" s="1"/>
      <c r="AC3921" s="2"/>
      <c r="AE3921" s="1"/>
      <c r="AG3921" s="2"/>
    </row>
    <row r="3922" spans="24:33" ht="43.95" customHeight="1" x14ac:dyDescent="0.3">
      <c r="X3922" s="2"/>
      <c r="Y3922" s="7"/>
      <c r="Z3922" s="2"/>
      <c r="AA3922" s="1"/>
      <c r="AC3922" s="2"/>
      <c r="AE3922" s="1"/>
      <c r="AG3922" s="2"/>
    </row>
    <row r="3923" spans="24:33" ht="43.95" customHeight="1" x14ac:dyDescent="0.3">
      <c r="X3923" s="2"/>
      <c r="Y3923" s="7"/>
      <c r="Z3923" s="2"/>
      <c r="AA3923" s="1"/>
      <c r="AC3923" s="2"/>
      <c r="AE3923" s="1"/>
      <c r="AG3923" s="2"/>
    </row>
    <row r="3924" spans="24:33" ht="43.95" customHeight="1" x14ac:dyDescent="0.3">
      <c r="X3924" s="2"/>
      <c r="Y3924" s="7"/>
      <c r="Z3924" s="2"/>
      <c r="AA3924" s="1"/>
      <c r="AC3924" s="2"/>
      <c r="AE3924" s="1"/>
      <c r="AG3924" s="2"/>
    </row>
    <row r="3925" spans="24:33" ht="43.95" customHeight="1" x14ac:dyDescent="0.3">
      <c r="X3925" s="2"/>
      <c r="Y3925" s="7"/>
      <c r="Z3925" s="2"/>
      <c r="AA3925" s="1"/>
      <c r="AC3925" s="2"/>
      <c r="AE3925" s="1"/>
      <c r="AG3925" s="2"/>
    </row>
    <row r="3926" spans="24:33" ht="43.95" customHeight="1" x14ac:dyDescent="0.3">
      <c r="X3926" s="2"/>
      <c r="Y3926" s="7"/>
      <c r="Z3926" s="2"/>
      <c r="AA3926" s="1"/>
      <c r="AC3926" s="2"/>
      <c r="AE3926" s="1"/>
      <c r="AG3926" s="2"/>
    </row>
    <row r="3927" spans="24:33" ht="43.95" customHeight="1" x14ac:dyDescent="0.3">
      <c r="X3927" s="2"/>
      <c r="Y3927" s="7"/>
      <c r="Z3927" s="2"/>
      <c r="AA3927" s="1"/>
      <c r="AC3927" s="2"/>
      <c r="AE3927" s="1"/>
      <c r="AG3927" s="2"/>
    </row>
    <row r="3928" spans="24:33" ht="43.95" customHeight="1" x14ac:dyDescent="0.3">
      <c r="X3928" s="2"/>
      <c r="Y3928" s="7"/>
      <c r="Z3928" s="2"/>
      <c r="AA3928" s="1"/>
      <c r="AC3928" s="2"/>
      <c r="AE3928" s="1"/>
      <c r="AG3928" s="2"/>
    </row>
    <row r="3929" spans="24:33" ht="43.95" customHeight="1" x14ac:dyDescent="0.3">
      <c r="X3929" s="2"/>
      <c r="Y3929" s="7"/>
      <c r="Z3929" s="2"/>
      <c r="AA3929" s="1"/>
      <c r="AC3929" s="2"/>
      <c r="AE3929" s="1"/>
      <c r="AG3929" s="2"/>
    </row>
    <row r="3930" spans="24:33" ht="43.95" customHeight="1" x14ac:dyDescent="0.3">
      <c r="X3930" s="2"/>
      <c r="Y3930" s="7"/>
      <c r="Z3930" s="2"/>
      <c r="AA3930" s="1"/>
      <c r="AC3930" s="2"/>
      <c r="AE3930" s="1"/>
      <c r="AG3930" s="2"/>
    </row>
    <row r="3931" spans="24:33" ht="43.95" customHeight="1" x14ac:dyDescent="0.3">
      <c r="X3931" s="2"/>
      <c r="Y3931" s="7"/>
      <c r="Z3931" s="2"/>
      <c r="AA3931" s="1"/>
      <c r="AC3931" s="2"/>
      <c r="AE3931" s="1"/>
      <c r="AG3931" s="2"/>
    </row>
    <row r="3932" spans="24:33" ht="43.95" customHeight="1" x14ac:dyDescent="0.3">
      <c r="X3932" s="2"/>
      <c r="Y3932" s="7"/>
      <c r="Z3932" s="2"/>
      <c r="AA3932" s="1"/>
      <c r="AC3932" s="2"/>
      <c r="AE3932" s="1"/>
      <c r="AG3932" s="2"/>
    </row>
    <row r="3933" spans="24:33" ht="43.95" customHeight="1" x14ac:dyDescent="0.3">
      <c r="X3933" s="2"/>
      <c r="Y3933" s="7"/>
      <c r="Z3933" s="2"/>
      <c r="AA3933" s="1"/>
      <c r="AC3933" s="2"/>
      <c r="AE3933" s="1"/>
      <c r="AG3933" s="2"/>
    </row>
    <row r="3934" spans="24:33" ht="43.95" customHeight="1" x14ac:dyDescent="0.3">
      <c r="X3934" s="2"/>
      <c r="Y3934" s="7"/>
      <c r="Z3934" s="2"/>
      <c r="AA3934" s="1"/>
      <c r="AC3934" s="2"/>
      <c r="AE3934" s="1"/>
      <c r="AG3934" s="2"/>
    </row>
    <row r="3935" spans="24:33" ht="43.95" customHeight="1" x14ac:dyDescent="0.3">
      <c r="X3935" s="2"/>
      <c r="Y3935" s="7"/>
      <c r="Z3935" s="2"/>
      <c r="AA3935" s="1"/>
      <c r="AC3935" s="2"/>
      <c r="AE3935" s="1"/>
      <c r="AG3935" s="2"/>
    </row>
    <row r="3936" spans="24:33" ht="43.95" customHeight="1" x14ac:dyDescent="0.3">
      <c r="X3936" s="2"/>
      <c r="Y3936" s="7"/>
      <c r="Z3936" s="2"/>
      <c r="AA3936" s="1"/>
      <c r="AC3936" s="2"/>
      <c r="AE3936" s="1"/>
      <c r="AG3936" s="2"/>
    </row>
    <row r="3937" spans="24:33" ht="43.95" customHeight="1" x14ac:dyDescent="0.3">
      <c r="X3937" s="180"/>
      <c r="Y3937" s="7"/>
      <c r="Z3937" s="2"/>
      <c r="AA3937" s="1"/>
      <c r="AC3937" s="2"/>
      <c r="AE3937" s="1"/>
      <c r="AG3937" s="2"/>
    </row>
    <row r="3938" spans="24:33" ht="43.95" customHeight="1" x14ac:dyDescent="0.3">
      <c r="X3938" s="180"/>
      <c r="Y3938" s="7"/>
      <c r="Z3938" s="2"/>
      <c r="AA3938" s="1"/>
      <c r="AC3938" s="2"/>
      <c r="AE3938" s="1"/>
      <c r="AG3938" s="2"/>
    </row>
    <row r="3939" spans="24:33" ht="43.95" customHeight="1" x14ac:dyDescent="0.3">
      <c r="X3939" s="2"/>
      <c r="Y3939" s="7"/>
      <c r="Z3939" s="2"/>
      <c r="AA3939" s="1"/>
      <c r="AC3939" s="2"/>
      <c r="AE3939" s="1"/>
      <c r="AG3939" s="2"/>
    </row>
    <row r="3940" spans="24:33" ht="43.95" customHeight="1" x14ac:dyDescent="0.3">
      <c r="X3940" s="2"/>
      <c r="Y3940" s="7"/>
      <c r="Z3940" s="2"/>
      <c r="AA3940" s="1"/>
      <c r="AC3940" s="2"/>
      <c r="AE3940" s="1"/>
      <c r="AG3940" s="2"/>
    </row>
    <row r="3941" spans="24:33" ht="43.95" customHeight="1" x14ac:dyDescent="0.3">
      <c r="X3941" s="2"/>
      <c r="Y3941" s="7"/>
      <c r="Z3941" s="2"/>
      <c r="AA3941" s="1"/>
      <c r="AC3941" s="2"/>
      <c r="AE3941" s="1"/>
      <c r="AG3941" s="2"/>
    </row>
    <row r="3942" spans="24:33" ht="43.95" customHeight="1" x14ac:dyDescent="0.3">
      <c r="X3942" s="2"/>
      <c r="Y3942" s="7"/>
      <c r="Z3942" s="2"/>
      <c r="AA3942" s="1"/>
      <c r="AC3942" s="2"/>
      <c r="AE3942" s="1"/>
      <c r="AG3942" s="2"/>
    </row>
    <row r="3943" spans="24:33" ht="43.95" customHeight="1" x14ac:dyDescent="0.3">
      <c r="X3943" s="2"/>
      <c r="Y3943" s="7"/>
      <c r="Z3943" s="2"/>
      <c r="AA3943" s="1"/>
      <c r="AC3943" s="2"/>
      <c r="AE3943" s="1"/>
      <c r="AG3943" s="2"/>
    </row>
    <row r="3944" spans="24:33" ht="43.95" customHeight="1" x14ac:dyDescent="0.3">
      <c r="X3944" s="2"/>
      <c r="Y3944" s="7"/>
      <c r="Z3944" s="2"/>
      <c r="AA3944" s="1"/>
      <c r="AC3944" s="2"/>
      <c r="AE3944" s="1"/>
      <c r="AG3944" s="2"/>
    </row>
    <row r="3945" spans="24:33" ht="43.95" customHeight="1" x14ac:dyDescent="0.3">
      <c r="X3945" s="2"/>
      <c r="Y3945" s="7"/>
      <c r="Z3945" s="2"/>
      <c r="AA3945" s="1"/>
      <c r="AC3945" s="2"/>
      <c r="AE3945" s="1"/>
      <c r="AG3945" s="2"/>
    </row>
    <row r="3946" spans="24:33" ht="43.95" customHeight="1" x14ac:dyDescent="0.3">
      <c r="X3946" s="2"/>
      <c r="Y3946" s="7"/>
      <c r="Z3946" s="2"/>
      <c r="AA3946" s="1"/>
      <c r="AC3946" s="2"/>
      <c r="AE3946" s="1"/>
      <c r="AG3946" s="2"/>
    </row>
    <row r="3947" spans="24:33" ht="43.95" customHeight="1" x14ac:dyDescent="0.3">
      <c r="X3947" s="2"/>
      <c r="Y3947" s="7"/>
      <c r="Z3947" s="2"/>
      <c r="AA3947" s="1"/>
      <c r="AC3947" s="2"/>
      <c r="AE3947" s="1"/>
      <c r="AG3947" s="2"/>
    </row>
    <row r="3948" spans="24:33" ht="43.95" customHeight="1" x14ac:dyDescent="0.3">
      <c r="X3948" s="2"/>
      <c r="Y3948" s="7"/>
      <c r="Z3948" s="2"/>
      <c r="AA3948" s="1"/>
      <c r="AC3948" s="2"/>
      <c r="AE3948" s="1"/>
      <c r="AG3948" s="2"/>
    </row>
    <row r="3949" spans="24:33" ht="43.95" customHeight="1" x14ac:dyDescent="0.3">
      <c r="X3949" s="2"/>
      <c r="Y3949" s="7"/>
      <c r="Z3949" s="2"/>
      <c r="AA3949" s="1"/>
      <c r="AC3949" s="2"/>
      <c r="AE3949" s="1"/>
      <c r="AG3949" s="2"/>
    </row>
    <row r="3950" spans="24:33" ht="43.95" customHeight="1" x14ac:dyDescent="0.3">
      <c r="X3950" s="2"/>
      <c r="Y3950" s="7"/>
      <c r="Z3950" s="2"/>
      <c r="AA3950" s="1"/>
      <c r="AC3950" s="2"/>
      <c r="AE3950" s="1"/>
      <c r="AG3950" s="2"/>
    </row>
    <row r="3951" spans="24:33" ht="43.95" customHeight="1" x14ac:dyDescent="0.3">
      <c r="X3951" s="2"/>
      <c r="Y3951" s="7"/>
      <c r="Z3951" s="2"/>
      <c r="AA3951" s="1"/>
      <c r="AC3951" s="2"/>
      <c r="AE3951" s="1"/>
      <c r="AG3951" s="2"/>
    </row>
    <row r="3952" spans="24:33" ht="43.95" customHeight="1" x14ac:dyDescent="0.3">
      <c r="X3952" s="2"/>
      <c r="Y3952" s="7"/>
      <c r="Z3952" s="2"/>
      <c r="AA3952" s="1"/>
      <c r="AC3952" s="2"/>
      <c r="AE3952" s="1"/>
      <c r="AG3952" s="2"/>
    </row>
    <row r="3953" spans="24:33" ht="43.95" customHeight="1" x14ac:dyDescent="0.3">
      <c r="X3953" s="2"/>
      <c r="Y3953" s="7"/>
      <c r="Z3953" s="2"/>
      <c r="AA3953" s="1"/>
      <c r="AC3953" s="2"/>
      <c r="AE3953" s="1"/>
      <c r="AG3953" s="2"/>
    </row>
    <row r="3954" spans="24:33" ht="43.95" customHeight="1" x14ac:dyDescent="0.3">
      <c r="X3954" s="2"/>
      <c r="Y3954" s="7"/>
      <c r="Z3954" s="2"/>
      <c r="AA3954" s="1"/>
      <c r="AC3954" s="2"/>
      <c r="AE3954" s="1"/>
      <c r="AG3954" s="2"/>
    </row>
    <row r="3955" spans="24:33" ht="43.95" customHeight="1" x14ac:dyDescent="0.3">
      <c r="X3955" s="2"/>
      <c r="Y3955" s="7"/>
      <c r="Z3955" s="2"/>
      <c r="AA3955" s="1"/>
      <c r="AC3955" s="2"/>
      <c r="AE3955" s="1"/>
      <c r="AG3955" s="2"/>
    </row>
    <row r="3956" spans="24:33" ht="43.95" customHeight="1" x14ac:dyDescent="0.3">
      <c r="X3956" s="2"/>
      <c r="Y3956" s="7"/>
      <c r="Z3956" s="2"/>
      <c r="AA3956" s="1"/>
      <c r="AC3956" s="2"/>
      <c r="AE3956" s="1"/>
      <c r="AG3956" s="2"/>
    </row>
    <row r="3957" spans="24:33" ht="43.95" customHeight="1" x14ac:dyDescent="0.3">
      <c r="X3957" s="2"/>
      <c r="Y3957" s="7"/>
      <c r="Z3957" s="2"/>
      <c r="AA3957" s="1"/>
      <c r="AC3957" s="2"/>
      <c r="AE3957" s="1"/>
      <c r="AG3957" s="2"/>
    </row>
    <row r="3958" spans="24:33" ht="43.95" customHeight="1" x14ac:dyDescent="0.3">
      <c r="X3958" s="2"/>
      <c r="Y3958" s="7"/>
      <c r="Z3958" s="2"/>
      <c r="AA3958" s="1"/>
      <c r="AC3958" s="2"/>
      <c r="AE3958" s="1"/>
      <c r="AG3958" s="2"/>
    </row>
    <row r="3959" spans="24:33" ht="43.95" customHeight="1" x14ac:dyDescent="0.3">
      <c r="X3959" s="2"/>
      <c r="Y3959" s="7"/>
      <c r="Z3959" s="2"/>
      <c r="AA3959" s="1"/>
      <c r="AC3959" s="2"/>
      <c r="AE3959" s="1"/>
      <c r="AG3959" s="2"/>
    </row>
    <row r="3960" spans="24:33" ht="43.95" customHeight="1" x14ac:dyDescent="0.3">
      <c r="X3960" s="2"/>
      <c r="Y3960" s="7"/>
      <c r="Z3960" s="2"/>
      <c r="AA3960" s="1"/>
      <c r="AC3960" s="2"/>
      <c r="AE3960" s="1"/>
      <c r="AG3960" s="2"/>
    </row>
    <row r="3961" spans="24:33" ht="43.95" customHeight="1" x14ac:dyDescent="0.3">
      <c r="X3961" s="2"/>
      <c r="Y3961" s="7"/>
      <c r="Z3961" s="2"/>
      <c r="AA3961" s="1"/>
      <c r="AC3961" s="2"/>
      <c r="AE3961" s="1"/>
      <c r="AG3961" s="2"/>
    </row>
    <row r="3962" spans="24:33" ht="43.95" customHeight="1" x14ac:dyDescent="0.3">
      <c r="X3962" s="2"/>
      <c r="Y3962" s="7"/>
      <c r="Z3962" s="2"/>
      <c r="AA3962" s="1"/>
      <c r="AC3962" s="2"/>
      <c r="AE3962" s="1"/>
      <c r="AG3962" s="2"/>
    </row>
    <row r="3963" spans="24:33" ht="43.95" customHeight="1" x14ac:dyDescent="0.3">
      <c r="X3963" s="2"/>
      <c r="Y3963" s="7"/>
      <c r="Z3963" s="2"/>
      <c r="AA3963" s="1"/>
      <c r="AC3963" s="2"/>
      <c r="AE3963" s="1"/>
      <c r="AG3963" s="2"/>
    </row>
    <row r="3964" spans="24:33" ht="43.95" customHeight="1" x14ac:dyDescent="0.3">
      <c r="X3964" s="2"/>
      <c r="Y3964" s="7"/>
      <c r="Z3964" s="2"/>
      <c r="AA3964" s="1"/>
      <c r="AC3964" s="2"/>
      <c r="AE3964" s="1"/>
      <c r="AG3964" s="2"/>
    </row>
    <row r="3965" spans="24:33" ht="43.95" customHeight="1" x14ac:dyDescent="0.3">
      <c r="X3965" s="2"/>
      <c r="Y3965" s="7"/>
      <c r="Z3965" s="2"/>
      <c r="AA3965" s="1"/>
      <c r="AC3965" s="2"/>
      <c r="AE3965" s="1"/>
      <c r="AG3965" s="2"/>
    </row>
    <row r="3966" spans="24:33" ht="43.95" customHeight="1" x14ac:dyDescent="0.3">
      <c r="X3966" s="2"/>
      <c r="Y3966" s="7"/>
      <c r="Z3966" s="2"/>
      <c r="AA3966" s="1"/>
      <c r="AC3966" s="2"/>
      <c r="AE3966" s="1"/>
      <c r="AG3966" s="2"/>
    </row>
    <row r="3967" spans="24:33" ht="43.95" customHeight="1" x14ac:dyDescent="0.3">
      <c r="X3967" s="2"/>
      <c r="Y3967" s="7"/>
      <c r="Z3967" s="2"/>
      <c r="AA3967" s="1"/>
      <c r="AC3967" s="2"/>
      <c r="AE3967" s="1"/>
      <c r="AG3967" s="2"/>
    </row>
    <row r="3968" spans="24:33" ht="43.95" customHeight="1" x14ac:dyDescent="0.3">
      <c r="X3968" s="2"/>
      <c r="Y3968" s="7"/>
      <c r="Z3968" s="2"/>
      <c r="AA3968" s="1"/>
      <c r="AC3968" s="2"/>
      <c r="AE3968" s="1"/>
      <c r="AG3968" s="2"/>
    </row>
    <row r="3969" spans="24:33" ht="43.95" customHeight="1" x14ac:dyDescent="0.3">
      <c r="X3969" s="2"/>
      <c r="Y3969" s="7"/>
      <c r="Z3969" s="2"/>
      <c r="AA3969" s="1"/>
      <c r="AC3969" s="2"/>
      <c r="AE3969" s="1"/>
      <c r="AG3969" s="2"/>
    </row>
    <row r="3970" spans="24:33" ht="43.95" customHeight="1" x14ac:dyDescent="0.3">
      <c r="X3970" s="2"/>
      <c r="Y3970" s="7"/>
      <c r="Z3970" s="2"/>
      <c r="AA3970" s="1"/>
      <c r="AC3970" s="2"/>
      <c r="AE3970" s="1"/>
      <c r="AG3970" s="2"/>
    </row>
    <row r="3971" spans="24:33" ht="43.95" customHeight="1" x14ac:dyDescent="0.3">
      <c r="X3971" s="2"/>
      <c r="Y3971" s="7"/>
      <c r="Z3971" s="2"/>
      <c r="AA3971" s="1"/>
      <c r="AC3971" s="2"/>
      <c r="AE3971" s="1"/>
      <c r="AG3971" s="2"/>
    </row>
    <row r="3972" spans="24:33" ht="43.95" customHeight="1" x14ac:dyDescent="0.3">
      <c r="X3972" s="2"/>
      <c r="Y3972" s="7"/>
      <c r="Z3972" s="2"/>
      <c r="AA3972" s="1"/>
      <c r="AC3972" s="2"/>
      <c r="AE3972" s="1"/>
      <c r="AG3972" s="2"/>
    </row>
    <row r="3973" spans="24:33" ht="43.95" customHeight="1" x14ac:dyDescent="0.3">
      <c r="X3973" s="2"/>
      <c r="Y3973" s="7"/>
      <c r="Z3973" s="2"/>
      <c r="AA3973" s="1"/>
      <c r="AC3973" s="2"/>
      <c r="AE3973" s="1"/>
      <c r="AG3973" s="2"/>
    </row>
    <row r="3974" spans="24:33" ht="43.95" customHeight="1" x14ac:dyDescent="0.3">
      <c r="X3974" s="2"/>
      <c r="Y3974" s="7"/>
      <c r="Z3974" s="2"/>
      <c r="AA3974" s="1"/>
      <c r="AC3974" s="2"/>
      <c r="AE3974" s="1"/>
      <c r="AG3974" s="2"/>
    </row>
    <row r="3975" spans="24:33" ht="43.95" customHeight="1" x14ac:dyDescent="0.3">
      <c r="X3975" s="2"/>
      <c r="Y3975" s="7"/>
      <c r="Z3975" s="2"/>
      <c r="AA3975" s="1"/>
      <c r="AC3975" s="2"/>
      <c r="AE3975" s="1"/>
      <c r="AG3975" s="2"/>
    </row>
    <row r="3976" spans="24:33" ht="43.95" customHeight="1" x14ac:dyDescent="0.3">
      <c r="X3976" s="2"/>
      <c r="Y3976" s="7"/>
      <c r="Z3976" s="2"/>
      <c r="AA3976" s="1"/>
      <c r="AC3976" s="2"/>
      <c r="AE3976" s="1"/>
      <c r="AG3976" s="2"/>
    </row>
    <row r="3977" spans="24:33" ht="43.95" customHeight="1" x14ac:dyDescent="0.3">
      <c r="X3977" s="2"/>
      <c r="Y3977" s="7"/>
      <c r="Z3977" s="2"/>
      <c r="AA3977" s="1"/>
      <c r="AC3977" s="2"/>
      <c r="AE3977" s="1"/>
      <c r="AG3977" s="2"/>
    </row>
    <row r="3978" spans="24:33" ht="43.95" customHeight="1" x14ac:dyDescent="0.3">
      <c r="X3978" s="2"/>
      <c r="Y3978" s="7"/>
      <c r="Z3978" s="2"/>
      <c r="AA3978" s="1"/>
      <c r="AC3978" s="2"/>
      <c r="AE3978" s="1"/>
      <c r="AG3978" s="2"/>
    </row>
    <row r="3979" spans="24:33" ht="43.95" customHeight="1" x14ac:dyDescent="0.3">
      <c r="X3979" s="2"/>
      <c r="Y3979" s="7"/>
      <c r="Z3979" s="2"/>
      <c r="AA3979" s="1"/>
      <c r="AC3979" s="2"/>
      <c r="AE3979" s="1"/>
      <c r="AG3979" s="2"/>
    </row>
    <row r="3980" spans="24:33" ht="43.95" customHeight="1" x14ac:dyDescent="0.3">
      <c r="X3980" s="2"/>
      <c r="Y3980" s="7"/>
      <c r="Z3980" s="2"/>
      <c r="AA3980" s="1"/>
      <c r="AC3980" s="2"/>
      <c r="AE3980" s="1"/>
      <c r="AG3980" s="2"/>
    </row>
    <row r="3981" spans="24:33" ht="43.95" customHeight="1" x14ac:dyDescent="0.3">
      <c r="X3981" s="2"/>
      <c r="Y3981" s="7"/>
      <c r="Z3981" s="2"/>
      <c r="AA3981" s="1"/>
      <c r="AC3981" s="2"/>
      <c r="AE3981" s="1"/>
      <c r="AG3981" s="2"/>
    </row>
    <row r="3982" spans="24:33" ht="43.95" customHeight="1" x14ac:dyDescent="0.3">
      <c r="X3982" s="2"/>
      <c r="Y3982" s="7"/>
      <c r="Z3982" s="2"/>
      <c r="AA3982" s="1"/>
      <c r="AC3982" s="2"/>
      <c r="AE3982" s="1"/>
      <c r="AG3982" s="2"/>
    </row>
    <row r="3983" spans="24:33" ht="43.95" customHeight="1" x14ac:dyDescent="0.3">
      <c r="X3983" s="2"/>
      <c r="Y3983" s="7"/>
      <c r="Z3983" s="2"/>
      <c r="AA3983" s="1"/>
      <c r="AC3983" s="2"/>
      <c r="AE3983" s="1"/>
      <c r="AG3983" s="2"/>
    </row>
    <row r="3984" spans="24:33" ht="43.95" customHeight="1" x14ac:dyDescent="0.3">
      <c r="X3984" s="2"/>
      <c r="Y3984" s="7"/>
      <c r="Z3984" s="2"/>
      <c r="AA3984" s="1"/>
      <c r="AC3984" s="2"/>
      <c r="AE3984" s="1"/>
      <c r="AG3984" s="2"/>
    </row>
    <row r="3985" spans="24:33" ht="43.95" customHeight="1" x14ac:dyDescent="0.3">
      <c r="X3985" s="2"/>
      <c r="Y3985" s="7"/>
      <c r="Z3985" s="2"/>
      <c r="AA3985" s="1"/>
      <c r="AC3985" s="2"/>
      <c r="AE3985" s="1"/>
      <c r="AG3985" s="2"/>
    </row>
    <row r="3986" spans="24:33" ht="43.95" customHeight="1" x14ac:dyDescent="0.3">
      <c r="X3986" s="2"/>
      <c r="Y3986" s="7"/>
      <c r="Z3986" s="2"/>
      <c r="AA3986" s="1"/>
      <c r="AC3986" s="2"/>
      <c r="AE3986" s="1"/>
      <c r="AG3986" s="2"/>
    </row>
    <row r="3987" spans="24:33" ht="43.95" customHeight="1" x14ac:dyDescent="0.3">
      <c r="X3987" s="2"/>
      <c r="Y3987" s="7"/>
      <c r="Z3987" s="2"/>
      <c r="AA3987" s="1"/>
      <c r="AC3987" s="2"/>
      <c r="AE3987" s="1"/>
      <c r="AG3987" s="2"/>
    </row>
    <row r="3988" spans="24:33" ht="43.95" customHeight="1" x14ac:dyDescent="0.3">
      <c r="X3988" s="2"/>
      <c r="Y3988" s="7"/>
      <c r="Z3988" s="2"/>
      <c r="AA3988" s="1"/>
      <c r="AC3988" s="2"/>
      <c r="AE3988" s="1"/>
      <c r="AG3988" s="2"/>
    </row>
    <row r="3989" spans="24:33" ht="43.95" customHeight="1" x14ac:dyDescent="0.3">
      <c r="X3989" s="2"/>
      <c r="Y3989" s="7"/>
      <c r="Z3989" s="2"/>
      <c r="AA3989" s="1"/>
      <c r="AC3989" s="2"/>
      <c r="AE3989" s="1"/>
      <c r="AG3989" s="2"/>
    </row>
    <row r="3990" spans="24:33" ht="43.95" customHeight="1" x14ac:dyDescent="0.3">
      <c r="X3990" s="2"/>
      <c r="Y3990" s="7"/>
      <c r="Z3990" s="2"/>
      <c r="AA3990" s="1"/>
      <c r="AC3990" s="2"/>
      <c r="AE3990" s="1"/>
      <c r="AG3990" s="2"/>
    </row>
    <row r="3991" spans="24:33" ht="43.95" customHeight="1" x14ac:dyDescent="0.3">
      <c r="X3991" s="2"/>
      <c r="Y3991" s="7"/>
      <c r="Z3991" s="2"/>
      <c r="AA3991" s="1"/>
      <c r="AC3991" s="2"/>
      <c r="AE3991" s="1"/>
      <c r="AG3991" s="2"/>
    </row>
    <row r="3992" spans="24:33" ht="43.95" customHeight="1" x14ac:dyDescent="0.3">
      <c r="X3992" s="2"/>
      <c r="Y3992" s="7"/>
      <c r="Z3992" s="2"/>
      <c r="AA3992" s="1"/>
      <c r="AC3992" s="2"/>
      <c r="AE3992" s="1"/>
      <c r="AG3992" s="2"/>
    </row>
    <row r="3993" spans="24:33" ht="43.95" customHeight="1" x14ac:dyDescent="0.3">
      <c r="X3993" s="2"/>
      <c r="Y3993" s="7"/>
      <c r="Z3993" s="2"/>
      <c r="AA3993" s="1"/>
      <c r="AC3993" s="2"/>
      <c r="AE3993" s="1"/>
      <c r="AG3993" s="2"/>
    </row>
    <row r="3994" spans="24:33" ht="43.95" customHeight="1" x14ac:dyDescent="0.3">
      <c r="X3994" s="2"/>
      <c r="Y3994" s="7"/>
      <c r="Z3994" s="2"/>
      <c r="AA3994" s="1"/>
      <c r="AC3994" s="2"/>
      <c r="AE3994" s="1"/>
      <c r="AG3994" s="2"/>
    </row>
    <row r="3995" spans="24:33" ht="43.95" customHeight="1" x14ac:dyDescent="0.3">
      <c r="X3995" s="2"/>
      <c r="Y3995" s="7"/>
      <c r="Z3995" s="2"/>
      <c r="AA3995" s="1"/>
      <c r="AC3995" s="2"/>
      <c r="AE3995" s="1"/>
      <c r="AG3995" s="2"/>
    </row>
    <row r="3996" spans="24:33" ht="43.95" customHeight="1" x14ac:dyDescent="0.3">
      <c r="X3996" s="2"/>
      <c r="Y3996" s="7"/>
      <c r="Z3996" s="2"/>
      <c r="AA3996" s="1"/>
      <c r="AC3996" s="2"/>
      <c r="AE3996" s="1"/>
      <c r="AG3996" s="2"/>
    </row>
    <row r="3997" spans="24:33" ht="43.95" customHeight="1" x14ac:dyDescent="0.3">
      <c r="X3997" s="2"/>
      <c r="Y3997" s="7"/>
      <c r="Z3997" s="2"/>
      <c r="AA3997" s="1"/>
      <c r="AC3997" s="2"/>
      <c r="AE3997" s="1"/>
      <c r="AG3997" s="2"/>
    </row>
    <row r="3998" spans="24:33" ht="43.95" customHeight="1" x14ac:dyDescent="0.3">
      <c r="X3998" s="2"/>
      <c r="Y3998" s="7"/>
      <c r="Z3998" s="2"/>
      <c r="AA3998" s="1"/>
      <c r="AC3998" s="2"/>
      <c r="AE3998" s="1"/>
      <c r="AG3998" s="2"/>
    </row>
    <row r="3999" spans="24:33" ht="43.95" customHeight="1" x14ac:dyDescent="0.3">
      <c r="X3999" s="2"/>
      <c r="Y3999" s="7"/>
      <c r="Z3999" s="2"/>
      <c r="AA3999" s="1"/>
      <c r="AC3999" s="2"/>
      <c r="AE3999" s="1"/>
      <c r="AG3999" s="2"/>
    </row>
    <row r="4000" spans="24:33" ht="43.95" customHeight="1" x14ac:dyDescent="0.3">
      <c r="X4000" s="2"/>
      <c r="Y4000" s="7"/>
      <c r="Z4000" s="2"/>
      <c r="AA4000" s="1"/>
      <c r="AC4000" s="2"/>
      <c r="AE4000" s="1"/>
      <c r="AG4000" s="2"/>
    </row>
    <row r="4001" spans="24:33" ht="43.95" customHeight="1" x14ac:dyDescent="0.3">
      <c r="X4001" s="2"/>
      <c r="Y4001" s="7"/>
      <c r="Z4001" s="2"/>
      <c r="AA4001" s="1"/>
      <c r="AC4001" s="2"/>
      <c r="AE4001" s="1"/>
      <c r="AG4001" s="2"/>
    </row>
    <row r="4002" spans="24:33" ht="43.95" customHeight="1" x14ac:dyDescent="0.3">
      <c r="X4002" s="2"/>
      <c r="Y4002" s="7"/>
      <c r="Z4002" s="2"/>
      <c r="AA4002" s="1"/>
      <c r="AC4002" s="2"/>
      <c r="AE4002" s="1"/>
      <c r="AG4002" s="2"/>
    </row>
    <row r="4003" spans="24:33" ht="43.95" customHeight="1" x14ac:dyDescent="0.3">
      <c r="X4003" s="2"/>
      <c r="Y4003" s="7"/>
      <c r="Z4003" s="2"/>
      <c r="AA4003" s="1"/>
      <c r="AC4003" s="2"/>
      <c r="AE4003" s="1"/>
      <c r="AG4003" s="2"/>
    </row>
    <row r="4004" spans="24:33" ht="43.95" customHeight="1" x14ac:dyDescent="0.3">
      <c r="X4004" s="2"/>
      <c r="Y4004" s="7"/>
      <c r="Z4004" s="2"/>
      <c r="AA4004" s="1"/>
      <c r="AC4004" s="2"/>
      <c r="AE4004" s="1"/>
      <c r="AG4004" s="2"/>
    </row>
    <row r="4005" spans="24:33" ht="43.95" customHeight="1" x14ac:dyDescent="0.3">
      <c r="X4005" s="2"/>
      <c r="Y4005" s="7"/>
      <c r="Z4005" s="2"/>
      <c r="AA4005" s="1"/>
      <c r="AC4005" s="2"/>
      <c r="AE4005" s="1"/>
      <c r="AG4005" s="2"/>
    </row>
    <row r="4006" spans="24:33" ht="43.95" customHeight="1" x14ac:dyDescent="0.3">
      <c r="X4006" s="2"/>
      <c r="Y4006" s="7"/>
      <c r="Z4006" s="2"/>
      <c r="AA4006" s="1"/>
      <c r="AC4006" s="2"/>
      <c r="AE4006" s="1"/>
      <c r="AG4006" s="2"/>
    </row>
    <row r="4007" spans="24:33" ht="43.95" customHeight="1" x14ac:dyDescent="0.3">
      <c r="X4007" s="2"/>
      <c r="Y4007" s="7"/>
      <c r="Z4007" s="2"/>
      <c r="AA4007" s="1"/>
      <c r="AC4007" s="2"/>
      <c r="AE4007" s="1"/>
      <c r="AG4007" s="2"/>
    </row>
    <row r="4008" spans="24:33" ht="43.95" customHeight="1" x14ac:dyDescent="0.3">
      <c r="X4008" s="2"/>
      <c r="Y4008" s="7"/>
      <c r="Z4008" s="2"/>
      <c r="AA4008" s="1"/>
      <c r="AC4008" s="2"/>
      <c r="AE4008" s="1"/>
      <c r="AG4008" s="2"/>
    </row>
    <row r="4009" spans="24:33" ht="43.95" customHeight="1" x14ac:dyDescent="0.3">
      <c r="X4009" s="2"/>
      <c r="Y4009" s="7"/>
      <c r="Z4009" s="2"/>
      <c r="AA4009" s="1"/>
      <c r="AC4009" s="2"/>
      <c r="AE4009" s="1"/>
      <c r="AG4009" s="2"/>
    </row>
    <row r="4010" spans="24:33" ht="43.95" customHeight="1" x14ac:dyDescent="0.3">
      <c r="X4010" s="2"/>
      <c r="Y4010" s="7"/>
      <c r="Z4010" s="2"/>
      <c r="AA4010" s="1"/>
      <c r="AC4010" s="2"/>
      <c r="AE4010" s="1"/>
      <c r="AG4010" s="2"/>
    </row>
    <row r="4011" spans="24:33" ht="43.95" customHeight="1" x14ac:dyDescent="0.3">
      <c r="X4011" s="2"/>
      <c r="Y4011" s="7"/>
      <c r="Z4011" s="2"/>
      <c r="AA4011" s="1"/>
      <c r="AC4011" s="2"/>
      <c r="AE4011" s="1"/>
      <c r="AG4011" s="2"/>
    </row>
    <row r="4012" spans="24:33" ht="43.95" customHeight="1" x14ac:dyDescent="0.3">
      <c r="X4012" s="2"/>
      <c r="Y4012" s="7"/>
      <c r="Z4012" s="2"/>
      <c r="AA4012" s="1"/>
      <c r="AC4012" s="2"/>
      <c r="AE4012" s="1"/>
      <c r="AG4012" s="2"/>
    </row>
    <row r="4013" spans="24:33" ht="43.95" customHeight="1" x14ac:dyDescent="0.3">
      <c r="X4013" s="2"/>
      <c r="Y4013" s="7"/>
      <c r="Z4013" s="2"/>
      <c r="AA4013" s="1"/>
      <c r="AC4013" s="2"/>
      <c r="AE4013" s="1"/>
      <c r="AG4013" s="2"/>
    </row>
    <row r="4014" spans="24:33" ht="43.95" customHeight="1" x14ac:dyDescent="0.3">
      <c r="X4014" s="2"/>
      <c r="Y4014" s="7"/>
      <c r="Z4014" s="2"/>
      <c r="AA4014" s="1"/>
      <c r="AC4014" s="2"/>
      <c r="AE4014" s="1"/>
      <c r="AG4014" s="2"/>
    </row>
    <row r="4015" spans="24:33" ht="43.95" customHeight="1" x14ac:dyDescent="0.3">
      <c r="X4015" s="2"/>
      <c r="Y4015" s="7"/>
      <c r="Z4015" s="2"/>
      <c r="AA4015" s="1"/>
      <c r="AC4015" s="2"/>
      <c r="AE4015" s="1"/>
      <c r="AG4015" s="2"/>
    </row>
    <row r="4016" spans="24:33" ht="43.95" customHeight="1" x14ac:dyDescent="0.3">
      <c r="X4016" s="2"/>
      <c r="Y4016" s="7"/>
      <c r="Z4016" s="2"/>
      <c r="AA4016" s="1"/>
      <c r="AC4016" s="2"/>
      <c r="AE4016" s="1"/>
      <c r="AG4016" s="2"/>
    </row>
    <row r="4017" spans="24:33" ht="43.95" customHeight="1" x14ac:dyDescent="0.3">
      <c r="X4017" s="2"/>
      <c r="Y4017" s="7"/>
      <c r="Z4017" s="2"/>
      <c r="AA4017" s="1"/>
      <c r="AC4017" s="2"/>
      <c r="AE4017" s="1"/>
      <c r="AG4017" s="2"/>
    </row>
    <row r="4018" spans="24:33" ht="43.95" customHeight="1" x14ac:dyDescent="0.3">
      <c r="X4018" s="2"/>
      <c r="Y4018" s="7"/>
      <c r="Z4018" s="2"/>
      <c r="AA4018" s="1"/>
      <c r="AC4018" s="2"/>
      <c r="AE4018" s="1"/>
      <c r="AG4018" s="2"/>
    </row>
    <row r="4019" spans="24:33" ht="43.95" customHeight="1" x14ac:dyDescent="0.3">
      <c r="X4019" s="2"/>
      <c r="Y4019" s="7"/>
      <c r="Z4019" s="2"/>
      <c r="AA4019" s="1"/>
      <c r="AC4019" s="2"/>
      <c r="AE4019" s="1"/>
      <c r="AG4019" s="2"/>
    </row>
    <row r="4020" spans="24:33" ht="43.95" customHeight="1" x14ac:dyDescent="0.3">
      <c r="X4020" s="2"/>
      <c r="Y4020" s="7"/>
      <c r="Z4020" s="2"/>
      <c r="AA4020" s="1"/>
      <c r="AC4020" s="2"/>
      <c r="AE4020" s="1"/>
      <c r="AG4020" s="2"/>
    </row>
    <row r="4021" spans="24:33" ht="43.95" customHeight="1" x14ac:dyDescent="0.3">
      <c r="X4021" s="2"/>
      <c r="Y4021" s="7"/>
      <c r="Z4021" s="2"/>
      <c r="AA4021" s="1"/>
      <c r="AC4021" s="2"/>
      <c r="AE4021" s="1"/>
      <c r="AG4021" s="2"/>
    </row>
    <row r="4022" spans="24:33" ht="43.95" customHeight="1" x14ac:dyDescent="0.3">
      <c r="X4022" s="2"/>
      <c r="Y4022" s="7"/>
      <c r="Z4022" s="2"/>
      <c r="AA4022" s="1"/>
      <c r="AC4022" s="2"/>
      <c r="AE4022" s="1"/>
      <c r="AG4022" s="2"/>
    </row>
    <row r="4023" spans="24:33" ht="43.95" customHeight="1" x14ac:dyDescent="0.3">
      <c r="X4023" s="2"/>
      <c r="Y4023" s="7"/>
      <c r="Z4023" s="2"/>
      <c r="AA4023" s="1"/>
      <c r="AC4023" s="2"/>
      <c r="AE4023" s="1"/>
      <c r="AG4023" s="2"/>
    </row>
    <row r="4024" spans="24:33" ht="43.95" customHeight="1" x14ac:dyDescent="0.3">
      <c r="X4024" s="2"/>
      <c r="Y4024" s="7"/>
      <c r="Z4024" s="2"/>
      <c r="AA4024" s="1"/>
      <c r="AC4024" s="2"/>
      <c r="AE4024" s="1"/>
      <c r="AG4024" s="2"/>
    </row>
    <row r="4025" spans="24:33" ht="43.95" customHeight="1" x14ac:dyDescent="0.3">
      <c r="X4025" s="2"/>
      <c r="Y4025" s="7"/>
      <c r="Z4025" s="2"/>
      <c r="AA4025" s="1"/>
      <c r="AC4025" s="2"/>
      <c r="AE4025" s="1"/>
      <c r="AG4025" s="2"/>
    </row>
    <row r="4026" spans="24:33" ht="43.95" customHeight="1" x14ac:dyDescent="0.3">
      <c r="X4026" s="2"/>
      <c r="Y4026" s="7"/>
      <c r="Z4026" s="2"/>
      <c r="AA4026" s="1"/>
      <c r="AC4026" s="2"/>
      <c r="AE4026" s="1"/>
      <c r="AG4026" s="2"/>
    </row>
    <row r="4027" spans="24:33" ht="43.95" customHeight="1" x14ac:dyDescent="0.3">
      <c r="X4027" s="2"/>
      <c r="Y4027" s="7"/>
      <c r="Z4027" s="2"/>
      <c r="AA4027" s="1"/>
      <c r="AC4027" s="2"/>
      <c r="AE4027" s="1"/>
      <c r="AG4027" s="2"/>
    </row>
    <row r="4028" spans="24:33" ht="43.95" customHeight="1" x14ac:dyDescent="0.3">
      <c r="X4028" s="2"/>
      <c r="Y4028" s="7"/>
      <c r="Z4028" s="2"/>
      <c r="AA4028" s="1"/>
      <c r="AC4028" s="2"/>
      <c r="AE4028" s="1"/>
      <c r="AG4028" s="2"/>
    </row>
    <row r="4029" spans="24:33" ht="43.95" customHeight="1" x14ac:dyDescent="0.3">
      <c r="X4029" s="2"/>
      <c r="Y4029" s="7"/>
      <c r="Z4029" s="2"/>
      <c r="AA4029" s="1"/>
      <c r="AC4029" s="2"/>
      <c r="AE4029" s="1"/>
      <c r="AG4029" s="2"/>
    </row>
    <row r="4030" spans="24:33" ht="43.95" customHeight="1" x14ac:dyDescent="0.3">
      <c r="X4030" s="2"/>
      <c r="Y4030" s="7"/>
      <c r="Z4030" s="2"/>
      <c r="AA4030" s="1"/>
      <c r="AC4030" s="2"/>
      <c r="AE4030" s="1"/>
      <c r="AG4030" s="2"/>
    </row>
    <row r="4031" spans="24:33" ht="43.95" customHeight="1" x14ac:dyDescent="0.3">
      <c r="X4031" s="2"/>
      <c r="Y4031" s="7"/>
      <c r="Z4031" s="2"/>
      <c r="AA4031" s="1"/>
      <c r="AC4031" s="2"/>
      <c r="AE4031" s="1"/>
      <c r="AG4031" s="2"/>
    </row>
    <row r="4032" spans="24:33" ht="43.95" customHeight="1" x14ac:dyDescent="0.3">
      <c r="X4032" s="2"/>
      <c r="Y4032" s="7"/>
      <c r="Z4032" s="2"/>
      <c r="AA4032" s="1"/>
      <c r="AC4032" s="2"/>
      <c r="AE4032" s="1"/>
      <c r="AG4032" s="2"/>
    </row>
    <row r="4033" spans="24:33" ht="43.95" customHeight="1" x14ac:dyDescent="0.3">
      <c r="X4033" s="2"/>
      <c r="Y4033" s="7"/>
      <c r="Z4033" s="2"/>
      <c r="AA4033" s="1"/>
      <c r="AC4033" s="2"/>
      <c r="AE4033" s="1"/>
      <c r="AG4033" s="2"/>
    </row>
    <row r="4034" spans="24:33" ht="43.95" customHeight="1" x14ac:dyDescent="0.3">
      <c r="X4034" s="2"/>
      <c r="Y4034" s="7"/>
      <c r="Z4034" s="2"/>
      <c r="AA4034" s="1"/>
      <c r="AC4034" s="2"/>
      <c r="AE4034" s="1"/>
      <c r="AG4034" s="2"/>
    </row>
    <row r="4035" spans="24:33" ht="43.95" customHeight="1" x14ac:dyDescent="0.3">
      <c r="X4035" s="2"/>
      <c r="Y4035" s="7"/>
      <c r="Z4035" s="2"/>
      <c r="AA4035" s="1"/>
      <c r="AC4035" s="2"/>
      <c r="AE4035" s="1"/>
      <c r="AG4035" s="2"/>
    </row>
    <row r="4036" spans="24:33" ht="43.95" customHeight="1" x14ac:dyDescent="0.3">
      <c r="X4036" s="2"/>
      <c r="Y4036" s="7"/>
      <c r="Z4036" s="2"/>
      <c r="AA4036" s="1"/>
      <c r="AC4036" s="2"/>
      <c r="AE4036" s="1"/>
      <c r="AG4036" s="2"/>
    </row>
    <row r="4037" spans="24:33" ht="43.95" customHeight="1" x14ac:dyDescent="0.3">
      <c r="X4037" s="2"/>
      <c r="Y4037" s="7"/>
      <c r="Z4037" s="2"/>
      <c r="AA4037" s="1"/>
      <c r="AC4037" s="2"/>
      <c r="AE4037" s="1"/>
      <c r="AG4037" s="2"/>
    </row>
    <row r="4038" spans="24:33" ht="43.95" customHeight="1" x14ac:dyDescent="0.3">
      <c r="X4038" s="2"/>
      <c r="Y4038" s="7"/>
      <c r="Z4038" s="2"/>
      <c r="AA4038" s="1"/>
      <c r="AC4038" s="2"/>
      <c r="AE4038" s="1"/>
      <c r="AG4038" s="2"/>
    </row>
    <row r="4039" spans="24:33" ht="43.95" customHeight="1" x14ac:dyDescent="0.3">
      <c r="X4039" s="183"/>
      <c r="Y4039" s="7"/>
      <c r="Z4039" s="2"/>
      <c r="AA4039" s="1"/>
      <c r="AC4039" s="2"/>
      <c r="AE4039" s="1"/>
      <c r="AG4039" s="2"/>
    </row>
    <row r="4040" spans="24:33" ht="43.95" customHeight="1" x14ac:dyDescent="0.3">
      <c r="X4040" s="183"/>
      <c r="Y4040" s="7"/>
      <c r="Z4040" s="2"/>
      <c r="AA4040" s="1"/>
      <c r="AC4040" s="2"/>
      <c r="AE4040" s="1"/>
      <c r="AG4040" s="2"/>
    </row>
    <row r="4041" spans="24:33" ht="43.95" customHeight="1" x14ac:dyDescent="0.3">
      <c r="X4041" s="2"/>
      <c r="Y4041" s="7"/>
      <c r="Z4041" s="2"/>
      <c r="AA4041" s="1"/>
      <c r="AC4041" s="2"/>
      <c r="AE4041" s="1"/>
      <c r="AG4041" s="2"/>
    </row>
    <row r="4042" spans="24:33" ht="43.95" customHeight="1" x14ac:dyDescent="0.3">
      <c r="X4042" s="2"/>
      <c r="Y4042" s="7"/>
      <c r="Z4042" s="2"/>
      <c r="AA4042" s="1"/>
      <c r="AC4042" s="2"/>
      <c r="AE4042" s="1"/>
      <c r="AG4042" s="2"/>
    </row>
    <row r="4043" spans="24:33" ht="43.95" customHeight="1" x14ac:dyDescent="0.3">
      <c r="X4043" s="2"/>
      <c r="Y4043" s="7"/>
      <c r="Z4043" s="2"/>
      <c r="AA4043" s="1"/>
      <c r="AC4043" s="2"/>
      <c r="AE4043" s="1"/>
      <c r="AG4043" s="2"/>
    </row>
    <row r="4044" spans="24:33" ht="43.95" customHeight="1" x14ac:dyDescent="0.3">
      <c r="X4044" s="183"/>
      <c r="Y4044" s="7"/>
      <c r="Z4044" s="2"/>
      <c r="AA4044" s="1"/>
      <c r="AC4044" s="2"/>
      <c r="AE4044" s="1"/>
      <c r="AG4044" s="2"/>
    </row>
    <row r="4045" spans="24:33" ht="43.95" customHeight="1" x14ac:dyDescent="0.3">
      <c r="X4045" s="2"/>
      <c r="Y4045" s="7"/>
      <c r="Z4045" s="2"/>
      <c r="AA4045" s="1"/>
      <c r="AC4045" s="2"/>
      <c r="AE4045" s="1"/>
      <c r="AG4045" s="2"/>
    </row>
    <row r="4046" spans="24:33" ht="43.95" customHeight="1" x14ac:dyDescent="0.3">
      <c r="X4046" s="2"/>
      <c r="Y4046" s="7"/>
      <c r="Z4046" s="2"/>
      <c r="AA4046" s="1"/>
      <c r="AC4046" s="2"/>
      <c r="AE4046" s="1"/>
      <c r="AG4046" s="2"/>
    </row>
    <row r="4047" spans="24:33" ht="43.95" customHeight="1" x14ac:dyDescent="0.3">
      <c r="X4047" s="2"/>
      <c r="Y4047" s="7"/>
      <c r="Z4047" s="2"/>
      <c r="AA4047" s="1"/>
      <c r="AC4047" s="2"/>
      <c r="AE4047" s="1"/>
      <c r="AG4047" s="2"/>
    </row>
    <row r="4048" spans="24:33" ht="43.95" customHeight="1" x14ac:dyDescent="0.3">
      <c r="X4048" s="2"/>
      <c r="Y4048" s="7"/>
      <c r="Z4048" s="2"/>
      <c r="AA4048" s="1"/>
      <c r="AC4048" s="2"/>
      <c r="AE4048" s="1"/>
      <c r="AG4048" s="2"/>
    </row>
    <row r="4049" spans="24:33" ht="43.95" customHeight="1" x14ac:dyDescent="0.3">
      <c r="X4049" s="2"/>
      <c r="Y4049" s="7"/>
      <c r="Z4049" s="2"/>
      <c r="AA4049" s="1"/>
      <c r="AC4049" s="2"/>
      <c r="AE4049" s="1"/>
      <c r="AG4049" s="2"/>
    </row>
    <row r="4050" spans="24:33" ht="43.95" customHeight="1" x14ac:dyDescent="0.3">
      <c r="X4050" s="2"/>
      <c r="Y4050" s="7"/>
      <c r="Z4050" s="2"/>
      <c r="AA4050" s="1"/>
      <c r="AC4050" s="2"/>
      <c r="AE4050" s="1"/>
      <c r="AG4050" s="2"/>
    </row>
    <row r="4051" spans="24:33" ht="43.95" customHeight="1" x14ac:dyDescent="0.3">
      <c r="X4051" s="2"/>
      <c r="Y4051" s="7"/>
      <c r="Z4051" s="2"/>
      <c r="AA4051" s="1"/>
      <c r="AC4051" s="2"/>
      <c r="AE4051" s="1"/>
      <c r="AG4051" s="2"/>
    </row>
    <row r="4052" spans="24:33" ht="43.95" customHeight="1" x14ac:dyDescent="0.3">
      <c r="X4052" s="2"/>
      <c r="Y4052" s="7"/>
      <c r="Z4052" s="2"/>
      <c r="AA4052" s="1"/>
      <c r="AC4052" s="2"/>
      <c r="AE4052" s="1"/>
      <c r="AG4052" s="2"/>
    </row>
    <row r="4053" spans="24:33" ht="43.95" customHeight="1" x14ac:dyDescent="0.3">
      <c r="X4053" s="2"/>
      <c r="Y4053" s="7"/>
      <c r="Z4053" s="2"/>
      <c r="AA4053" s="1"/>
      <c r="AC4053" s="2"/>
      <c r="AE4053" s="1"/>
      <c r="AG4053" s="2"/>
    </row>
    <row r="4054" spans="24:33" ht="43.95" customHeight="1" x14ac:dyDescent="0.3">
      <c r="X4054" s="2"/>
      <c r="Y4054" s="7"/>
      <c r="Z4054" s="2"/>
      <c r="AA4054" s="1"/>
      <c r="AC4054" s="2"/>
      <c r="AE4054" s="1"/>
      <c r="AG4054" s="2"/>
    </row>
    <row r="4055" spans="24:33" ht="43.95" customHeight="1" x14ac:dyDescent="0.3">
      <c r="X4055" s="2"/>
      <c r="Y4055" s="7"/>
      <c r="Z4055" s="2"/>
      <c r="AA4055" s="1"/>
      <c r="AC4055" s="2"/>
      <c r="AE4055" s="1"/>
      <c r="AG4055" s="2"/>
    </row>
    <row r="4056" spans="24:33" ht="43.95" customHeight="1" x14ac:dyDescent="0.3">
      <c r="X4056" s="2"/>
      <c r="Y4056" s="7"/>
      <c r="Z4056" s="2"/>
      <c r="AA4056" s="1"/>
      <c r="AC4056" s="2"/>
      <c r="AE4056" s="1"/>
      <c r="AG4056" s="2"/>
    </row>
    <row r="4057" spans="24:33" ht="43.95" customHeight="1" x14ac:dyDescent="0.3">
      <c r="X4057" s="2"/>
      <c r="Y4057" s="7"/>
      <c r="Z4057" s="2"/>
      <c r="AA4057" s="1"/>
      <c r="AC4057" s="2"/>
      <c r="AE4057" s="1"/>
      <c r="AG4057" s="2"/>
    </row>
    <row r="4058" spans="24:33" ht="43.95" customHeight="1" x14ac:dyDescent="0.3">
      <c r="X4058" s="2"/>
      <c r="Y4058" s="7"/>
      <c r="Z4058" s="2"/>
      <c r="AA4058" s="1"/>
      <c r="AC4058" s="2"/>
      <c r="AE4058" s="1"/>
      <c r="AG4058" s="2"/>
    </row>
    <row r="4059" spans="24:33" ht="43.95" customHeight="1" x14ac:dyDescent="0.3">
      <c r="X4059" s="2"/>
      <c r="Y4059" s="7"/>
      <c r="Z4059" s="2"/>
      <c r="AA4059" s="1"/>
      <c r="AC4059" s="2"/>
      <c r="AE4059" s="1"/>
      <c r="AG4059" s="2"/>
    </row>
    <row r="4060" spans="24:33" ht="43.95" customHeight="1" x14ac:dyDescent="0.3">
      <c r="X4060" s="2"/>
      <c r="Y4060" s="7"/>
      <c r="Z4060" s="2"/>
      <c r="AA4060" s="1"/>
      <c r="AC4060" s="2"/>
      <c r="AE4060" s="1"/>
      <c r="AG4060" s="2"/>
    </row>
    <row r="4061" spans="24:33" ht="43.95" customHeight="1" x14ac:dyDescent="0.3">
      <c r="X4061" s="2"/>
      <c r="Y4061" s="7"/>
      <c r="Z4061" s="2"/>
      <c r="AA4061" s="1"/>
      <c r="AC4061" s="2"/>
      <c r="AE4061" s="1"/>
      <c r="AG4061" s="2"/>
    </row>
    <row r="4062" spans="24:33" ht="43.95" customHeight="1" x14ac:dyDescent="0.3">
      <c r="X4062" s="2"/>
      <c r="Y4062" s="7"/>
      <c r="Z4062" s="2"/>
      <c r="AA4062" s="1"/>
      <c r="AC4062" s="2"/>
      <c r="AE4062" s="1"/>
      <c r="AG4062" s="2"/>
    </row>
    <row r="4063" spans="24:33" ht="43.95" customHeight="1" x14ac:dyDescent="0.3">
      <c r="X4063" s="2"/>
      <c r="Y4063" s="7"/>
      <c r="Z4063" s="2"/>
      <c r="AA4063" s="1"/>
      <c r="AC4063" s="2"/>
      <c r="AE4063" s="1"/>
      <c r="AG4063" s="2"/>
    </row>
    <row r="4064" spans="24:33" ht="43.95" customHeight="1" x14ac:dyDescent="0.3">
      <c r="X4064" s="2"/>
      <c r="Y4064" s="7"/>
      <c r="Z4064" s="2"/>
      <c r="AA4064" s="1"/>
      <c r="AC4064" s="2"/>
      <c r="AE4064" s="1"/>
      <c r="AG4064" s="2"/>
    </row>
    <row r="4065" spans="24:33" ht="43.95" customHeight="1" x14ac:dyDescent="0.3">
      <c r="X4065" s="2"/>
      <c r="Y4065" s="7"/>
      <c r="Z4065" s="2"/>
      <c r="AA4065" s="1"/>
      <c r="AC4065" s="2"/>
      <c r="AE4065" s="1"/>
      <c r="AG4065" s="2"/>
    </row>
    <row r="4066" spans="24:33" ht="43.95" customHeight="1" x14ac:dyDescent="0.3">
      <c r="X4066" s="2"/>
      <c r="Y4066" s="7"/>
      <c r="Z4066" s="2"/>
      <c r="AA4066" s="1"/>
      <c r="AC4066" s="2"/>
      <c r="AE4066" s="1"/>
      <c r="AG4066" s="2"/>
    </row>
    <row r="4067" spans="24:33" ht="43.95" customHeight="1" x14ac:dyDescent="0.3">
      <c r="X4067" s="2"/>
      <c r="Y4067" s="7"/>
      <c r="Z4067" s="2"/>
      <c r="AA4067" s="1"/>
      <c r="AC4067" s="2"/>
      <c r="AE4067" s="1"/>
      <c r="AG4067" s="2"/>
    </row>
    <row r="4068" spans="24:33" ht="43.95" customHeight="1" x14ac:dyDescent="0.3">
      <c r="X4068" s="2"/>
      <c r="Y4068" s="7"/>
      <c r="Z4068" s="2"/>
      <c r="AA4068" s="1"/>
      <c r="AC4068" s="2"/>
      <c r="AE4068" s="1"/>
      <c r="AG4068" s="2"/>
    </row>
    <row r="4069" spans="24:33" ht="43.95" customHeight="1" x14ac:dyDescent="0.3">
      <c r="X4069" s="2"/>
      <c r="Y4069" s="7"/>
      <c r="Z4069" s="2"/>
      <c r="AA4069" s="1"/>
      <c r="AC4069" s="2"/>
      <c r="AE4069" s="1"/>
      <c r="AG4069" s="2"/>
    </row>
    <row r="4070" spans="24:33" ht="43.95" customHeight="1" x14ac:dyDescent="0.3">
      <c r="X4070" s="2"/>
      <c r="Y4070" s="7"/>
      <c r="Z4070" s="2"/>
      <c r="AA4070" s="1"/>
      <c r="AC4070" s="2"/>
      <c r="AE4070" s="1"/>
      <c r="AG4070" s="2"/>
    </row>
    <row r="4071" spans="24:33" ht="43.95" customHeight="1" x14ac:dyDescent="0.3">
      <c r="X4071" s="2"/>
      <c r="Y4071" s="7"/>
      <c r="Z4071" s="2"/>
      <c r="AA4071" s="1"/>
      <c r="AC4071" s="2"/>
      <c r="AE4071" s="1"/>
      <c r="AG4071" s="2"/>
    </row>
    <row r="4072" spans="24:33" ht="43.95" customHeight="1" x14ac:dyDescent="0.3">
      <c r="X4072" s="2"/>
      <c r="Y4072" s="7"/>
      <c r="Z4072" s="2"/>
      <c r="AA4072" s="1"/>
      <c r="AC4072" s="2"/>
      <c r="AE4072" s="1"/>
      <c r="AG4072" s="2"/>
    </row>
    <row r="4073" spans="24:33" ht="43.95" customHeight="1" x14ac:dyDescent="0.3">
      <c r="X4073" s="2"/>
      <c r="Y4073" s="7"/>
      <c r="Z4073" s="2"/>
      <c r="AA4073" s="1"/>
      <c r="AC4073" s="2"/>
      <c r="AE4073" s="1"/>
      <c r="AG4073" s="2"/>
    </row>
    <row r="4074" spans="24:33" ht="43.95" customHeight="1" x14ac:dyDescent="0.3">
      <c r="X4074" s="2"/>
      <c r="Y4074" s="7"/>
      <c r="Z4074" s="2"/>
      <c r="AA4074" s="1"/>
      <c r="AC4074" s="2"/>
      <c r="AE4074" s="1"/>
      <c r="AG4074" s="2"/>
    </row>
    <row r="4075" spans="24:33" ht="43.95" customHeight="1" x14ac:dyDescent="0.3">
      <c r="X4075" s="2"/>
      <c r="Y4075" s="7"/>
      <c r="Z4075" s="2"/>
      <c r="AA4075" s="1"/>
      <c r="AC4075" s="2"/>
      <c r="AE4075" s="1"/>
      <c r="AG4075" s="2"/>
    </row>
    <row r="4076" spans="24:33" ht="43.95" customHeight="1" x14ac:dyDescent="0.3">
      <c r="X4076" s="2"/>
      <c r="Y4076" s="7"/>
      <c r="Z4076" s="2"/>
      <c r="AA4076" s="1"/>
      <c r="AC4076" s="2"/>
      <c r="AE4076" s="1"/>
      <c r="AG4076" s="2"/>
    </row>
    <row r="4077" spans="24:33" ht="43.95" customHeight="1" x14ac:dyDescent="0.3">
      <c r="X4077" s="2"/>
      <c r="Y4077" s="7"/>
      <c r="Z4077" s="2"/>
      <c r="AA4077" s="1"/>
      <c r="AC4077" s="2"/>
      <c r="AE4077" s="1"/>
      <c r="AG4077" s="2"/>
    </row>
    <row r="4078" spans="24:33" ht="43.95" customHeight="1" x14ac:dyDescent="0.3">
      <c r="X4078" s="2"/>
      <c r="Y4078" s="7"/>
      <c r="Z4078" s="2"/>
      <c r="AA4078" s="1"/>
      <c r="AC4078" s="2"/>
      <c r="AE4078" s="1"/>
      <c r="AG4078" s="2"/>
    </row>
    <row r="4079" spans="24:33" ht="43.95" customHeight="1" x14ac:dyDescent="0.3">
      <c r="X4079" s="2"/>
      <c r="Y4079" s="7"/>
      <c r="Z4079" s="2"/>
      <c r="AA4079" s="1"/>
      <c r="AC4079" s="2"/>
      <c r="AE4079" s="1"/>
      <c r="AG4079" s="2"/>
    </row>
    <row r="4080" spans="24:33" ht="43.95" customHeight="1" x14ac:dyDescent="0.3">
      <c r="X4080" s="2"/>
      <c r="Y4080" s="7"/>
      <c r="Z4080" s="2"/>
      <c r="AA4080" s="1"/>
      <c r="AC4080" s="2"/>
      <c r="AE4080" s="1"/>
      <c r="AG4080" s="2"/>
    </row>
    <row r="4081" spans="24:33" ht="43.95" customHeight="1" x14ac:dyDescent="0.3">
      <c r="X4081" s="2"/>
      <c r="Y4081" s="7"/>
      <c r="Z4081" s="2"/>
      <c r="AA4081" s="1"/>
      <c r="AC4081" s="2"/>
      <c r="AE4081" s="1"/>
      <c r="AG4081" s="2"/>
    </row>
    <row r="4082" spans="24:33" ht="43.95" customHeight="1" x14ac:dyDescent="0.3">
      <c r="X4082" s="2"/>
      <c r="Y4082" s="7"/>
      <c r="Z4082" s="2"/>
      <c r="AA4082" s="1"/>
      <c r="AC4082" s="2"/>
      <c r="AE4082" s="1"/>
      <c r="AG4082" s="2"/>
    </row>
    <row r="4083" spans="24:33" ht="43.95" customHeight="1" x14ac:dyDescent="0.3">
      <c r="X4083" s="2"/>
      <c r="Y4083" s="7"/>
      <c r="Z4083" s="2"/>
      <c r="AA4083" s="1"/>
      <c r="AC4083" s="2"/>
      <c r="AE4083" s="1"/>
      <c r="AG4083" s="2"/>
    </row>
    <row r="4084" spans="24:33" ht="43.95" customHeight="1" x14ac:dyDescent="0.3">
      <c r="X4084" s="2"/>
      <c r="Y4084" s="7"/>
      <c r="Z4084" s="2"/>
      <c r="AA4084" s="1"/>
      <c r="AC4084" s="2"/>
      <c r="AE4084" s="1"/>
      <c r="AG4084" s="2"/>
    </row>
    <row r="4085" spans="24:33" ht="43.95" customHeight="1" x14ac:dyDescent="0.3">
      <c r="X4085" s="2"/>
      <c r="Y4085" s="7"/>
      <c r="Z4085" s="2"/>
      <c r="AA4085" s="1"/>
      <c r="AC4085" s="2"/>
      <c r="AE4085" s="1"/>
      <c r="AG4085" s="2"/>
    </row>
    <row r="4086" spans="24:33" ht="43.95" customHeight="1" x14ac:dyDescent="0.3">
      <c r="X4086" s="2"/>
      <c r="Y4086" s="7"/>
      <c r="Z4086" s="2"/>
      <c r="AA4086" s="1"/>
      <c r="AC4086" s="2"/>
      <c r="AE4086" s="1"/>
      <c r="AG4086" s="2"/>
    </row>
    <row r="4087" spans="24:33" ht="43.95" customHeight="1" x14ac:dyDescent="0.3">
      <c r="X4087" s="2"/>
      <c r="Y4087" s="7"/>
      <c r="Z4087" s="2"/>
      <c r="AA4087" s="1"/>
      <c r="AC4087" s="2"/>
      <c r="AE4087" s="1"/>
      <c r="AG4087" s="2"/>
    </row>
    <row r="4088" spans="24:33" ht="43.95" customHeight="1" x14ac:dyDescent="0.3">
      <c r="X4088" s="2"/>
      <c r="Y4088" s="7"/>
      <c r="Z4088" s="2"/>
      <c r="AA4088" s="1"/>
      <c r="AC4088" s="2"/>
      <c r="AE4088" s="1"/>
      <c r="AG4088" s="2"/>
    </row>
    <row r="4089" spans="24:33" ht="43.95" customHeight="1" x14ac:dyDescent="0.3">
      <c r="X4089" s="2"/>
      <c r="Y4089" s="7"/>
      <c r="Z4089" s="2"/>
      <c r="AA4089" s="1"/>
      <c r="AC4089" s="2"/>
      <c r="AE4089" s="1"/>
      <c r="AG4089" s="2"/>
    </row>
    <row r="4090" spans="24:33" ht="43.95" customHeight="1" x14ac:dyDescent="0.3">
      <c r="X4090" s="2"/>
      <c r="Y4090" s="7"/>
      <c r="Z4090" s="2"/>
      <c r="AA4090" s="1"/>
      <c r="AC4090" s="2"/>
      <c r="AE4090" s="1"/>
      <c r="AG4090" s="2"/>
    </row>
    <row r="4091" spans="24:33" ht="43.95" customHeight="1" x14ac:dyDescent="0.3">
      <c r="X4091" s="2"/>
      <c r="Y4091" s="7"/>
      <c r="Z4091" s="2"/>
      <c r="AA4091" s="1"/>
      <c r="AC4091" s="2"/>
      <c r="AE4091" s="1"/>
      <c r="AG4091" s="2"/>
    </row>
    <row r="4092" spans="24:33" ht="43.95" customHeight="1" x14ac:dyDescent="0.3">
      <c r="X4092" s="2"/>
      <c r="Y4092" s="7"/>
      <c r="Z4092" s="2"/>
      <c r="AA4092" s="1"/>
      <c r="AC4092" s="2"/>
      <c r="AE4092" s="1"/>
      <c r="AG4092" s="2"/>
    </row>
    <row r="4093" spans="24:33" ht="43.95" customHeight="1" x14ac:dyDescent="0.3">
      <c r="X4093" s="2"/>
      <c r="Y4093" s="7"/>
      <c r="Z4093" s="2"/>
      <c r="AA4093" s="1"/>
      <c r="AC4093" s="2"/>
      <c r="AE4093" s="1"/>
      <c r="AG4093" s="2"/>
    </row>
    <row r="4094" spans="24:33" ht="43.95" customHeight="1" x14ac:dyDescent="0.3">
      <c r="X4094" s="2"/>
      <c r="Y4094" s="7"/>
      <c r="Z4094" s="2"/>
      <c r="AA4094" s="1"/>
      <c r="AC4094" s="2"/>
      <c r="AE4094" s="1"/>
      <c r="AG4094" s="2"/>
    </row>
    <row r="4095" spans="24:33" ht="43.95" customHeight="1" x14ac:dyDescent="0.3">
      <c r="X4095" s="2"/>
      <c r="Y4095" s="7"/>
      <c r="Z4095" s="2"/>
      <c r="AA4095" s="1"/>
      <c r="AC4095" s="2"/>
      <c r="AE4095" s="1"/>
      <c r="AG4095" s="2"/>
    </row>
    <row r="4096" spans="24:33" ht="43.95" customHeight="1" x14ac:dyDescent="0.3">
      <c r="X4096" s="2"/>
      <c r="Y4096" s="7"/>
      <c r="Z4096" s="2"/>
      <c r="AA4096" s="1"/>
      <c r="AC4096" s="2"/>
      <c r="AE4096" s="1"/>
      <c r="AG4096" s="2"/>
    </row>
    <row r="4097" spans="24:33" ht="43.95" customHeight="1" x14ac:dyDescent="0.3">
      <c r="X4097" s="2"/>
      <c r="Y4097" s="7"/>
      <c r="Z4097" s="2"/>
      <c r="AA4097" s="1"/>
      <c r="AC4097" s="2"/>
      <c r="AE4097" s="1"/>
      <c r="AG4097" s="2"/>
    </row>
    <row r="4098" spans="24:33" ht="43.95" customHeight="1" x14ac:dyDescent="0.3">
      <c r="X4098" s="2"/>
      <c r="Y4098" s="7"/>
      <c r="Z4098" s="2"/>
      <c r="AA4098" s="1"/>
      <c r="AC4098" s="2"/>
      <c r="AE4098" s="1"/>
      <c r="AG4098" s="2"/>
    </row>
    <row r="4099" spans="24:33" ht="43.95" customHeight="1" x14ac:dyDescent="0.3">
      <c r="X4099" s="2"/>
      <c r="Y4099" s="7"/>
      <c r="Z4099" s="2"/>
      <c r="AA4099" s="1"/>
      <c r="AC4099" s="2"/>
      <c r="AE4099" s="1"/>
      <c r="AG4099" s="2"/>
    </row>
    <row r="4100" spans="24:33" ht="43.95" customHeight="1" x14ac:dyDescent="0.3">
      <c r="X4100" s="2"/>
      <c r="Y4100" s="7"/>
      <c r="Z4100" s="2"/>
      <c r="AA4100" s="1"/>
      <c r="AC4100" s="2"/>
      <c r="AE4100" s="1"/>
      <c r="AG4100" s="2"/>
    </row>
    <row r="4101" spans="24:33" ht="43.95" customHeight="1" x14ac:dyDescent="0.3">
      <c r="X4101" s="2"/>
      <c r="Y4101" s="7"/>
      <c r="Z4101" s="2"/>
      <c r="AA4101" s="1"/>
      <c r="AC4101" s="2"/>
      <c r="AE4101" s="1"/>
      <c r="AG4101" s="2"/>
    </row>
    <row r="4102" spans="24:33" ht="43.95" customHeight="1" x14ac:dyDescent="0.3">
      <c r="X4102" s="2"/>
      <c r="Y4102" s="7"/>
      <c r="Z4102" s="2"/>
      <c r="AA4102" s="1"/>
      <c r="AC4102" s="2"/>
      <c r="AE4102" s="1"/>
      <c r="AG4102" s="2"/>
    </row>
    <row r="4103" spans="24:33" ht="43.95" customHeight="1" x14ac:dyDescent="0.3">
      <c r="X4103" s="2"/>
      <c r="Y4103" s="7"/>
      <c r="Z4103" s="2"/>
      <c r="AA4103" s="1"/>
      <c r="AC4103" s="2"/>
      <c r="AE4103" s="1"/>
      <c r="AG4103" s="2"/>
    </row>
    <row r="4104" spans="24:33" ht="43.95" customHeight="1" x14ac:dyDescent="0.3">
      <c r="X4104" s="2"/>
      <c r="Y4104" s="7"/>
      <c r="Z4104" s="2"/>
      <c r="AA4104" s="1"/>
      <c r="AC4104" s="2"/>
      <c r="AE4104" s="1"/>
      <c r="AG4104" s="2"/>
    </row>
    <row r="4105" spans="24:33" ht="43.95" customHeight="1" x14ac:dyDescent="0.3">
      <c r="X4105" s="2"/>
      <c r="Y4105" s="7"/>
      <c r="Z4105" s="2"/>
      <c r="AA4105" s="1"/>
      <c r="AC4105" s="2"/>
      <c r="AE4105" s="1"/>
      <c r="AG4105" s="2"/>
    </row>
    <row r="4106" spans="24:33" ht="43.95" customHeight="1" x14ac:dyDescent="0.3">
      <c r="X4106" s="2"/>
      <c r="Y4106" s="7"/>
      <c r="Z4106" s="2"/>
      <c r="AA4106" s="1"/>
      <c r="AC4106" s="2"/>
      <c r="AE4106" s="1"/>
      <c r="AG4106" s="2"/>
    </row>
    <row r="4107" spans="24:33" ht="43.95" customHeight="1" x14ac:dyDescent="0.3">
      <c r="X4107" s="2"/>
      <c r="Y4107" s="7"/>
      <c r="Z4107" s="2"/>
      <c r="AA4107" s="1"/>
      <c r="AC4107" s="2"/>
      <c r="AE4107" s="1"/>
      <c r="AG4107" s="2"/>
    </row>
    <row r="4108" spans="24:33" ht="43.95" customHeight="1" x14ac:dyDescent="0.3">
      <c r="X4108" s="2"/>
      <c r="Y4108" s="7"/>
      <c r="Z4108" s="2"/>
      <c r="AA4108" s="1"/>
      <c r="AC4108" s="2"/>
      <c r="AE4108" s="1"/>
      <c r="AG4108" s="2"/>
    </row>
    <row r="4109" spans="24:33" ht="43.95" customHeight="1" x14ac:dyDescent="0.3">
      <c r="X4109" s="187"/>
      <c r="Y4109" s="7"/>
      <c r="Z4109" s="2"/>
      <c r="AA4109" s="1"/>
      <c r="AC4109" s="2"/>
      <c r="AE4109" s="1"/>
      <c r="AG4109" s="2"/>
    </row>
    <row r="4110" spans="24:33" ht="43.95" customHeight="1" x14ac:dyDescent="0.3">
      <c r="X4110" s="2"/>
      <c r="Y4110" s="7"/>
      <c r="Z4110" s="2"/>
      <c r="AA4110" s="1"/>
      <c r="AC4110" s="2"/>
      <c r="AE4110" s="1"/>
      <c r="AG4110" s="2"/>
    </row>
    <row r="4111" spans="24:33" ht="43.95" customHeight="1" x14ac:dyDescent="0.3">
      <c r="X4111" s="187"/>
      <c r="Y4111" s="7"/>
      <c r="Z4111" s="2"/>
      <c r="AA4111" s="1"/>
      <c r="AC4111" s="2"/>
      <c r="AE4111" s="1"/>
      <c r="AG4111" s="2"/>
    </row>
    <row r="4112" spans="24:33" ht="43.95" customHeight="1" x14ac:dyDescent="0.3">
      <c r="X4112" s="2"/>
      <c r="Y4112" s="7"/>
      <c r="Z4112" s="2"/>
      <c r="AA4112" s="1"/>
      <c r="AC4112" s="2"/>
      <c r="AE4112" s="1"/>
      <c r="AG4112" s="2"/>
    </row>
    <row r="4113" spans="24:33" ht="43.95" customHeight="1" x14ac:dyDescent="0.3">
      <c r="X4113" s="2"/>
      <c r="Y4113" s="7"/>
      <c r="Z4113" s="2"/>
      <c r="AA4113" s="1"/>
      <c r="AC4113" s="2"/>
      <c r="AE4113" s="1"/>
      <c r="AG4113" s="2"/>
    </row>
    <row r="4114" spans="24:33" ht="43.95" customHeight="1" x14ac:dyDescent="0.3">
      <c r="X4114" s="2"/>
      <c r="Y4114" s="7"/>
      <c r="Z4114" s="2"/>
      <c r="AA4114" s="1"/>
      <c r="AC4114" s="2"/>
      <c r="AE4114" s="1"/>
      <c r="AG4114" s="2"/>
    </row>
    <row r="4115" spans="24:33" ht="43.95" customHeight="1" x14ac:dyDescent="0.3">
      <c r="X4115" s="2"/>
      <c r="Y4115" s="7"/>
      <c r="Z4115" s="2"/>
      <c r="AA4115" s="1"/>
      <c r="AC4115" s="2"/>
      <c r="AE4115" s="1"/>
      <c r="AG4115" s="2"/>
    </row>
    <row r="4116" spans="24:33" ht="43.95" customHeight="1" x14ac:dyDescent="0.3">
      <c r="X4116" s="187"/>
      <c r="Y4116" s="7"/>
      <c r="Z4116" s="2"/>
      <c r="AA4116" s="1"/>
      <c r="AC4116" s="2"/>
      <c r="AE4116" s="1"/>
      <c r="AG4116" s="2"/>
    </row>
    <row r="4117" spans="24:33" ht="43.95" customHeight="1" x14ac:dyDescent="0.3">
      <c r="X4117" s="2"/>
      <c r="Y4117" s="7"/>
      <c r="Z4117" s="2"/>
      <c r="AA4117" s="1"/>
      <c r="AC4117" s="2"/>
      <c r="AE4117" s="1"/>
      <c r="AG4117" s="2"/>
    </row>
    <row r="4118" spans="24:33" ht="43.95" customHeight="1" x14ac:dyDescent="0.3">
      <c r="X4118" s="2"/>
      <c r="Y4118" s="7"/>
      <c r="Z4118" s="2"/>
      <c r="AA4118" s="1"/>
      <c r="AC4118" s="2"/>
      <c r="AE4118" s="1"/>
      <c r="AG4118" s="2"/>
    </row>
    <row r="4119" spans="24:33" ht="43.95" customHeight="1" x14ac:dyDescent="0.3">
      <c r="X4119" s="2"/>
      <c r="Y4119" s="7"/>
      <c r="Z4119" s="2"/>
      <c r="AA4119" s="1"/>
      <c r="AC4119" s="2"/>
      <c r="AE4119" s="1"/>
      <c r="AG4119" s="2"/>
    </row>
    <row r="4120" spans="24:33" ht="43.95" customHeight="1" x14ac:dyDescent="0.3">
      <c r="X4120" s="2"/>
      <c r="Y4120" s="7"/>
      <c r="Z4120" s="2"/>
      <c r="AA4120" s="1"/>
      <c r="AC4120" s="2"/>
      <c r="AE4120" s="1"/>
      <c r="AG4120" s="2"/>
    </row>
    <row r="4121" spans="24:33" ht="43.95" customHeight="1" x14ac:dyDescent="0.3">
      <c r="X4121" s="2"/>
      <c r="Y4121" s="7"/>
      <c r="Z4121" s="2"/>
      <c r="AA4121" s="1"/>
      <c r="AC4121" s="2"/>
      <c r="AE4121" s="1"/>
      <c r="AG4121" s="2"/>
    </row>
    <row r="4122" spans="24:33" ht="43.95" customHeight="1" x14ac:dyDescent="0.3">
      <c r="X4122" s="2"/>
      <c r="Y4122" s="7"/>
      <c r="Z4122" s="2"/>
      <c r="AA4122" s="1"/>
      <c r="AC4122" s="2"/>
      <c r="AE4122" s="1"/>
      <c r="AG4122" s="2"/>
    </row>
    <row r="4123" spans="24:33" ht="43.95" customHeight="1" x14ac:dyDescent="0.3">
      <c r="X4123" s="2"/>
      <c r="Y4123" s="7"/>
      <c r="Z4123" s="2"/>
      <c r="AA4123" s="1"/>
      <c r="AC4123" s="2"/>
      <c r="AE4123" s="1"/>
      <c r="AG4123" s="2"/>
    </row>
    <row r="4124" spans="24:33" ht="43.95" customHeight="1" x14ac:dyDescent="0.3">
      <c r="X4124" s="2"/>
      <c r="Y4124" s="7"/>
      <c r="Z4124" s="2"/>
      <c r="AA4124" s="1"/>
      <c r="AC4124" s="2"/>
      <c r="AE4124" s="1"/>
      <c r="AG4124" s="2"/>
    </row>
    <row r="4125" spans="24:33" ht="43.95" customHeight="1" x14ac:dyDescent="0.3">
      <c r="X4125" s="2"/>
      <c r="Y4125" s="7"/>
      <c r="Z4125" s="2"/>
      <c r="AA4125" s="1"/>
      <c r="AC4125" s="2"/>
      <c r="AE4125" s="1"/>
      <c r="AG4125" s="2"/>
    </row>
    <row r="4126" spans="24:33" ht="43.95" customHeight="1" x14ac:dyDescent="0.3">
      <c r="X4126" s="2"/>
      <c r="Y4126" s="7"/>
      <c r="Z4126" s="2"/>
      <c r="AA4126" s="1"/>
      <c r="AC4126" s="2"/>
      <c r="AE4126" s="1"/>
      <c r="AG4126" s="2"/>
    </row>
    <row r="4127" spans="24:33" ht="43.95" customHeight="1" x14ac:dyDescent="0.3">
      <c r="X4127" s="2"/>
      <c r="Y4127" s="7"/>
      <c r="Z4127" s="2"/>
      <c r="AA4127" s="1"/>
      <c r="AC4127" s="2"/>
      <c r="AE4127" s="1"/>
      <c r="AG4127" s="2"/>
    </row>
    <row r="4128" spans="24:33" ht="43.95" customHeight="1" x14ac:dyDescent="0.3">
      <c r="X4128" s="2"/>
      <c r="Y4128" s="7"/>
      <c r="Z4128" s="2"/>
      <c r="AA4128" s="1"/>
      <c r="AC4128" s="2"/>
      <c r="AE4128" s="1"/>
      <c r="AG4128" s="2"/>
    </row>
    <row r="4129" spans="24:33" ht="43.95" customHeight="1" x14ac:dyDescent="0.3">
      <c r="X4129" s="2"/>
      <c r="Y4129" s="7"/>
      <c r="Z4129" s="2"/>
      <c r="AA4129" s="1"/>
      <c r="AC4129" s="2"/>
      <c r="AE4129" s="1"/>
      <c r="AG4129" s="2"/>
    </row>
    <row r="4130" spans="24:33" ht="43.95" customHeight="1" x14ac:dyDescent="0.3">
      <c r="X4130" s="2"/>
      <c r="Y4130" s="7"/>
      <c r="Z4130" s="2"/>
      <c r="AA4130" s="1"/>
      <c r="AC4130" s="2"/>
      <c r="AE4130" s="1"/>
      <c r="AG4130" s="2"/>
    </row>
    <row r="4131" spans="24:33" ht="43.95" customHeight="1" x14ac:dyDescent="0.3">
      <c r="X4131" s="2"/>
      <c r="Y4131" s="7"/>
      <c r="Z4131" s="2"/>
      <c r="AA4131" s="1"/>
      <c r="AC4131" s="2"/>
      <c r="AE4131" s="1"/>
      <c r="AG4131" s="2"/>
    </row>
    <row r="4132" spans="24:33" ht="43.95" customHeight="1" x14ac:dyDescent="0.3">
      <c r="X4132" s="2"/>
      <c r="Y4132" s="7"/>
      <c r="Z4132" s="2"/>
      <c r="AA4132" s="1"/>
      <c r="AC4132" s="2"/>
      <c r="AE4132" s="1"/>
      <c r="AG4132" s="2"/>
    </row>
    <row r="4133" spans="24:33" ht="43.95" customHeight="1" x14ac:dyDescent="0.3">
      <c r="X4133" s="2"/>
      <c r="Y4133" s="7"/>
      <c r="Z4133" s="2"/>
      <c r="AA4133" s="1"/>
      <c r="AC4133" s="2"/>
      <c r="AE4133" s="1"/>
      <c r="AG4133" s="2"/>
    </row>
    <row r="4134" spans="24:33" ht="43.95" customHeight="1" x14ac:dyDescent="0.3">
      <c r="X4134" s="2"/>
      <c r="Y4134" s="7"/>
      <c r="Z4134" s="2"/>
      <c r="AA4134" s="1"/>
      <c r="AC4134" s="2"/>
      <c r="AE4134" s="1"/>
      <c r="AG4134" s="2"/>
    </row>
    <row r="4135" spans="24:33" ht="43.95" customHeight="1" x14ac:dyDescent="0.3">
      <c r="X4135" s="2"/>
      <c r="Y4135" s="7"/>
      <c r="Z4135" s="2"/>
      <c r="AA4135" s="1"/>
      <c r="AC4135" s="2"/>
      <c r="AE4135" s="1"/>
      <c r="AG4135" s="2"/>
    </row>
    <row r="4136" spans="24:33" ht="43.95" customHeight="1" x14ac:dyDescent="0.3">
      <c r="X4136" s="2"/>
      <c r="Y4136" s="7"/>
      <c r="Z4136" s="2"/>
      <c r="AA4136" s="1"/>
      <c r="AC4136" s="2"/>
      <c r="AE4136" s="1"/>
      <c r="AG4136" s="2"/>
    </row>
    <row r="4137" spans="24:33" ht="43.95" customHeight="1" x14ac:dyDescent="0.3">
      <c r="X4137" s="2"/>
      <c r="Y4137" s="7"/>
      <c r="Z4137" s="2"/>
      <c r="AA4137" s="1"/>
      <c r="AC4137" s="2"/>
      <c r="AE4137" s="1"/>
      <c r="AG4137" s="2"/>
    </row>
    <row r="4138" spans="24:33" ht="43.95" customHeight="1" x14ac:dyDescent="0.3">
      <c r="X4138" s="2"/>
      <c r="Y4138" s="7"/>
      <c r="Z4138" s="2"/>
      <c r="AA4138" s="1"/>
      <c r="AC4138" s="2"/>
      <c r="AE4138" s="1"/>
      <c r="AG4138" s="2"/>
    </row>
    <row r="4139" spans="24:33" ht="43.95" customHeight="1" x14ac:dyDescent="0.3">
      <c r="X4139" s="2"/>
      <c r="Y4139" s="7"/>
      <c r="Z4139" s="2"/>
      <c r="AA4139" s="1"/>
      <c r="AC4139" s="2"/>
      <c r="AE4139" s="1"/>
      <c r="AG4139" s="2"/>
    </row>
    <row r="4140" spans="24:33" ht="43.95" customHeight="1" x14ac:dyDescent="0.3">
      <c r="X4140" s="2"/>
      <c r="Y4140" s="7"/>
      <c r="Z4140" s="2"/>
      <c r="AA4140" s="1"/>
      <c r="AC4140" s="2"/>
      <c r="AE4140" s="1"/>
      <c r="AG4140" s="2"/>
    </row>
    <row r="4141" spans="24:33" ht="43.95" customHeight="1" x14ac:dyDescent="0.3">
      <c r="X4141" s="2"/>
      <c r="Y4141" s="7"/>
      <c r="Z4141" s="2"/>
      <c r="AA4141" s="1"/>
      <c r="AC4141" s="2"/>
      <c r="AE4141" s="1"/>
      <c r="AG4141" s="2"/>
    </row>
    <row r="4142" spans="24:33" ht="43.95" customHeight="1" x14ac:dyDescent="0.3">
      <c r="X4142" s="2"/>
      <c r="Y4142" s="7"/>
      <c r="Z4142" s="2"/>
      <c r="AA4142" s="1"/>
      <c r="AC4142" s="2"/>
      <c r="AE4142" s="1"/>
      <c r="AG4142" s="2"/>
    </row>
    <row r="4143" spans="24:33" ht="43.95" customHeight="1" x14ac:dyDescent="0.3">
      <c r="X4143" s="2"/>
      <c r="Y4143" s="7"/>
      <c r="Z4143" s="2"/>
      <c r="AA4143" s="1"/>
      <c r="AC4143" s="2"/>
      <c r="AE4143" s="1"/>
      <c r="AG4143" s="2"/>
    </row>
    <row r="4144" spans="24:33" ht="43.95" customHeight="1" x14ac:dyDescent="0.3">
      <c r="X4144" s="2"/>
      <c r="Y4144" s="7"/>
      <c r="Z4144" s="2"/>
      <c r="AA4144" s="1"/>
      <c r="AC4144" s="2"/>
      <c r="AE4144" s="1"/>
      <c r="AG4144" s="2"/>
    </row>
    <row r="4145" spans="24:33" ht="43.95" customHeight="1" x14ac:dyDescent="0.3">
      <c r="X4145" s="2"/>
      <c r="Y4145" s="7"/>
      <c r="Z4145" s="2"/>
      <c r="AA4145" s="1"/>
      <c r="AC4145" s="2"/>
      <c r="AE4145" s="1"/>
      <c r="AG4145" s="2"/>
    </row>
    <row r="4146" spans="24:33" ht="43.95" customHeight="1" x14ac:dyDescent="0.3">
      <c r="X4146" s="2"/>
      <c r="Y4146" s="7"/>
      <c r="Z4146" s="2"/>
      <c r="AA4146" s="1"/>
      <c r="AC4146" s="2"/>
      <c r="AE4146" s="1"/>
      <c r="AG4146" s="2"/>
    </row>
    <row r="4147" spans="24:33" ht="43.95" customHeight="1" x14ac:dyDescent="0.3">
      <c r="X4147" s="2"/>
      <c r="Y4147" s="7"/>
      <c r="Z4147" s="2"/>
      <c r="AA4147" s="1"/>
      <c r="AC4147" s="2"/>
      <c r="AE4147" s="1"/>
      <c r="AG4147" s="2"/>
    </row>
    <row r="4148" spans="24:33" ht="43.95" customHeight="1" x14ac:dyDescent="0.3">
      <c r="X4148" s="2"/>
      <c r="Y4148" s="7"/>
      <c r="Z4148" s="2"/>
      <c r="AA4148" s="1"/>
      <c r="AC4148" s="2"/>
      <c r="AE4148" s="1"/>
      <c r="AG4148" s="2"/>
    </row>
    <row r="4149" spans="24:33" ht="43.95" customHeight="1" x14ac:dyDescent="0.3">
      <c r="X4149" s="2"/>
      <c r="Y4149" s="7"/>
      <c r="Z4149" s="2"/>
      <c r="AA4149" s="1"/>
      <c r="AC4149" s="2"/>
      <c r="AE4149" s="1"/>
      <c r="AG4149" s="2"/>
    </row>
    <row r="4150" spans="24:33" ht="43.95" customHeight="1" x14ac:dyDescent="0.3">
      <c r="X4150" s="2"/>
      <c r="Y4150" s="7"/>
      <c r="Z4150" s="2"/>
      <c r="AA4150" s="1"/>
      <c r="AC4150" s="2"/>
      <c r="AE4150" s="1"/>
      <c r="AG4150" s="2"/>
    </row>
    <row r="4151" spans="24:33" ht="43.95" customHeight="1" x14ac:dyDescent="0.3">
      <c r="X4151" s="2"/>
      <c r="Y4151" s="7"/>
      <c r="Z4151" s="2"/>
      <c r="AA4151" s="1"/>
      <c r="AC4151" s="2"/>
      <c r="AE4151" s="1"/>
      <c r="AG4151" s="2"/>
    </row>
    <row r="4152" spans="24:33" ht="43.95" customHeight="1" x14ac:dyDescent="0.3">
      <c r="X4152" s="2"/>
      <c r="Y4152" s="7"/>
      <c r="Z4152" s="2"/>
      <c r="AA4152" s="1"/>
      <c r="AC4152" s="2"/>
      <c r="AE4152" s="1"/>
      <c r="AG4152" s="2"/>
    </row>
    <row r="4153" spans="24:33" ht="43.95" customHeight="1" x14ac:dyDescent="0.3">
      <c r="X4153" s="2"/>
      <c r="Y4153" s="7"/>
      <c r="Z4153" s="2"/>
      <c r="AA4153" s="1"/>
      <c r="AC4153" s="2"/>
      <c r="AE4153" s="1"/>
      <c r="AG4153" s="2"/>
    </row>
    <row r="4154" spans="24:33" ht="43.95" customHeight="1" x14ac:dyDescent="0.3">
      <c r="X4154" s="2"/>
      <c r="Y4154" s="7"/>
      <c r="Z4154" s="2"/>
      <c r="AA4154" s="1"/>
      <c r="AC4154" s="2"/>
      <c r="AE4154" s="1"/>
      <c r="AG4154" s="2"/>
    </row>
    <row r="4155" spans="24:33" ht="43.95" customHeight="1" x14ac:dyDescent="0.3">
      <c r="X4155" s="2"/>
      <c r="Y4155" s="7"/>
      <c r="Z4155" s="2"/>
      <c r="AA4155" s="1"/>
      <c r="AC4155" s="2"/>
      <c r="AE4155" s="1"/>
      <c r="AG4155" s="2"/>
    </row>
    <row r="4156" spans="24:33" ht="43.95" customHeight="1" x14ac:dyDescent="0.3">
      <c r="X4156" s="2"/>
      <c r="Y4156" s="7"/>
      <c r="Z4156" s="2"/>
      <c r="AA4156" s="1"/>
      <c r="AC4156" s="2"/>
      <c r="AE4156" s="1"/>
      <c r="AG4156" s="2"/>
    </row>
    <row r="4157" spans="24:33" ht="43.95" customHeight="1" x14ac:dyDescent="0.3">
      <c r="X4157" s="2"/>
      <c r="Y4157" s="7"/>
      <c r="Z4157" s="2"/>
      <c r="AA4157" s="1"/>
      <c r="AC4157" s="2"/>
      <c r="AE4157" s="1"/>
      <c r="AG4157" s="2"/>
    </row>
    <row r="4158" spans="24:33" ht="43.95" customHeight="1" x14ac:dyDescent="0.3">
      <c r="X4158" s="2"/>
      <c r="Y4158" s="7"/>
      <c r="Z4158" s="2"/>
      <c r="AA4158" s="1"/>
      <c r="AC4158" s="2"/>
      <c r="AE4158" s="1"/>
      <c r="AG4158" s="2"/>
    </row>
    <row r="4159" spans="24:33" ht="43.95" customHeight="1" x14ac:dyDescent="0.3">
      <c r="X4159" s="2"/>
      <c r="Y4159" s="7"/>
      <c r="Z4159" s="2"/>
      <c r="AA4159" s="1"/>
      <c r="AC4159" s="2"/>
      <c r="AE4159" s="1"/>
      <c r="AG4159" s="2"/>
    </row>
    <row r="4160" spans="24:33" ht="43.95" customHeight="1" x14ac:dyDescent="0.3">
      <c r="X4160" s="2"/>
      <c r="Y4160" s="7"/>
      <c r="Z4160" s="2"/>
      <c r="AA4160" s="1"/>
      <c r="AC4160" s="2"/>
      <c r="AE4160" s="1"/>
      <c r="AG4160" s="2"/>
    </row>
    <row r="4161" spans="24:33" ht="43.95" customHeight="1" x14ac:dyDescent="0.3">
      <c r="X4161" s="2"/>
      <c r="Y4161" s="7"/>
      <c r="Z4161" s="2"/>
      <c r="AA4161" s="1"/>
      <c r="AC4161" s="2"/>
      <c r="AE4161" s="1"/>
      <c r="AG4161" s="2"/>
    </row>
    <row r="4162" spans="24:33" ht="43.95" customHeight="1" x14ac:dyDescent="0.3">
      <c r="X4162" s="2"/>
      <c r="Y4162" s="7"/>
      <c r="Z4162" s="2"/>
      <c r="AA4162" s="1"/>
      <c r="AC4162" s="2"/>
      <c r="AE4162" s="1"/>
      <c r="AG4162" s="2"/>
    </row>
    <row r="4163" spans="24:33" ht="43.95" customHeight="1" x14ac:dyDescent="0.3">
      <c r="X4163" s="2"/>
      <c r="Y4163" s="7"/>
      <c r="Z4163" s="2"/>
      <c r="AA4163" s="1"/>
      <c r="AC4163" s="2"/>
      <c r="AE4163" s="1"/>
      <c r="AG4163" s="2"/>
    </row>
    <row r="4164" spans="24:33" ht="43.95" customHeight="1" x14ac:dyDescent="0.3">
      <c r="X4164" s="2"/>
      <c r="Y4164" s="7"/>
      <c r="Z4164" s="2"/>
      <c r="AA4164" s="1"/>
      <c r="AC4164" s="2"/>
      <c r="AE4164" s="1"/>
      <c r="AG4164" s="2"/>
    </row>
    <row r="4165" spans="24:33" ht="43.95" customHeight="1" x14ac:dyDescent="0.3">
      <c r="X4165" s="2"/>
      <c r="Y4165" s="7"/>
      <c r="Z4165" s="2"/>
      <c r="AA4165" s="1"/>
      <c r="AC4165" s="2"/>
      <c r="AE4165" s="1"/>
      <c r="AG4165" s="2"/>
    </row>
    <row r="4166" spans="24:33" ht="43.95" customHeight="1" x14ac:dyDescent="0.3">
      <c r="X4166" s="2"/>
      <c r="Y4166" s="7"/>
      <c r="Z4166" s="2"/>
      <c r="AA4166" s="1"/>
      <c r="AC4166" s="2"/>
      <c r="AE4166" s="1"/>
      <c r="AG4166" s="2"/>
    </row>
    <row r="4167" spans="24:33" ht="43.95" customHeight="1" x14ac:dyDescent="0.3">
      <c r="X4167" s="2"/>
      <c r="Y4167" s="7"/>
      <c r="Z4167" s="2"/>
      <c r="AA4167" s="1"/>
      <c r="AC4167" s="2"/>
      <c r="AE4167" s="1"/>
      <c r="AG4167" s="2"/>
    </row>
    <row r="4168" spans="24:33" ht="43.95" customHeight="1" x14ac:dyDescent="0.3">
      <c r="X4168" s="2"/>
      <c r="Y4168" s="7"/>
      <c r="Z4168" s="2"/>
      <c r="AA4168" s="1"/>
      <c r="AC4168" s="2"/>
      <c r="AE4168" s="1"/>
      <c r="AG4168" s="2"/>
    </row>
    <row r="4169" spans="24:33" ht="43.95" customHeight="1" x14ac:dyDescent="0.3">
      <c r="X4169" s="2"/>
      <c r="Y4169" s="7"/>
      <c r="Z4169" s="2"/>
      <c r="AA4169" s="1"/>
      <c r="AC4169" s="2"/>
      <c r="AE4169" s="1"/>
      <c r="AG4169" s="2"/>
    </row>
    <row r="4170" spans="24:33" ht="43.95" customHeight="1" x14ac:dyDescent="0.3">
      <c r="X4170" s="2"/>
      <c r="Y4170" s="7"/>
      <c r="Z4170" s="2"/>
      <c r="AA4170" s="1"/>
      <c r="AC4170" s="2"/>
      <c r="AE4170" s="1"/>
      <c r="AG4170" s="2"/>
    </row>
    <row r="4171" spans="24:33" ht="43.95" customHeight="1" x14ac:dyDescent="0.3">
      <c r="X4171" s="2"/>
      <c r="Y4171" s="7"/>
      <c r="Z4171" s="2"/>
      <c r="AA4171" s="1"/>
      <c r="AC4171" s="2"/>
      <c r="AE4171" s="1"/>
      <c r="AG4171" s="2"/>
    </row>
    <row r="4172" spans="24:33" ht="43.95" customHeight="1" x14ac:dyDescent="0.3">
      <c r="X4172" s="2"/>
      <c r="Y4172" s="7"/>
      <c r="Z4172" s="2"/>
      <c r="AA4172" s="1"/>
      <c r="AC4172" s="2"/>
      <c r="AE4172" s="1"/>
      <c r="AG4172" s="2"/>
    </row>
    <row r="4173" spans="24:33" ht="43.95" customHeight="1" x14ac:dyDescent="0.3">
      <c r="X4173" s="2"/>
      <c r="Y4173" s="7"/>
      <c r="Z4173" s="2"/>
      <c r="AA4173" s="1"/>
      <c r="AC4173" s="2"/>
      <c r="AE4173" s="1"/>
      <c r="AG4173" s="2"/>
    </row>
    <row r="4174" spans="24:33" ht="43.95" customHeight="1" x14ac:dyDescent="0.3">
      <c r="X4174" s="2"/>
      <c r="Y4174" s="7"/>
      <c r="Z4174" s="2"/>
      <c r="AA4174" s="1"/>
      <c r="AC4174" s="2"/>
      <c r="AE4174" s="1"/>
      <c r="AG4174" s="2"/>
    </row>
    <row r="4175" spans="24:33" ht="43.95" customHeight="1" x14ac:dyDescent="0.3">
      <c r="X4175" s="2"/>
      <c r="Y4175" s="7"/>
      <c r="Z4175" s="2"/>
      <c r="AA4175" s="1"/>
      <c r="AC4175" s="2"/>
      <c r="AE4175" s="1"/>
      <c r="AG4175" s="2"/>
    </row>
    <row r="4176" spans="24:33" ht="43.95" customHeight="1" x14ac:dyDescent="0.3">
      <c r="X4176" s="2"/>
      <c r="Y4176" s="7"/>
      <c r="Z4176" s="2"/>
      <c r="AA4176" s="1"/>
      <c r="AC4176" s="2"/>
      <c r="AE4176" s="1"/>
      <c r="AG4176" s="2"/>
    </row>
    <row r="4177" spans="24:33" ht="43.95" customHeight="1" x14ac:dyDescent="0.3">
      <c r="X4177" s="2"/>
      <c r="Y4177" s="7"/>
      <c r="Z4177" s="2"/>
      <c r="AA4177" s="1"/>
      <c r="AC4177" s="2"/>
      <c r="AE4177" s="1"/>
      <c r="AG4177" s="2"/>
    </row>
    <row r="4178" spans="24:33" ht="43.95" customHeight="1" x14ac:dyDescent="0.3">
      <c r="X4178" s="2"/>
      <c r="Y4178" s="7"/>
      <c r="Z4178" s="2"/>
      <c r="AA4178" s="1"/>
      <c r="AC4178" s="2"/>
      <c r="AE4178" s="1"/>
      <c r="AG4178" s="2"/>
    </row>
    <row r="4179" spans="24:33" ht="43.95" customHeight="1" x14ac:dyDescent="0.3">
      <c r="X4179" s="2"/>
      <c r="Y4179" s="7"/>
      <c r="Z4179" s="2"/>
      <c r="AA4179" s="1"/>
      <c r="AC4179" s="2"/>
      <c r="AE4179" s="1"/>
      <c r="AG4179" s="2"/>
    </row>
    <row r="4180" spans="24:33" ht="43.95" customHeight="1" x14ac:dyDescent="0.3">
      <c r="X4180" s="2"/>
      <c r="Y4180" s="7"/>
      <c r="Z4180" s="2"/>
      <c r="AA4180" s="1"/>
      <c r="AC4180" s="2"/>
      <c r="AE4180" s="1"/>
      <c r="AG4180" s="2"/>
    </row>
    <row r="4181" spans="24:33" ht="43.95" customHeight="1" x14ac:dyDescent="0.3">
      <c r="X4181" s="2"/>
      <c r="Y4181" s="7"/>
      <c r="Z4181" s="2"/>
      <c r="AA4181" s="1"/>
      <c r="AC4181" s="2"/>
      <c r="AE4181" s="1"/>
      <c r="AG4181" s="2"/>
    </row>
    <row r="4182" spans="24:33" ht="43.95" customHeight="1" x14ac:dyDescent="0.3">
      <c r="X4182" s="2"/>
      <c r="Y4182" s="7"/>
      <c r="Z4182" s="2"/>
      <c r="AA4182" s="1"/>
      <c r="AC4182" s="2"/>
      <c r="AE4182" s="1"/>
      <c r="AG4182" s="2"/>
    </row>
    <row r="4183" spans="24:33" ht="43.95" customHeight="1" x14ac:dyDescent="0.3">
      <c r="X4183" s="2"/>
      <c r="Y4183" s="7"/>
      <c r="Z4183" s="2"/>
      <c r="AA4183" s="1"/>
      <c r="AC4183" s="2"/>
      <c r="AE4183" s="1"/>
      <c r="AG4183" s="2"/>
    </row>
    <row r="4184" spans="24:33" ht="43.95" customHeight="1" x14ac:dyDescent="0.3">
      <c r="X4184" s="2"/>
      <c r="Y4184" s="7"/>
      <c r="Z4184" s="2"/>
      <c r="AA4184" s="1"/>
      <c r="AC4184" s="2"/>
      <c r="AE4184" s="1"/>
      <c r="AG4184" s="2"/>
    </row>
    <row r="4185" spans="24:33" ht="43.95" customHeight="1" x14ac:dyDescent="0.3">
      <c r="X4185" s="2"/>
      <c r="Y4185" s="7"/>
      <c r="Z4185" s="2"/>
      <c r="AA4185" s="1"/>
      <c r="AC4185" s="2"/>
      <c r="AE4185" s="1"/>
      <c r="AG4185" s="2"/>
    </row>
    <row r="4186" spans="24:33" ht="43.95" customHeight="1" x14ac:dyDescent="0.3">
      <c r="X4186" s="2"/>
      <c r="Y4186" s="7"/>
      <c r="Z4186" s="2"/>
      <c r="AA4186" s="1"/>
      <c r="AC4186" s="2"/>
      <c r="AE4186" s="1"/>
      <c r="AG4186" s="2"/>
    </row>
    <row r="4187" spans="24:33" ht="43.95" customHeight="1" x14ac:dyDescent="0.3">
      <c r="X4187" s="2"/>
      <c r="Y4187" s="7"/>
      <c r="Z4187" s="2"/>
      <c r="AA4187" s="1"/>
      <c r="AC4187" s="2"/>
      <c r="AE4187" s="1"/>
      <c r="AG4187" s="2"/>
    </row>
    <row r="4188" spans="24:33" ht="43.95" customHeight="1" x14ac:dyDescent="0.3">
      <c r="X4188" s="2"/>
      <c r="Y4188" s="7"/>
      <c r="Z4188" s="2"/>
      <c r="AA4188" s="1"/>
      <c r="AC4188" s="2"/>
      <c r="AE4188" s="1"/>
      <c r="AG4188" s="2"/>
    </row>
    <row r="4189" spans="24:33" ht="43.95" customHeight="1" x14ac:dyDescent="0.3">
      <c r="X4189" s="2"/>
      <c r="Y4189" s="7"/>
      <c r="Z4189" s="2"/>
      <c r="AA4189" s="1"/>
      <c r="AC4189" s="2"/>
      <c r="AE4189" s="1"/>
      <c r="AG4189" s="2"/>
    </row>
    <row r="4190" spans="24:33" ht="43.95" customHeight="1" x14ac:dyDescent="0.3">
      <c r="X4190" s="2"/>
      <c r="Y4190" s="7"/>
      <c r="Z4190" s="2"/>
      <c r="AA4190" s="1"/>
      <c r="AC4190" s="2"/>
      <c r="AE4190" s="1"/>
      <c r="AG4190" s="2"/>
    </row>
    <row r="4191" spans="24:33" ht="43.95" customHeight="1" x14ac:dyDescent="0.3">
      <c r="X4191" s="2"/>
      <c r="Y4191" s="7"/>
      <c r="Z4191" s="2"/>
      <c r="AA4191" s="1"/>
      <c r="AC4191" s="2"/>
      <c r="AE4191" s="1"/>
      <c r="AG4191" s="2"/>
    </row>
    <row r="4192" spans="24:33" ht="43.95" customHeight="1" x14ac:dyDescent="0.3">
      <c r="X4192" s="2"/>
      <c r="Y4192" s="7"/>
      <c r="Z4192" s="2"/>
      <c r="AA4192" s="1"/>
      <c r="AC4192" s="2"/>
      <c r="AE4192" s="1"/>
      <c r="AG4192" s="2"/>
    </row>
    <row r="4193" spans="24:33" ht="43.95" customHeight="1" x14ac:dyDescent="0.3">
      <c r="X4193" s="2"/>
      <c r="Y4193" s="7"/>
      <c r="Z4193" s="2"/>
      <c r="AA4193" s="1"/>
      <c r="AC4193" s="2"/>
      <c r="AE4193" s="1"/>
      <c r="AG4193" s="2"/>
    </row>
    <row r="4194" spans="24:33" ht="43.95" customHeight="1" x14ac:dyDescent="0.3">
      <c r="X4194" s="2"/>
      <c r="Y4194" s="7"/>
      <c r="Z4194" s="2"/>
      <c r="AA4194" s="1"/>
      <c r="AC4194" s="2"/>
      <c r="AE4194" s="1"/>
      <c r="AG4194" s="2"/>
    </row>
    <row r="4195" spans="24:33" ht="43.95" customHeight="1" x14ac:dyDescent="0.3">
      <c r="X4195" s="2"/>
      <c r="Y4195" s="7"/>
      <c r="Z4195" s="2"/>
      <c r="AA4195" s="1"/>
      <c r="AC4195" s="2"/>
      <c r="AE4195" s="1"/>
      <c r="AG4195" s="2"/>
    </row>
    <row r="4196" spans="24:33" ht="43.95" customHeight="1" x14ac:dyDescent="0.3">
      <c r="X4196" s="2"/>
      <c r="Y4196" s="7"/>
      <c r="Z4196" s="2"/>
      <c r="AA4196" s="1"/>
      <c r="AC4196" s="2"/>
      <c r="AE4196" s="1"/>
      <c r="AG4196" s="2"/>
    </row>
    <row r="4197" spans="24:33" ht="43.95" customHeight="1" x14ac:dyDescent="0.3">
      <c r="X4197" s="2"/>
      <c r="Y4197" s="7"/>
      <c r="Z4197" s="2"/>
      <c r="AA4197" s="1"/>
      <c r="AC4197" s="2"/>
      <c r="AE4197" s="1"/>
      <c r="AG4197" s="2"/>
    </row>
    <row r="4198" spans="24:33" ht="43.95" customHeight="1" x14ac:dyDescent="0.3">
      <c r="X4198" s="2"/>
      <c r="Y4198" s="7"/>
      <c r="Z4198" s="2"/>
      <c r="AA4198" s="1"/>
      <c r="AC4198" s="2"/>
      <c r="AE4198" s="1"/>
      <c r="AG4198" s="2"/>
    </row>
    <row r="4199" spans="24:33" ht="43.95" customHeight="1" x14ac:dyDescent="0.3">
      <c r="X4199" s="2"/>
      <c r="Y4199" s="7"/>
      <c r="Z4199" s="2"/>
      <c r="AA4199" s="1"/>
      <c r="AC4199" s="2"/>
      <c r="AE4199" s="1"/>
      <c r="AG4199" s="2"/>
    </row>
    <row r="4200" spans="24:33" ht="43.95" customHeight="1" x14ac:dyDescent="0.3">
      <c r="X4200" s="2"/>
      <c r="Y4200" s="7"/>
      <c r="Z4200" s="2"/>
      <c r="AA4200" s="1"/>
      <c r="AC4200" s="2"/>
      <c r="AE4200" s="1"/>
      <c r="AG4200" s="2"/>
    </row>
    <row r="4201" spans="24:33" ht="43.95" customHeight="1" x14ac:dyDescent="0.3">
      <c r="X4201" s="2"/>
      <c r="Y4201" s="7"/>
      <c r="Z4201" s="2"/>
      <c r="AA4201" s="1"/>
      <c r="AC4201" s="2"/>
      <c r="AE4201" s="1"/>
      <c r="AG4201" s="2"/>
    </row>
    <row r="4202" spans="24:33" ht="43.95" customHeight="1" x14ac:dyDescent="0.3">
      <c r="X4202" s="2"/>
      <c r="Y4202" s="7"/>
      <c r="Z4202" s="2"/>
      <c r="AA4202" s="1"/>
      <c r="AC4202" s="2"/>
      <c r="AE4202" s="1"/>
      <c r="AG4202" s="2"/>
    </row>
    <row r="4203" spans="24:33" ht="43.95" customHeight="1" x14ac:dyDescent="0.3">
      <c r="X4203" s="2"/>
      <c r="Y4203" s="7"/>
      <c r="Z4203" s="2"/>
      <c r="AA4203" s="1"/>
      <c r="AC4203" s="2"/>
      <c r="AE4203" s="1"/>
      <c r="AG4203" s="2"/>
    </row>
    <row r="4204" spans="24:33" ht="43.95" customHeight="1" x14ac:dyDescent="0.3">
      <c r="X4204" s="2"/>
      <c r="Y4204" s="7"/>
      <c r="Z4204" s="2"/>
      <c r="AA4204" s="1"/>
      <c r="AC4204" s="2"/>
      <c r="AE4204" s="1"/>
      <c r="AG4204" s="2"/>
    </row>
    <row r="4205" spans="24:33" ht="43.95" customHeight="1" x14ac:dyDescent="0.3">
      <c r="X4205" s="2"/>
      <c r="Y4205" s="7"/>
      <c r="Z4205" s="2"/>
      <c r="AA4205" s="1"/>
      <c r="AC4205" s="2"/>
      <c r="AE4205" s="1"/>
      <c r="AG4205" s="2"/>
    </row>
    <row r="4206" spans="24:33" ht="43.95" customHeight="1" x14ac:dyDescent="0.3">
      <c r="X4206" s="2"/>
      <c r="Y4206" s="7"/>
      <c r="Z4206" s="2"/>
      <c r="AA4206" s="1"/>
      <c r="AC4206" s="2"/>
      <c r="AE4206" s="1"/>
      <c r="AG4206" s="2"/>
    </row>
    <row r="4207" spans="24:33" ht="43.95" customHeight="1" x14ac:dyDescent="0.3">
      <c r="X4207" s="2"/>
      <c r="Y4207" s="7"/>
      <c r="Z4207" s="2"/>
      <c r="AA4207" s="1"/>
      <c r="AC4207" s="2"/>
      <c r="AE4207" s="1"/>
      <c r="AG4207" s="2"/>
    </row>
    <row r="4208" spans="24:33" ht="43.95" customHeight="1" x14ac:dyDescent="0.3">
      <c r="X4208" s="2"/>
      <c r="Y4208" s="7"/>
      <c r="Z4208" s="2"/>
      <c r="AA4208" s="1"/>
      <c r="AC4208" s="2"/>
      <c r="AE4208" s="1"/>
      <c r="AG4208" s="2"/>
    </row>
    <row r="4209" spans="24:33" ht="43.95" customHeight="1" x14ac:dyDescent="0.3">
      <c r="X4209" s="2"/>
      <c r="Y4209" s="7"/>
      <c r="Z4209" s="2"/>
      <c r="AA4209" s="1"/>
      <c r="AC4209" s="2"/>
      <c r="AE4209" s="1"/>
      <c r="AG4209" s="2"/>
    </row>
    <row r="4210" spans="24:33" ht="43.95" customHeight="1" x14ac:dyDescent="0.3">
      <c r="X4210" s="2"/>
      <c r="Y4210" s="7"/>
      <c r="Z4210" s="2"/>
      <c r="AA4210" s="1"/>
      <c r="AC4210" s="2"/>
      <c r="AE4210" s="1"/>
      <c r="AG4210" s="2"/>
    </row>
    <row r="4211" spans="24:33" ht="43.95" customHeight="1" x14ac:dyDescent="0.3">
      <c r="X4211" s="2"/>
      <c r="Y4211" s="7"/>
      <c r="Z4211" s="2"/>
      <c r="AA4211" s="1"/>
      <c r="AC4211" s="2"/>
      <c r="AE4211" s="1"/>
      <c r="AG4211" s="2"/>
    </row>
    <row r="4212" spans="24:33" ht="43.95" customHeight="1" x14ac:dyDescent="0.3">
      <c r="X4212" s="2"/>
      <c r="Y4212" s="7"/>
      <c r="Z4212" s="2"/>
      <c r="AA4212" s="1"/>
      <c r="AC4212" s="2"/>
      <c r="AE4212" s="1"/>
      <c r="AG4212" s="2"/>
    </row>
    <row r="4213" spans="24:33" ht="43.95" customHeight="1" x14ac:dyDescent="0.3">
      <c r="X4213" s="2"/>
      <c r="Y4213" s="7"/>
      <c r="Z4213" s="2"/>
      <c r="AA4213" s="1"/>
      <c r="AC4213" s="2"/>
      <c r="AE4213" s="1"/>
      <c r="AG4213" s="2"/>
    </row>
    <row r="4214" spans="24:33" ht="43.95" customHeight="1" x14ac:dyDescent="0.3">
      <c r="X4214" s="2"/>
      <c r="Y4214" s="7"/>
      <c r="Z4214" s="2"/>
      <c r="AA4214" s="1"/>
      <c r="AC4214" s="2"/>
      <c r="AE4214" s="1"/>
      <c r="AG4214" s="2"/>
    </row>
    <row r="4215" spans="24:33" ht="43.95" customHeight="1" x14ac:dyDescent="0.3">
      <c r="X4215" s="2"/>
      <c r="Y4215" s="7"/>
      <c r="Z4215" s="2"/>
      <c r="AA4215" s="1"/>
      <c r="AC4215" s="2"/>
      <c r="AE4215" s="1"/>
      <c r="AG4215" s="2"/>
    </row>
    <row r="4216" spans="24:33" ht="43.95" customHeight="1" x14ac:dyDescent="0.3">
      <c r="X4216" s="190"/>
      <c r="Y4216" s="7"/>
      <c r="Z4216" s="2"/>
      <c r="AA4216" s="1"/>
      <c r="AC4216" s="2"/>
      <c r="AE4216" s="1"/>
      <c r="AG4216" s="2"/>
    </row>
    <row r="4217" spans="24:33" ht="43.95" customHeight="1" x14ac:dyDescent="0.3">
      <c r="X4217" s="2"/>
      <c r="Y4217" s="7"/>
      <c r="Z4217" s="2"/>
      <c r="AA4217" s="1"/>
      <c r="AC4217" s="2"/>
      <c r="AE4217" s="1"/>
      <c r="AG4217" s="2"/>
    </row>
    <row r="4218" spans="24:33" ht="43.95" customHeight="1" x14ac:dyDescent="0.3">
      <c r="X4218" s="2"/>
      <c r="Y4218" s="7"/>
      <c r="Z4218" s="2"/>
      <c r="AA4218" s="1"/>
      <c r="AC4218" s="2"/>
      <c r="AE4218" s="1"/>
      <c r="AG4218" s="2"/>
    </row>
    <row r="4219" spans="24:33" ht="43.95" customHeight="1" x14ac:dyDescent="0.3">
      <c r="X4219" s="2"/>
      <c r="Y4219" s="7"/>
      <c r="Z4219" s="2"/>
      <c r="AA4219" s="1"/>
      <c r="AC4219" s="2"/>
      <c r="AE4219" s="1"/>
      <c r="AG4219" s="2"/>
    </row>
    <row r="4220" spans="24:33" ht="43.95" customHeight="1" x14ac:dyDescent="0.3">
      <c r="X4220" s="2"/>
      <c r="Y4220" s="7"/>
      <c r="Z4220" s="2"/>
      <c r="AA4220" s="1"/>
      <c r="AC4220" s="2"/>
      <c r="AE4220" s="1"/>
      <c r="AG4220" s="2"/>
    </row>
    <row r="4221" spans="24:33" ht="43.95" customHeight="1" x14ac:dyDescent="0.3">
      <c r="X4221" s="2"/>
      <c r="Y4221" s="7"/>
      <c r="Z4221" s="2"/>
      <c r="AA4221" s="1"/>
      <c r="AC4221" s="2"/>
      <c r="AE4221" s="1"/>
      <c r="AG4221" s="2"/>
    </row>
    <row r="4222" spans="24:33" ht="43.95" customHeight="1" x14ac:dyDescent="0.3">
      <c r="X4222" s="2"/>
      <c r="Y4222" s="7"/>
      <c r="Z4222" s="2"/>
      <c r="AA4222" s="1"/>
      <c r="AC4222" s="2"/>
      <c r="AE4222" s="1"/>
      <c r="AG4222" s="2"/>
    </row>
    <row r="4223" spans="24:33" ht="43.95" customHeight="1" x14ac:dyDescent="0.3">
      <c r="X4223" s="2"/>
      <c r="Y4223" s="7"/>
      <c r="Z4223" s="2"/>
      <c r="AA4223" s="1"/>
      <c r="AC4223" s="2"/>
      <c r="AE4223" s="1"/>
      <c r="AG4223" s="2"/>
    </row>
    <row r="4224" spans="24:33" ht="43.95" customHeight="1" x14ac:dyDescent="0.3">
      <c r="X4224" s="2"/>
      <c r="Y4224" s="7"/>
      <c r="Z4224" s="2"/>
      <c r="AA4224" s="1"/>
      <c r="AC4224" s="2"/>
      <c r="AE4224" s="1"/>
      <c r="AG4224" s="2"/>
    </row>
    <row r="4225" spans="24:33" ht="43.95" customHeight="1" x14ac:dyDescent="0.3">
      <c r="X4225" s="190"/>
      <c r="Y4225" s="7"/>
      <c r="Z4225" s="2"/>
      <c r="AA4225" s="1"/>
      <c r="AC4225" s="2"/>
      <c r="AE4225" s="1"/>
      <c r="AG4225" s="2"/>
    </row>
    <row r="4226" spans="24:33" ht="43.95" customHeight="1" x14ac:dyDescent="0.3">
      <c r="X4226" s="2"/>
      <c r="Y4226" s="7"/>
      <c r="Z4226" s="2"/>
      <c r="AA4226" s="1"/>
      <c r="AC4226" s="2"/>
      <c r="AE4226" s="1"/>
      <c r="AG4226" s="2"/>
    </row>
    <row r="4227" spans="24:33" ht="43.95" customHeight="1" x14ac:dyDescent="0.3">
      <c r="X4227" s="2"/>
      <c r="Y4227" s="7"/>
      <c r="Z4227" s="2"/>
      <c r="AA4227" s="1"/>
      <c r="AC4227" s="2"/>
      <c r="AE4227" s="1"/>
      <c r="AG4227" s="2"/>
    </row>
    <row r="4228" spans="24:33" ht="43.95" customHeight="1" x14ac:dyDescent="0.3">
      <c r="X4228" s="2"/>
      <c r="Y4228" s="7"/>
      <c r="Z4228" s="2"/>
      <c r="AA4228" s="1"/>
      <c r="AC4228" s="2"/>
      <c r="AE4228" s="1"/>
      <c r="AG4228" s="2"/>
    </row>
    <row r="4229" spans="24:33" ht="43.95" customHeight="1" x14ac:dyDescent="0.3">
      <c r="X4229" s="2"/>
      <c r="Y4229" s="7"/>
      <c r="Z4229" s="2"/>
      <c r="AA4229" s="1"/>
      <c r="AC4229" s="2"/>
      <c r="AE4229" s="1"/>
      <c r="AG4229" s="2"/>
    </row>
    <row r="4230" spans="24:33" ht="43.95" customHeight="1" x14ac:dyDescent="0.3">
      <c r="X4230" s="2"/>
      <c r="Y4230" s="7"/>
      <c r="Z4230" s="2"/>
      <c r="AA4230" s="1"/>
      <c r="AC4230" s="2"/>
      <c r="AE4230" s="1"/>
      <c r="AG4230" s="2"/>
    </row>
    <row r="4231" spans="24:33" ht="43.95" customHeight="1" x14ac:dyDescent="0.3">
      <c r="X4231" s="2"/>
      <c r="Y4231" s="7"/>
      <c r="Z4231" s="2"/>
      <c r="AA4231" s="1"/>
      <c r="AC4231" s="2"/>
      <c r="AE4231" s="1"/>
      <c r="AG4231" s="2"/>
    </row>
    <row r="4232" spans="24:33" ht="43.95" customHeight="1" x14ac:dyDescent="0.3">
      <c r="X4232" s="2"/>
      <c r="Y4232" s="7"/>
      <c r="Z4232" s="2"/>
      <c r="AA4232" s="1"/>
      <c r="AC4232" s="2"/>
      <c r="AE4232" s="1"/>
      <c r="AG4232" s="2"/>
    </row>
    <row r="4233" spans="24:33" ht="43.95" customHeight="1" x14ac:dyDescent="0.3">
      <c r="X4233" s="2"/>
      <c r="Y4233" s="7"/>
      <c r="Z4233" s="2"/>
      <c r="AA4233" s="1"/>
      <c r="AC4233" s="2"/>
      <c r="AE4233" s="1"/>
      <c r="AG4233" s="2"/>
    </row>
    <row r="4234" spans="24:33" ht="43.95" customHeight="1" x14ac:dyDescent="0.3">
      <c r="X4234" s="190"/>
      <c r="Y4234" s="7"/>
      <c r="Z4234" s="2"/>
      <c r="AA4234" s="1"/>
      <c r="AC4234" s="2"/>
      <c r="AE4234" s="1"/>
      <c r="AG4234" s="2"/>
    </row>
    <row r="4235" spans="24:33" ht="43.95" customHeight="1" x14ac:dyDescent="0.3">
      <c r="X4235" s="2"/>
      <c r="Y4235" s="7"/>
      <c r="Z4235" s="2"/>
      <c r="AA4235" s="1"/>
      <c r="AC4235" s="2"/>
      <c r="AE4235" s="1"/>
      <c r="AG4235" s="2"/>
    </row>
    <row r="4236" spans="24:33" ht="43.95" customHeight="1" x14ac:dyDescent="0.3">
      <c r="X4236" s="190"/>
      <c r="Y4236" s="7"/>
      <c r="Z4236" s="2"/>
      <c r="AA4236" s="1"/>
      <c r="AC4236" s="2"/>
      <c r="AE4236" s="1"/>
      <c r="AG4236" s="2"/>
    </row>
    <row r="4237" spans="24:33" ht="43.95" customHeight="1" x14ac:dyDescent="0.3">
      <c r="X4237" s="2"/>
      <c r="Y4237" s="7"/>
      <c r="Z4237" s="2"/>
      <c r="AA4237" s="1"/>
      <c r="AC4237" s="2"/>
      <c r="AE4237" s="1"/>
      <c r="AG4237" s="2"/>
    </row>
    <row r="4238" spans="24:33" ht="43.95" customHeight="1" x14ac:dyDescent="0.3">
      <c r="X4238" s="2"/>
      <c r="Y4238" s="7"/>
      <c r="Z4238" s="2"/>
      <c r="AA4238" s="1"/>
      <c r="AC4238" s="2"/>
      <c r="AE4238" s="1"/>
      <c r="AG4238" s="2"/>
    </row>
    <row r="4239" spans="24:33" ht="43.95" customHeight="1" x14ac:dyDescent="0.3">
      <c r="X4239" s="2"/>
      <c r="Y4239" s="7"/>
      <c r="Z4239" s="2"/>
      <c r="AA4239" s="1"/>
      <c r="AC4239" s="2"/>
      <c r="AE4239" s="1"/>
      <c r="AG4239" s="2"/>
    </row>
    <row r="4240" spans="24:33" ht="43.95" customHeight="1" x14ac:dyDescent="0.3">
      <c r="X4240" s="190"/>
      <c r="Y4240" s="7"/>
      <c r="Z4240" s="2"/>
      <c r="AA4240" s="1"/>
      <c r="AC4240" s="2"/>
      <c r="AE4240" s="1"/>
      <c r="AG4240" s="2"/>
    </row>
    <row r="4241" spans="24:33" ht="43.95" customHeight="1" x14ac:dyDescent="0.3">
      <c r="X4241" s="2"/>
      <c r="Y4241" s="7"/>
      <c r="Z4241" s="2"/>
      <c r="AA4241" s="1"/>
      <c r="AC4241" s="2"/>
      <c r="AE4241" s="1"/>
      <c r="AG4241" s="2"/>
    </row>
    <row r="4242" spans="24:33" ht="43.95" customHeight="1" x14ac:dyDescent="0.3">
      <c r="X4242" s="2"/>
      <c r="Y4242" s="7"/>
      <c r="Z4242" s="2"/>
      <c r="AA4242" s="1"/>
      <c r="AC4242" s="2"/>
      <c r="AE4242" s="1"/>
      <c r="AG4242" s="2"/>
    </row>
    <row r="4243" spans="24:33" ht="43.95" customHeight="1" x14ac:dyDescent="0.3">
      <c r="X4243" s="2"/>
      <c r="Y4243" s="7"/>
      <c r="Z4243" s="2"/>
      <c r="AA4243" s="1"/>
      <c r="AC4243" s="2"/>
      <c r="AE4243" s="1"/>
      <c r="AG4243" s="2"/>
    </row>
    <row r="4244" spans="24:33" ht="43.95" customHeight="1" x14ac:dyDescent="0.3">
      <c r="X4244" s="2"/>
      <c r="Y4244" s="7"/>
      <c r="Z4244" s="2"/>
      <c r="AA4244" s="1"/>
      <c r="AC4244" s="2"/>
      <c r="AE4244" s="1"/>
      <c r="AG4244" s="2"/>
    </row>
    <row r="4245" spans="24:33" ht="43.95" customHeight="1" x14ac:dyDescent="0.3">
      <c r="X4245" s="2"/>
      <c r="Y4245" s="7"/>
      <c r="Z4245" s="2"/>
      <c r="AA4245" s="1"/>
      <c r="AC4245" s="2"/>
      <c r="AE4245" s="1"/>
      <c r="AG4245" s="2"/>
    </row>
    <row r="4246" spans="24:33" ht="43.95" customHeight="1" x14ac:dyDescent="0.3">
      <c r="X4246" s="2"/>
      <c r="Y4246" s="7"/>
      <c r="Z4246" s="2"/>
      <c r="AA4246" s="1"/>
      <c r="AC4246" s="2"/>
      <c r="AE4246" s="1"/>
      <c r="AG4246" s="2"/>
    </row>
    <row r="4247" spans="24:33" ht="43.95" customHeight="1" x14ac:dyDescent="0.3">
      <c r="X4247" s="2"/>
      <c r="Y4247" s="7"/>
      <c r="Z4247" s="2"/>
      <c r="AA4247" s="1"/>
      <c r="AC4247" s="2"/>
      <c r="AE4247" s="1"/>
      <c r="AG4247" s="2"/>
    </row>
    <row r="4248" spans="24:33" ht="43.95" customHeight="1" x14ac:dyDescent="0.3">
      <c r="X4248" s="2"/>
      <c r="Y4248" s="7"/>
      <c r="Z4248" s="2"/>
      <c r="AA4248" s="1"/>
      <c r="AC4248" s="2"/>
      <c r="AE4248" s="1"/>
      <c r="AG4248" s="2"/>
    </row>
    <row r="4249" spans="24:33" ht="43.95" customHeight="1" x14ac:dyDescent="0.3">
      <c r="X4249" s="2"/>
      <c r="Y4249" s="7"/>
      <c r="Z4249" s="2"/>
      <c r="AA4249" s="1"/>
      <c r="AC4249" s="2"/>
      <c r="AE4249" s="1"/>
      <c r="AG4249" s="2"/>
    </row>
    <row r="4250" spans="24:33" ht="43.95" customHeight="1" x14ac:dyDescent="0.3">
      <c r="X4250" s="2"/>
      <c r="Y4250" s="7"/>
      <c r="Z4250" s="2"/>
      <c r="AA4250" s="1"/>
      <c r="AC4250" s="2"/>
      <c r="AE4250" s="1"/>
      <c r="AG4250" s="2"/>
    </row>
    <row r="4251" spans="24:33" ht="43.95" customHeight="1" x14ac:dyDescent="0.3">
      <c r="X4251" s="2"/>
      <c r="Y4251" s="7"/>
      <c r="Z4251" s="2"/>
      <c r="AA4251" s="1"/>
      <c r="AC4251" s="2"/>
      <c r="AE4251" s="1"/>
      <c r="AG4251" s="2"/>
    </row>
    <row r="4252" spans="24:33" ht="43.95" customHeight="1" x14ac:dyDescent="0.3">
      <c r="X4252" s="2"/>
      <c r="Y4252" s="7"/>
      <c r="Z4252" s="2"/>
      <c r="AA4252" s="1"/>
      <c r="AC4252" s="2"/>
      <c r="AE4252" s="1"/>
      <c r="AG4252" s="2"/>
    </row>
    <row r="4253" spans="24:33" ht="43.95" customHeight="1" x14ac:dyDescent="0.3">
      <c r="X4253" s="190"/>
      <c r="Y4253" s="7"/>
      <c r="Z4253" s="2"/>
      <c r="AA4253" s="1"/>
      <c r="AC4253" s="2"/>
      <c r="AE4253" s="1"/>
      <c r="AG4253" s="2"/>
    </row>
    <row r="4254" spans="24:33" ht="43.95" customHeight="1" x14ac:dyDescent="0.3">
      <c r="X4254" s="2"/>
      <c r="Y4254" s="7"/>
      <c r="Z4254" s="2"/>
      <c r="AA4254" s="1"/>
      <c r="AC4254" s="2"/>
      <c r="AE4254" s="1"/>
      <c r="AG4254" s="2"/>
    </row>
    <row r="4255" spans="24:33" ht="43.95" customHeight="1" x14ac:dyDescent="0.3">
      <c r="X4255" s="2"/>
      <c r="Y4255" s="7"/>
      <c r="Z4255" s="2"/>
      <c r="AA4255" s="1"/>
      <c r="AC4255" s="2"/>
      <c r="AE4255" s="1"/>
      <c r="AG4255" s="2"/>
    </row>
    <row r="4256" spans="24:33" ht="43.95" customHeight="1" x14ac:dyDescent="0.3">
      <c r="X4256" s="2"/>
      <c r="Y4256" s="7"/>
      <c r="Z4256" s="2"/>
      <c r="AA4256" s="1"/>
      <c r="AC4256" s="2"/>
      <c r="AE4256" s="1"/>
      <c r="AG4256" s="2"/>
    </row>
    <row r="4257" spans="24:33" ht="43.95" customHeight="1" x14ac:dyDescent="0.3">
      <c r="X4257" s="2"/>
      <c r="Y4257" s="7"/>
      <c r="Z4257" s="2"/>
      <c r="AA4257" s="1"/>
      <c r="AC4257" s="2"/>
      <c r="AE4257" s="1"/>
      <c r="AG4257" s="2"/>
    </row>
    <row r="4258" spans="24:33" ht="43.95" customHeight="1" x14ac:dyDescent="0.3">
      <c r="X4258" s="2"/>
      <c r="Y4258" s="7"/>
      <c r="Z4258" s="2"/>
      <c r="AA4258" s="1"/>
      <c r="AC4258" s="2"/>
      <c r="AE4258" s="1"/>
      <c r="AG4258" s="2"/>
    </row>
    <row r="4259" spans="24:33" ht="43.95" customHeight="1" x14ac:dyDescent="0.3">
      <c r="X4259" s="2"/>
      <c r="Y4259" s="7"/>
      <c r="Z4259" s="2"/>
      <c r="AA4259" s="1"/>
      <c r="AC4259" s="2"/>
      <c r="AE4259" s="1"/>
      <c r="AG4259" s="2"/>
    </row>
    <row r="4260" spans="24:33" ht="43.95" customHeight="1" x14ac:dyDescent="0.3">
      <c r="X4260" s="2"/>
      <c r="Y4260" s="7"/>
      <c r="Z4260" s="2"/>
      <c r="AA4260" s="1"/>
      <c r="AC4260" s="2"/>
      <c r="AE4260" s="1"/>
      <c r="AG4260" s="2"/>
    </row>
    <row r="4261" spans="24:33" ht="43.95" customHeight="1" x14ac:dyDescent="0.3">
      <c r="X4261" s="2"/>
      <c r="Y4261" s="7"/>
      <c r="Z4261" s="2"/>
      <c r="AA4261" s="1"/>
      <c r="AC4261" s="2"/>
      <c r="AE4261" s="1"/>
      <c r="AG4261" s="2"/>
    </row>
    <row r="4262" spans="24:33" ht="43.95" customHeight="1" x14ac:dyDescent="0.3">
      <c r="X4262" s="2"/>
      <c r="Y4262" s="7"/>
      <c r="Z4262" s="2"/>
      <c r="AA4262" s="1"/>
      <c r="AC4262" s="2"/>
      <c r="AE4262" s="1"/>
      <c r="AG4262" s="2"/>
    </row>
    <row r="4263" spans="24:33" ht="43.95" customHeight="1" x14ac:dyDescent="0.3">
      <c r="X4263" s="2"/>
      <c r="Y4263" s="7"/>
      <c r="Z4263" s="2"/>
      <c r="AA4263" s="1"/>
      <c r="AC4263" s="2"/>
      <c r="AE4263" s="1"/>
      <c r="AG4263" s="2"/>
    </row>
    <row r="4264" spans="24:33" ht="43.95" customHeight="1" x14ac:dyDescent="0.3">
      <c r="X4264" s="2"/>
      <c r="Y4264" s="7"/>
      <c r="Z4264" s="2"/>
      <c r="AA4264" s="1"/>
      <c r="AC4264" s="2"/>
      <c r="AE4264" s="1"/>
      <c r="AG4264" s="2"/>
    </row>
    <row r="4265" spans="24:33" ht="43.95" customHeight="1" x14ac:dyDescent="0.3">
      <c r="X4265" s="2"/>
      <c r="Y4265" s="7"/>
      <c r="Z4265" s="2"/>
      <c r="AA4265" s="1"/>
      <c r="AC4265" s="2"/>
      <c r="AE4265" s="1"/>
      <c r="AG4265" s="2"/>
    </row>
    <row r="4266" spans="24:33" ht="43.95" customHeight="1" x14ac:dyDescent="0.3">
      <c r="X4266" s="2"/>
      <c r="Y4266" s="7"/>
      <c r="Z4266" s="2"/>
      <c r="AA4266" s="1"/>
      <c r="AC4266" s="2"/>
      <c r="AE4266" s="1"/>
      <c r="AG4266" s="2"/>
    </row>
    <row r="4267" spans="24:33" ht="43.95" customHeight="1" x14ac:dyDescent="0.3">
      <c r="X4267" s="2"/>
      <c r="Y4267" s="7"/>
      <c r="Z4267" s="2"/>
      <c r="AA4267" s="1"/>
      <c r="AC4267" s="2"/>
      <c r="AE4267" s="1"/>
      <c r="AG4267" s="2"/>
    </row>
    <row r="4268" spans="24:33" ht="43.95" customHeight="1" x14ac:dyDescent="0.3">
      <c r="X4268" s="2"/>
      <c r="Y4268" s="7"/>
      <c r="Z4268" s="2"/>
      <c r="AA4268" s="1"/>
      <c r="AC4268" s="2"/>
      <c r="AE4268" s="1"/>
      <c r="AG4268" s="2"/>
    </row>
    <row r="4269" spans="24:33" ht="43.95" customHeight="1" x14ac:dyDescent="0.3">
      <c r="X4269" s="2"/>
      <c r="Y4269" s="7"/>
      <c r="Z4269" s="2"/>
      <c r="AA4269" s="1"/>
      <c r="AC4269" s="2"/>
      <c r="AE4269" s="1"/>
      <c r="AG4269" s="2"/>
    </row>
    <row r="4270" spans="24:33" ht="43.95" customHeight="1" x14ac:dyDescent="0.3">
      <c r="X4270" s="2"/>
      <c r="Y4270" s="7"/>
      <c r="Z4270" s="2"/>
      <c r="AA4270" s="1"/>
      <c r="AC4270" s="2"/>
      <c r="AE4270" s="1"/>
      <c r="AG4270" s="2"/>
    </row>
    <row r="4271" spans="24:33" ht="43.95" customHeight="1" x14ac:dyDescent="0.3">
      <c r="X4271" s="2"/>
      <c r="Y4271" s="7"/>
      <c r="Z4271" s="2"/>
      <c r="AA4271" s="1"/>
      <c r="AC4271" s="2"/>
      <c r="AE4271" s="1"/>
      <c r="AG4271" s="2"/>
    </row>
    <row r="4272" spans="24:33" ht="43.95" customHeight="1" x14ac:dyDescent="0.3">
      <c r="X4272" s="2"/>
      <c r="Y4272" s="7"/>
      <c r="Z4272" s="2"/>
      <c r="AA4272" s="1"/>
      <c r="AC4272" s="2"/>
      <c r="AE4272" s="1"/>
      <c r="AG4272" s="2"/>
    </row>
    <row r="4273" spans="24:33" ht="43.95" customHeight="1" x14ac:dyDescent="0.3">
      <c r="X4273" s="2"/>
      <c r="Y4273" s="7"/>
      <c r="Z4273" s="2"/>
      <c r="AA4273" s="1"/>
      <c r="AC4273" s="2"/>
      <c r="AE4273" s="1"/>
      <c r="AG4273" s="2"/>
    </row>
    <row r="4274" spans="24:33" ht="43.95" customHeight="1" x14ac:dyDescent="0.3">
      <c r="X4274" s="2"/>
      <c r="Y4274" s="7"/>
      <c r="Z4274" s="2"/>
      <c r="AA4274" s="1"/>
      <c r="AC4274" s="2"/>
      <c r="AE4274" s="1"/>
      <c r="AG4274" s="2"/>
    </row>
    <row r="4275" spans="24:33" ht="43.95" customHeight="1" x14ac:dyDescent="0.3">
      <c r="X4275" s="2"/>
      <c r="Y4275" s="7"/>
      <c r="Z4275" s="2"/>
      <c r="AA4275" s="1"/>
      <c r="AC4275" s="2"/>
      <c r="AE4275" s="1"/>
      <c r="AG4275" s="2"/>
    </row>
    <row r="4276" spans="24:33" ht="43.95" customHeight="1" x14ac:dyDescent="0.3">
      <c r="X4276" s="2"/>
      <c r="Y4276" s="7"/>
      <c r="Z4276" s="2"/>
      <c r="AA4276" s="1"/>
      <c r="AC4276" s="2"/>
      <c r="AE4276" s="1"/>
      <c r="AG4276" s="2"/>
    </row>
    <row r="4277" spans="24:33" ht="43.95" customHeight="1" x14ac:dyDescent="0.3">
      <c r="X4277" s="2"/>
      <c r="Y4277" s="7"/>
      <c r="Z4277" s="2"/>
      <c r="AA4277" s="1"/>
      <c r="AC4277" s="2"/>
      <c r="AE4277" s="1"/>
      <c r="AG4277" s="2"/>
    </row>
    <row r="4278" spans="24:33" ht="43.95" customHeight="1" x14ac:dyDescent="0.3">
      <c r="X4278" s="2"/>
      <c r="Y4278" s="7"/>
      <c r="Z4278" s="2"/>
      <c r="AA4278" s="1"/>
      <c r="AC4278" s="2"/>
      <c r="AE4278" s="1"/>
      <c r="AG4278" s="2"/>
    </row>
    <row r="4279" spans="24:33" ht="43.95" customHeight="1" x14ac:dyDescent="0.3">
      <c r="X4279" s="2"/>
      <c r="Y4279" s="7"/>
      <c r="Z4279" s="2"/>
      <c r="AA4279" s="1"/>
      <c r="AC4279" s="2"/>
      <c r="AE4279" s="1"/>
      <c r="AG4279" s="2"/>
    </row>
    <row r="4280" spans="24:33" ht="43.95" customHeight="1" x14ac:dyDescent="0.3">
      <c r="X4280" s="2"/>
      <c r="Y4280" s="7"/>
      <c r="Z4280" s="2"/>
      <c r="AA4280" s="1"/>
      <c r="AC4280" s="2"/>
      <c r="AE4280" s="1"/>
      <c r="AG4280" s="2"/>
    </row>
    <row r="4281" spans="24:33" ht="43.95" customHeight="1" x14ac:dyDescent="0.3">
      <c r="X4281" s="2"/>
      <c r="Y4281" s="7"/>
      <c r="Z4281" s="2"/>
      <c r="AA4281" s="1"/>
      <c r="AC4281" s="2"/>
      <c r="AE4281" s="1"/>
      <c r="AG4281" s="2"/>
    </row>
    <row r="4282" spans="24:33" ht="43.95" customHeight="1" x14ac:dyDescent="0.3">
      <c r="X4282" s="2"/>
      <c r="Y4282" s="7"/>
      <c r="Z4282" s="2"/>
      <c r="AA4282" s="1"/>
      <c r="AC4282" s="2"/>
      <c r="AE4282" s="1"/>
      <c r="AG4282" s="2"/>
    </row>
    <row r="4283" spans="24:33" ht="43.95" customHeight="1" x14ac:dyDescent="0.3">
      <c r="X4283" s="2"/>
      <c r="Y4283" s="7"/>
      <c r="Z4283" s="2"/>
      <c r="AA4283" s="1"/>
      <c r="AC4283" s="2"/>
      <c r="AE4283" s="1"/>
      <c r="AG4283" s="2"/>
    </row>
    <row r="4284" spans="24:33" ht="43.95" customHeight="1" x14ac:dyDescent="0.3">
      <c r="X4284" s="2"/>
      <c r="Y4284" s="7"/>
      <c r="Z4284" s="2"/>
      <c r="AA4284" s="1"/>
      <c r="AC4284" s="2"/>
      <c r="AE4284" s="1"/>
      <c r="AG4284" s="2"/>
    </row>
    <row r="4285" spans="24:33" ht="43.95" customHeight="1" x14ac:dyDescent="0.3">
      <c r="X4285" s="2"/>
      <c r="Y4285" s="7"/>
      <c r="Z4285" s="2"/>
      <c r="AA4285" s="1"/>
      <c r="AC4285" s="2"/>
      <c r="AE4285" s="1"/>
      <c r="AG4285" s="2"/>
    </row>
    <row r="4286" spans="24:33" ht="43.95" customHeight="1" x14ac:dyDescent="0.3">
      <c r="X4286" s="2"/>
      <c r="Y4286" s="7"/>
      <c r="Z4286" s="2"/>
      <c r="AA4286" s="1"/>
      <c r="AC4286" s="2"/>
      <c r="AE4286" s="1"/>
      <c r="AG4286" s="2"/>
    </row>
    <row r="4287" spans="24:33" ht="43.95" customHeight="1" x14ac:dyDescent="0.3">
      <c r="X4287" s="2"/>
      <c r="Y4287" s="7"/>
      <c r="Z4287" s="2"/>
      <c r="AA4287" s="1"/>
      <c r="AC4287" s="2"/>
      <c r="AE4287" s="1"/>
      <c r="AG4287" s="2"/>
    </row>
    <row r="4288" spans="24:33" ht="43.95" customHeight="1" x14ac:dyDescent="0.3">
      <c r="X4288" s="2"/>
      <c r="Y4288" s="7"/>
      <c r="Z4288" s="2"/>
      <c r="AA4288" s="1"/>
      <c r="AC4288" s="2"/>
      <c r="AE4288" s="1"/>
      <c r="AG4288" s="2"/>
    </row>
    <row r="4289" spans="24:33" ht="43.95" customHeight="1" x14ac:dyDescent="0.3">
      <c r="X4289" s="2"/>
      <c r="Y4289" s="7"/>
      <c r="Z4289" s="2"/>
      <c r="AA4289" s="1"/>
      <c r="AC4289" s="2"/>
      <c r="AE4289" s="1"/>
      <c r="AG4289" s="2"/>
    </row>
    <row r="4290" spans="24:33" ht="43.95" customHeight="1" x14ac:dyDescent="0.3">
      <c r="X4290" s="2"/>
      <c r="Y4290" s="7"/>
      <c r="Z4290" s="2"/>
      <c r="AA4290" s="1"/>
      <c r="AC4290" s="2"/>
      <c r="AE4290" s="1"/>
      <c r="AG4290" s="2"/>
    </row>
    <row r="4291" spans="24:33" ht="43.95" customHeight="1" x14ac:dyDescent="0.3">
      <c r="X4291" s="2"/>
      <c r="Y4291" s="7"/>
      <c r="Z4291" s="2"/>
      <c r="AA4291" s="1"/>
      <c r="AC4291" s="2"/>
      <c r="AE4291" s="1"/>
      <c r="AG4291" s="2"/>
    </row>
    <row r="4292" spans="24:33" ht="43.95" customHeight="1" x14ac:dyDescent="0.3">
      <c r="X4292" s="2"/>
      <c r="Y4292" s="7"/>
      <c r="Z4292" s="2"/>
      <c r="AA4292" s="1"/>
      <c r="AC4292" s="2"/>
      <c r="AE4292" s="1"/>
      <c r="AG4292" s="2"/>
    </row>
    <row r="4293" spans="24:33" ht="43.95" customHeight="1" x14ac:dyDescent="0.3">
      <c r="X4293" s="2"/>
      <c r="Y4293" s="7"/>
      <c r="Z4293" s="2"/>
      <c r="AA4293" s="1"/>
      <c r="AC4293" s="2"/>
      <c r="AE4293" s="1"/>
      <c r="AG4293" s="2"/>
    </row>
    <row r="4294" spans="24:33" ht="43.95" customHeight="1" x14ac:dyDescent="0.3">
      <c r="X4294" s="2"/>
      <c r="Y4294" s="7"/>
      <c r="Z4294" s="2"/>
      <c r="AA4294" s="1"/>
      <c r="AC4294" s="2"/>
      <c r="AE4294" s="1"/>
      <c r="AG4294" s="2"/>
    </row>
    <row r="4295" spans="24:33" ht="43.95" customHeight="1" x14ac:dyDescent="0.3">
      <c r="X4295" s="2"/>
      <c r="Y4295" s="7"/>
      <c r="Z4295" s="2"/>
      <c r="AA4295" s="1"/>
      <c r="AC4295" s="2"/>
      <c r="AE4295" s="1"/>
      <c r="AG4295" s="2"/>
    </row>
    <row r="4296" spans="24:33" ht="43.95" customHeight="1" x14ac:dyDescent="0.3">
      <c r="X4296" s="2"/>
      <c r="Y4296" s="7"/>
      <c r="Z4296" s="2"/>
      <c r="AA4296" s="1"/>
      <c r="AC4296" s="2"/>
      <c r="AE4296" s="1"/>
      <c r="AG4296" s="2"/>
    </row>
    <row r="4297" spans="24:33" ht="43.95" customHeight="1" x14ac:dyDescent="0.3">
      <c r="X4297" s="2"/>
      <c r="Y4297" s="7"/>
      <c r="Z4297" s="2"/>
      <c r="AA4297" s="1"/>
      <c r="AC4297" s="2"/>
      <c r="AE4297" s="1"/>
      <c r="AG4297" s="2"/>
    </row>
    <row r="4298" spans="24:33" ht="43.95" customHeight="1" x14ac:dyDescent="0.3">
      <c r="X4298" s="2"/>
      <c r="Y4298" s="7"/>
      <c r="Z4298" s="2"/>
      <c r="AA4298" s="1"/>
      <c r="AC4298" s="2"/>
      <c r="AE4298" s="1"/>
      <c r="AG4298" s="2"/>
    </row>
    <row r="4299" spans="24:33" ht="43.95" customHeight="1" x14ac:dyDescent="0.3">
      <c r="X4299" s="2"/>
      <c r="Y4299" s="7"/>
      <c r="Z4299" s="2"/>
      <c r="AA4299" s="1"/>
      <c r="AC4299" s="2"/>
      <c r="AE4299" s="1"/>
      <c r="AG4299" s="2"/>
    </row>
    <row r="4300" spans="24:33" ht="43.95" customHeight="1" x14ac:dyDescent="0.3">
      <c r="X4300" s="2"/>
      <c r="Y4300" s="7"/>
      <c r="Z4300" s="2"/>
      <c r="AA4300" s="1"/>
      <c r="AC4300" s="2"/>
      <c r="AE4300" s="1"/>
      <c r="AG4300" s="2"/>
    </row>
    <row r="4301" spans="24:33" ht="43.95" customHeight="1" x14ac:dyDescent="0.3">
      <c r="X4301" s="2"/>
      <c r="Y4301" s="7"/>
      <c r="Z4301" s="2"/>
      <c r="AA4301" s="1"/>
      <c r="AC4301" s="2"/>
      <c r="AE4301" s="1"/>
      <c r="AG4301" s="2"/>
    </row>
    <row r="4302" spans="24:33" ht="43.95" customHeight="1" x14ac:dyDescent="0.3">
      <c r="X4302" s="2"/>
      <c r="Y4302" s="7"/>
      <c r="Z4302" s="2"/>
      <c r="AA4302" s="1"/>
      <c r="AC4302" s="2"/>
      <c r="AE4302" s="1"/>
      <c r="AG4302" s="2"/>
    </row>
    <row r="4303" spans="24:33" ht="43.95" customHeight="1" x14ac:dyDescent="0.3">
      <c r="X4303" s="2"/>
      <c r="Y4303" s="7"/>
      <c r="Z4303" s="2"/>
      <c r="AA4303" s="1"/>
      <c r="AC4303" s="2"/>
      <c r="AE4303" s="1"/>
      <c r="AG4303" s="2"/>
    </row>
    <row r="4304" spans="24:33" ht="43.95" customHeight="1" x14ac:dyDescent="0.3">
      <c r="X4304" s="2"/>
      <c r="Y4304" s="7"/>
      <c r="Z4304" s="2"/>
      <c r="AA4304" s="1"/>
      <c r="AC4304" s="2"/>
      <c r="AE4304" s="1"/>
      <c r="AG4304" s="2"/>
    </row>
    <row r="4305" spans="24:33" ht="43.95" customHeight="1" x14ac:dyDescent="0.3">
      <c r="X4305" s="2"/>
      <c r="Y4305" s="7"/>
      <c r="Z4305" s="2"/>
      <c r="AA4305" s="1"/>
      <c r="AC4305" s="2"/>
      <c r="AE4305" s="1"/>
      <c r="AG4305" s="2"/>
    </row>
    <row r="4306" spans="24:33" ht="43.95" customHeight="1" x14ac:dyDescent="0.3">
      <c r="X4306" s="2"/>
      <c r="Y4306" s="7"/>
      <c r="Z4306" s="2"/>
      <c r="AA4306" s="1"/>
      <c r="AC4306" s="2"/>
      <c r="AE4306" s="1"/>
      <c r="AG4306" s="2"/>
    </row>
    <row r="4307" spans="24:33" ht="43.95" customHeight="1" x14ac:dyDescent="0.3">
      <c r="X4307" s="2"/>
      <c r="Y4307" s="7"/>
      <c r="Z4307" s="2"/>
      <c r="AA4307" s="1"/>
      <c r="AC4307" s="2"/>
      <c r="AE4307" s="1"/>
      <c r="AG4307" s="2"/>
    </row>
    <row r="4308" spans="24:33" ht="43.95" customHeight="1" x14ac:dyDescent="0.3">
      <c r="X4308" s="2"/>
      <c r="Y4308" s="7"/>
      <c r="Z4308" s="2"/>
      <c r="AA4308" s="1"/>
      <c r="AC4308" s="2"/>
      <c r="AE4308" s="1"/>
      <c r="AG4308" s="2"/>
    </row>
    <row r="4309" spans="24:33" ht="43.95" customHeight="1" x14ac:dyDescent="0.3">
      <c r="X4309" s="2"/>
      <c r="Y4309" s="7"/>
      <c r="Z4309" s="2"/>
      <c r="AA4309" s="1"/>
      <c r="AC4309" s="2"/>
      <c r="AE4309" s="1"/>
      <c r="AG4309" s="2"/>
    </row>
    <row r="4310" spans="24:33" ht="43.95" customHeight="1" x14ac:dyDescent="0.3">
      <c r="X4310" s="2"/>
      <c r="Y4310" s="7"/>
      <c r="Z4310" s="2"/>
      <c r="AA4310" s="1"/>
      <c r="AC4310" s="2"/>
      <c r="AE4310" s="1"/>
      <c r="AG4310" s="2"/>
    </row>
    <row r="4311" spans="24:33" ht="43.95" customHeight="1" x14ac:dyDescent="0.3">
      <c r="X4311" s="192"/>
      <c r="Y4311" s="7"/>
      <c r="Z4311" s="2"/>
      <c r="AA4311" s="1"/>
      <c r="AC4311" s="2"/>
      <c r="AE4311" s="1"/>
      <c r="AG4311" s="2"/>
    </row>
    <row r="4312" spans="24:33" ht="43.95" customHeight="1" x14ac:dyDescent="0.3">
      <c r="X4312" s="2"/>
      <c r="Y4312" s="7"/>
      <c r="Z4312" s="2"/>
      <c r="AA4312" s="1"/>
      <c r="AC4312" s="2"/>
      <c r="AE4312" s="1"/>
      <c r="AG4312" s="2"/>
    </row>
    <row r="4313" spans="24:33" ht="43.95" customHeight="1" x14ac:dyDescent="0.3">
      <c r="X4313" s="2"/>
      <c r="Y4313" s="7"/>
      <c r="Z4313" s="2"/>
      <c r="AA4313" s="1"/>
      <c r="AC4313" s="2"/>
      <c r="AE4313" s="1"/>
      <c r="AG4313" s="2"/>
    </row>
    <row r="4314" spans="24:33" ht="43.95" customHeight="1" x14ac:dyDescent="0.3">
      <c r="X4314" s="2"/>
      <c r="Y4314" s="7"/>
      <c r="Z4314" s="2"/>
      <c r="AA4314" s="1"/>
      <c r="AC4314" s="2"/>
      <c r="AE4314" s="1"/>
      <c r="AG4314" s="2"/>
    </row>
    <row r="4315" spans="24:33" ht="43.95" customHeight="1" x14ac:dyDescent="0.3">
      <c r="X4315" s="192"/>
      <c r="Y4315" s="7"/>
      <c r="Z4315" s="2"/>
      <c r="AA4315" s="1"/>
      <c r="AC4315" s="2"/>
      <c r="AE4315" s="1"/>
      <c r="AG4315" s="2"/>
    </row>
    <row r="4316" spans="24:33" ht="43.95" customHeight="1" x14ac:dyDescent="0.3">
      <c r="X4316" s="2"/>
      <c r="Y4316" s="7"/>
      <c r="Z4316" s="2"/>
      <c r="AA4316" s="1"/>
      <c r="AC4316" s="2"/>
      <c r="AE4316" s="1"/>
      <c r="AG4316" s="2"/>
    </row>
    <row r="4317" spans="24:33" ht="43.95" customHeight="1" x14ac:dyDescent="0.3">
      <c r="X4317" s="2"/>
      <c r="Y4317" s="7"/>
      <c r="Z4317" s="2"/>
      <c r="AA4317" s="1"/>
      <c r="AC4317" s="2"/>
      <c r="AE4317" s="1"/>
      <c r="AG4317" s="2"/>
    </row>
    <row r="4318" spans="24:33" ht="43.95" customHeight="1" x14ac:dyDescent="0.3">
      <c r="X4318" s="2"/>
      <c r="Y4318" s="7"/>
      <c r="Z4318" s="2"/>
      <c r="AA4318" s="1"/>
      <c r="AC4318" s="2"/>
      <c r="AE4318" s="1"/>
      <c r="AG4318" s="2"/>
    </row>
    <row r="4319" spans="24:33" ht="43.95" customHeight="1" x14ac:dyDescent="0.3">
      <c r="X4319" s="2"/>
      <c r="Y4319" s="7"/>
      <c r="Z4319" s="2"/>
      <c r="AA4319" s="1"/>
      <c r="AC4319" s="2"/>
      <c r="AE4319" s="1"/>
      <c r="AG4319" s="2"/>
    </row>
    <row r="4320" spans="24:33" ht="43.95" customHeight="1" x14ac:dyDescent="0.3">
      <c r="X4320" s="2"/>
      <c r="Y4320" s="7"/>
      <c r="Z4320" s="2"/>
      <c r="AA4320" s="1"/>
      <c r="AC4320" s="2"/>
      <c r="AE4320" s="1"/>
      <c r="AG4320" s="2"/>
    </row>
    <row r="4321" spans="24:33" ht="43.95" customHeight="1" x14ac:dyDescent="0.3">
      <c r="X4321" s="2"/>
      <c r="Y4321" s="7"/>
      <c r="Z4321" s="2"/>
      <c r="AA4321" s="1"/>
      <c r="AC4321" s="2"/>
      <c r="AE4321" s="1"/>
      <c r="AG4321" s="2"/>
    </row>
    <row r="4322" spans="24:33" ht="43.95" customHeight="1" x14ac:dyDescent="0.3">
      <c r="X4322" s="2"/>
      <c r="Y4322" s="7"/>
      <c r="Z4322" s="2"/>
      <c r="AA4322" s="1"/>
      <c r="AC4322" s="2"/>
      <c r="AE4322" s="1"/>
      <c r="AG4322" s="2"/>
    </row>
    <row r="4323" spans="24:33" ht="43.95" customHeight="1" x14ac:dyDescent="0.3">
      <c r="X4323" s="2"/>
      <c r="Y4323" s="7"/>
      <c r="Z4323" s="2"/>
      <c r="AA4323" s="1"/>
      <c r="AC4323" s="2"/>
      <c r="AE4323" s="1"/>
      <c r="AG4323" s="2"/>
    </row>
    <row r="4324" spans="24:33" ht="43.95" customHeight="1" x14ac:dyDescent="0.3">
      <c r="X4324" s="2"/>
      <c r="Y4324" s="7"/>
      <c r="Z4324" s="2"/>
      <c r="AA4324" s="1"/>
      <c r="AC4324" s="2"/>
      <c r="AE4324" s="1"/>
      <c r="AG4324" s="2"/>
    </row>
    <row r="4325" spans="24:33" ht="43.95" customHeight="1" x14ac:dyDescent="0.3">
      <c r="X4325" s="2"/>
      <c r="Y4325" s="7"/>
      <c r="Z4325" s="2"/>
      <c r="AA4325" s="1"/>
      <c r="AC4325" s="2"/>
      <c r="AE4325" s="1"/>
      <c r="AG4325" s="2"/>
    </row>
    <row r="4326" spans="24:33" ht="43.95" customHeight="1" x14ac:dyDescent="0.3">
      <c r="X4326" s="2"/>
      <c r="Y4326" s="7"/>
      <c r="Z4326" s="2"/>
      <c r="AA4326" s="1"/>
      <c r="AC4326" s="2"/>
      <c r="AE4326" s="1"/>
      <c r="AG4326" s="2"/>
    </row>
    <row r="4327" spans="24:33" ht="43.95" customHeight="1" x14ac:dyDescent="0.3">
      <c r="X4327" s="2"/>
      <c r="Y4327" s="7"/>
      <c r="Z4327" s="2"/>
      <c r="AA4327" s="1"/>
      <c r="AC4327" s="2"/>
      <c r="AE4327" s="1"/>
      <c r="AG4327" s="2"/>
    </row>
    <row r="4328" spans="24:33" ht="43.95" customHeight="1" x14ac:dyDescent="0.3">
      <c r="X4328" s="2"/>
      <c r="Y4328" s="7"/>
      <c r="Z4328" s="2"/>
      <c r="AA4328" s="1"/>
      <c r="AC4328" s="2"/>
      <c r="AE4328" s="1"/>
      <c r="AG4328" s="2"/>
    </row>
    <row r="4329" spans="24:33" ht="43.95" customHeight="1" x14ac:dyDescent="0.3">
      <c r="X4329" s="192"/>
      <c r="Y4329" s="7"/>
      <c r="Z4329" s="2"/>
      <c r="AA4329" s="1"/>
      <c r="AC4329" s="2"/>
      <c r="AE4329" s="1"/>
      <c r="AG4329" s="2"/>
    </row>
    <row r="4330" spans="24:33" ht="43.95" customHeight="1" x14ac:dyDescent="0.3">
      <c r="X4330" s="2"/>
      <c r="Y4330" s="7"/>
      <c r="Z4330" s="2"/>
      <c r="AA4330" s="1"/>
      <c r="AC4330" s="2"/>
      <c r="AE4330" s="1"/>
      <c r="AG4330" s="2"/>
    </row>
    <row r="4331" spans="24:33" ht="43.95" customHeight="1" x14ac:dyDescent="0.3">
      <c r="X4331" s="2"/>
      <c r="Y4331" s="7"/>
      <c r="Z4331" s="2"/>
      <c r="AA4331" s="1"/>
      <c r="AC4331" s="2"/>
      <c r="AE4331" s="1"/>
      <c r="AG4331" s="2"/>
    </row>
    <row r="4332" spans="24:33" ht="43.95" customHeight="1" x14ac:dyDescent="0.3">
      <c r="X4332" s="2"/>
      <c r="Y4332" s="7"/>
      <c r="Z4332" s="2"/>
      <c r="AA4332" s="1"/>
      <c r="AC4332" s="2"/>
      <c r="AE4332" s="1"/>
      <c r="AG4332" s="2"/>
    </row>
    <row r="4333" spans="24:33" ht="43.95" customHeight="1" x14ac:dyDescent="0.3">
      <c r="X4333" s="2"/>
      <c r="Y4333" s="7"/>
      <c r="Z4333" s="2"/>
      <c r="AA4333" s="1"/>
      <c r="AC4333" s="2"/>
      <c r="AE4333" s="1"/>
      <c r="AG4333" s="2"/>
    </row>
    <row r="4334" spans="24:33" ht="43.95" customHeight="1" x14ac:dyDescent="0.3">
      <c r="X4334" s="2"/>
      <c r="Y4334" s="7"/>
      <c r="Z4334" s="2"/>
      <c r="AA4334" s="1"/>
      <c r="AC4334" s="2"/>
      <c r="AE4334" s="1"/>
      <c r="AG4334" s="2"/>
    </row>
    <row r="4335" spans="24:33" ht="43.95" customHeight="1" x14ac:dyDescent="0.3">
      <c r="X4335" s="2"/>
      <c r="Y4335" s="7"/>
      <c r="Z4335" s="2"/>
      <c r="AA4335" s="1"/>
      <c r="AC4335" s="2"/>
      <c r="AE4335" s="1"/>
      <c r="AG4335" s="2"/>
    </row>
    <row r="4336" spans="24:33" ht="43.95" customHeight="1" x14ac:dyDescent="0.3">
      <c r="X4336" s="2"/>
      <c r="Y4336" s="7"/>
      <c r="Z4336" s="2"/>
      <c r="AA4336" s="1"/>
      <c r="AC4336" s="2"/>
      <c r="AE4336" s="1"/>
      <c r="AG4336" s="2"/>
    </row>
    <row r="4337" spans="24:33" ht="43.95" customHeight="1" x14ac:dyDescent="0.3">
      <c r="X4337" s="2"/>
      <c r="Y4337" s="7"/>
      <c r="Z4337" s="2"/>
      <c r="AA4337" s="1"/>
      <c r="AC4337" s="2"/>
      <c r="AE4337" s="1"/>
      <c r="AG4337" s="2"/>
    </row>
    <row r="4338" spans="24:33" ht="43.95" customHeight="1" x14ac:dyDescent="0.3">
      <c r="X4338" s="192"/>
      <c r="Y4338" s="7"/>
      <c r="Z4338" s="2"/>
      <c r="AA4338" s="1"/>
      <c r="AC4338" s="2"/>
      <c r="AE4338" s="1"/>
      <c r="AG4338" s="2"/>
    </row>
    <row r="4339" spans="24:33" ht="43.95" customHeight="1" x14ac:dyDescent="0.3">
      <c r="X4339" s="2"/>
      <c r="Y4339" s="7"/>
      <c r="Z4339" s="2"/>
      <c r="AA4339" s="1"/>
      <c r="AC4339" s="2"/>
      <c r="AE4339" s="1"/>
      <c r="AG4339" s="2"/>
    </row>
    <row r="4340" spans="24:33" ht="43.95" customHeight="1" x14ac:dyDescent="0.3">
      <c r="X4340" s="2"/>
      <c r="Y4340" s="7"/>
      <c r="Z4340" s="2"/>
      <c r="AA4340" s="1"/>
      <c r="AC4340" s="2"/>
      <c r="AE4340" s="1"/>
      <c r="AG4340" s="2"/>
    </row>
    <row r="4341" spans="24:33" ht="43.95" customHeight="1" x14ac:dyDescent="0.3">
      <c r="X4341" s="2"/>
      <c r="Y4341" s="7"/>
      <c r="Z4341" s="2"/>
      <c r="AA4341" s="1"/>
      <c r="AC4341" s="2"/>
      <c r="AE4341" s="1"/>
      <c r="AG4341" s="2"/>
    </row>
    <row r="4342" spans="24:33" ht="43.95" customHeight="1" x14ac:dyDescent="0.3">
      <c r="X4342" s="2"/>
      <c r="Y4342" s="7"/>
      <c r="Z4342" s="2"/>
      <c r="AA4342" s="1"/>
      <c r="AC4342" s="2"/>
      <c r="AE4342" s="1"/>
      <c r="AG4342" s="2"/>
    </row>
    <row r="4343" spans="24:33" ht="43.95" customHeight="1" x14ac:dyDescent="0.3">
      <c r="X4343" s="2"/>
      <c r="Y4343" s="7"/>
      <c r="Z4343" s="2"/>
      <c r="AA4343" s="1"/>
      <c r="AC4343" s="2"/>
      <c r="AE4343" s="1"/>
      <c r="AG4343" s="2"/>
    </row>
    <row r="4344" spans="24:33" ht="43.95" customHeight="1" x14ac:dyDescent="0.3">
      <c r="X4344" s="2"/>
      <c r="Y4344" s="7"/>
      <c r="Z4344" s="2"/>
      <c r="AA4344" s="1"/>
      <c r="AC4344" s="2"/>
      <c r="AE4344" s="1"/>
      <c r="AG4344" s="2"/>
    </row>
    <row r="4345" spans="24:33" ht="43.95" customHeight="1" x14ac:dyDescent="0.3">
      <c r="X4345" s="2"/>
      <c r="Y4345" s="7"/>
      <c r="Z4345" s="2"/>
      <c r="AA4345" s="1"/>
      <c r="AC4345" s="2"/>
      <c r="AE4345" s="1"/>
      <c r="AG4345" s="2"/>
    </row>
    <row r="4346" spans="24:33" ht="43.95" customHeight="1" x14ac:dyDescent="0.3">
      <c r="X4346" s="2"/>
      <c r="Y4346" s="7"/>
      <c r="Z4346" s="2"/>
      <c r="AA4346" s="1"/>
      <c r="AC4346" s="2"/>
      <c r="AE4346" s="1"/>
      <c r="AG4346" s="2"/>
    </row>
    <row r="4347" spans="24:33" ht="43.95" customHeight="1" x14ac:dyDescent="0.3">
      <c r="X4347" s="192"/>
      <c r="Y4347" s="7"/>
      <c r="Z4347" s="2"/>
      <c r="AA4347" s="1"/>
      <c r="AC4347" s="2"/>
      <c r="AE4347" s="1"/>
      <c r="AG4347" s="2"/>
    </row>
    <row r="4348" spans="24:33" ht="43.95" customHeight="1" x14ac:dyDescent="0.3">
      <c r="X4348" s="2"/>
      <c r="Y4348" s="7"/>
      <c r="Z4348" s="2"/>
      <c r="AA4348" s="1"/>
      <c r="AC4348" s="2"/>
      <c r="AE4348" s="1"/>
      <c r="AG4348" s="2"/>
    </row>
    <row r="4349" spans="24:33" ht="43.95" customHeight="1" x14ac:dyDescent="0.3">
      <c r="X4349" s="2"/>
      <c r="Y4349" s="7"/>
      <c r="Z4349" s="2"/>
      <c r="AA4349" s="1"/>
      <c r="AC4349" s="2"/>
      <c r="AE4349" s="1"/>
      <c r="AG4349" s="2"/>
    </row>
    <row r="4350" spans="24:33" ht="43.95" customHeight="1" x14ac:dyDescent="0.3">
      <c r="X4350" s="2"/>
      <c r="Y4350" s="7"/>
      <c r="Z4350" s="2"/>
      <c r="AA4350" s="1"/>
      <c r="AC4350" s="2"/>
      <c r="AE4350" s="1"/>
      <c r="AG4350" s="2"/>
    </row>
    <row r="4351" spans="24:33" ht="43.95" customHeight="1" x14ac:dyDescent="0.3">
      <c r="X4351" s="2"/>
      <c r="Y4351" s="7"/>
      <c r="Z4351" s="2"/>
      <c r="AA4351" s="1"/>
      <c r="AC4351" s="2"/>
      <c r="AE4351" s="1"/>
      <c r="AG4351" s="2"/>
    </row>
    <row r="4352" spans="24:33" ht="43.95" customHeight="1" x14ac:dyDescent="0.3">
      <c r="X4352" s="2"/>
      <c r="Y4352" s="7"/>
      <c r="Z4352" s="2"/>
      <c r="AA4352" s="1"/>
      <c r="AC4352" s="2"/>
      <c r="AE4352" s="1"/>
      <c r="AG4352" s="2"/>
    </row>
    <row r="4353" spans="24:33" ht="43.95" customHeight="1" x14ac:dyDescent="0.3">
      <c r="X4353" s="2"/>
      <c r="Y4353" s="7"/>
      <c r="Z4353" s="2"/>
      <c r="AA4353" s="1"/>
      <c r="AC4353" s="2"/>
      <c r="AE4353" s="1"/>
      <c r="AG4353" s="2"/>
    </row>
    <row r="4354" spans="24:33" ht="43.95" customHeight="1" x14ac:dyDescent="0.3">
      <c r="X4354" s="2"/>
      <c r="Y4354" s="7"/>
      <c r="Z4354" s="2"/>
      <c r="AA4354" s="1"/>
      <c r="AC4354" s="2"/>
      <c r="AE4354" s="1"/>
      <c r="AG4354" s="2"/>
    </row>
    <row r="4355" spans="24:33" ht="43.95" customHeight="1" x14ac:dyDescent="0.3">
      <c r="X4355" s="2"/>
      <c r="Y4355" s="7"/>
      <c r="Z4355" s="2"/>
      <c r="AA4355" s="1"/>
      <c r="AC4355" s="2"/>
      <c r="AE4355" s="1"/>
      <c r="AG4355" s="2"/>
    </row>
    <row r="4356" spans="24:33" ht="43.95" customHeight="1" x14ac:dyDescent="0.3">
      <c r="X4356" s="2"/>
      <c r="Y4356" s="7"/>
      <c r="Z4356" s="2"/>
      <c r="AA4356" s="1"/>
      <c r="AC4356" s="2"/>
      <c r="AE4356" s="1"/>
      <c r="AG4356" s="2"/>
    </row>
    <row r="4357" spans="24:33" ht="43.95" customHeight="1" x14ac:dyDescent="0.3">
      <c r="X4357" s="2"/>
      <c r="Y4357" s="7"/>
      <c r="Z4357" s="2"/>
      <c r="AA4357" s="1"/>
      <c r="AC4357" s="2"/>
      <c r="AE4357" s="1"/>
      <c r="AG4357" s="2"/>
    </row>
    <row r="4358" spans="24:33" ht="43.95" customHeight="1" x14ac:dyDescent="0.3">
      <c r="X4358" s="2"/>
      <c r="Y4358" s="7"/>
      <c r="Z4358" s="2"/>
      <c r="AA4358" s="1"/>
      <c r="AC4358" s="2"/>
      <c r="AE4358" s="1"/>
      <c r="AG4358" s="2"/>
    </row>
    <row r="4359" spans="24:33" ht="43.95" customHeight="1" x14ac:dyDescent="0.3">
      <c r="X4359" s="2"/>
      <c r="Y4359" s="7"/>
      <c r="Z4359" s="2"/>
      <c r="AA4359" s="1"/>
      <c r="AC4359" s="2"/>
      <c r="AE4359" s="1"/>
      <c r="AG4359" s="2"/>
    </row>
    <row r="4360" spans="24:33" ht="43.95" customHeight="1" x14ac:dyDescent="0.3">
      <c r="X4360" s="2"/>
      <c r="Y4360" s="7"/>
      <c r="Z4360" s="2"/>
      <c r="AA4360" s="1"/>
      <c r="AC4360" s="2"/>
      <c r="AE4360" s="1"/>
      <c r="AG4360" s="2"/>
    </row>
    <row r="4361" spans="24:33" ht="43.95" customHeight="1" x14ac:dyDescent="0.3">
      <c r="X4361" s="2"/>
      <c r="Y4361" s="7"/>
      <c r="Z4361" s="2"/>
      <c r="AA4361" s="1"/>
      <c r="AC4361" s="2"/>
      <c r="AE4361" s="1"/>
      <c r="AG4361" s="2"/>
    </row>
    <row r="4362" spans="24:33" ht="43.95" customHeight="1" x14ac:dyDescent="0.3">
      <c r="X4362" s="2"/>
      <c r="Y4362" s="7"/>
      <c r="Z4362" s="2"/>
      <c r="AA4362" s="1"/>
      <c r="AC4362" s="2"/>
      <c r="AE4362" s="1"/>
      <c r="AG4362" s="2"/>
    </row>
    <row r="4363" spans="24:33" ht="43.95" customHeight="1" x14ac:dyDescent="0.3">
      <c r="X4363" s="2"/>
      <c r="Y4363" s="7"/>
      <c r="Z4363" s="2"/>
      <c r="AA4363" s="1"/>
      <c r="AC4363" s="2"/>
      <c r="AE4363" s="1"/>
      <c r="AG4363" s="2"/>
    </row>
    <row r="4364" spans="24:33" ht="43.95" customHeight="1" x14ac:dyDescent="0.3">
      <c r="X4364" s="192"/>
      <c r="Y4364" s="7"/>
      <c r="Z4364" s="2"/>
      <c r="AA4364" s="1"/>
      <c r="AC4364" s="2"/>
      <c r="AE4364" s="1"/>
      <c r="AG4364" s="2"/>
    </row>
    <row r="4365" spans="24:33" ht="43.95" customHeight="1" x14ac:dyDescent="0.3">
      <c r="X4365" s="2"/>
      <c r="Y4365" s="7"/>
      <c r="Z4365" s="2"/>
      <c r="AA4365" s="1"/>
      <c r="AC4365" s="2"/>
      <c r="AE4365" s="1"/>
      <c r="AG4365" s="2"/>
    </row>
    <row r="4366" spans="24:33" ht="43.95" customHeight="1" x14ac:dyDescent="0.3">
      <c r="X4366" s="2"/>
      <c r="Y4366" s="7"/>
      <c r="Z4366" s="2"/>
      <c r="AA4366" s="1"/>
      <c r="AC4366" s="2"/>
      <c r="AE4366" s="1"/>
      <c r="AG4366" s="2"/>
    </row>
    <row r="4367" spans="24:33" ht="43.95" customHeight="1" x14ac:dyDescent="0.3">
      <c r="X4367" s="2"/>
      <c r="Y4367" s="7"/>
      <c r="Z4367" s="2"/>
      <c r="AA4367" s="1"/>
      <c r="AC4367" s="2"/>
      <c r="AE4367" s="1"/>
      <c r="AG4367" s="2"/>
    </row>
    <row r="4368" spans="24:33" ht="43.95" customHeight="1" x14ac:dyDescent="0.3">
      <c r="X4368" s="2"/>
      <c r="Y4368" s="7"/>
      <c r="Z4368" s="2"/>
      <c r="AA4368" s="1"/>
      <c r="AC4368" s="2"/>
      <c r="AE4368" s="1"/>
      <c r="AG4368" s="2"/>
    </row>
    <row r="4369" spans="24:33" ht="43.95" customHeight="1" x14ac:dyDescent="0.3">
      <c r="X4369" s="2"/>
      <c r="Y4369" s="7"/>
      <c r="Z4369" s="2"/>
      <c r="AA4369" s="1"/>
      <c r="AC4369" s="2"/>
      <c r="AE4369" s="1"/>
      <c r="AG4369" s="2"/>
    </row>
    <row r="4370" spans="24:33" ht="43.95" customHeight="1" x14ac:dyDescent="0.3">
      <c r="X4370" s="2"/>
      <c r="Y4370" s="7"/>
      <c r="Z4370" s="2"/>
      <c r="AA4370" s="1"/>
      <c r="AC4370" s="2"/>
      <c r="AE4370" s="1"/>
      <c r="AG4370" s="2"/>
    </row>
    <row r="4371" spans="24:33" ht="43.95" customHeight="1" x14ac:dyDescent="0.3">
      <c r="X4371" s="2"/>
      <c r="Y4371" s="7"/>
      <c r="Z4371" s="2"/>
      <c r="AA4371" s="1"/>
      <c r="AC4371" s="2"/>
      <c r="AE4371" s="1"/>
      <c r="AG4371" s="2"/>
    </row>
    <row r="4372" spans="24:33" ht="43.95" customHeight="1" x14ac:dyDescent="0.3">
      <c r="X4372" s="2"/>
      <c r="Y4372" s="7"/>
      <c r="Z4372" s="2"/>
      <c r="AA4372" s="1"/>
      <c r="AC4372" s="2"/>
      <c r="AE4372" s="1"/>
      <c r="AG4372" s="2"/>
    </row>
    <row r="4373" spans="24:33" ht="43.95" customHeight="1" x14ac:dyDescent="0.3">
      <c r="X4373" s="2"/>
      <c r="Y4373" s="7"/>
      <c r="Z4373" s="2"/>
      <c r="AA4373" s="1"/>
      <c r="AC4373" s="2"/>
      <c r="AE4373" s="1"/>
      <c r="AG4373" s="2"/>
    </row>
    <row r="4374" spans="24:33" ht="43.95" customHeight="1" x14ac:dyDescent="0.3">
      <c r="X4374" s="2"/>
      <c r="Y4374" s="7"/>
      <c r="Z4374" s="2"/>
      <c r="AA4374" s="1"/>
      <c r="AC4374" s="2"/>
      <c r="AE4374" s="1"/>
      <c r="AG4374" s="2"/>
    </row>
    <row r="4375" spans="24:33" ht="43.95" customHeight="1" x14ac:dyDescent="0.3">
      <c r="X4375" s="2"/>
      <c r="Y4375" s="7"/>
      <c r="Z4375" s="2"/>
      <c r="AA4375" s="1"/>
      <c r="AC4375" s="2"/>
      <c r="AE4375" s="1"/>
      <c r="AG4375" s="2"/>
    </row>
    <row r="4376" spans="24:33" ht="43.95" customHeight="1" x14ac:dyDescent="0.3">
      <c r="X4376" s="2"/>
      <c r="Y4376" s="7"/>
      <c r="Z4376" s="2"/>
      <c r="AA4376" s="1"/>
      <c r="AC4376" s="2"/>
      <c r="AE4376" s="1"/>
      <c r="AG4376" s="2"/>
    </row>
    <row r="4377" spans="24:33" ht="43.95" customHeight="1" x14ac:dyDescent="0.3">
      <c r="X4377" s="2"/>
      <c r="Y4377" s="7"/>
      <c r="Z4377" s="2"/>
      <c r="AA4377" s="1"/>
      <c r="AC4377" s="2"/>
      <c r="AE4377" s="1"/>
      <c r="AG4377" s="2"/>
    </row>
    <row r="4378" spans="24:33" ht="43.95" customHeight="1" x14ac:dyDescent="0.3">
      <c r="X4378" s="2"/>
      <c r="Y4378" s="7"/>
      <c r="Z4378" s="2"/>
      <c r="AA4378" s="1"/>
      <c r="AC4378" s="2"/>
      <c r="AE4378" s="1"/>
      <c r="AG4378" s="2"/>
    </row>
    <row r="4379" spans="24:33" ht="43.95" customHeight="1" x14ac:dyDescent="0.3">
      <c r="X4379" s="2"/>
      <c r="Y4379" s="7"/>
      <c r="Z4379" s="2"/>
      <c r="AA4379" s="1"/>
      <c r="AC4379" s="2"/>
      <c r="AE4379" s="1"/>
      <c r="AG4379" s="2"/>
    </row>
    <row r="4380" spans="24:33" ht="43.95" customHeight="1" x14ac:dyDescent="0.3">
      <c r="X4380" s="2"/>
      <c r="Y4380" s="7"/>
      <c r="Z4380" s="2"/>
      <c r="AA4380" s="1"/>
      <c r="AC4380" s="2"/>
      <c r="AE4380" s="1"/>
      <c r="AG4380" s="2"/>
    </row>
    <row r="4381" spans="24:33" ht="43.95" customHeight="1" x14ac:dyDescent="0.3">
      <c r="X4381" s="2"/>
      <c r="Y4381" s="7"/>
      <c r="Z4381" s="2"/>
      <c r="AA4381" s="1"/>
      <c r="AC4381" s="2"/>
      <c r="AE4381" s="1"/>
      <c r="AG4381" s="2"/>
    </row>
    <row r="4382" spans="24:33" ht="43.95" customHeight="1" x14ac:dyDescent="0.3">
      <c r="X4382" s="2"/>
      <c r="Y4382" s="7"/>
      <c r="Z4382" s="2"/>
      <c r="AA4382" s="1"/>
      <c r="AC4382" s="2"/>
      <c r="AE4382" s="1"/>
      <c r="AG4382" s="2"/>
    </row>
    <row r="4383" spans="24:33" ht="43.95" customHeight="1" x14ac:dyDescent="0.3">
      <c r="X4383" s="2"/>
      <c r="Y4383" s="7"/>
      <c r="Z4383" s="2"/>
      <c r="AA4383" s="1"/>
      <c r="AC4383" s="2"/>
      <c r="AE4383" s="1"/>
      <c r="AG4383" s="2"/>
    </row>
    <row r="4384" spans="24:33" ht="43.95" customHeight="1" x14ac:dyDescent="0.3">
      <c r="X4384" s="2"/>
      <c r="Y4384" s="7"/>
      <c r="Z4384" s="2"/>
      <c r="AA4384" s="1"/>
      <c r="AC4384" s="2"/>
      <c r="AE4384" s="1"/>
      <c r="AG4384" s="2"/>
    </row>
    <row r="4385" spans="24:33" ht="43.95" customHeight="1" x14ac:dyDescent="0.3">
      <c r="X4385" s="2"/>
      <c r="Y4385" s="7"/>
      <c r="Z4385" s="2"/>
      <c r="AA4385" s="1"/>
      <c r="AC4385" s="2"/>
      <c r="AE4385" s="1"/>
      <c r="AG4385" s="2"/>
    </row>
    <row r="4386" spans="24:33" ht="43.95" customHeight="1" x14ac:dyDescent="0.3">
      <c r="X4386" s="2"/>
      <c r="Y4386" s="7"/>
      <c r="Z4386" s="2"/>
      <c r="AA4386" s="1"/>
      <c r="AC4386" s="2"/>
      <c r="AE4386" s="1"/>
      <c r="AG4386" s="2"/>
    </row>
    <row r="4387" spans="24:33" ht="43.95" customHeight="1" x14ac:dyDescent="0.3">
      <c r="X4387" s="2"/>
      <c r="Y4387" s="7"/>
      <c r="Z4387" s="2"/>
      <c r="AA4387" s="1"/>
      <c r="AC4387" s="2"/>
      <c r="AE4387" s="1"/>
      <c r="AG4387" s="2"/>
    </row>
    <row r="4388" spans="24:33" ht="43.95" customHeight="1" x14ac:dyDescent="0.3">
      <c r="X4388" s="2"/>
      <c r="Y4388" s="7"/>
      <c r="Z4388" s="2"/>
      <c r="AA4388" s="1"/>
      <c r="AC4388" s="2"/>
      <c r="AE4388" s="1"/>
      <c r="AG4388" s="2"/>
    </row>
    <row r="4389" spans="24:33" ht="43.95" customHeight="1" x14ac:dyDescent="0.3">
      <c r="X4389" s="2"/>
      <c r="Y4389" s="7"/>
      <c r="Z4389" s="2"/>
      <c r="AA4389" s="1"/>
      <c r="AC4389" s="2"/>
      <c r="AE4389" s="1"/>
      <c r="AG4389" s="2"/>
    </row>
    <row r="4390" spans="24:33" ht="43.95" customHeight="1" x14ac:dyDescent="0.3">
      <c r="X4390" s="2"/>
      <c r="Y4390" s="7"/>
      <c r="Z4390" s="2"/>
      <c r="AA4390" s="1"/>
      <c r="AC4390" s="2"/>
      <c r="AE4390" s="1"/>
      <c r="AG4390" s="2"/>
    </row>
    <row r="4391" spans="24:33" ht="43.95" customHeight="1" x14ac:dyDescent="0.3">
      <c r="X4391" s="2"/>
      <c r="Y4391" s="7"/>
      <c r="Z4391" s="2"/>
      <c r="AA4391" s="1"/>
      <c r="AC4391" s="2"/>
      <c r="AE4391" s="1"/>
      <c r="AG4391" s="2"/>
    </row>
    <row r="4392" spans="24:33" ht="43.95" customHeight="1" x14ac:dyDescent="0.3">
      <c r="X4392" s="2"/>
      <c r="Y4392" s="7"/>
      <c r="Z4392" s="2"/>
      <c r="AA4392" s="1"/>
      <c r="AC4392" s="2"/>
      <c r="AE4392" s="1"/>
      <c r="AG4392" s="2"/>
    </row>
    <row r="4393" spans="24:33" ht="43.95" customHeight="1" x14ac:dyDescent="0.3">
      <c r="X4393" s="2"/>
      <c r="Y4393" s="7"/>
      <c r="Z4393" s="2"/>
      <c r="AA4393" s="1"/>
      <c r="AC4393" s="2"/>
      <c r="AE4393" s="1"/>
      <c r="AG4393" s="2"/>
    </row>
    <row r="4394" spans="24:33" ht="43.95" customHeight="1" x14ac:dyDescent="0.3">
      <c r="X4394" s="2"/>
      <c r="Y4394" s="7"/>
      <c r="Z4394" s="2"/>
      <c r="AA4394" s="1"/>
      <c r="AC4394" s="2"/>
      <c r="AE4394" s="1"/>
      <c r="AG4394" s="2"/>
    </row>
    <row r="4395" spans="24:33" ht="43.95" customHeight="1" x14ac:dyDescent="0.3">
      <c r="X4395" s="2"/>
      <c r="Y4395" s="7"/>
      <c r="Z4395" s="2"/>
      <c r="AA4395" s="1"/>
      <c r="AC4395" s="2"/>
      <c r="AE4395" s="1"/>
      <c r="AG4395" s="2"/>
    </row>
    <row r="4396" spans="24:33" ht="43.95" customHeight="1" x14ac:dyDescent="0.3">
      <c r="X4396" s="2"/>
      <c r="Y4396" s="7"/>
      <c r="Z4396" s="2"/>
      <c r="AA4396" s="1"/>
      <c r="AC4396" s="2"/>
      <c r="AE4396" s="1"/>
      <c r="AG4396" s="2"/>
    </row>
    <row r="4397" spans="24:33" ht="43.95" customHeight="1" x14ac:dyDescent="0.3">
      <c r="X4397" s="2"/>
      <c r="Y4397" s="7"/>
      <c r="Z4397" s="2"/>
      <c r="AA4397" s="1"/>
      <c r="AC4397" s="2"/>
      <c r="AE4397" s="1"/>
      <c r="AG4397" s="2"/>
    </row>
    <row r="4398" spans="24:33" ht="43.95" customHeight="1" x14ac:dyDescent="0.3">
      <c r="X4398" s="2"/>
      <c r="Y4398" s="7"/>
      <c r="Z4398" s="2"/>
      <c r="AA4398" s="1"/>
      <c r="AC4398" s="2"/>
      <c r="AE4398" s="1"/>
      <c r="AG4398" s="2"/>
    </row>
    <row r="4399" spans="24:33" ht="43.95" customHeight="1" x14ac:dyDescent="0.3">
      <c r="X4399" s="2"/>
      <c r="Y4399" s="7"/>
      <c r="Z4399" s="2"/>
      <c r="AA4399" s="1"/>
      <c r="AC4399" s="2"/>
      <c r="AE4399" s="1"/>
      <c r="AG4399" s="2"/>
    </row>
    <row r="4400" spans="24:33" ht="43.95" customHeight="1" x14ac:dyDescent="0.3">
      <c r="X4400" s="2"/>
      <c r="Y4400" s="7"/>
      <c r="Z4400" s="2"/>
      <c r="AA4400" s="1"/>
      <c r="AC4400" s="2"/>
      <c r="AE4400" s="1"/>
      <c r="AG4400" s="2"/>
    </row>
    <row r="4401" spans="24:33" ht="43.95" customHeight="1" x14ac:dyDescent="0.3">
      <c r="X4401" s="2"/>
      <c r="Y4401" s="7"/>
      <c r="Z4401" s="2"/>
      <c r="AA4401" s="1"/>
      <c r="AC4401" s="2"/>
      <c r="AE4401" s="1"/>
      <c r="AG4401" s="2"/>
    </row>
    <row r="4402" spans="24:33" ht="43.95" customHeight="1" x14ac:dyDescent="0.3">
      <c r="X4402" s="2"/>
      <c r="Y4402" s="7"/>
      <c r="Z4402" s="2"/>
      <c r="AA4402" s="1"/>
      <c r="AC4402" s="2"/>
      <c r="AE4402" s="1"/>
      <c r="AG4402" s="2"/>
    </row>
    <row r="4403" spans="24:33" ht="43.95" customHeight="1" x14ac:dyDescent="0.3">
      <c r="X4403" s="2"/>
      <c r="Y4403" s="7"/>
      <c r="Z4403" s="2"/>
      <c r="AA4403" s="1"/>
      <c r="AC4403" s="2"/>
      <c r="AE4403" s="1"/>
      <c r="AG4403" s="2"/>
    </row>
    <row r="4404" spans="24:33" ht="43.95" customHeight="1" x14ac:dyDescent="0.3">
      <c r="X4404" s="2"/>
      <c r="Y4404" s="7"/>
      <c r="Z4404" s="2"/>
      <c r="AA4404" s="1"/>
      <c r="AC4404" s="2"/>
      <c r="AE4404" s="1"/>
      <c r="AG4404" s="2"/>
    </row>
    <row r="4405" spans="24:33" ht="43.95" customHeight="1" x14ac:dyDescent="0.3">
      <c r="X4405" s="2"/>
      <c r="Y4405" s="7"/>
      <c r="Z4405" s="2"/>
      <c r="AA4405" s="1"/>
      <c r="AC4405" s="2"/>
      <c r="AE4405" s="1"/>
      <c r="AG4405" s="2"/>
    </row>
    <row r="4406" spans="24:33" ht="43.95" customHeight="1" x14ac:dyDescent="0.3">
      <c r="X4406" s="2"/>
      <c r="Y4406" s="7"/>
      <c r="Z4406" s="2"/>
      <c r="AA4406" s="1"/>
      <c r="AC4406" s="2"/>
      <c r="AE4406" s="1"/>
      <c r="AG4406" s="2"/>
    </row>
    <row r="4407" spans="24:33" ht="43.95" customHeight="1" x14ac:dyDescent="0.3">
      <c r="X4407" s="2"/>
      <c r="Y4407" s="7"/>
      <c r="Z4407" s="2"/>
      <c r="AA4407" s="1"/>
      <c r="AC4407" s="2"/>
      <c r="AE4407" s="1"/>
      <c r="AG4407" s="2"/>
    </row>
    <row r="4408" spans="24:33" ht="43.95" customHeight="1" x14ac:dyDescent="0.3">
      <c r="X4408" s="2"/>
      <c r="Y4408" s="7"/>
      <c r="Z4408" s="2"/>
      <c r="AA4408" s="1"/>
      <c r="AC4408" s="2"/>
      <c r="AE4408" s="1"/>
      <c r="AG4408" s="2"/>
    </row>
    <row r="4409" spans="24:33" ht="43.95" customHeight="1" x14ac:dyDescent="0.3">
      <c r="X4409" s="2"/>
      <c r="Y4409" s="7"/>
      <c r="Z4409" s="2"/>
      <c r="AA4409" s="1"/>
      <c r="AC4409" s="2"/>
      <c r="AE4409" s="1"/>
      <c r="AG4409" s="2"/>
    </row>
    <row r="4410" spans="24:33" ht="43.95" customHeight="1" x14ac:dyDescent="0.3">
      <c r="X4410" s="2"/>
      <c r="Y4410" s="7"/>
      <c r="Z4410" s="2"/>
      <c r="AA4410" s="1"/>
      <c r="AC4410" s="2"/>
      <c r="AE4410" s="1"/>
      <c r="AG4410" s="2"/>
    </row>
    <row r="4411" spans="24:33" ht="43.95" customHeight="1" x14ac:dyDescent="0.3">
      <c r="X4411" s="2"/>
      <c r="Y4411" s="7"/>
      <c r="Z4411" s="2"/>
      <c r="AA4411" s="1"/>
      <c r="AC4411" s="2"/>
      <c r="AE4411" s="1"/>
      <c r="AG4411" s="2"/>
    </row>
    <row r="4412" spans="24:33" ht="43.95" customHeight="1" x14ac:dyDescent="0.3">
      <c r="X4412" s="2"/>
      <c r="Y4412" s="7"/>
      <c r="Z4412" s="2"/>
      <c r="AA4412" s="1"/>
      <c r="AC4412" s="2"/>
      <c r="AE4412" s="1"/>
      <c r="AG4412" s="2"/>
    </row>
    <row r="4413" spans="24:33" ht="43.95" customHeight="1" x14ac:dyDescent="0.3">
      <c r="X4413" s="2"/>
      <c r="Y4413" s="7"/>
      <c r="Z4413" s="2"/>
      <c r="AA4413" s="1"/>
      <c r="AC4413" s="2"/>
      <c r="AE4413" s="1"/>
      <c r="AG4413" s="2"/>
    </row>
    <row r="4414" spans="24:33" ht="43.95" customHeight="1" x14ac:dyDescent="0.3">
      <c r="X4414" s="2"/>
      <c r="Y4414" s="7"/>
      <c r="Z4414" s="2"/>
      <c r="AA4414" s="1"/>
      <c r="AC4414" s="2"/>
      <c r="AE4414" s="1"/>
      <c r="AG4414" s="2"/>
    </row>
    <row r="4415" spans="24:33" ht="43.95" customHeight="1" x14ac:dyDescent="0.3">
      <c r="X4415" s="2"/>
      <c r="Y4415" s="7"/>
      <c r="Z4415" s="2"/>
      <c r="AA4415" s="1"/>
      <c r="AC4415" s="2"/>
      <c r="AE4415" s="1"/>
      <c r="AG4415" s="2"/>
    </row>
    <row r="4416" spans="24:33" ht="43.95" customHeight="1" x14ac:dyDescent="0.3">
      <c r="X4416" s="2"/>
      <c r="Y4416" s="7"/>
      <c r="Z4416" s="2"/>
      <c r="AA4416" s="1"/>
      <c r="AC4416" s="2"/>
      <c r="AE4416" s="1"/>
      <c r="AG4416" s="2"/>
    </row>
    <row r="4417" spans="24:33" ht="43.95" customHeight="1" x14ac:dyDescent="0.3">
      <c r="X4417" s="2"/>
      <c r="Y4417" s="7"/>
      <c r="Z4417" s="2"/>
      <c r="AA4417" s="1"/>
      <c r="AC4417" s="2"/>
      <c r="AE4417" s="1"/>
      <c r="AG4417" s="2"/>
    </row>
    <row r="4418" spans="24:33" ht="43.95" customHeight="1" x14ac:dyDescent="0.3">
      <c r="X4418" s="2"/>
      <c r="Y4418" s="7"/>
      <c r="Z4418" s="2"/>
      <c r="AA4418" s="1"/>
      <c r="AC4418" s="2"/>
      <c r="AE4418" s="1"/>
      <c r="AG4418" s="2"/>
    </row>
    <row r="4419" spans="24:33" ht="43.95" customHeight="1" x14ac:dyDescent="0.3">
      <c r="X4419" s="2"/>
      <c r="Y4419" s="7"/>
      <c r="Z4419" s="2"/>
      <c r="AA4419" s="1"/>
      <c r="AC4419" s="2"/>
      <c r="AE4419" s="1"/>
      <c r="AG4419" s="2"/>
    </row>
    <row r="4420" spans="24:33" ht="43.95" customHeight="1" x14ac:dyDescent="0.3">
      <c r="X4420" s="2"/>
      <c r="Y4420" s="7"/>
      <c r="Z4420" s="2"/>
      <c r="AA4420" s="1"/>
      <c r="AC4420" s="2"/>
      <c r="AE4420" s="1"/>
      <c r="AG4420" s="2"/>
    </row>
    <row r="4421" spans="24:33" ht="43.95" customHeight="1" x14ac:dyDescent="0.3">
      <c r="X4421" s="2"/>
      <c r="Y4421" s="7"/>
      <c r="Z4421" s="2"/>
      <c r="AA4421" s="1"/>
      <c r="AC4421" s="2"/>
      <c r="AE4421" s="1"/>
      <c r="AG4421" s="2"/>
    </row>
    <row r="4422" spans="24:33" ht="43.95" customHeight="1" x14ac:dyDescent="0.3">
      <c r="X4422" s="2"/>
      <c r="Y4422" s="7"/>
      <c r="Z4422" s="2"/>
      <c r="AA4422" s="1"/>
      <c r="AC4422" s="2"/>
      <c r="AE4422" s="1"/>
      <c r="AG4422" s="2"/>
    </row>
    <row r="4423" spans="24:33" ht="43.95" customHeight="1" x14ac:dyDescent="0.3">
      <c r="X4423" s="2"/>
      <c r="Y4423" s="7"/>
      <c r="Z4423" s="2"/>
      <c r="AA4423" s="1"/>
      <c r="AC4423" s="2"/>
      <c r="AE4423" s="1"/>
      <c r="AG4423" s="2"/>
    </row>
    <row r="4424" spans="24:33" ht="43.95" customHeight="1" x14ac:dyDescent="0.3">
      <c r="X4424" s="2"/>
      <c r="Y4424" s="7"/>
      <c r="Z4424" s="2"/>
      <c r="AA4424" s="1"/>
      <c r="AC4424" s="2"/>
      <c r="AE4424" s="1"/>
      <c r="AG4424" s="2"/>
    </row>
    <row r="4425" spans="24:33" ht="43.95" customHeight="1" x14ac:dyDescent="0.3">
      <c r="X4425" s="2"/>
      <c r="Y4425" s="7"/>
      <c r="Z4425" s="2"/>
      <c r="AA4425" s="1"/>
      <c r="AC4425" s="2"/>
      <c r="AE4425" s="1"/>
      <c r="AG4425" s="2"/>
    </row>
    <row r="4426" spans="24:33" ht="43.95" customHeight="1" x14ac:dyDescent="0.3">
      <c r="X4426" s="2"/>
      <c r="Y4426" s="7"/>
      <c r="Z4426" s="2"/>
      <c r="AA4426" s="1"/>
      <c r="AC4426" s="2"/>
      <c r="AE4426" s="1"/>
      <c r="AG4426" s="2"/>
    </row>
    <row r="4427" spans="24:33" ht="43.95" customHeight="1" x14ac:dyDescent="0.3">
      <c r="X4427" s="2"/>
      <c r="Y4427" s="7"/>
      <c r="Z4427" s="2"/>
      <c r="AA4427" s="1"/>
      <c r="AC4427" s="2"/>
      <c r="AE4427" s="1"/>
      <c r="AG4427" s="2"/>
    </row>
    <row r="4428" spans="24:33" ht="43.95" customHeight="1" x14ac:dyDescent="0.3">
      <c r="X4428" s="2"/>
      <c r="Y4428" s="7"/>
      <c r="Z4428" s="2"/>
      <c r="AA4428" s="1"/>
      <c r="AC4428" s="2"/>
      <c r="AE4428" s="1"/>
      <c r="AG4428" s="2"/>
    </row>
    <row r="4429" spans="24:33" ht="43.95" customHeight="1" x14ac:dyDescent="0.3">
      <c r="X4429" s="2"/>
      <c r="Y4429" s="7"/>
      <c r="Z4429" s="2"/>
      <c r="AA4429" s="1"/>
      <c r="AC4429" s="2"/>
      <c r="AE4429" s="1"/>
      <c r="AG4429" s="2"/>
    </row>
    <row r="4430" spans="24:33" ht="43.95" customHeight="1" x14ac:dyDescent="0.3">
      <c r="X4430" s="2"/>
      <c r="Y4430" s="7"/>
      <c r="Z4430" s="2"/>
      <c r="AA4430" s="1"/>
      <c r="AC4430" s="2"/>
      <c r="AE4430" s="1"/>
      <c r="AG4430" s="2"/>
    </row>
    <row r="4431" spans="24:33" ht="43.95" customHeight="1" x14ac:dyDescent="0.3">
      <c r="X4431" s="2"/>
      <c r="Y4431" s="7"/>
      <c r="Z4431" s="2"/>
      <c r="AA4431" s="1"/>
      <c r="AC4431" s="2"/>
      <c r="AE4431" s="1"/>
      <c r="AG4431" s="2"/>
    </row>
    <row r="4432" spans="24:33" ht="43.95" customHeight="1" x14ac:dyDescent="0.3">
      <c r="X4432" s="2"/>
      <c r="Y4432" s="7"/>
      <c r="Z4432" s="2"/>
      <c r="AA4432" s="1"/>
      <c r="AC4432" s="2"/>
      <c r="AE4432" s="1"/>
      <c r="AG4432" s="2"/>
    </row>
    <row r="4433" spans="24:33" ht="43.95" customHeight="1" x14ac:dyDescent="0.3">
      <c r="X4433" s="2"/>
      <c r="Y4433" s="7"/>
      <c r="Z4433" s="2"/>
      <c r="AA4433" s="1"/>
      <c r="AC4433" s="2"/>
      <c r="AE4433" s="1"/>
      <c r="AG4433" s="2"/>
    </row>
    <row r="4434" spans="24:33" ht="43.95" customHeight="1" x14ac:dyDescent="0.3">
      <c r="X4434" s="2"/>
      <c r="Y4434" s="7"/>
      <c r="Z4434" s="2"/>
      <c r="AA4434" s="1"/>
      <c r="AC4434" s="2"/>
      <c r="AE4434" s="1"/>
      <c r="AG4434" s="2"/>
    </row>
    <row r="4435" spans="24:33" ht="43.95" customHeight="1" x14ac:dyDescent="0.3">
      <c r="X4435" s="2"/>
      <c r="Y4435" s="7"/>
      <c r="Z4435" s="2"/>
      <c r="AA4435" s="1"/>
      <c r="AC4435" s="2"/>
      <c r="AE4435" s="1"/>
      <c r="AG4435" s="2"/>
    </row>
    <row r="4436" spans="24:33" ht="43.95" customHeight="1" x14ac:dyDescent="0.3">
      <c r="X4436" s="2"/>
      <c r="Y4436" s="7"/>
      <c r="Z4436" s="2"/>
      <c r="AA4436" s="1"/>
      <c r="AC4436" s="2"/>
      <c r="AE4436" s="1"/>
      <c r="AG4436" s="2"/>
    </row>
    <row r="4437" spans="24:33" ht="43.95" customHeight="1" x14ac:dyDescent="0.3">
      <c r="X4437" s="2"/>
      <c r="Y4437" s="7"/>
      <c r="Z4437" s="2"/>
      <c r="AA4437" s="1"/>
      <c r="AC4437" s="2"/>
      <c r="AE4437" s="1"/>
      <c r="AG4437" s="2"/>
    </row>
    <row r="4438" spans="24:33" ht="43.95" customHeight="1" x14ac:dyDescent="0.3">
      <c r="X4438" s="2"/>
      <c r="Y4438" s="7"/>
      <c r="Z4438" s="2"/>
      <c r="AA4438" s="1"/>
      <c r="AC4438" s="2"/>
      <c r="AE4438" s="1"/>
      <c r="AG4438" s="2"/>
    </row>
    <row r="4439" spans="24:33" ht="43.95" customHeight="1" x14ac:dyDescent="0.3">
      <c r="X4439" s="2"/>
      <c r="Y4439" s="7"/>
      <c r="Z4439" s="2"/>
      <c r="AA4439" s="1"/>
      <c r="AC4439" s="2"/>
      <c r="AE4439" s="1"/>
      <c r="AG4439" s="2"/>
    </row>
    <row r="4440" spans="24:33" ht="43.95" customHeight="1" x14ac:dyDescent="0.3">
      <c r="X4440" s="2"/>
      <c r="Y4440" s="7"/>
      <c r="Z4440" s="2"/>
      <c r="AA4440" s="1"/>
      <c r="AC4440" s="2"/>
      <c r="AE4440" s="1"/>
      <c r="AG4440" s="2"/>
    </row>
    <row r="4441" spans="24:33" ht="43.95" customHeight="1" x14ac:dyDescent="0.3">
      <c r="X4441" s="2"/>
      <c r="Y4441" s="7"/>
      <c r="Z4441" s="2"/>
      <c r="AA4441" s="1"/>
      <c r="AC4441" s="2"/>
      <c r="AE4441" s="1"/>
      <c r="AG4441" s="2"/>
    </row>
    <row r="4442" spans="24:33" ht="43.95" customHeight="1" x14ac:dyDescent="0.3">
      <c r="X4442" s="2"/>
      <c r="Y4442" s="7"/>
      <c r="Z4442" s="2"/>
      <c r="AA4442" s="1"/>
      <c r="AC4442" s="2"/>
      <c r="AE4442" s="1"/>
      <c r="AG4442" s="2"/>
    </row>
    <row r="4443" spans="24:33" ht="43.95" customHeight="1" x14ac:dyDescent="0.3">
      <c r="X4443" s="2"/>
      <c r="Y4443" s="7"/>
      <c r="Z4443" s="2"/>
      <c r="AA4443" s="1"/>
      <c r="AC4443" s="2"/>
      <c r="AE4443" s="1"/>
      <c r="AG4443" s="2"/>
    </row>
    <row r="4444" spans="24:33" ht="43.95" customHeight="1" x14ac:dyDescent="0.3">
      <c r="X4444" s="2"/>
      <c r="Y4444" s="7"/>
      <c r="Z4444" s="2"/>
      <c r="AA4444" s="1"/>
      <c r="AC4444" s="2"/>
      <c r="AE4444" s="1"/>
      <c r="AG4444" s="2"/>
    </row>
    <row r="4445" spans="24:33" ht="43.95" customHeight="1" x14ac:dyDescent="0.3">
      <c r="X4445" s="2"/>
      <c r="Y4445" s="7"/>
      <c r="Z4445" s="2"/>
      <c r="AA4445" s="1"/>
      <c r="AC4445" s="2"/>
      <c r="AE4445" s="1"/>
      <c r="AG4445" s="2"/>
    </row>
    <row r="4446" spans="24:33" ht="43.95" customHeight="1" x14ac:dyDescent="0.3">
      <c r="X4446" s="2"/>
      <c r="Y4446" s="7"/>
      <c r="Z4446" s="2"/>
      <c r="AA4446" s="1"/>
      <c r="AC4446" s="2"/>
      <c r="AE4446" s="1"/>
      <c r="AG4446" s="2"/>
    </row>
    <row r="4447" spans="24:33" ht="43.95" customHeight="1" x14ac:dyDescent="0.3">
      <c r="X4447" s="2"/>
      <c r="Y4447" s="7"/>
      <c r="Z4447" s="2"/>
      <c r="AA4447" s="1"/>
      <c r="AC4447" s="2"/>
      <c r="AE4447" s="1"/>
      <c r="AG4447" s="2"/>
    </row>
    <row r="4448" spans="24:33" ht="43.95" customHeight="1" x14ac:dyDescent="0.3">
      <c r="X4448" s="2"/>
      <c r="Y4448" s="7"/>
      <c r="Z4448" s="2"/>
      <c r="AA4448" s="1"/>
      <c r="AC4448" s="2"/>
      <c r="AE4448" s="1"/>
      <c r="AG4448" s="2"/>
    </row>
    <row r="4449" spans="24:33" ht="43.95" customHeight="1" x14ac:dyDescent="0.3">
      <c r="X4449" s="2"/>
      <c r="Y4449" s="7"/>
      <c r="Z4449" s="2"/>
      <c r="AA4449" s="1"/>
      <c r="AC4449" s="2"/>
      <c r="AE4449" s="1"/>
      <c r="AG4449" s="2"/>
    </row>
    <row r="4450" spans="24:33" ht="43.95" customHeight="1" x14ac:dyDescent="0.3">
      <c r="X4450" s="2"/>
      <c r="Y4450" s="7"/>
      <c r="Z4450" s="2"/>
      <c r="AA4450" s="1"/>
      <c r="AC4450" s="2"/>
      <c r="AE4450" s="1"/>
      <c r="AG4450" s="2"/>
    </row>
    <row r="4451" spans="24:33" ht="43.95" customHeight="1" x14ac:dyDescent="0.3">
      <c r="X4451" s="2"/>
      <c r="Y4451" s="7"/>
      <c r="Z4451" s="2"/>
      <c r="AA4451" s="1"/>
      <c r="AC4451" s="2"/>
      <c r="AE4451" s="1"/>
      <c r="AG4451" s="2"/>
    </row>
    <row r="4452" spans="24:33" ht="43.95" customHeight="1" x14ac:dyDescent="0.3">
      <c r="X4452" s="2"/>
      <c r="Y4452" s="7"/>
      <c r="Z4452" s="2"/>
      <c r="AA4452" s="1"/>
      <c r="AC4452" s="2"/>
      <c r="AE4452" s="1"/>
      <c r="AG4452" s="2"/>
    </row>
    <row r="4453" spans="24:33" ht="43.95" customHeight="1" x14ac:dyDescent="0.3">
      <c r="X4453" s="2"/>
      <c r="Y4453" s="7"/>
      <c r="Z4453" s="2"/>
      <c r="AA4453" s="1"/>
      <c r="AC4453" s="2"/>
      <c r="AE4453" s="1"/>
      <c r="AG4453" s="2"/>
    </row>
    <row r="4454" spans="24:33" ht="43.95" customHeight="1" x14ac:dyDescent="0.3">
      <c r="X4454" s="2"/>
      <c r="Y4454" s="7"/>
      <c r="Z4454" s="2"/>
      <c r="AA4454" s="1"/>
      <c r="AC4454" s="2"/>
      <c r="AE4454" s="1"/>
      <c r="AG4454" s="2"/>
    </row>
    <row r="4455" spans="24:33" ht="43.95" customHeight="1" x14ac:dyDescent="0.3">
      <c r="X4455" s="2"/>
      <c r="Y4455" s="7"/>
      <c r="Z4455" s="2"/>
      <c r="AA4455" s="1"/>
      <c r="AC4455" s="2"/>
      <c r="AE4455" s="1"/>
      <c r="AG4455" s="2"/>
    </row>
    <row r="4456" spans="24:33" ht="43.95" customHeight="1" x14ac:dyDescent="0.3">
      <c r="X4456" s="2"/>
      <c r="Y4456" s="7"/>
      <c r="Z4456" s="2"/>
      <c r="AA4456" s="1"/>
      <c r="AC4456" s="2"/>
      <c r="AE4456" s="1"/>
      <c r="AG4456" s="2"/>
    </row>
    <row r="4457" spans="24:33" ht="43.95" customHeight="1" x14ac:dyDescent="0.3">
      <c r="X4457" s="2"/>
      <c r="Y4457" s="7"/>
      <c r="Z4457" s="2"/>
      <c r="AA4457" s="1"/>
      <c r="AC4457" s="2"/>
      <c r="AE4457" s="1"/>
      <c r="AG4457" s="2"/>
    </row>
    <row r="4458" spans="24:33" ht="43.95" customHeight="1" x14ac:dyDescent="0.3">
      <c r="X4458" s="2"/>
      <c r="Y4458" s="7"/>
      <c r="Z4458" s="2"/>
      <c r="AA4458" s="1"/>
      <c r="AC4458" s="2"/>
      <c r="AE4458" s="1"/>
      <c r="AG4458" s="2"/>
    </row>
    <row r="4459" spans="24:33" ht="43.95" customHeight="1" x14ac:dyDescent="0.3">
      <c r="X4459" s="2"/>
      <c r="Y4459" s="7"/>
      <c r="Z4459" s="2"/>
      <c r="AA4459" s="1"/>
      <c r="AC4459" s="2"/>
      <c r="AE4459" s="1"/>
      <c r="AG4459" s="2"/>
    </row>
    <row r="4460" spans="24:33" ht="43.95" customHeight="1" x14ac:dyDescent="0.3">
      <c r="X4460" s="2"/>
      <c r="Y4460" s="7"/>
      <c r="Z4460" s="2"/>
      <c r="AA4460" s="1"/>
      <c r="AC4460" s="2"/>
      <c r="AE4460" s="1"/>
      <c r="AG4460" s="2"/>
    </row>
    <row r="4461" spans="24:33" ht="43.95" customHeight="1" x14ac:dyDescent="0.3">
      <c r="X4461" s="2"/>
      <c r="Y4461" s="7"/>
      <c r="Z4461" s="2"/>
      <c r="AA4461" s="1"/>
      <c r="AC4461" s="2"/>
      <c r="AE4461" s="1"/>
      <c r="AG4461" s="2"/>
    </row>
    <row r="4462" spans="24:33" ht="43.95" customHeight="1" x14ac:dyDescent="0.3">
      <c r="X4462" s="2"/>
      <c r="Y4462" s="7"/>
      <c r="Z4462" s="2"/>
      <c r="AA4462" s="1"/>
      <c r="AC4462" s="2"/>
      <c r="AE4462" s="1"/>
      <c r="AG4462" s="2"/>
    </row>
    <row r="4463" spans="24:33" ht="43.95" customHeight="1" x14ac:dyDescent="0.3">
      <c r="X4463" s="2"/>
      <c r="Y4463" s="7"/>
      <c r="Z4463" s="2"/>
      <c r="AA4463" s="1"/>
      <c r="AC4463" s="2"/>
      <c r="AE4463" s="1"/>
      <c r="AG4463" s="2"/>
    </row>
    <row r="4464" spans="24:33" ht="43.95" customHeight="1" x14ac:dyDescent="0.3">
      <c r="X4464" s="2"/>
      <c r="Y4464" s="7"/>
      <c r="Z4464" s="2"/>
      <c r="AA4464" s="1"/>
      <c r="AC4464" s="2"/>
      <c r="AE4464" s="1"/>
      <c r="AG4464" s="2"/>
    </row>
    <row r="4465" spans="24:33" ht="43.95" customHeight="1" x14ac:dyDescent="0.3">
      <c r="X4465" s="2"/>
      <c r="Y4465" s="7"/>
      <c r="Z4465" s="2"/>
      <c r="AA4465" s="1"/>
      <c r="AC4465" s="2"/>
      <c r="AE4465" s="1"/>
      <c r="AG4465" s="2"/>
    </row>
    <row r="4466" spans="24:33" ht="43.95" customHeight="1" x14ac:dyDescent="0.3">
      <c r="X4466" s="2"/>
      <c r="Y4466" s="7"/>
      <c r="Z4466" s="2"/>
      <c r="AA4466" s="1"/>
      <c r="AC4466" s="2"/>
      <c r="AE4466" s="1"/>
      <c r="AG4466" s="2"/>
    </row>
    <row r="4467" spans="24:33" ht="43.95" customHeight="1" x14ac:dyDescent="0.3">
      <c r="X4467" s="2"/>
      <c r="Y4467" s="7"/>
      <c r="Z4467" s="2"/>
      <c r="AA4467" s="1"/>
      <c r="AC4467" s="2"/>
      <c r="AE4467" s="1"/>
      <c r="AG4467" s="2"/>
    </row>
    <row r="4468" spans="24:33" ht="43.95" customHeight="1" x14ac:dyDescent="0.3">
      <c r="X4468" s="2"/>
      <c r="Y4468" s="7"/>
      <c r="Z4468" s="2"/>
      <c r="AA4468" s="1"/>
      <c r="AC4468" s="2"/>
      <c r="AE4468" s="1"/>
      <c r="AG4468" s="2"/>
    </row>
    <row r="4469" spans="24:33" ht="43.95" customHeight="1" x14ac:dyDescent="0.3">
      <c r="X4469" s="2"/>
      <c r="Y4469" s="7"/>
      <c r="Z4469" s="2"/>
      <c r="AA4469" s="1"/>
      <c r="AC4469" s="2"/>
      <c r="AE4469" s="1"/>
      <c r="AG4469" s="2"/>
    </row>
    <row r="4470" spans="24:33" ht="43.95" customHeight="1" x14ac:dyDescent="0.3">
      <c r="X4470" s="2"/>
      <c r="Y4470" s="7"/>
      <c r="Z4470" s="2"/>
      <c r="AA4470" s="1"/>
      <c r="AC4470" s="2"/>
      <c r="AE4470" s="1"/>
      <c r="AG4470" s="2"/>
    </row>
    <row r="4471" spans="24:33" ht="43.95" customHeight="1" x14ac:dyDescent="0.3">
      <c r="X4471" s="2"/>
      <c r="Y4471" s="7"/>
      <c r="Z4471" s="2"/>
      <c r="AA4471" s="1"/>
      <c r="AC4471" s="2"/>
      <c r="AE4471" s="1"/>
      <c r="AG4471" s="2"/>
    </row>
    <row r="4472" spans="24:33" ht="43.95" customHeight="1" x14ac:dyDescent="0.3">
      <c r="X4472" s="2"/>
      <c r="Y4472" s="7"/>
      <c r="Z4472" s="2"/>
      <c r="AA4472" s="1"/>
      <c r="AC4472" s="2"/>
      <c r="AE4472" s="1"/>
      <c r="AG4472" s="2"/>
    </row>
    <row r="4473" spans="24:33" ht="43.95" customHeight="1" x14ac:dyDescent="0.3">
      <c r="X4473" s="2"/>
      <c r="Y4473" s="7"/>
      <c r="Z4473" s="2"/>
      <c r="AA4473" s="1"/>
      <c r="AC4473" s="2"/>
      <c r="AE4473" s="1"/>
      <c r="AG4473" s="2"/>
    </row>
    <row r="4474" spans="24:33" ht="43.95" customHeight="1" x14ac:dyDescent="0.3">
      <c r="X4474" s="2"/>
      <c r="Y4474" s="7"/>
      <c r="Z4474" s="2"/>
      <c r="AA4474" s="1"/>
      <c r="AC4474" s="2"/>
      <c r="AE4474" s="1"/>
      <c r="AG4474" s="2"/>
    </row>
    <row r="4475" spans="24:33" ht="43.95" customHeight="1" x14ac:dyDescent="0.3">
      <c r="X4475" s="2"/>
      <c r="Y4475" s="7"/>
      <c r="Z4475" s="2"/>
      <c r="AA4475" s="1"/>
      <c r="AC4475" s="2"/>
      <c r="AE4475" s="1"/>
      <c r="AG4475" s="2"/>
    </row>
    <row r="4476" spans="24:33" ht="43.95" customHeight="1" x14ac:dyDescent="0.3">
      <c r="X4476" s="2"/>
      <c r="Y4476" s="7"/>
      <c r="Z4476" s="2"/>
      <c r="AA4476" s="1"/>
      <c r="AC4476" s="2"/>
      <c r="AE4476" s="1"/>
      <c r="AG4476" s="2"/>
    </row>
    <row r="4477" spans="24:33" ht="43.95" customHeight="1" x14ac:dyDescent="0.3">
      <c r="X4477" s="2"/>
      <c r="Y4477" s="7"/>
      <c r="Z4477" s="2"/>
      <c r="AA4477" s="1"/>
      <c r="AC4477" s="2"/>
      <c r="AE4477" s="1"/>
      <c r="AG4477" s="2"/>
    </row>
    <row r="4478" spans="24:33" ht="43.95" customHeight="1" x14ac:dyDescent="0.3">
      <c r="X4478" s="2"/>
      <c r="Y4478" s="7"/>
      <c r="Z4478" s="2"/>
      <c r="AA4478" s="1"/>
      <c r="AC4478" s="2"/>
      <c r="AE4478" s="1"/>
      <c r="AG4478" s="2"/>
    </row>
    <row r="4479" spans="24:33" ht="43.95" customHeight="1" x14ac:dyDescent="0.3">
      <c r="X4479" s="2"/>
      <c r="Y4479" s="7"/>
      <c r="Z4479" s="2"/>
      <c r="AA4479" s="1"/>
      <c r="AC4479" s="2"/>
      <c r="AE4479" s="1"/>
      <c r="AG4479" s="2"/>
    </row>
    <row r="4480" spans="24:33" ht="43.95" customHeight="1" x14ac:dyDescent="0.3">
      <c r="X4480" s="2"/>
      <c r="Y4480" s="7"/>
      <c r="Z4480" s="2"/>
      <c r="AA4480" s="1"/>
      <c r="AC4480" s="2"/>
      <c r="AE4480" s="1"/>
      <c r="AG4480" s="2"/>
    </row>
    <row r="4481" spans="24:33" ht="43.95" customHeight="1" x14ac:dyDescent="0.3">
      <c r="X4481" s="2"/>
      <c r="Y4481" s="7"/>
      <c r="Z4481" s="2"/>
      <c r="AA4481" s="1"/>
      <c r="AC4481" s="2"/>
      <c r="AE4481" s="1"/>
      <c r="AG4481" s="2"/>
    </row>
    <row r="4482" spans="24:33" ht="43.95" customHeight="1" x14ac:dyDescent="0.3">
      <c r="X4482" s="2"/>
      <c r="Y4482" s="7"/>
      <c r="Z4482" s="2"/>
      <c r="AA4482" s="1"/>
      <c r="AC4482" s="2"/>
      <c r="AE4482" s="1"/>
      <c r="AG4482" s="2"/>
    </row>
    <row r="4483" spans="24:33" ht="43.95" customHeight="1" x14ac:dyDescent="0.3">
      <c r="X4483" s="2"/>
      <c r="Y4483" s="7"/>
      <c r="Z4483" s="2"/>
      <c r="AA4483" s="1"/>
      <c r="AC4483" s="2"/>
      <c r="AE4483" s="1"/>
      <c r="AG4483" s="2"/>
    </row>
    <row r="4484" spans="24:33" ht="43.95" customHeight="1" x14ac:dyDescent="0.3">
      <c r="X4484" s="2"/>
      <c r="Y4484" s="7"/>
      <c r="Z4484" s="2"/>
      <c r="AA4484" s="1"/>
      <c r="AC4484" s="2"/>
      <c r="AE4484" s="1"/>
      <c r="AG4484" s="2"/>
    </row>
    <row r="4485" spans="24:33" ht="43.95" customHeight="1" x14ac:dyDescent="0.3">
      <c r="X4485" s="2"/>
      <c r="Y4485" s="7"/>
      <c r="Z4485" s="2"/>
      <c r="AA4485" s="1"/>
      <c r="AC4485" s="2"/>
      <c r="AE4485" s="1"/>
      <c r="AG4485" s="2"/>
    </row>
    <row r="4486" spans="24:33" ht="43.95" customHeight="1" x14ac:dyDescent="0.3">
      <c r="X4486" s="2"/>
      <c r="Y4486" s="7"/>
      <c r="Z4486" s="2"/>
      <c r="AA4486" s="1"/>
      <c r="AC4486" s="2"/>
      <c r="AE4486" s="1"/>
      <c r="AG4486" s="2"/>
    </row>
    <row r="4487" spans="24:33" ht="43.95" customHeight="1" x14ac:dyDescent="0.3">
      <c r="X4487" s="2"/>
      <c r="Y4487" s="7"/>
      <c r="Z4487" s="2"/>
      <c r="AA4487" s="1"/>
      <c r="AC4487" s="2"/>
      <c r="AE4487" s="1"/>
      <c r="AG4487" s="2"/>
    </row>
    <row r="4488" spans="24:33" ht="43.95" customHeight="1" x14ac:dyDescent="0.3">
      <c r="X4488" s="2"/>
      <c r="Y4488" s="7"/>
      <c r="Z4488" s="2"/>
      <c r="AA4488" s="1"/>
      <c r="AC4488" s="2"/>
      <c r="AE4488" s="1"/>
      <c r="AG4488" s="2"/>
    </row>
    <row r="4489" spans="24:33" ht="43.95" customHeight="1" x14ac:dyDescent="0.3">
      <c r="X4489" s="2"/>
      <c r="Y4489" s="7"/>
      <c r="Z4489" s="2"/>
      <c r="AA4489" s="1"/>
      <c r="AC4489" s="2"/>
      <c r="AE4489" s="1"/>
      <c r="AG4489" s="2"/>
    </row>
    <row r="4490" spans="24:33" ht="43.95" customHeight="1" x14ac:dyDescent="0.3">
      <c r="X4490" s="2"/>
      <c r="Y4490" s="7"/>
      <c r="Z4490" s="2"/>
      <c r="AA4490" s="1"/>
      <c r="AC4490" s="2"/>
      <c r="AE4490" s="1"/>
      <c r="AG4490" s="2"/>
    </row>
    <row r="4491" spans="24:33" ht="43.95" customHeight="1" x14ac:dyDescent="0.3">
      <c r="X4491" s="2"/>
      <c r="Y4491" s="7"/>
      <c r="Z4491" s="2"/>
      <c r="AA4491" s="1"/>
      <c r="AC4491" s="2"/>
      <c r="AE4491" s="1"/>
      <c r="AG4491" s="2"/>
    </row>
    <row r="4492" spans="24:33" ht="43.95" customHeight="1" x14ac:dyDescent="0.3">
      <c r="X4492" s="2"/>
      <c r="Y4492" s="7"/>
      <c r="Z4492" s="2"/>
      <c r="AA4492" s="1"/>
      <c r="AC4492" s="2"/>
      <c r="AE4492" s="1"/>
      <c r="AG4492" s="2"/>
    </row>
    <row r="4493" spans="24:33" ht="43.95" customHeight="1" x14ac:dyDescent="0.3">
      <c r="X4493" s="2"/>
      <c r="Y4493" s="7"/>
      <c r="Z4493" s="2"/>
      <c r="AA4493" s="1"/>
      <c r="AC4493" s="2"/>
      <c r="AE4493" s="1"/>
      <c r="AG4493" s="2"/>
    </row>
    <row r="4494" spans="24:33" ht="43.95" customHeight="1" x14ac:dyDescent="0.3">
      <c r="X4494" s="2"/>
      <c r="Y4494" s="7"/>
      <c r="Z4494" s="2"/>
      <c r="AA4494" s="1"/>
      <c r="AC4494" s="2"/>
      <c r="AE4494" s="1"/>
      <c r="AG4494" s="2"/>
    </row>
    <row r="4495" spans="24:33" ht="43.95" customHeight="1" x14ac:dyDescent="0.3">
      <c r="X4495" s="2"/>
      <c r="Y4495" s="7"/>
      <c r="Z4495" s="2"/>
      <c r="AA4495" s="1"/>
      <c r="AC4495" s="2"/>
      <c r="AE4495" s="1"/>
      <c r="AG4495" s="2"/>
    </row>
    <row r="4496" spans="24:33" ht="43.95" customHeight="1" x14ac:dyDescent="0.3">
      <c r="X4496" s="2"/>
      <c r="Y4496" s="7"/>
      <c r="Z4496" s="2"/>
      <c r="AA4496" s="1"/>
      <c r="AC4496" s="2"/>
      <c r="AE4496" s="1"/>
      <c r="AG4496" s="2"/>
    </row>
    <row r="4497" spans="24:33" ht="43.95" customHeight="1" x14ac:dyDescent="0.3">
      <c r="X4497" s="2"/>
      <c r="Y4497" s="7"/>
      <c r="Z4497" s="2"/>
      <c r="AA4497" s="1"/>
      <c r="AC4497" s="2"/>
      <c r="AE4497" s="1"/>
      <c r="AG4497" s="2"/>
    </row>
    <row r="4498" spans="24:33" ht="43.95" customHeight="1" x14ac:dyDescent="0.3">
      <c r="X4498" s="2"/>
      <c r="Y4498" s="7"/>
      <c r="Z4498" s="2"/>
      <c r="AA4498" s="1"/>
      <c r="AC4498" s="2"/>
      <c r="AE4498" s="1"/>
      <c r="AG4498" s="2"/>
    </row>
    <row r="4499" spans="24:33" ht="43.95" customHeight="1" x14ac:dyDescent="0.3">
      <c r="X4499" s="2"/>
      <c r="Y4499" s="7"/>
      <c r="Z4499" s="2"/>
      <c r="AA4499" s="1"/>
      <c r="AC4499" s="2"/>
      <c r="AE4499" s="1"/>
      <c r="AG4499" s="2"/>
    </row>
    <row r="4500" spans="24:33" ht="43.95" customHeight="1" x14ac:dyDescent="0.3">
      <c r="X4500" s="2"/>
      <c r="Y4500" s="7"/>
      <c r="Z4500" s="2"/>
      <c r="AA4500" s="1"/>
      <c r="AC4500" s="2"/>
      <c r="AE4500" s="1"/>
      <c r="AG4500" s="2"/>
    </row>
    <row r="4501" spans="24:33" ht="43.95" customHeight="1" x14ac:dyDescent="0.3">
      <c r="X4501" s="2"/>
      <c r="Y4501" s="7"/>
      <c r="Z4501" s="2"/>
      <c r="AA4501" s="1"/>
      <c r="AC4501" s="2"/>
      <c r="AE4501" s="1"/>
      <c r="AG4501" s="2"/>
    </row>
    <row r="4502" spans="24:33" ht="43.95" customHeight="1" x14ac:dyDescent="0.3">
      <c r="X4502" s="2"/>
      <c r="Y4502" s="7"/>
      <c r="Z4502" s="2"/>
      <c r="AA4502" s="1"/>
      <c r="AC4502" s="2"/>
      <c r="AE4502" s="1"/>
      <c r="AG4502" s="2"/>
    </row>
    <row r="4503" spans="24:33" ht="43.95" customHeight="1" x14ac:dyDescent="0.3">
      <c r="X4503" s="2"/>
      <c r="Y4503" s="7"/>
      <c r="Z4503" s="2"/>
      <c r="AA4503" s="1"/>
      <c r="AC4503" s="2"/>
      <c r="AE4503" s="1"/>
      <c r="AG4503" s="2"/>
    </row>
    <row r="4504" spans="24:33" ht="43.95" customHeight="1" x14ac:dyDescent="0.3">
      <c r="X4504" s="2"/>
      <c r="Y4504" s="7"/>
      <c r="Z4504" s="2"/>
      <c r="AA4504" s="1"/>
      <c r="AC4504" s="2"/>
      <c r="AE4504" s="1"/>
      <c r="AG4504" s="2"/>
    </row>
    <row r="4505" spans="24:33" ht="43.95" customHeight="1" x14ac:dyDescent="0.3">
      <c r="X4505" s="2"/>
      <c r="Y4505" s="7"/>
      <c r="Z4505" s="2"/>
      <c r="AA4505" s="1"/>
      <c r="AC4505" s="2"/>
      <c r="AE4505" s="1"/>
      <c r="AG4505" s="2"/>
    </row>
    <row r="4506" spans="24:33" ht="43.95" customHeight="1" x14ac:dyDescent="0.3">
      <c r="X4506" s="2"/>
      <c r="Y4506" s="7"/>
      <c r="Z4506" s="2"/>
      <c r="AA4506" s="1"/>
      <c r="AC4506" s="2"/>
      <c r="AE4506" s="1"/>
      <c r="AG4506" s="2"/>
    </row>
    <row r="4507" spans="24:33" ht="43.95" customHeight="1" x14ac:dyDescent="0.3">
      <c r="X4507" s="2"/>
      <c r="Y4507" s="7"/>
      <c r="Z4507" s="2"/>
      <c r="AA4507" s="1"/>
      <c r="AC4507" s="2"/>
      <c r="AE4507" s="1"/>
      <c r="AG4507" s="2"/>
    </row>
    <row r="4508" spans="24:33" ht="43.95" customHeight="1" x14ac:dyDescent="0.3">
      <c r="X4508" s="2"/>
      <c r="Y4508" s="7"/>
      <c r="Z4508" s="2"/>
      <c r="AA4508" s="1"/>
      <c r="AC4508" s="2"/>
      <c r="AE4508" s="1"/>
      <c r="AG4508" s="2"/>
    </row>
    <row r="4509" spans="24:33" ht="43.95" customHeight="1" x14ac:dyDescent="0.3">
      <c r="X4509" s="2"/>
      <c r="Y4509" s="7"/>
      <c r="Z4509" s="2"/>
      <c r="AA4509" s="1"/>
      <c r="AC4509" s="2"/>
      <c r="AE4509" s="1"/>
      <c r="AG4509" s="2"/>
    </row>
    <row r="4510" spans="24:33" ht="43.95" customHeight="1" x14ac:dyDescent="0.3">
      <c r="X4510" s="2"/>
      <c r="Y4510" s="7"/>
      <c r="Z4510" s="2"/>
      <c r="AA4510" s="1"/>
      <c r="AC4510" s="2"/>
      <c r="AE4510" s="1"/>
      <c r="AG4510" s="2"/>
    </row>
    <row r="4511" spans="24:33" ht="43.95" customHeight="1" x14ac:dyDescent="0.3">
      <c r="X4511" s="2"/>
      <c r="Y4511" s="7"/>
      <c r="Z4511" s="2"/>
      <c r="AA4511" s="1"/>
      <c r="AC4511" s="2"/>
      <c r="AE4511" s="1"/>
      <c r="AG4511" s="2"/>
    </row>
    <row r="4512" spans="24:33" ht="43.95" customHeight="1" x14ac:dyDescent="0.3">
      <c r="X4512" s="2"/>
      <c r="Y4512" s="7"/>
      <c r="Z4512" s="2"/>
      <c r="AA4512" s="1"/>
      <c r="AC4512" s="2"/>
      <c r="AE4512" s="1"/>
      <c r="AG4512" s="2"/>
    </row>
    <row r="4513" spans="24:33" ht="43.95" customHeight="1" x14ac:dyDescent="0.3">
      <c r="X4513" s="2"/>
      <c r="Y4513" s="7"/>
      <c r="Z4513" s="2"/>
      <c r="AA4513" s="1"/>
      <c r="AC4513" s="2"/>
      <c r="AE4513" s="1"/>
      <c r="AG4513" s="2"/>
    </row>
    <row r="4514" spans="24:33" ht="43.95" customHeight="1" x14ac:dyDescent="0.3">
      <c r="X4514" s="2"/>
      <c r="Y4514" s="7"/>
      <c r="Z4514" s="2"/>
      <c r="AA4514" s="1"/>
      <c r="AC4514" s="2"/>
      <c r="AE4514" s="1"/>
      <c r="AG4514" s="2"/>
    </row>
    <row r="4515" spans="24:33" ht="43.95" customHeight="1" x14ac:dyDescent="0.3">
      <c r="X4515" s="2"/>
      <c r="Y4515" s="7"/>
      <c r="Z4515" s="2"/>
      <c r="AA4515" s="1"/>
      <c r="AC4515" s="2"/>
      <c r="AE4515" s="1"/>
      <c r="AG4515" s="2"/>
    </row>
    <row r="4516" spans="24:33" ht="43.95" customHeight="1" x14ac:dyDescent="0.3">
      <c r="X4516" s="2"/>
      <c r="Y4516" s="7"/>
      <c r="Z4516" s="2"/>
      <c r="AA4516" s="1"/>
      <c r="AC4516" s="2"/>
      <c r="AE4516" s="1"/>
      <c r="AG4516" s="2"/>
    </row>
    <row r="4517" spans="24:33" ht="43.95" customHeight="1" x14ac:dyDescent="0.3">
      <c r="X4517" s="2"/>
      <c r="Y4517" s="7"/>
      <c r="Z4517" s="2"/>
      <c r="AA4517" s="1"/>
      <c r="AC4517" s="2"/>
      <c r="AE4517" s="1"/>
      <c r="AG4517" s="2"/>
    </row>
    <row r="4518" spans="24:33" ht="43.95" customHeight="1" x14ac:dyDescent="0.3">
      <c r="X4518" s="2"/>
      <c r="Y4518" s="7"/>
      <c r="Z4518" s="2"/>
      <c r="AA4518" s="1"/>
      <c r="AC4518" s="2"/>
      <c r="AE4518" s="1"/>
      <c r="AG4518" s="2"/>
    </row>
    <row r="4519" spans="24:33" ht="43.95" customHeight="1" x14ac:dyDescent="0.3">
      <c r="X4519" s="2"/>
      <c r="Y4519" s="7"/>
      <c r="Z4519" s="2"/>
      <c r="AA4519" s="1"/>
      <c r="AC4519" s="2"/>
      <c r="AE4519" s="1"/>
      <c r="AG4519" s="2"/>
    </row>
    <row r="4520" spans="24:33" ht="43.95" customHeight="1" x14ac:dyDescent="0.3">
      <c r="X4520" s="2"/>
      <c r="Y4520" s="7"/>
      <c r="Z4520" s="2"/>
      <c r="AA4520" s="1"/>
      <c r="AC4520" s="2"/>
      <c r="AE4520" s="1"/>
      <c r="AG4520" s="2"/>
    </row>
    <row r="4521" spans="24:33" ht="43.95" customHeight="1" x14ac:dyDescent="0.3">
      <c r="X4521" s="2"/>
      <c r="Y4521" s="7"/>
      <c r="Z4521" s="2"/>
      <c r="AA4521" s="1"/>
      <c r="AC4521" s="2"/>
      <c r="AE4521" s="1"/>
      <c r="AG4521" s="2"/>
    </row>
    <row r="4522" spans="24:33" ht="43.95" customHeight="1" x14ac:dyDescent="0.3">
      <c r="X4522" s="2"/>
      <c r="Y4522" s="7"/>
      <c r="Z4522" s="2"/>
      <c r="AA4522" s="1"/>
      <c r="AC4522" s="2"/>
      <c r="AE4522" s="1"/>
      <c r="AG4522" s="2"/>
    </row>
    <row r="4523" spans="24:33" ht="43.95" customHeight="1" x14ac:dyDescent="0.3">
      <c r="X4523" s="2"/>
      <c r="Y4523" s="7"/>
      <c r="Z4523" s="2"/>
      <c r="AA4523" s="1"/>
      <c r="AC4523" s="2"/>
      <c r="AE4523" s="1"/>
      <c r="AG4523" s="2"/>
    </row>
    <row r="4524" spans="24:33" ht="43.95" customHeight="1" x14ac:dyDescent="0.3">
      <c r="X4524" s="2"/>
      <c r="Y4524" s="7"/>
      <c r="Z4524" s="2"/>
      <c r="AA4524" s="1"/>
      <c r="AC4524" s="2"/>
      <c r="AE4524" s="1"/>
      <c r="AG4524" s="2"/>
    </row>
    <row r="4525" spans="24:33" ht="43.95" customHeight="1" x14ac:dyDescent="0.3">
      <c r="X4525" s="2"/>
      <c r="Y4525" s="7"/>
      <c r="Z4525" s="2"/>
      <c r="AA4525" s="1"/>
      <c r="AC4525" s="2"/>
      <c r="AE4525" s="1"/>
      <c r="AG4525" s="2"/>
    </row>
    <row r="4526" spans="24:33" ht="43.95" customHeight="1" x14ac:dyDescent="0.3">
      <c r="X4526" s="2"/>
      <c r="Y4526" s="7"/>
      <c r="Z4526" s="2"/>
      <c r="AA4526" s="1"/>
      <c r="AC4526" s="2"/>
      <c r="AE4526" s="1"/>
      <c r="AG4526" s="2"/>
    </row>
    <row r="4527" spans="24:33" ht="43.95" customHeight="1" x14ac:dyDescent="0.3">
      <c r="X4527" s="2"/>
      <c r="Y4527" s="7"/>
      <c r="Z4527" s="2"/>
      <c r="AA4527" s="1"/>
      <c r="AC4527" s="2"/>
      <c r="AE4527" s="1"/>
      <c r="AG4527" s="2"/>
    </row>
    <row r="4528" spans="24:33" ht="43.95" customHeight="1" x14ac:dyDescent="0.3">
      <c r="X4528" s="2"/>
      <c r="Y4528" s="7"/>
      <c r="Z4528" s="2"/>
      <c r="AA4528" s="1"/>
      <c r="AC4528" s="2"/>
      <c r="AE4528" s="1"/>
      <c r="AG4528" s="2"/>
    </row>
    <row r="4529" spans="24:33" ht="43.95" customHeight="1" x14ac:dyDescent="0.3">
      <c r="X4529" s="2"/>
      <c r="Y4529" s="7"/>
      <c r="Z4529" s="2"/>
      <c r="AA4529" s="1"/>
      <c r="AC4529" s="2"/>
      <c r="AE4529" s="1"/>
      <c r="AG4529" s="2"/>
    </row>
    <row r="4530" spans="24:33" ht="43.95" customHeight="1" x14ac:dyDescent="0.3">
      <c r="X4530" s="2"/>
      <c r="Y4530" s="7"/>
      <c r="Z4530" s="2"/>
      <c r="AA4530" s="1"/>
      <c r="AC4530" s="2"/>
      <c r="AE4530" s="1"/>
      <c r="AG4530" s="2"/>
    </row>
    <row r="4531" spans="24:33" ht="43.95" customHeight="1" x14ac:dyDescent="0.3">
      <c r="X4531" s="2"/>
      <c r="Y4531" s="7"/>
      <c r="Z4531" s="2"/>
      <c r="AA4531" s="1"/>
      <c r="AC4531" s="2"/>
      <c r="AE4531" s="1"/>
      <c r="AG4531" s="2"/>
    </row>
    <row r="4532" spans="24:33" ht="43.95" customHeight="1" x14ac:dyDescent="0.3">
      <c r="X4532" s="2"/>
      <c r="Y4532" s="7"/>
      <c r="Z4532" s="2"/>
      <c r="AA4532" s="1"/>
      <c r="AC4532" s="2"/>
      <c r="AE4532" s="1"/>
      <c r="AG4532" s="2"/>
    </row>
    <row r="4533" spans="24:33" ht="43.95" customHeight="1" x14ac:dyDescent="0.3">
      <c r="X4533" s="195"/>
      <c r="Y4533" s="7"/>
      <c r="Z4533" s="2"/>
      <c r="AA4533" s="1"/>
      <c r="AC4533" s="2"/>
      <c r="AE4533" s="1"/>
      <c r="AG4533" s="2"/>
    </row>
    <row r="4534" spans="24:33" ht="43.95" customHeight="1" x14ac:dyDescent="0.3">
      <c r="X4534" s="2"/>
      <c r="Y4534" s="7"/>
      <c r="Z4534" s="2"/>
      <c r="AA4534" s="1"/>
      <c r="AC4534" s="2"/>
      <c r="AE4534" s="1"/>
      <c r="AG4534" s="2"/>
    </row>
    <row r="4535" spans="24:33" ht="43.95" customHeight="1" x14ac:dyDescent="0.3">
      <c r="X4535" s="2"/>
      <c r="Y4535" s="7"/>
      <c r="Z4535" s="2"/>
      <c r="AA4535" s="1"/>
      <c r="AC4535" s="2"/>
      <c r="AE4535" s="1"/>
      <c r="AG4535" s="2"/>
    </row>
    <row r="4536" spans="24:33" ht="43.95" customHeight="1" x14ac:dyDescent="0.3">
      <c r="X4536" s="2"/>
      <c r="Y4536" s="7"/>
      <c r="Z4536" s="2"/>
      <c r="AA4536" s="1"/>
      <c r="AC4536" s="2"/>
      <c r="AE4536" s="1"/>
      <c r="AG4536" s="2"/>
    </row>
    <row r="4537" spans="24:33" ht="43.95" customHeight="1" x14ac:dyDescent="0.3">
      <c r="X4537" s="2"/>
      <c r="Y4537" s="7"/>
      <c r="Z4537" s="2"/>
      <c r="AA4537" s="1"/>
      <c r="AC4537" s="2"/>
      <c r="AE4537" s="1"/>
      <c r="AG4537" s="2"/>
    </row>
    <row r="4538" spans="24:33" ht="43.95" customHeight="1" x14ac:dyDescent="0.3">
      <c r="X4538" s="2"/>
      <c r="Y4538" s="7"/>
      <c r="Z4538" s="2"/>
      <c r="AA4538" s="1"/>
      <c r="AC4538" s="2"/>
      <c r="AE4538" s="1"/>
      <c r="AG4538" s="2"/>
    </row>
    <row r="4539" spans="24:33" ht="43.95" customHeight="1" x14ac:dyDescent="0.3">
      <c r="X4539" s="2"/>
      <c r="Y4539" s="7"/>
      <c r="Z4539" s="2"/>
      <c r="AA4539" s="1"/>
      <c r="AC4539" s="2"/>
      <c r="AE4539" s="1"/>
      <c r="AG4539" s="2"/>
    </row>
    <row r="4540" spans="24:33" ht="43.95" customHeight="1" x14ac:dyDescent="0.3">
      <c r="X4540" s="2"/>
      <c r="Y4540" s="7"/>
      <c r="Z4540" s="2"/>
      <c r="AA4540" s="1"/>
      <c r="AC4540" s="2"/>
      <c r="AE4540" s="1"/>
      <c r="AG4540" s="2"/>
    </row>
    <row r="4541" spans="24:33" ht="43.95" customHeight="1" x14ac:dyDescent="0.3">
      <c r="X4541" s="2"/>
      <c r="Y4541" s="7"/>
      <c r="Z4541" s="2"/>
      <c r="AA4541" s="1"/>
      <c r="AC4541" s="2"/>
      <c r="AE4541" s="1"/>
      <c r="AG4541" s="2"/>
    </row>
    <row r="4542" spans="24:33" ht="43.95" customHeight="1" x14ac:dyDescent="0.3">
      <c r="X4542" s="2"/>
      <c r="Y4542" s="7"/>
      <c r="Z4542" s="2"/>
      <c r="AA4542" s="1"/>
      <c r="AC4542" s="2"/>
      <c r="AE4542" s="1"/>
      <c r="AG4542" s="2"/>
    </row>
    <row r="4543" spans="24:33" ht="43.95" customHeight="1" x14ac:dyDescent="0.3">
      <c r="X4543" s="2"/>
      <c r="Y4543" s="7"/>
      <c r="Z4543" s="2"/>
      <c r="AA4543" s="1"/>
      <c r="AC4543" s="2"/>
      <c r="AE4543" s="1"/>
      <c r="AG4543" s="2"/>
    </row>
    <row r="4544" spans="24:33" ht="43.95" customHeight="1" x14ac:dyDescent="0.3">
      <c r="X4544" s="2"/>
      <c r="Y4544" s="7"/>
      <c r="Z4544" s="2"/>
      <c r="AA4544" s="1"/>
      <c r="AC4544" s="2"/>
      <c r="AE4544" s="1"/>
      <c r="AG4544" s="2"/>
    </row>
    <row r="4545" spans="24:33" ht="43.95" customHeight="1" x14ac:dyDescent="0.3">
      <c r="X4545" s="2"/>
      <c r="Y4545" s="7"/>
      <c r="Z4545" s="2"/>
      <c r="AA4545" s="1"/>
      <c r="AC4545" s="2"/>
      <c r="AE4545" s="1"/>
      <c r="AG4545" s="2"/>
    </row>
    <row r="4546" spans="24:33" ht="43.95" customHeight="1" x14ac:dyDescent="0.3">
      <c r="X4546" s="2"/>
      <c r="Y4546" s="7"/>
      <c r="Z4546" s="2"/>
      <c r="AA4546" s="1"/>
      <c r="AC4546" s="2"/>
      <c r="AE4546" s="1"/>
      <c r="AG4546" s="2"/>
    </row>
    <row r="4547" spans="24:33" ht="43.95" customHeight="1" x14ac:dyDescent="0.3">
      <c r="X4547" s="2"/>
      <c r="Y4547" s="7"/>
      <c r="Z4547" s="2"/>
      <c r="AA4547" s="1"/>
      <c r="AC4547" s="2"/>
      <c r="AE4547" s="1"/>
      <c r="AG4547" s="2"/>
    </row>
    <row r="4548" spans="24:33" ht="43.95" customHeight="1" x14ac:dyDescent="0.3">
      <c r="X4548" s="2"/>
      <c r="Y4548" s="7"/>
      <c r="Z4548" s="2"/>
      <c r="AA4548" s="1"/>
      <c r="AC4548" s="2"/>
      <c r="AE4548" s="1"/>
      <c r="AG4548" s="2"/>
    </row>
    <row r="4549" spans="24:33" ht="43.95" customHeight="1" x14ac:dyDescent="0.3">
      <c r="X4549" s="2"/>
      <c r="Y4549" s="7"/>
      <c r="Z4549" s="2"/>
      <c r="AA4549" s="1"/>
      <c r="AC4549" s="2"/>
      <c r="AE4549" s="1"/>
      <c r="AG4549" s="2"/>
    </row>
    <row r="4550" spans="24:33" ht="43.95" customHeight="1" x14ac:dyDescent="0.3">
      <c r="X4550" s="2"/>
      <c r="Y4550" s="7"/>
      <c r="Z4550" s="2"/>
      <c r="AA4550" s="1"/>
      <c r="AC4550" s="2"/>
      <c r="AE4550" s="1"/>
      <c r="AG4550" s="2"/>
    </row>
    <row r="4551" spans="24:33" ht="43.95" customHeight="1" x14ac:dyDescent="0.3">
      <c r="X4551" s="2"/>
      <c r="Y4551" s="7"/>
      <c r="Z4551" s="2"/>
      <c r="AA4551" s="1"/>
      <c r="AC4551" s="2"/>
      <c r="AE4551" s="1"/>
      <c r="AG4551" s="2"/>
    </row>
    <row r="4552" spans="24:33" ht="43.95" customHeight="1" x14ac:dyDescent="0.3">
      <c r="X4552" s="2"/>
      <c r="Y4552" s="7"/>
      <c r="Z4552" s="2"/>
      <c r="AA4552" s="1"/>
      <c r="AC4552" s="2"/>
      <c r="AE4552" s="1"/>
      <c r="AG4552" s="2"/>
    </row>
    <row r="4553" spans="24:33" ht="43.95" customHeight="1" x14ac:dyDescent="0.3">
      <c r="X4553" s="2"/>
      <c r="Y4553" s="7"/>
      <c r="Z4553" s="2"/>
      <c r="AA4553" s="1"/>
      <c r="AC4553" s="2"/>
      <c r="AE4553" s="1"/>
      <c r="AG4553" s="2"/>
    </row>
    <row r="4554" spans="24:33" ht="43.95" customHeight="1" x14ac:dyDescent="0.3">
      <c r="X4554" s="2"/>
      <c r="Y4554" s="7"/>
      <c r="Z4554" s="2"/>
      <c r="AA4554" s="1"/>
      <c r="AC4554" s="2"/>
      <c r="AE4554" s="1"/>
      <c r="AG4554" s="2"/>
    </row>
    <row r="4555" spans="24:33" ht="43.95" customHeight="1" x14ac:dyDescent="0.3">
      <c r="X4555" s="2"/>
      <c r="Y4555" s="7"/>
      <c r="Z4555" s="2"/>
      <c r="AA4555" s="1"/>
      <c r="AC4555" s="2"/>
      <c r="AE4555" s="1"/>
      <c r="AG4555" s="2"/>
    </row>
    <row r="4556" spans="24:33" ht="43.95" customHeight="1" x14ac:dyDescent="0.3">
      <c r="X4556" s="2"/>
      <c r="Y4556" s="7"/>
      <c r="Z4556" s="2"/>
      <c r="AA4556" s="1"/>
      <c r="AC4556" s="2"/>
      <c r="AE4556" s="1"/>
      <c r="AG4556" s="2"/>
    </row>
    <row r="4557" spans="24:33" ht="43.95" customHeight="1" x14ac:dyDescent="0.3">
      <c r="X4557" s="2"/>
      <c r="Y4557" s="7"/>
      <c r="Z4557" s="2"/>
      <c r="AA4557" s="1"/>
      <c r="AC4557" s="2"/>
      <c r="AE4557" s="1"/>
      <c r="AG4557" s="2"/>
    </row>
    <row r="4558" spans="24:33" ht="43.95" customHeight="1" x14ac:dyDescent="0.3">
      <c r="X4558" s="2"/>
      <c r="Y4558" s="7"/>
      <c r="Z4558" s="2"/>
      <c r="AA4558" s="1"/>
      <c r="AC4558" s="2"/>
      <c r="AE4558" s="1"/>
      <c r="AG4558" s="2"/>
    </row>
    <row r="4559" spans="24:33" ht="43.95" customHeight="1" x14ac:dyDescent="0.3">
      <c r="X4559" s="2"/>
      <c r="Y4559" s="7"/>
      <c r="Z4559" s="2"/>
      <c r="AA4559" s="1"/>
      <c r="AC4559" s="2"/>
      <c r="AE4559" s="1"/>
      <c r="AG4559" s="2"/>
    </row>
    <row r="4560" spans="24:33" ht="43.95" customHeight="1" x14ac:dyDescent="0.3">
      <c r="X4560" s="2"/>
      <c r="Y4560" s="7"/>
      <c r="Z4560" s="2"/>
      <c r="AA4560" s="1"/>
      <c r="AC4560" s="2"/>
      <c r="AE4560" s="1"/>
      <c r="AG4560" s="2"/>
    </row>
    <row r="4561" spans="24:33" ht="43.95" customHeight="1" x14ac:dyDescent="0.3">
      <c r="X4561" s="2"/>
      <c r="Y4561" s="7"/>
      <c r="Z4561" s="2"/>
      <c r="AA4561" s="1"/>
      <c r="AC4561" s="2"/>
      <c r="AE4561" s="1"/>
      <c r="AG4561" s="2"/>
    </row>
    <row r="4562" spans="24:33" ht="43.95" customHeight="1" x14ac:dyDescent="0.3">
      <c r="X4562" s="2"/>
      <c r="Y4562" s="7"/>
      <c r="Z4562" s="2"/>
      <c r="AA4562" s="1"/>
      <c r="AC4562" s="2"/>
      <c r="AE4562" s="1"/>
      <c r="AG4562" s="2"/>
    </row>
    <row r="4563" spans="24:33" ht="43.95" customHeight="1" x14ac:dyDescent="0.3">
      <c r="X4563" s="2"/>
      <c r="Y4563" s="7"/>
      <c r="Z4563" s="2"/>
      <c r="AA4563" s="1"/>
      <c r="AC4563" s="2"/>
      <c r="AE4563" s="1"/>
      <c r="AG4563" s="2"/>
    </row>
    <row r="4564" spans="24:33" ht="43.95" customHeight="1" x14ac:dyDescent="0.3">
      <c r="X4564" s="2"/>
      <c r="Y4564" s="7"/>
      <c r="Z4564" s="2"/>
      <c r="AA4564" s="1"/>
      <c r="AC4564" s="2"/>
      <c r="AE4564" s="1"/>
      <c r="AG4564" s="2"/>
    </row>
    <row r="4565" spans="24:33" ht="43.95" customHeight="1" x14ac:dyDescent="0.3">
      <c r="X4565" s="2"/>
      <c r="Y4565" s="7"/>
      <c r="Z4565" s="2"/>
      <c r="AA4565" s="1"/>
      <c r="AC4565" s="2"/>
      <c r="AE4565" s="1"/>
      <c r="AG4565" s="2"/>
    </row>
    <row r="4566" spans="24:33" ht="43.95" customHeight="1" x14ac:dyDescent="0.3">
      <c r="X4566" s="2"/>
      <c r="Y4566" s="7"/>
      <c r="Z4566" s="2"/>
      <c r="AA4566" s="1"/>
      <c r="AC4566" s="2"/>
      <c r="AE4566" s="1"/>
      <c r="AG4566" s="2"/>
    </row>
    <row r="4567" spans="24:33" ht="43.95" customHeight="1" x14ac:dyDescent="0.3">
      <c r="X4567" s="2"/>
      <c r="Y4567" s="7"/>
      <c r="Z4567" s="2"/>
      <c r="AA4567" s="1"/>
      <c r="AC4567" s="2"/>
      <c r="AE4567" s="1"/>
      <c r="AG4567" s="2"/>
    </row>
    <row r="4568" spans="24:33" ht="43.95" customHeight="1" x14ac:dyDescent="0.3">
      <c r="X4568" s="2"/>
      <c r="Y4568" s="7"/>
      <c r="Z4568" s="2"/>
      <c r="AA4568" s="1"/>
      <c r="AC4568" s="2"/>
      <c r="AE4568" s="1"/>
      <c r="AG4568" s="2"/>
    </row>
    <row r="4569" spans="24:33" ht="43.95" customHeight="1" x14ac:dyDescent="0.3">
      <c r="X4569" s="2"/>
      <c r="Y4569" s="7"/>
      <c r="Z4569" s="2"/>
      <c r="AA4569" s="1"/>
      <c r="AC4569" s="2"/>
      <c r="AE4569" s="1"/>
      <c r="AG4569" s="2"/>
    </row>
    <row r="4570" spans="24:33" ht="43.95" customHeight="1" x14ac:dyDescent="0.3">
      <c r="X4570" s="2"/>
      <c r="Y4570" s="7"/>
      <c r="Z4570" s="2"/>
      <c r="AA4570" s="1"/>
      <c r="AC4570" s="2"/>
      <c r="AE4570" s="1"/>
      <c r="AG4570" s="2"/>
    </row>
    <row r="4571" spans="24:33" ht="43.95" customHeight="1" x14ac:dyDescent="0.3">
      <c r="X4571" s="2"/>
      <c r="Y4571" s="7"/>
      <c r="Z4571" s="2"/>
      <c r="AA4571" s="1"/>
      <c r="AC4571" s="2"/>
      <c r="AE4571" s="1"/>
      <c r="AG4571" s="2"/>
    </row>
    <row r="4572" spans="24:33" ht="43.95" customHeight="1" x14ac:dyDescent="0.3">
      <c r="X4572" s="2"/>
      <c r="Y4572" s="7"/>
      <c r="Z4572" s="2"/>
      <c r="AA4572" s="1"/>
      <c r="AC4572" s="2"/>
      <c r="AE4572" s="1"/>
      <c r="AG4572" s="2"/>
    </row>
    <row r="4573" spans="24:33" ht="43.95" customHeight="1" x14ac:dyDescent="0.3">
      <c r="X4573" s="2"/>
      <c r="Y4573" s="7"/>
      <c r="Z4573" s="2"/>
      <c r="AA4573" s="1"/>
      <c r="AC4573" s="2"/>
      <c r="AE4573" s="1"/>
      <c r="AG4573" s="2"/>
    </row>
    <row r="4574" spans="24:33" ht="43.95" customHeight="1" x14ac:dyDescent="0.3">
      <c r="X4574" s="2"/>
      <c r="Y4574" s="7"/>
      <c r="Z4574" s="2"/>
      <c r="AA4574" s="1"/>
      <c r="AC4574" s="2"/>
      <c r="AE4574" s="1"/>
      <c r="AG4574" s="2"/>
    </row>
    <row r="4575" spans="24:33" ht="43.95" customHeight="1" x14ac:dyDescent="0.3">
      <c r="X4575" s="2"/>
      <c r="Y4575" s="7"/>
      <c r="Z4575" s="2"/>
      <c r="AA4575" s="1"/>
      <c r="AC4575" s="2"/>
      <c r="AE4575" s="1"/>
      <c r="AG4575" s="2"/>
    </row>
    <row r="4576" spans="24:33" ht="43.95" customHeight="1" x14ac:dyDescent="0.3">
      <c r="X4576" s="2"/>
      <c r="Y4576" s="7"/>
      <c r="Z4576" s="2"/>
      <c r="AA4576" s="1"/>
      <c r="AC4576" s="2"/>
      <c r="AE4576" s="1"/>
      <c r="AG4576" s="2"/>
    </row>
    <row r="4577" spans="24:33" ht="43.95" customHeight="1" x14ac:dyDescent="0.3">
      <c r="X4577" s="2"/>
      <c r="Y4577" s="7"/>
      <c r="Z4577" s="2"/>
      <c r="AA4577" s="1"/>
      <c r="AC4577" s="2"/>
      <c r="AE4577" s="1"/>
      <c r="AG4577" s="2"/>
    </row>
    <row r="4578" spans="24:33" ht="43.95" customHeight="1" x14ac:dyDescent="0.3">
      <c r="X4578" s="2"/>
      <c r="Y4578" s="7"/>
      <c r="Z4578" s="2"/>
      <c r="AA4578" s="1"/>
      <c r="AC4578" s="2"/>
      <c r="AE4578" s="1"/>
      <c r="AG4578" s="2"/>
    </row>
    <row r="4579" spans="24:33" ht="43.95" customHeight="1" x14ac:dyDescent="0.3">
      <c r="X4579" s="2"/>
      <c r="Y4579" s="7"/>
      <c r="Z4579" s="2"/>
      <c r="AA4579" s="1"/>
      <c r="AC4579" s="2"/>
      <c r="AE4579" s="1"/>
      <c r="AG4579" s="2"/>
    </row>
    <row r="4580" spans="24:33" ht="43.95" customHeight="1" x14ac:dyDescent="0.3">
      <c r="X4580" s="2"/>
      <c r="Y4580" s="7"/>
      <c r="Z4580" s="2"/>
      <c r="AA4580" s="1"/>
      <c r="AC4580" s="2"/>
      <c r="AE4580" s="1"/>
      <c r="AG4580" s="2"/>
    </row>
    <row r="4581" spans="24:33" ht="43.95" customHeight="1" x14ac:dyDescent="0.3">
      <c r="X4581" s="2"/>
      <c r="Y4581" s="7"/>
      <c r="Z4581" s="2"/>
      <c r="AA4581" s="1"/>
      <c r="AC4581" s="2"/>
      <c r="AE4581" s="1"/>
      <c r="AG4581" s="2"/>
    </row>
    <row r="4582" spans="24:33" ht="43.95" customHeight="1" x14ac:dyDescent="0.3">
      <c r="X4582" s="2"/>
      <c r="Y4582" s="7"/>
      <c r="Z4582" s="2"/>
      <c r="AA4582" s="1"/>
      <c r="AC4582" s="2"/>
      <c r="AE4582" s="1"/>
      <c r="AG4582" s="2"/>
    </row>
    <row r="4583" spans="24:33" ht="43.95" customHeight="1" x14ac:dyDescent="0.3">
      <c r="X4583" s="2"/>
      <c r="Y4583" s="7"/>
      <c r="Z4583" s="2"/>
      <c r="AA4583" s="1"/>
      <c r="AC4583" s="2"/>
      <c r="AE4583" s="1"/>
      <c r="AG4583" s="2"/>
    </row>
    <row r="4584" spans="24:33" ht="43.95" customHeight="1" x14ac:dyDescent="0.3">
      <c r="X4584" s="2"/>
      <c r="Y4584" s="7"/>
      <c r="Z4584" s="2"/>
      <c r="AA4584" s="1"/>
      <c r="AC4584" s="2"/>
      <c r="AE4584" s="1"/>
      <c r="AG4584" s="2"/>
    </row>
    <row r="4585" spans="24:33" ht="43.95" customHeight="1" x14ac:dyDescent="0.3">
      <c r="X4585" s="2"/>
      <c r="Y4585" s="7"/>
      <c r="Z4585" s="2"/>
      <c r="AA4585" s="1"/>
      <c r="AC4585" s="2"/>
      <c r="AE4585" s="1"/>
      <c r="AG4585" s="2"/>
    </row>
    <row r="4586" spans="24:33" ht="43.95" customHeight="1" x14ac:dyDescent="0.3">
      <c r="X4586" s="2"/>
      <c r="Y4586" s="7"/>
      <c r="Z4586" s="2"/>
      <c r="AA4586" s="1"/>
      <c r="AC4586" s="2"/>
      <c r="AE4586" s="1"/>
      <c r="AG4586" s="2"/>
    </row>
    <row r="4587" spans="24:33" ht="43.95" customHeight="1" x14ac:dyDescent="0.3">
      <c r="X4587" s="2"/>
      <c r="Y4587" s="7"/>
      <c r="Z4587" s="2"/>
      <c r="AA4587" s="1"/>
      <c r="AC4587" s="2"/>
      <c r="AE4587" s="1"/>
      <c r="AG4587" s="2"/>
    </row>
    <row r="4588" spans="24:33" ht="43.95" customHeight="1" x14ac:dyDescent="0.3">
      <c r="X4588" s="2"/>
      <c r="Y4588" s="7"/>
      <c r="Z4588" s="2"/>
      <c r="AA4588" s="1"/>
      <c r="AC4588" s="2"/>
      <c r="AE4588" s="1"/>
      <c r="AG4588" s="2"/>
    </row>
    <row r="4589" spans="24:33" ht="43.95" customHeight="1" x14ac:dyDescent="0.3">
      <c r="X4589" s="2"/>
      <c r="Y4589" s="7"/>
      <c r="Z4589" s="2"/>
      <c r="AA4589" s="1"/>
      <c r="AC4589" s="2"/>
      <c r="AE4589" s="1"/>
      <c r="AG4589" s="2"/>
    </row>
    <row r="4590" spans="24:33" ht="43.95" customHeight="1" x14ac:dyDescent="0.3">
      <c r="X4590" s="2"/>
      <c r="Y4590" s="7"/>
      <c r="Z4590" s="2"/>
      <c r="AA4590" s="1"/>
      <c r="AC4590" s="2"/>
      <c r="AE4590" s="1"/>
      <c r="AG4590" s="2"/>
    </row>
    <row r="4591" spans="24:33" ht="43.95" customHeight="1" x14ac:dyDescent="0.3">
      <c r="X4591" s="2"/>
      <c r="Y4591" s="7"/>
      <c r="Z4591" s="2"/>
      <c r="AA4591" s="1"/>
      <c r="AC4591" s="2"/>
      <c r="AE4591" s="1"/>
      <c r="AG4591" s="2"/>
    </row>
    <row r="4592" spans="24:33" ht="43.95" customHeight="1" x14ac:dyDescent="0.3">
      <c r="X4592" s="2"/>
      <c r="Y4592" s="7"/>
      <c r="Z4592" s="2"/>
      <c r="AA4592" s="1"/>
      <c r="AC4592" s="2"/>
      <c r="AE4592" s="1"/>
      <c r="AG4592" s="2"/>
    </row>
    <row r="4593" spans="24:33" ht="43.95" customHeight="1" x14ac:dyDescent="0.3">
      <c r="X4593" s="2"/>
      <c r="Y4593" s="7"/>
      <c r="Z4593" s="2"/>
      <c r="AA4593" s="1"/>
      <c r="AC4593" s="2"/>
      <c r="AE4593" s="1"/>
      <c r="AG4593" s="2"/>
    </row>
    <row r="4594" spans="24:33" ht="43.95" customHeight="1" x14ac:dyDescent="0.3">
      <c r="X4594" s="2"/>
      <c r="Y4594" s="7"/>
      <c r="Z4594" s="2"/>
      <c r="AA4594" s="1"/>
      <c r="AC4594" s="2"/>
      <c r="AE4594" s="1"/>
      <c r="AG4594" s="2"/>
    </row>
    <row r="4595" spans="24:33" ht="43.95" customHeight="1" x14ac:dyDescent="0.3">
      <c r="X4595" s="2"/>
      <c r="Y4595" s="7"/>
      <c r="Z4595" s="2"/>
      <c r="AA4595" s="1"/>
      <c r="AC4595" s="2"/>
      <c r="AE4595" s="1"/>
      <c r="AG4595" s="2"/>
    </row>
    <row r="4596" spans="24:33" ht="43.95" customHeight="1" x14ac:dyDescent="0.3">
      <c r="X4596" s="2"/>
      <c r="Y4596" s="7"/>
      <c r="Z4596" s="2"/>
      <c r="AA4596" s="1"/>
      <c r="AC4596" s="2"/>
      <c r="AE4596" s="1"/>
      <c r="AG4596" s="2"/>
    </row>
    <row r="4597" spans="24:33" ht="43.95" customHeight="1" x14ac:dyDescent="0.3">
      <c r="X4597" s="2"/>
      <c r="Y4597" s="7"/>
      <c r="Z4597" s="2"/>
      <c r="AA4597" s="1"/>
      <c r="AC4597" s="2"/>
      <c r="AE4597" s="1"/>
      <c r="AG4597" s="2"/>
    </row>
    <row r="4598" spans="24:33" ht="43.95" customHeight="1" x14ac:dyDescent="0.3">
      <c r="X4598" s="2"/>
      <c r="Y4598" s="7"/>
      <c r="Z4598" s="2"/>
      <c r="AA4598" s="1"/>
      <c r="AC4598" s="2"/>
      <c r="AE4598" s="1"/>
      <c r="AG4598" s="2"/>
    </row>
    <row r="4599" spans="24:33" ht="43.95" customHeight="1" x14ac:dyDescent="0.3">
      <c r="X4599" s="2"/>
      <c r="Y4599" s="7"/>
      <c r="Z4599" s="2"/>
      <c r="AA4599" s="1"/>
      <c r="AC4599" s="2"/>
      <c r="AE4599" s="1"/>
      <c r="AG4599" s="2"/>
    </row>
    <row r="4600" spans="24:33" ht="43.95" customHeight="1" x14ac:dyDescent="0.3">
      <c r="X4600" s="2"/>
      <c r="Y4600" s="7"/>
      <c r="Z4600" s="2"/>
      <c r="AA4600" s="1"/>
      <c r="AC4600" s="2"/>
      <c r="AE4600" s="1"/>
      <c r="AG4600" s="2"/>
    </row>
    <row r="4601" spans="24:33" ht="43.95" customHeight="1" x14ac:dyDescent="0.3">
      <c r="X4601" s="2"/>
      <c r="Y4601" s="7"/>
      <c r="Z4601" s="2"/>
      <c r="AA4601" s="1"/>
      <c r="AC4601" s="2"/>
      <c r="AE4601" s="1"/>
      <c r="AG4601" s="2"/>
    </row>
    <row r="4602" spans="24:33" ht="43.95" customHeight="1" x14ac:dyDescent="0.3">
      <c r="X4602" s="2"/>
      <c r="Y4602" s="7"/>
      <c r="Z4602" s="2"/>
      <c r="AA4602" s="1"/>
      <c r="AC4602" s="2"/>
      <c r="AE4602" s="1"/>
      <c r="AG4602" s="2"/>
    </row>
    <row r="4603" spans="24:33" ht="43.95" customHeight="1" x14ac:dyDescent="0.3">
      <c r="X4603" s="2"/>
      <c r="Y4603" s="7"/>
      <c r="Z4603" s="2"/>
      <c r="AA4603" s="1"/>
      <c r="AC4603" s="2"/>
      <c r="AE4603" s="1"/>
      <c r="AG4603" s="2"/>
    </row>
    <row r="4604" spans="24:33" ht="43.95" customHeight="1" x14ac:dyDescent="0.3">
      <c r="X4604" s="2"/>
      <c r="Y4604" s="7"/>
      <c r="Z4604" s="2"/>
      <c r="AA4604" s="1"/>
      <c r="AC4604" s="2"/>
      <c r="AE4604" s="1"/>
      <c r="AG4604" s="2"/>
    </row>
    <row r="4605" spans="24:33" ht="43.95" customHeight="1" x14ac:dyDescent="0.3">
      <c r="X4605" s="2"/>
      <c r="Y4605" s="7"/>
      <c r="Z4605" s="2"/>
      <c r="AA4605" s="1"/>
      <c r="AC4605" s="2"/>
      <c r="AE4605" s="1"/>
      <c r="AG4605" s="2"/>
    </row>
    <row r="4606" spans="24:33" ht="43.95" customHeight="1" x14ac:dyDescent="0.3">
      <c r="X4606" s="2"/>
      <c r="Y4606" s="7"/>
      <c r="Z4606" s="2"/>
      <c r="AA4606" s="1"/>
      <c r="AC4606" s="2"/>
      <c r="AE4606" s="1"/>
      <c r="AG4606" s="2"/>
    </row>
    <row r="4607" spans="24:33" ht="43.95" customHeight="1" x14ac:dyDescent="0.3">
      <c r="X4607" s="2"/>
      <c r="Y4607" s="7"/>
      <c r="Z4607" s="2"/>
      <c r="AA4607" s="1"/>
      <c r="AC4607" s="2"/>
      <c r="AE4607" s="1"/>
      <c r="AG4607" s="2"/>
    </row>
    <row r="4608" spans="24:33" ht="43.95" customHeight="1" x14ac:dyDescent="0.3">
      <c r="X4608" s="2"/>
      <c r="Y4608" s="7"/>
      <c r="Z4608" s="2"/>
      <c r="AA4608" s="1"/>
      <c r="AC4608" s="2"/>
      <c r="AE4608" s="1"/>
      <c r="AG4608" s="2"/>
    </row>
    <row r="4609" spans="24:33" ht="43.95" customHeight="1" x14ac:dyDescent="0.3">
      <c r="X4609" s="2"/>
      <c r="Y4609" s="7"/>
      <c r="Z4609" s="2"/>
      <c r="AA4609" s="1"/>
      <c r="AC4609" s="2"/>
      <c r="AE4609" s="1"/>
      <c r="AG4609" s="2"/>
    </row>
    <row r="4610" spans="24:33" ht="43.95" customHeight="1" x14ac:dyDescent="0.3">
      <c r="X4610" s="197"/>
      <c r="Y4610" s="7"/>
      <c r="Z4610" s="2"/>
      <c r="AA4610" s="1"/>
      <c r="AC4610" s="2"/>
      <c r="AE4610" s="1"/>
      <c r="AG4610" s="2"/>
    </row>
    <row r="4611" spans="24:33" ht="43.95" customHeight="1" x14ac:dyDescent="0.3">
      <c r="X4611" s="2"/>
      <c r="Y4611" s="7"/>
      <c r="Z4611" s="2"/>
      <c r="AA4611" s="1"/>
      <c r="AC4611" s="2"/>
      <c r="AE4611" s="1"/>
      <c r="AG4611" s="2"/>
    </row>
    <row r="4612" spans="24:33" ht="43.95" customHeight="1" x14ac:dyDescent="0.3">
      <c r="X4612" s="2"/>
      <c r="Y4612" s="7"/>
      <c r="Z4612" s="2"/>
      <c r="AA4612" s="1"/>
      <c r="AC4612" s="2"/>
      <c r="AE4612" s="1"/>
      <c r="AG4612" s="2"/>
    </row>
    <row r="4613" spans="24:33" ht="43.95" customHeight="1" x14ac:dyDescent="0.3">
      <c r="X4613" s="2"/>
      <c r="Y4613" s="7"/>
      <c r="Z4613" s="2"/>
      <c r="AA4613" s="1"/>
      <c r="AC4613" s="2"/>
      <c r="AE4613" s="1"/>
      <c r="AG4613" s="2"/>
    </row>
    <row r="4614" spans="24:33" ht="43.95" customHeight="1" x14ac:dyDescent="0.3">
      <c r="X4614" s="2"/>
      <c r="Y4614" s="7"/>
      <c r="Z4614" s="2"/>
      <c r="AA4614" s="1"/>
      <c r="AC4614" s="2"/>
      <c r="AE4614" s="1"/>
      <c r="AG4614" s="2"/>
    </row>
    <row r="4615" spans="24:33" ht="43.95" customHeight="1" x14ac:dyDescent="0.3">
      <c r="X4615" s="2"/>
      <c r="Y4615" s="7"/>
      <c r="Z4615" s="2"/>
      <c r="AA4615" s="1"/>
      <c r="AC4615" s="2"/>
      <c r="AE4615" s="1"/>
      <c r="AG4615" s="2"/>
    </row>
    <row r="4616" spans="24:33" ht="43.95" customHeight="1" x14ac:dyDescent="0.3">
      <c r="X4616" s="2"/>
      <c r="Y4616" s="7"/>
      <c r="Z4616" s="2"/>
      <c r="AA4616" s="1"/>
      <c r="AC4616" s="2"/>
      <c r="AE4616" s="1"/>
      <c r="AG4616" s="2"/>
    </row>
    <row r="4617" spans="24:33" ht="43.95" customHeight="1" x14ac:dyDescent="0.3">
      <c r="X4617" s="2"/>
      <c r="Y4617" s="7"/>
      <c r="Z4617" s="2"/>
      <c r="AA4617" s="1"/>
      <c r="AC4617" s="2"/>
      <c r="AE4617" s="1"/>
      <c r="AG4617" s="2"/>
    </row>
    <row r="4618" spans="24:33" ht="43.95" customHeight="1" x14ac:dyDescent="0.3">
      <c r="X4618" s="2"/>
      <c r="Y4618" s="7"/>
      <c r="Z4618" s="2"/>
      <c r="AA4618" s="1"/>
      <c r="AC4618" s="2"/>
      <c r="AE4618" s="1"/>
      <c r="AG4618" s="2"/>
    </row>
    <row r="4619" spans="24:33" ht="43.95" customHeight="1" x14ac:dyDescent="0.3">
      <c r="X4619" s="2"/>
      <c r="Y4619" s="7"/>
      <c r="Z4619" s="2"/>
      <c r="AA4619" s="1"/>
      <c r="AC4619" s="2"/>
      <c r="AE4619" s="1"/>
      <c r="AG4619" s="2"/>
    </row>
    <row r="4620" spans="24:33" ht="43.95" customHeight="1" x14ac:dyDescent="0.3">
      <c r="X4620" s="2"/>
      <c r="Y4620" s="7"/>
      <c r="Z4620" s="2"/>
      <c r="AA4620" s="1"/>
      <c r="AC4620" s="2"/>
      <c r="AE4620" s="1"/>
      <c r="AG4620" s="2"/>
    </row>
    <row r="4621" spans="24:33" ht="43.95" customHeight="1" x14ac:dyDescent="0.3">
      <c r="X4621" s="2"/>
      <c r="Y4621" s="7"/>
      <c r="Z4621" s="2"/>
      <c r="AA4621" s="1"/>
      <c r="AC4621" s="2"/>
      <c r="AE4621" s="1"/>
      <c r="AG4621" s="2"/>
    </row>
    <row r="4622" spans="24:33" ht="43.95" customHeight="1" x14ac:dyDescent="0.3">
      <c r="X4622" s="2"/>
      <c r="Y4622" s="7"/>
      <c r="Z4622" s="2"/>
      <c r="AA4622" s="1"/>
      <c r="AC4622" s="2"/>
      <c r="AE4622" s="1"/>
      <c r="AG4622" s="2"/>
    </row>
    <row r="4623" spans="24:33" ht="43.95" customHeight="1" x14ac:dyDescent="0.3">
      <c r="X4623" s="2"/>
      <c r="Y4623" s="7"/>
      <c r="Z4623" s="2"/>
      <c r="AA4623" s="1"/>
      <c r="AC4623" s="2"/>
      <c r="AE4623" s="1"/>
      <c r="AG4623" s="2"/>
    </row>
    <row r="4624" spans="24:33" ht="43.95" customHeight="1" x14ac:dyDescent="0.3">
      <c r="X4624" s="2"/>
      <c r="Y4624" s="7"/>
      <c r="Z4624" s="2"/>
      <c r="AA4624" s="1"/>
      <c r="AC4624" s="2"/>
      <c r="AE4624" s="1"/>
      <c r="AG4624" s="2"/>
    </row>
    <row r="4625" spans="24:33" ht="43.95" customHeight="1" x14ac:dyDescent="0.3">
      <c r="X4625" s="2"/>
      <c r="Y4625" s="7"/>
      <c r="Z4625" s="2"/>
      <c r="AA4625" s="1"/>
      <c r="AC4625" s="2"/>
      <c r="AE4625" s="1"/>
      <c r="AG4625" s="2"/>
    </row>
    <row r="4626" spans="24:33" ht="43.95" customHeight="1" x14ac:dyDescent="0.3">
      <c r="X4626" s="2"/>
      <c r="Y4626" s="7"/>
      <c r="Z4626" s="2"/>
      <c r="AA4626" s="1"/>
      <c r="AC4626" s="2"/>
      <c r="AE4626" s="1"/>
      <c r="AG4626" s="2"/>
    </row>
    <row r="4627" spans="24:33" ht="43.95" customHeight="1" x14ac:dyDescent="0.3">
      <c r="X4627" s="2"/>
      <c r="Y4627" s="7"/>
      <c r="Z4627" s="2"/>
      <c r="AA4627" s="1"/>
      <c r="AC4627" s="2"/>
      <c r="AE4627" s="1"/>
      <c r="AG4627" s="2"/>
    </row>
    <row r="4628" spans="24:33" ht="43.95" customHeight="1" x14ac:dyDescent="0.3">
      <c r="X4628" s="2"/>
      <c r="Y4628" s="7"/>
      <c r="Z4628" s="2"/>
      <c r="AA4628" s="1"/>
      <c r="AC4628" s="2"/>
      <c r="AE4628" s="1"/>
      <c r="AG4628" s="2"/>
    </row>
    <row r="4629" spans="24:33" ht="43.95" customHeight="1" x14ac:dyDescent="0.3">
      <c r="X4629" s="2"/>
      <c r="Y4629" s="7"/>
      <c r="Z4629" s="2"/>
      <c r="AA4629" s="1"/>
      <c r="AC4629" s="2"/>
      <c r="AE4629" s="1"/>
      <c r="AG4629" s="2"/>
    </row>
    <row r="4630" spans="24:33" ht="43.95" customHeight="1" x14ac:dyDescent="0.3">
      <c r="X4630" s="2"/>
      <c r="Y4630" s="7"/>
      <c r="Z4630" s="2"/>
      <c r="AA4630" s="1"/>
      <c r="AC4630" s="2"/>
      <c r="AE4630" s="1"/>
      <c r="AG4630" s="2"/>
    </row>
    <row r="4631" spans="24:33" ht="43.95" customHeight="1" x14ac:dyDescent="0.3">
      <c r="X4631" s="2"/>
      <c r="Y4631" s="7"/>
      <c r="Z4631" s="2"/>
      <c r="AA4631" s="1"/>
      <c r="AC4631" s="2"/>
      <c r="AE4631" s="1"/>
      <c r="AG4631" s="2"/>
    </row>
    <row r="4632" spans="24:33" ht="43.95" customHeight="1" x14ac:dyDescent="0.3">
      <c r="X4632" s="2"/>
      <c r="Y4632" s="7"/>
      <c r="Z4632" s="2"/>
      <c r="AA4632" s="1"/>
      <c r="AC4632" s="2"/>
      <c r="AE4632" s="1"/>
      <c r="AG4632" s="2"/>
    </row>
    <row r="4633" spans="24:33" ht="43.95" customHeight="1" x14ac:dyDescent="0.3">
      <c r="X4633" s="2"/>
      <c r="Y4633" s="7"/>
      <c r="Z4633" s="2"/>
      <c r="AA4633" s="1"/>
      <c r="AC4633" s="2"/>
      <c r="AE4633" s="1"/>
      <c r="AG4633" s="2"/>
    </row>
    <row r="4634" spans="24:33" ht="43.95" customHeight="1" x14ac:dyDescent="0.3">
      <c r="X4634" s="2"/>
      <c r="Y4634" s="7"/>
      <c r="Z4634" s="2"/>
      <c r="AA4634" s="1"/>
      <c r="AC4634" s="2"/>
      <c r="AE4634" s="1"/>
      <c r="AG4634" s="2"/>
    </row>
    <row r="4635" spans="24:33" ht="43.95" customHeight="1" x14ac:dyDescent="0.3">
      <c r="X4635" s="2"/>
      <c r="Y4635" s="7"/>
      <c r="Z4635" s="2"/>
      <c r="AA4635" s="1"/>
      <c r="AC4635" s="2"/>
      <c r="AE4635" s="1"/>
      <c r="AG4635" s="2"/>
    </row>
    <row r="4636" spans="24:33" ht="43.95" customHeight="1" x14ac:dyDescent="0.3">
      <c r="X4636" s="2"/>
      <c r="Y4636" s="7"/>
      <c r="Z4636" s="2"/>
      <c r="AA4636" s="1"/>
      <c r="AC4636" s="2"/>
      <c r="AE4636" s="1"/>
      <c r="AG4636" s="2"/>
    </row>
    <row r="4637" spans="24:33" ht="43.95" customHeight="1" x14ac:dyDescent="0.3">
      <c r="X4637" s="2"/>
      <c r="Y4637" s="7"/>
      <c r="Z4637" s="2"/>
      <c r="AA4637" s="1"/>
      <c r="AC4637" s="2"/>
      <c r="AE4637" s="1"/>
      <c r="AG4637" s="2"/>
    </row>
    <row r="4638" spans="24:33" ht="43.95" customHeight="1" x14ac:dyDescent="0.3">
      <c r="X4638" s="2"/>
      <c r="Y4638" s="7"/>
      <c r="Z4638" s="2"/>
      <c r="AA4638" s="1"/>
      <c r="AC4638" s="2"/>
      <c r="AE4638" s="1"/>
      <c r="AG4638" s="2"/>
    </row>
    <row r="4639" spans="24:33" ht="43.95" customHeight="1" x14ac:dyDescent="0.3">
      <c r="X4639" s="2"/>
      <c r="Y4639" s="7"/>
      <c r="Z4639" s="2"/>
      <c r="AA4639" s="1"/>
      <c r="AC4639" s="2"/>
      <c r="AE4639" s="1"/>
      <c r="AG4639" s="2"/>
    </row>
    <row r="4640" spans="24:33" ht="43.95" customHeight="1" x14ac:dyDescent="0.3">
      <c r="X4640" s="2"/>
      <c r="Y4640" s="7"/>
      <c r="Z4640" s="2"/>
      <c r="AA4640" s="1"/>
      <c r="AC4640" s="2"/>
      <c r="AE4640" s="1"/>
      <c r="AG4640" s="2"/>
    </row>
    <row r="4641" spans="24:33" ht="43.95" customHeight="1" x14ac:dyDescent="0.3">
      <c r="X4641" s="2"/>
      <c r="Y4641" s="7"/>
      <c r="Z4641" s="2"/>
      <c r="AA4641" s="1"/>
      <c r="AC4641" s="2"/>
      <c r="AE4641" s="1"/>
      <c r="AG4641" s="2"/>
    </row>
    <row r="4642" spans="24:33" ht="43.95" customHeight="1" x14ac:dyDescent="0.3">
      <c r="X4642" s="2"/>
      <c r="Y4642" s="7"/>
      <c r="Z4642" s="2"/>
      <c r="AA4642" s="1"/>
      <c r="AC4642" s="2"/>
      <c r="AE4642" s="1"/>
      <c r="AG4642" s="2"/>
    </row>
    <row r="4643" spans="24:33" ht="43.95" customHeight="1" x14ac:dyDescent="0.3">
      <c r="X4643" s="2"/>
      <c r="Y4643" s="7"/>
      <c r="Z4643" s="2"/>
      <c r="AA4643" s="1"/>
      <c r="AC4643" s="2"/>
      <c r="AE4643" s="1"/>
      <c r="AG4643" s="2"/>
    </row>
    <row r="4644" spans="24:33" ht="43.95" customHeight="1" x14ac:dyDescent="0.3">
      <c r="X4644" s="2"/>
      <c r="Y4644" s="7"/>
      <c r="Z4644" s="2"/>
      <c r="AA4644" s="1"/>
      <c r="AC4644" s="2"/>
      <c r="AE4644" s="1"/>
      <c r="AG4644" s="2"/>
    </row>
    <row r="4645" spans="24:33" ht="43.95" customHeight="1" x14ac:dyDescent="0.3">
      <c r="X4645" s="195"/>
      <c r="Y4645" s="7"/>
      <c r="Z4645" s="2"/>
      <c r="AA4645" s="1"/>
      <c r="AC4645" s="2"/>
      <c r="AE4645" s="1"/>
      <c r="AG4645" s="2"/>
    </row>
    <row r="4646" spans="24:33" ht="43.95" customHeight="1" x14ac:dyDescent="0.3">
      <c r="X4646" s="2"/>
      <c r="Y4646" s="7"/>
      <c r="Z4646" s="2"/>
      <c r="AA4646" s="1"/>
      <c r="AC4646" s="2"/>
      <c r="AE4646" s="1"/>
      <c r="AG4646" s="2"/>
    </row>
    <row r="4647" spans="24:33" ht="43.95" customHeight="1" x14ac:dyDescent="0.3">
      <c r="X4647" s="2"/>
      <c r="Y4647" s="7"/>
      <c r="Z4647" s="2"/>
      <c r="AA4647" s="1"/>
      <c r="AC4647" s="2"/>
      <c r="AE4647" s="1"/>
      <c r="AG4647" s="2"/>
    </row>
    <row r="4648" spans="24:33" ht="43.95" customHeight="1" x14ac:dyDescent="0.3">
      <c r="X4648" s="2"/>
      <c r="Y4648" s="7"/>
      <c r="Z4648" s="2"/>
      <c r="AA4648" s="1"/>
      <c r="AC4648" s="2"/>
      <c r="AE4648" s="1"/>
      <c r="AG4648" s="2"/>
    </row>
    <row r="4649" spans="24:33" ht="43.95" customHeight="1" x14ac:dyDescent="0.3">
      <c r="X4649" s="2"/>
      <c r="Y4649" s="7"/>
      <c r="Z4649" s="2"/>
      <c r="AA4649" s="1"/>
      <c r="AC4649" s="2"/>
      <c r="AE4649" s="1"/>
      <c r="AG4649" s="2"/>
    </row>
    <row r="4650" spans="24:33" ht="43.95" customHeight="1" x14ac:dyDescent="0.3">
      <c r="X4650" s="2"/>
      <c r="Y4650" s="7"/>
      <c r="Z4650" s="2"/>
      <c r="AA4650" s="1"/>
      <c r="AC4650" s="2"/>
      <c r="AE4650" s="1"/>
      <c r="AG4650" s="2"/>
    </row>
    <row r="4651" spans="24:33" ht="43.95" customHeight="1" x14ac:dyDescent="0.3">
      <c r="X4651" s="2"/>
      <c r="Y4651" s="7"/>
      <c r="Z4651" s="2"/>
      <c r="AA4651" s="1"/>
      <c r="AC4651" s="2"/>
      <c r="AE4651" s="1"/>
      <c r="AG4651" s="2"/>
    </row>
    <row r="4652" spans="24:33" ht="43.95" customHeight="1" x14ac:dyDescent="0.3">
      <c r="X4652" s="2"/>
      <c r="Y4652" s="7"/>
      <c r="Z4652" s="2"/>
      <c r="AA4652" s="1"/>
      <c r="AC4652" s="2"/>
      <c r="AE4652" s="1"/>
      <c r="AG4652" s="2"/>
    </row>
    <row r="4653" spans="24:33" ht="43.95" customHeight="1" x14ac:dyDescent="0.3">
      <c r="X4653" s="2"/>
      <c r="Y4653" s="7"/>
      <c r="Z4653" s="2"/>
      <c r="AA4653" s="1"/>
      <c r="AC4653" s="2"/>
      <c r="AE4653" s="1"/>
      <c r="AG4653" s="2"/>
    </row>
    <row r="4654" spans="24:33" ht="43.95" customHeight="1" x14ac:dyDescent="0.3">
      <c r="X4654" s="2"/>
      <c r="Y4654" s="7"/>
      <c r="Z4654" s="2"/>
      <c r="AA4654" s="1"/>
      <c r="AC4654" s="2"/>
      <c r="AE4654" s="1"/>
      <c r="AG4654" s="2"/>
    </row>
    <row r="4655" spans="24:33" ht="43.95" customHeight="1" x14ac:dyDescent="0.3">
      <c r="X4655" s="2"/>
      <c r="Y4655" s="7"/>
      <c r="Z4655" s="2"/>
      <c r="AA4655" s="1"/>
      <c r="AC4655" s="2"/>
      <c r="AE4655" s="1"/>
      <c r="AG4655" s="2"/>
    </row>
    <row r="4656" spans="24:33" ht="43.95" customHeight="1" x14ac:dyDescent="0.3">
      <c r="X4656" s="2"/>
      <c r="Y4656" s="7"/>
      <c r="Z4656" s="2"/>
      <c r="AA4656" s="1"/>
      <c r="AC4656" s="2"/>
      <c r="AE4656" s="1"/>
      <c r="AG4656" s="2"/>
    </row>
    <row r="4657" spans="24:33" ht="43.95" customHeight="1" x14ac:dyDescent="0.3">
      <c r="X4657" s="2"/>
      <c r="Y4657" s="7"/>
      <c r="Z4657" s="2"/>
      <c r="AA4657" s="1"/>
      <c r="AC4657" s="2"/>
      <c r="AE4657" s="1"/>
      <c r="AG4657" s="2"/>
    </row>
    <row r="4658" spans="24:33" ht="43.95" customHeight="1" x14ac:dyDescent="0.3">
      <c r="X4658" s="2"/>
      <c r="Y4658" s="7"/>
      <c r="Z4658" s="2"/>
      <c r="AA4658" s="1"/>
      <c r="AC4658" s="2"/>
      <c r="AE4658" s="1"/>
      <c r="AG4658" s="2"/>
    </row>
    <row r="4659" spans="24:33" ht="43.95" customHeight="1" x14ac:dyDescent="0.3">
      <c r="X4659" s="2"/>
      <c r="Y4659" s="7"/>
      <c r="Z4659" s="2"/>
      <c r="AA4659" s="1"/>
      <c r="AC4659" s="2"/>
      <c r="AE4659" s="1"/>
      <c r="AG4659" s="2"/>
    </row>
    <row r="4660" spans="24:33" ht="43.95" customHeight="1" x14ac:dyDescent="0.3">
      <c r="X4660" s="2"/>
      <c r="Y4660" s="7"/>
      <c r="Z4660" s="2"/>
      <c r="AA4660" s="1"/>
      <c r="AC4660" s="2"/>
      <c r="AE4660" s="1"/>
      <c r="AG4660" s="2"/>
    </row>
    <row r="4661" spans="24:33" ht="43.95" customHeight="1" x14ac:dyDescent="0.3">
      <c r="X4661" s="2"/>
      <c r="Y4661" s="7"/>
      <c r="Z4661" s="2"/>
      <c r="AA4661" s="1"/>
      <c r="AC4661" s="2"/>
      <c r="AE4661" s="1"/>
      <c r="AG4661" s="2"/>
    </row>
    <row r="4662" spans="24:33" ht="43.95" customHeight="1" x14ac:dyDescent="0.3">
      <c r="X4662" s="2"/>
      <c r="Y4662" s="7"/>
      <c r="Z4662" s="2"/>
      <c r="AA4662" s="1"/>
      <c r="AC4662" s="2"/>
      <c r="AE4662" s="1"/>
      <c r="AG4662" s="2"/>
    </row>
    <row r="4663" spans="24:33" ht="43.95" customHeight="1" x14ac:dyDescent="0.3">
      <c r="X4663" s="2"/>
      <c r="Y4663" s="7"/>
      <c r="Z4663" s="2"/>
      <c r="AA4663" s="1"/>
      <c r="AC4663" s="2"/>
      <c r="AE4663" s="1"/>
      <c r="AG4663" s="2"/>
    </row>
    <row r="4664" spans="24:33" ht="43.95" customHeight="1" x14ac:dyDescent="0.3">
      <c r="X4664" s="2"/>
      <c r="Y4664" s="7"/>
      <c r="Z4664" s="2"/>
      <c r="AA4664" s="1"/>
      <c r="AC4664" s="2"/>
      <c r="AE4664" s="1"/>
      <c r="AG4664" s="2"/>
    </row>
    <row r="4665" spans="24:33" ht="43.95" customHeight="1" x14ac:dyDescent="0.3">
      <c r="X4665" s="2"/>
      <c r="Y4665" s="7"/>
      <c r="Z4665" s="2"/>
      <c r="AA4665" s="1"/>
      <c r="AC4665" s="2"/>
      <c r="AE4665" s="1"/>
      <c r="AG4665" s="2"/>
    </row>
    <row r="4666" spans="24:33" ht="43.95" customHeight="1" x14ac:dyDescent="0.3">
      <c r="X4666" s="2"/>
      <c r="Y4666" s="7"/>
      <c r="Z4666" s="2"/>
      <c r="AA4666" s="1"/>
      <c r="AC4666" s="2"/>
      <c r="AE4666" s="1"/>
      <c r="AG4666" s="2"/>
    </row>
    <row r="4667" spans="24:33" ht="43.95" customHeight="1" x14ac:dyDescent="0.3">
      <c r="X4667" s="2"/>
      <c r="Y4667" s="7"/>
      <c r="Z4667" s="2"/>
      <c r="AA4667" s="1"/>
      <c r="AC4667" s="2"/>
      <c r="AE4667" s="1"/>
      <c r="AG4667" s="2"/>
    </row>
    <row r="4668" spans="24:33" ht="43.95" customHeight="1" x14ac:dyDescent="0.3">
      <c r="X4668" s="2"/>
      <c r="Y4668" s="7"/>
      <c r="Z4668" s="2"/>
      <c r="AA4668" s="1"/>
      <c r="AC4668" s="2"/>
      <c r="AE4668" s="1"/>
      <c r="AG4668" s="2"/>
    </row>
    <row r="4669" spans="24:33" ht="43.95" customHeight="1" x14ac:dyDescent="0.3">
      <c r="X4669" s="2"/>
      <c r="Y4669" s="7"/>
      <c r="Z4669" s="2"/>
      <c r="AA4669" s="1"/>
      <c r="AC4669" s="2"/>
      <c r="AE4669" s="1"/>
      <c r="AG4669" s="2"/>
    </row>
    <row r="4670" spans="24:33" ht="43.95" customHeight="1" x14ac:dyDescent="0.3">
      <c r="X4670" s="2"/>
      <c r="Y4670" s="7"/>
      <c r="Z4670" s="2"/>
      <c r="AA4670" s="1"/>
      <c r="AC4670" s="2"/>
      <c r="AE4670" s="1"/>
      <c r="AG4670" s="2"/>
    </row>
    <row r="4671" spans="24:33" ht="43.95" customHeight="1" x14ac:dyDescent="0.3">
      <c r="X4671" s="2"/>
      <c r="Y4671" s="7"/>
      <c r="Z4671" s="2"/>
      <c r="AA4671" s="1"/>
      <c r="AC4671" s="2"/>
      <c r="AE4671" s="1"/>
      <c r="AG4671" s="2"/>
    </row>
    <row r="4672" spans="24:33" ht="43.95" customHeight="1" x14ac:dyDescent="0.3">
      <c r="X4672" s="2"/>
      <c r="Y4672" s="7"/>
      <c r="Z4672" s="2"/>
      <c r="AA4672" s="1"/>
      <c r="AC4672" s="2"/>
      <c r="AE4672" s="1"/>
      <c r="AG4672" s="2"/>
    </row>
    <row r="4673" spans="24:33" ht="43.95" customHeight="1" x14ac:dyDescent="0.3">
      <c r="X4673" s="2"/>
      <c r="Y4673" s="7"/>
      <c r="Z4673" s="2"/>
      <c r="AA4673" s="1"/>
      <c r="AC4673" s="2"/>
      <c r="AE4673" s="1"/>
      <c r="AG4673" s="2"/>
    </row>
    <row r="4674" spans="24:33" ht="43.95" customHeight="1" x14ac:dyDescent="0.3">
      <c r="X4674" s="2"/>
      <c r="Y4674" s="7"/>
      <c r="Z4674" s="2"/>
      <c r="AA4674" s="1"/>
      <c r="AC4674" s="2"/>
      <c r="AE4674" s="1"/>
      <c r="AG4674" s="2"/>
    </row>
    <row r="4675" spans="24:33" ht="43.95" customHeight="1" x14ac:dyDescent="0.3">
      <c r="X4675" s="2"/>
      <c r="Y4675" s="7"/>
      <c r="Z4675" s="2"/>
      <c r="AA4675" s="1"/>
      <c r="AC4675" s="2"/>
      <c r="AE4675" s="1"/>
      <c r="AG4675" s="2"/>
    </row>
    <row r="4676" spans="24:33" ht="43.95" customHeight="1" x14ac:dyDescent="0.3">
      <c r="X4676" s="2"/>
      <c r="Y4676" s="7"/>
      <c r="Z4676" s="2"/>
      <c r="AA4676" s="1"/>
      <c r="AC4676" s="2"/>
      <c r="AE4676" s="1"/>
      <c r="AG4676" s="2"/>
    </row>
    <row r="4677" spans="24:33" ht="43.95" customHeight="1" x14ac:dyDescent="0.3">
      <c r="X4677" s="2"/>
      <c r="Y4677" s="7"/>
      <c r="Z4677" s="2"/>
      <c r="AA4677" s="1"/>
      <c r="AC4677" s="2"/>
      <c r="AE4677" s="1"/>
      <c r="AG4677" s="2"/>
    </row>
    <row r="4678" spans="24:33" ht="43.95" customHeight="1" x14ac:dyDescent="0.3">
      <c r="X4678" s="2"/>
      <c r="Y4678" s="7"/>
      <c r="Z4678" s="2"/>
      <c r="AA4678" s="1"/>
      <c r="AC4678" s="2"/>
      <c r="AE4678" s="1"/>
      <c r="AG4678" s="2"/>
    </row>
    <row r="4679" spans="24:33" ht="43.95" customHeight="1" x14ac:dyDescent="0.3">
      <c r="X4679" s="2"/>
      <c r="Y4679" s="7"/>
      <c r="Z4679" s="2"/>
      <c r="AA4679" s="1"/>
      <c r="AC4679" s="2"/>
      <c r="AE4679" s="1"/>
      <c r="AG4679" s="2"/>
    </row>
    <row r="4680" spans="24:33" ht="43.95" customHeight="1" x14ac:dyDescent="0.3">
      <c r="X4680" s="2"/>
      <c r="Y4680" s="7"/>
      <c r="Z4680" s="2"/>
      <c r="AA4680" s="1"/>
      <c r="AC4680" s="2"/>
      <c r="AE4680" s="1"/>
      <c r="AG4680" s="2"/>
    </row>
    <row r="4681" spans="24:33" ht="43.95" customHeight="1" x14ac:dyDescent="0.3">
      <c r="X4681" s="2"/>
      <c r="Y4681" s="7"/>
      <c r="Z4681" s="2"/>
      <c r="AA4681" s="1"/>
      <c r="AC4681" s="2"/>
      <c r="AE4681" s="1"/>
      <c r="AG4681" s="2"/>
    </row>
    <row r="4682" spans="24:33" ht="43.95" customHeight="1" x14ac:dyDescent="0.3">
      <c r="X4682" s="2"/>
      <c r="Y4682" s="7"/>
      <c r="Z4682" s="2"/>
      <c r="AA4682" s="1"/>
      <c r="AC4682" s="2"/>
      <c r="AE4682" s="1"/>
      <c r="AG4682" s="2"/>
    </row>
    <row r="4683" spans="24:33" ht="43.95" customHeight="1" x14ac:dyDescent="0.3">
      <c r="X4683" s="2"/>
      <c r="Y4683" s="7"/>
      <c r="Z4683" s="2"/>
      <c r="AA4683" s="1"/>
      <c r="AC4683" s="2"/>
      <c r="AE4683" s="1"/>
      <c r="AG4683" s="2"/>
    </row>
    <row r="4684" spans="24:33" ht="43.95" customHeight="1" x14ac:dyDescent="0.3">
      <c r="X4684" s="2"/>
      <c r="Y4684" s="7"/>
      <c r="Z4684" s="2"/>
      <c r="AA4684" s="1"/>
      <c r="AC4684" s="2"/>
      <c r="AE4684" s="1"/>
      <c r="AG4684" s="2"/>
    </row>
    <row r="4685" spans="24:33" ht="43.95" customHeight="1" x14ac:dyDescent="0.3">
      <c r="X4685" s="2"/>
      <c r="Y4685" s="7"/>
      <c r="Z4685" s="2"/>
      <c r="AA4685" s="1"/>
      <c r="AC4685" s="2"/>
      <c r="AE4685" s="1"/>
      <c r="AG4685" s="2"/>
    </row>
    <row r="4686" spans="24:33" ht="43.95" customHeight="1" x14ac:dyDescent="0.3">
      <c r="X4686" s="2"/>
      <c r="Y4686" s="7"/>
      <c r="Z4686" s="2"/>
      <c r="AA4686" s="1"/>
      <c r="AC4686" s="2"/>
      <c r="AE4686" s="1"/>
      <c r="AG4686" s="2"/>
    </row>
    <row r="4687" spans="24:33" ht="43.95" customHeight="1" x14ac:dyDescent="0.3">
      <c r="X4687" s="2"/>
      <c r="Y4687" s="7"/>
      <c r="Z4687" s="2"/>
      <c r="AA4687" s="1"/>
      <c r="AC4687" s="2"/>
      <c r="AE4687" s="1"/>
      <c r="AG4687" s="2"/>
    </row>
    <row r="4688" spans="24:33" ht="43.95" customHeight="1" x14ac:dyDescent="0.3">
      <c r="X4688" s="2"/>
      <c r="Y4688" s="7"/>
      <c r="Z4688" s="2"/>
      <c r="AA4688" s="1"/>
      <c r="AC4688" s="2"/>
      <c r="AE4688" s="1"/>
      <c r="AG4688" s="2"/>
    </row>
    <row r="4689" spans="24:33" ht="43.95" customHeight="1" x14ac:dyDescent="0.3">
      <c r="X4689" s="2"/>
      <c r="Y4689" s="7"/>
      <c r="Z4689" s="2"/>
      <c r="AA4689" s="1"/>
      <c r="AC4689" s="2"/>
      <c r="AE4689" s="1"/>
      <c r="AG4689" s="2"/>
    </row>
    <row r="4690" spans="24:33" ht="43.95" customHeight="1" x14ac:dyDescent="0.3">
      <c r="X4690" s="2"/>
      <c r="Y4690" s="7"/>
      <c r="Z4690" s="2"/>
      <c r="AA4690" s="1"/>
      <c r="AC4690" s="2"/>
      <c r="AE4690" s="1"/>
      <c r="AG4690" s="2"/>
    </row>
    <row r="4691" spans="24:33" ht="43.95" customHeight="1" x14ac:dyDescent="0.3">
      <c r="X4691" s="2"/>
      <c r="Y4691" s="7"/>
      <c r="Z4691" s="2"/>
      <c r="AA4691" s="1"/>
      <c r="AC4691" s="2"/>
      <c r="AE4691" s="1"/>
      <c r="AG4691" s="2"/>
    </row>
    <row r="4692" spans="24:33" ht="43.95" customHeight="1" x14ac:dyDescent="0.3">
      <c r="X4692" s="2"/>
      <c r="Y4692" s="7"/>
      <c r="Z4692" s="2"/>
      <c r="AA4692" s="1"/>
      <c r="AC4692" s="2"/>
      <c r="AE4692" s="1"/>
      <c r="AG4692" s="2"/>
    </row>
    <row r="4693" spans="24:33" ht="43.95" customHeight="1" x14ac:dyDescent="0.3">
      <c r="X4693" s="2"/>
      <c r="Y4693" s="7"/>
      <c r="Z4693" s="2"/>
      <c r="AA4693" s="1"/>
      <c r="AC4693" s="2"/>
      <c r="AE4693" s="1"/>
      <c r="AG4693" s="2"/>
    </row>
    <row r="4694" spans="24:33" ht="43.95" customHeight="1" x14ac:dyDescent="0.3">
      <c r="X4694" s="2"/>
      <c r="Y4694" s="7"/>
      <c r="Z4694" s="2"/>
      <c r="AA4694" s="1"/>
      <c r="AC4694" s="2"/>
      <c r="AE4694" s="1"/>
      <c r="AG4694" s="2"/>
    </row>
    <row r="4695" spans="24:33" ht="43.95" customHeight="1" x14ac:dyDescent="0.3">
      <c r="X4695" s="2"/>
      <c r="Y4695" s="7"/>
      <c r="Z4695" s="2"/>
      <c r="AA4695" s="1"/>
      <c r="AC4695" s="2"/>
      <c r="AE4695" s="1"/>
      <c r="AG4695" s="2"/>
    </row>
    <row r="4696" spans="24:33" ht="43.95" customHeight="1" x14ac:dyDescent="0.3">
      <c r="X4696" s="2"/>
      <c r="Y4696" s="7"/>
      <c r="Z4696" s="2"/>
      <c r="AA4696" s="1"/>
      <c r="AC4696" s="2"/>
      <c r="AE4696" s="1"/>
      <c r="AG4696" s="2"/>
    </row>
    <row r="4697" spans="24:33" ht="43.95" customHeight="1" x14ac:dyDescent="0.3">
      <c r="X4697" s="2"/>
      <c r="Y4697" s="7"/>
      <c r="Z4697" s="2"/>
      <c r="AA4697" s="1"/>
      <c r="AC4697" s="2"/>
      <c r="AE4697" s="1"/>
      <c r="AG4697" s="2"/>
    </row>
    <row r="4698" spans="24:33" ht="43.95" customHeight="1" x14ac:dyDescent="0.3">
      <c r="X4698" s="2"/>
      <c r="Y4698" s="7"/>
      <c r="Z4698" s="2"/>
      <c r="AA4698" s="1"/>
      <c r="AC4698" s="2"/>
      <c r="AE4698" s="1"/>
      <c r="AG4698" s="2"/>
    </row>
    <row r="4699" spans="24:33" ht="43.95" customHeight="1" x14ac:dyDescent="0.3">
      <c r="X4699" s="2"/>
      <c r="Y4699" s="7"/>
      <c r="Z4699" s="2"/>
      <c r="AA4699" s="1"/>
      <c r="AC4699" s="2"/>
      <c r="AE4699" s="1"/>
      <c r="AG4699" s="2"/>
    </row>
    <row r="4700" spans="24:33" ht="43.95" customHeight="1" x14ac:dyDescent="0.3">
      <c r="X4700" s="2"/>
      <c r="Y4700" s="7"/>
      <c r="Z4700" s="2"/>
      <c r="AA4700" s="1"/>
      <c r="AC4700" s="2"/>
      <c r="AE4700" s="1"/>
      <c r="AG4700" s="2"/>
    </row>
    <row r="4701" spans="24:33" ht="43.95" customHeight="1" x14ac:dyDescent="0.3">
      <c r="X4701" s="2"/>
      <c r="Y4701" s="7"/>
      <c r="Z4701" s="2"/>
      <c r="AA4701" s="1"/>
      <c r="AC4701" s="2"/>
      <c r="AE4701" s="1"/>
      <c r="AG4701" s="2"/>
    </row>
    <row r="4702" spans="24:33" ht="43.95" customHeight="1" x14ac:dyDescent="0.3">
      <c r="X4702" s="2"/>
      <c r="Y4702" s="7"/>
      <c r="Z4702" s="2"/>
      <c r="AA4702" s="1"/>
      <c r="AC4702" s="2"/>
      <c r="AE4702" s="1"/>
      <c r="AG4702" s="2"/>
    </row>
    <row r="4703" spans="24:33" ht="43.95" customHeight="1" x14ac:dyDescent="0.3">
      <c r="X4703" s="2"/>
      <c r="Y4703" s="7"/>
      <c r="Z4703" s="2"/>
      <c r="AA4703" s="1"/>
      <c r="AC4703" s="2"/>
      <c r="AE4703" s="1"/>
      <c r="AG4703" s="2"/>
    </row>
    <row r="4704" spans="24:33" ht="43.95" customHeight="1" x14ac:dyDescent="0.3">
      <c r="X4704" s="2"/>
      <c r="Y4704" s="7"/>
      <c r="Z4704" s="2"/>
      <c r="AA4704" s="1"/>
      <c r="AC4704" s="2"/>
      <c r="AE4704" s="1"/>
      <c r="AG4704" s="2"/>
    </row>
    <row r="4705" spans="24:33" ht="43.95" customHeight="1" x14ac:dyDescent="0.3">
      <c r="X4705" s="2"/>
      <c r="Y4705" s="7"/>
      <c r="Z4705" s="2"/>
      <c r="AA4705" s="1"/>
      <c r="AC4705" s="2"/>
      <c r="AE4705" s="1"/>
      <c r="AG4705" s="2"/>
    </row>
    <row r="4706" spans="24:33" ht="43.95" customHeight="1" x14ac:dyDescent="0.3">
      <c r="X4706" s="2"/>
      <c r="Y4706" s="7"/>
      <c r="Z4706" s="2"/>
      <c r="AA4706" s="1"/>
      <c r="AC4706" s="2"/>
      <c r="AE4706" s="1"/>
      <c r="AG4706" s="2"/>
    </row>
    <row r="4707" spans="24:33" ht="43.95" customHeight="1" x14ac:dyDescent="0.3">
      <c r="X4707" s="2"/>
      <c r="Y4707" s="7"/>
      <c r="Z4707" s="2"/>
      <c r="AA4707" s="1"/>
      <c r="AC4707" s="2"/>
      <c r="AE4707" s="1"/>
      <c r="AG4707" s="2"/>
    </row>
    <row r="4708" spans="24:33" ht="43.95" customHeight="1" x14ac:dyDescent="0.3">
      <c r="X4708" s="2"/>
      <c r="Y4708" s="7"/>
      <c r="Z4708" s="2"/>
      <c r="AA4708" s="1"/>
      <c r="AC4708" s="2"/>
      <c r="AE4708" s="1"/>
      <c r="AG4708" s="2"/>
    </row>
    <row r="4709" spans="24:33" ht="43.95" customHeight="1" x14ac:dyDescent="0.3">
      <c r="X4709" s="2"/>
      <c r="Y4709" s="7"/>
      <c r="Z4709" s="2"/>
      <c r="AA4709" s="1"/>
      <c r="AC4709" s="2"/>
      <c r="AE4709" s="1"/>
      <c r="AG4709" s="2"/>
    </row>
    <row r="4710" spans="24:33" ht="43.95" customHeight="1" x14ac:dyDescent="0.3">
      <c r="X4710" s="2"/>
      <c r="Y4710" s="7"/>
      <c r="Z4710" s="2"/>
      <c r="AA4710" s="1"/>
      <c r="AC4710" s="2"/>
      <c r="AE4710" s="1"/>
      <c r="AG4710" s="2"/>
    </row>
    <row r="4711" spans="24:33" ht="43.95" customHeight="1" x14ac:dyDescent="0.3">
      <c r="X4711" s="2"/>
      <c r="Y4711" s="7"/>
      <c r="Z4711" s="2"/>
      <c r="AA4711" s="1"/>
      <c r="AC4711" s="2"/>
      <c r="AE4711" s="1"/>
      <c r="AG4711" s="2"/>
    </row>
    <row r="4712" spans="24:33" ht="43.95" customHeight="1" x14ac:dyDescent="0.3">
      <c r="X4712" s="2"/>
      <c r="Y4712" s="7"/>
      <c r="Z4712" s="2"/>
      <c r="AA4712" s="1"/>
      <c r="AC4712" s="2"/>
      <c r="AE4712" s="1"/>
      <c r="AG4712" s="2"/>
    </row>
    <row r="4713" spans="24:33" ht="43.95" customHeight="1" x14ac:dyDescent="0.3">
      <c r="X4713" s="2"/>
      <c r="Y4713" s="7"/>
      <c r="Z4713" s="2"/>
      <c r="AA4713" s="1"/>
      <c r="AC4713" s="2"/>
      <c r="AE4713" s="1"/>
      <c r="AG4713" s="2"/>
    </row>
    <row r="4714" spans="24:33" ht="43.95" customHeight="1" x14ac:dyDescent="0.3">
      <c r="X4714" s="2"/>
      <c r="Y4714" s="7"/>
      <c r="Z4714" s="2"/>
      <c r="AA4714" s="1"/>
      <c r="AC4714" s="2"/>
      <c r="AE4714" s="1"/>
      <c r="AG4714" s="2"/>
    </row>
    <row r="4715" spans="24:33" ht="43.95" customHeight="1" x14ac:dyDescent="0.3">
      <c r="X4715" s="2"/>
      <c r="Y4715" s="7"/>
      <c r="Z4715" s="2"/>
      <c r="AA4715" s="1"/>
      <c r="AC4715" s="2"/>
      <c r="AE4715" s="1"/>
      <c r="AG4715" s="2"/>
    </row>
    <row r="4716" spans="24:33" ht="43.95" customHeight="1" x14ac:dyDescent="0.3">
      <c r="X4716" s="2"/>
      <c r="Y4716" s="7"/>
      <c r="Z4716" s="2"/>
      <c r="AA4716" s="1"/>
      <c r="AC4716" s="2"/>
      <c r="AE4716" s="1"/>
      <c r="AG4716" s="2"/>
    </row>
    <row r="4717" spans="24:33" ht="43.95" customHeight="1" x14ac:dyDescent="0.3">
      <c r="X4717" s="2"/>
      <c r="Y4717" s="7"/>
      <c r="Z4717" s="2"/>
      <c r="AA4717" s="1"/>
      <c r="AC4717" s="2"/>
      <c r="AE4717" s="1"/>
      <c r="AG4717" s="2"/>
    </row>
    <row r="4718" spans="24:33" ht="43.95" customHeight="1" x14ac:dyDescent="0.3">
      <c r="X4718" s="2"/>
      <c r="Y4718" s="7"/>
      <c r="Z4718" s="2"/>
      <c r="AA4718" s="1"/>
      <c r="AC4718" s="2"/>
      <c r="AE4718" s="1"/>
      <c r="AG4718" s="2"/>
    </row>
    <row r="4719" spans="24:33" ht="43.95" customHeight="1" x14ac:dyDescent="0.3">
      <c r="X4719" s="2"/>
      <c r="Y4719" s="7"/>
      <c r="Z4719" s="2"/>
      <c r="AA4719" s="1"/>
      <c r="AC4719" s="2"/>
      <c r="AE4719" s="1"/>
      <c r="AG4719" s="2"/>
    </row>
    <row r="4720" spans="24:33" ht="43.95" customHeight="1" x14ac:dyDescent="0.3">
      <c r="X4720" s="2"/>
      <c r="Y4720" s="7"/>
      <c r="Z4720" s="2"/>
      <c r="AA4720" s="1"/>
      <c r="AC4720" s="2"/>
      <c r="AE4720" s="1"/>
      <c r="AG4720" s="2"/>
    </row>
    <row r="4721" spans="24:33" ht="43.95" customHeight="1" x14ac:dyDescent="0.3">
      <c r="X4721" s="2"/>
      <c r="Y4721" s="7"/>
      <c r="Z4721" s="2"/>
      <c r="AA4721" s="1"/>
      <c r="AC4721" s="2"/>
      <c r="AE4721" s="1"/>
      <c r="AG4721" s="2"/>
    </row>
    <row r="4722" spans="24:33" ht="43.95" customHeight="1" x14ac:dyDescent="0.3">
      <c r="X4722" s="2"/>
      <c r="Y4722" s="7"/>
      <c r="Z4722" s="2"/>
      <c r="AA4722" s="1"/>
      <c r="AC4722" s="2"/>
      <c r="AE4722" s="1"/>
      <c r="AG4722" s="2"/>
    </row>
    <row r="4723" spans="24:33" ht="43.95" customHeight="1" x14ac:dyDescent="0.3">
      <c r="X4723" s="2"/>
      <c r="Y4723" s="7"/>
      <c r="Z4723" s="2"/>
      <c r="AA4723" s="1"/>
      <c r="AC4723" s="2"/>
      <c r="AE4723" s="1"/>
      <c r="AG4723" s="2"/>
    </row>
    <row r="4724" spans="24:33" ht="43.95" customHeight="1" x14ac:dyDescent="0.3">
      <c r="X4724" s="2"/>
      <c r="Y4724" s="7"/>
      <c r="Z4724" s="2"/>
      <c r="AA4724" s="1"/>
      <c r="AC4724" s="2"/>
      <c r="AE4724" s="1"/>
      <c r="AG4724" s="2"/>
    </row>
    <row r="4725" spans="24:33" ht="43.95" customHeight="1" x14ac:dyDescent="0.3">
      <c r="X4725" s="2"/>
      <c r="Y4725" s="7"/>
      <c r="Z4725" s="2"/>
      <c r="AA4725" s="1"/>
      <c r="AC4725" s="2"/>
      <c r="AE4725" s="1"/>
      <c r="AG4725" s="2"/>
    </row>
    <row r="4726" spans="24:33" ht="43.95" customHeight="1" x14ac:dyDescent="0.3">
      <c r="X4726" s="2"/>
      <c r="Y4726" s="7"/>
      <c r="Z4726" s="2"/>
      <c r="AA4726" s="1"/>
      <c r="AC4726" s="2"/>
      <c r="AE4726" s="1"/>
      <c r="AG4726" s="2"/>
    </row>
    <row r="4727" spans="24:33" ht="43.95" customHeight="1" x14ac:dyDescent="0.3">
      <c r="X4727" s="2"/>
      <c r="Y4727" s="7"/>
      <c r="Z4727" s="2"/>
      <c r="AA4727" s="1"/>
      <c r="AC4727" s="2"/>
      <c r="AE4727" s="1"/>
      <c r="AG4727" s="2"/>
    </row>
    <row r="4728" spans="24:33" ht="43.95" customHeight="1" x14ac:dyDescent="0.3">
      <c r="X4728" s="2"/>
      <c r="Y4728" s="7"/>
      <c r="Z4728" s="2"/>
      <c r="AA4728" s="1"/>
      <c r="AC4728" s="2"/>
      <c r="AE4728" s="1"/>
      <c r="AG4728" s="2"/>
    </row>
    <row r="4729" spans="24:33" ht="43.95" customHeight="1" x14ac:dyDescent="0.3">
      <c r="X4729" s="2"/>
      <c r="Y4729" s="7"/>
      <c r="Z4729" s="2"/>
      <c r="AA4729" s="1"/>
      <c r="AC4729" s="2"/>
      <c r="AE4729" s="1"/>
      <c r="AG4729" s="2"/>
    </row>
    <row r="4730" spans="24:33" ht="43.95" customHeight="1" x14ac:dyDescent="0.3">
      <c r="X4730" s="2"/>
      <c r="Y4730" s="7"/>
      <c r="Z4730" s="2"/>
      <c r="AA4730" s="1"/>
      <c r="AC4730" s="2"/>
      <c r="AE4730" s="1"/>
      <c r="AG4730" s="2"/>
    </row>
    <row r="4731" spans="24:33" ht="43.95" customHeight="1" x14ac:dyDescent="0.3">
      <c r="X4731" s="2"/>
      <c r="Y4731" s="7"/>
      <c r="Z4731" s="2"/>
      <c r="AA4731" s="1"/>
      <c r="AC4731" s="2"/>
      <c r="AE4731" s="1"/>
      <c r="AG4731" s="2"/>
    </row>
    <row r="4732" spans="24:33" ht="43.95" customHeight="1" x14ac:dyDescent="0.3">
      <c r="X4732" s="2"/>
      <c r="Y4732" s="7"/>
      <c r="Z4732" s="2"/>
      <c r="AA4732" s="1"/>
      <c r="AC4732" s="2"/>
      <c r="AE4732" s="1"/>
      <c r="AG4732" s="2"/>
    </row>
    <row r="4733" spans="24:33" ht="43.95" customHeight="1" x14ac:dyDescent="0.3">
      <c r="X4733" s="2"/>
      <c r="Y4733" s="7"/>
      <c r="Z4733" s="2"/>
      <c r="AA4733" s="1"/>
      <c r="AC4733" s="2"/>
      <c r="AE4733" s="1"/>
      <c r="AG4733" s="2"/>
    </row>
    <row r="4734" spans="24:33" ht="43.95" customHeight="1" x14ac:dyDescent="0.3">
      <c r="X4734" s="2"/>
      <c r="Y4734" s="7"/>
      <c r="Z4734" s="2"/>
      <c r="AA4734" s="1"/>
      <c r="AC4734" s="2"/>
      <c r="AE4734" s="1"/>
      <c r="AG4734" s="2"/>
    </row>
    <row r="4735" spans="24:33" ht="43.95" customHeight="1" x14ac:dyDescent="0.3">
      <c r="X4735" s="2"/>
      <c r="Y4735" s="7"/>
      <c r="Z4735" s="2"/>
      <c r="AA4735" s="1"/>
      <c r="AC4735" s="2"/>
      <c r="AE4735" s="1"/>
      <c r="AG4735" s="2"/>
    </row>
    <row r="4736" spans="24:33" ht="43.95" customHeight="1" x14ac:dyDescent="0.3">
      <c r="X4736" s="2"/>
      <c r="Y4736" s="7"/>
      <c r="Z4736" s="2"/>
      <c r="AA4736" s="1"/>
      <c r="AC4736" s="2"/>
      <c r="AE4736" s="1"/>
      <c r="AG4736" s="2"/>
    </row>
    <row r="4737" spans="24:33" ht="43.95" customHeight="1" x14ac:dyDescent="0.3">
      <c r="X4737" s="2"/>
      <c r="Y4737" s="7"/>
      <c r="Z4737" s="2"/>
      <c r="AA4737" s="1"/>
      <c r="AC4737" s="2"/>
      <c r="AE4737" s="1"/>
      <c r="AG4737" s="2"/>
    </row>
    <row r="4738" spans="24:33" ht="43.95" customHeight="1" x14ac:dyDescent="0.3">
      <c r="X4738" s="2"/>
      <c r="Y4738" s="7"/>
      <c r="Z4738" s="2"/>
      <c r="AA4738" s="1"/>
      <c r="AC4738" s="2"/>
      <c r="AE4738" s="1"/>
      <c r="AG4738" s="2"/>
    </row>
    <row r="4739" spans="24:33" ht="43.95" customHeight="1" x14ac:dyDescent="0.3">
      <c r="X4739" s="2"/>
      <c r="Y4739" s="7"/>
      <c r="Z4739" s="2"/>
      <c r="AA4739" s="1"/>
      <c r="AC4739" s="2"/>
      <c r="AE4739" s="1"/>
      <c r="AG4739" s="2"/>
    </row>
    <row r="4740" spans="24:33" ht="43.95" customHeight="1" x14ac:dyDescent="0.3">
      <c r="X4740" s="2"/>
      <c r="Y4740" s="7"/>
      <c r="Z4740" s="2"/>
      <c r="AA4740" s="1"/>
      <c r="AC4740" s="2"/>
      <c r="AE4740" s="1"/>
      <c r="AG4740" s="2"/>
    </row>
    <row r="4741" spans="24:33" ht="43.95" customHeight="1" x14ac:dyDescent="0.3">
      <c r="X4741" s="2"/>
      <c r="Y4741" s="7"/>
      <c r="Z4741" s="2"/>
      <c r="AA4741" s="1"/>
      <c r="AC4741" s="2"/>
      <c r="AE4741" s="1"/>
      <c r="AG4741" s="2"/>
    </row>
    <row r="4742" spans="24:33" ht="43.95" customHeight="1" x14ac:dyDescent="0.3">
      <c r="X4742" s="2"/>
      <c r="Y4742" s="7"/>
      <c r="Z4742" s="2"/>
      <c r="AA4742" s="1"/>
      <c r="AC4742" s="2"/>
      <c r="AE4742" s="1"/>
      <c r="AG4742" s="2"/>
    </row>
    <row r="4743" spans="24:33" ht="43.95" customHeight="1" x14ac:dyDescent="0.3">
      <c r="X4743" s="2"/>
      <c r="Y4743" s="7"/>
      <c r="Z4743" s="2"/>
      <c r="AA4743" s="1"/>
      <c r="AC4743" s="2"/>
      <c r="AE4743" s="1"/>
      <c r="AG4743" s="2"/>
    </row>
    <row r="4744" spans="24:33" ht="43.95" customHeight="1" x14ac:dyDescent="0.3">
      <c r="X4744" s="2"/>
      <c r="Y4744" s="7"/>
      <c r="Z4744" s="2"/>
      <c r="AA4744" s="1"/>
      <c r="AC4744" s="2"/>
      <c r="AE4744" s="1"/>
      <c r="AG4744" s="2"/>
    </row>
    <row r="4745" spans="24:33" ht="43.95" customHeight="1" x14ac:dyDescent="0.3">
      <c r="X4745" s="2"/>
      <c r="Y4745" s="7"/>
      <c r="Z4745" s="2"/>
      <c r="AA4745" s="1"/>
      <c r="AC4745" s="2"/>
      <c r="AE4745" s="1"/>
      <c r="AG4745" s="2"/>
    </row>
    <row r="4746" spans="24:33" ht="43.95" customHeight="1" x14ac:dyDescent="0.3">
      <c r="X4746" s="2"/>
      <c r="Y4746" s="7"/>
      <c r="Z4746" s="2"/>
      <c r="AA4746" s="1"/>
      <c r="AC4746" s="2"/>
      <c r="AE4746" s="1"/>
      <c r="AG4746" s="2"/>
    </row>
    <row r="4747" spans="24:33" ht="43.95" customHeight="1" x14ac:dyDescent="0.3">
      <c r="X4747" s="2"/>
      <c r="Y4747" s="7"/>
      <c r="Z4747" s="2"/>
      <c r="AA4747" s="1"/>
      <c r="AC4747" s="2"/>
      <c r="AE4747" s="1"/>
      <c r="AG4747" s="2"/>
    </row>
    <row r="4748" spans="24:33" ht="43.95" customHeight="1" x14ac:dyDescent="0.3">
      <c r="X4748" s="2"/>
      <c r="Y4748" s="7"/>
      <c r="Z4748" s="2"/>
      <c r="AA4748" s="1"/>
      <c r="AC4748" s="2"/>
      <c r="AE4748" s="1"/>
      <c r="AG4748" s="2"/>
    </row>
    <row r="4749" spans="24:33" ht="43.95" customHeight="1" x14ac:dyDescent="0.3">
      <c r="X4749" s="2"/>
      <c r="Y4749" s="7"/>
      <c r="Z4749" s="2"/>
      <c r="AA4749" s="1"/>
      <c r="AC4749" s="2"/>
      <c r="AE4749" s="1"/>
      <c r="AG4749" s="2"/>
    </row>
    <row r="4750" spans="24:33" ht="43.95" customHeight="1" x14ac:dyDescent="0.3">
      <c r="X4750" s="2"/>
      <c r="Y4750" s="7"/>
      <c r="Z4750" s="2"/>
      <c r="AA4750" s="1"/>
      <c r="AC4750" s="2"/>
      <c r="AE4750" s="1"/>
      <c r="AG4750" s="2"/>
    </row>
    <row r="4751" spans="24:33" ht="43.95" customHeight="1" x14ac:dyDescent="0.3">
      <c r="X4751" s="2"/>
      <c r="Y4751" s="7"/>
      <c r="Z4751" s="2"/>
      <c r="AA4751" s="1"/>
      <c r="AC4751" s="2"/>
      <c r="AE4751" s="1"/>
      <c r="AG4751" s="2"/>
    </row>
    <row r="4752" spans="24:33" ht="43.95" customHeight="1" x14ac:dyDescent="0.3">
      <c r="X4752" s="2"/>
      <c r="Y4752" s="7"/>
      <c r="Z4752" s="2"/>
      <c r="AA4752" s="1"/>
      <c r="AC4752" s="2"/>
      <c r="AE4752" s="1"/>
      <c r="AG4752" s="2"/>
    </row>
    <row r="4753" spans="24:33" ht="43.95" customHeight="1" x14ac:dyDescent="0.3">
      <c r="X4753" s="2"/>
      <c r="Y4753" s="7"/>
      <c r="Z4753" s="2"/>
      <c r="AA4753" s="1"/>
      <c r="AC4753" s="2"/>
      <c r="AE4753" s="1"/>
      <c r="AG4753" s="2"/>
    </row>
    <row r="4754" spans="24:33" ht="43.95" customHeight="1" x14ac:dyDescent="0.3">
      <c r="X4754" s="2"/>
      <c r="Y4754" s="7"/>
      <c r="Z4754" s="2"/>
      <c r="AA4754" s="1"/>
      <c r="AC4754" s="2"/>
      <c r="AE4754" s="1"/>
      <c r="AG4754" s="2"/>
    </row>
    <row r="4755" spans="24:33" ht="43.95" customHeight="1" x14ac:dyDescent="0.3">
      <c r="X4755" s="2"/>
      <c r="Y4755" s="7"/>
      <c r="Z4755" s="2"/>
      <c r="AA4755" s="1"/>
      <c r="AC4755" s="2"/>
      <c r="AE4755" s="1"/>
      <c r="AG4755" s="2"/>
    </row>
    <row r="4756" spans="24:33" ht="43.95" customHeight="1" x14ac:dyDescent="0.3">
      <c r="X4756" s="2"/>
      <c r="Y4756" s="7"/>
      <c r="Z4756" s="2"/>
      <c r="AA4756" s="1"/>
      <c r="AC4756" s="2"/>
      <c r="AE4756" s="1"/>
      <c r="AG4756" s="2"/>
    </row>
    <row r="4757" spans="24:33" ht="43.95" customHeight="1" x14ac:dyDescent="0.3">
      <c r="X4757" s="2"/>
      <c r="Y4757" s="7"/>
      <c r="Z4757" s="2"/>
      <c r="AA4757" s="1"/>
      <c r="AC4757" s="2"/>
      <c r="AE4757" s="1"/>
      <c r="AG4757" s="2"/>
    </row>
    <row r="4758" spans="24:33" ht="43.95" customHeight="1" x14ac:dyDescent="0.3">
      <c r="X4758" s="2"/>
      <c r="Y4758" s="7"/>
      <c r="Z4758" s="2"/>
      <c r="AA4758" s="1"/>
      <c r="AC4758" s="2"/>
      <c r="AE4758" s="1"/>
      <c r="AG4758" s="2"/>
    </row>
    <row r="4759" spans="24:33" ht="43.95" customHeight="1" x14ac:dyDescent="0.3">
      <c r="X4759" s="2"/>
      <c r="Y4759" s="7"/>
      <c r="Z4759" s="2"/>
      <c r="AA4759" s="1"/>
      <c r="AC4759" s="2"/>
      <c r="AE4759" s="1"/>
      <c r="AG4759" s="2"/>
    </row>
    <row r="4760" spans="24:33" ht="43.95" customHeight="1" x14ac:dyDescent="0.3">
      <c r="X4760" s="2"/>
      <c r="Y4760" s="7"/>
      <c r="Z4760" s="2"/>
      <c r="AA4760" s="1"/>
      <c r="AC4760" s="2"/>
      <c r="AE4760" s="1"/>
      <c r="AG4760" s="2"/>
    </row>
    <row r="4761" spans="24:33" ht="43.95" customHeight="1" x14ac:dyDescent="0.3">
      <c r="X4761" s="2"/>
      <c r="Y4761" s="7"/>
      <c r="Z4761" s="2"/>
      <c r="AA4761" s="1"/>
      <c r="AC4761" s="2"/>
      <c r="AE4761" s="1"/>
      <c r="AG4761" s="2"/>
    </row>
    <row r="4762" spans="24:33" ht="43.95" customHeight="1" x14ac:dyDescent="0.3">
      <c r="X4762" s="2"/>
      <c r="Y4762" s="7"/>
      <c r="Z4762" s="2"/>
      <c r="AA4762" s="1"/>
      <c r="AC4762" s="2"/>
      <c r="AE4762" s="1"/>
      <c r="AG4762" s="2"/>
    </row>
    <row r="4763" spans="24:33" ht="43.95" customHeight="1" x14ac:dyDescent="0.3">
      <c r="X4763" s="2"/>
      <c r="Y4763" s="7"/>
      <c r="Z4763" s="2"/>
      <c r="AA4763" s="1"/>
      <c r="AC4763" s="2"/>
      <c r="AE4763" s="1"/>
      <c r="AG4763" s="2"/>
    </row>
    <row r="4764" spans="24:33" ht="43.95" customHeight="1" x14ac:dyDescent="0.3">
      <c r="X4764" s="2"/>
      <c r="Y4764" s="7"/>
      <c r="Z4764" s="2"/>
      <c r="AA4764" s="1"/>
      <c r="AC4764" s="2"/>
      <c r="AE4764" s="1"/>
      <c r="AG4764" s="2"/>
    </row>
    <row r="4765" spans="24:33" ht="43.95" customHeight="1" x14ac:dyDescent="0.3">
      <c r="X4765" s="2"/>
      <c r="Y4765" s="7"/>
      <c r="Z4765" s="2"/>
      <c r="AA4765" s="1"/>
      <c r="AC4765" s="2"/>
      <c r="AE4765" s="1"/>
      <c r="AG4765" s="2"/>
    </row>
    <row r="4766" spans="24:33" ht="43.95" customHeight="1" x14ac:dyDescent="0.3">
      <c r="X4766" s="2"/>
      <c r="Y4766" s="7"/>
      <c r="Z4766" s="2"/>
      <c r="AA4766" s="1"/>
      <c r="AC4766" s="2"/>
      <c r="AE4766" s="1"/>
      <c r="AG4766" s="2"/>
    </row>
    <row r="4767" spans="24:33" ht="43.95" customHeight="1" x14ac:dyDescent="0.3">
      <c r="X4767" s="2"/>
      <c r="Y4767" s="7"/>
      <c r="Z4767" s="2"/>
      <c r="AA4767" s="1"/>
      <c r="AC4767" s="2"/>
      <c r="AE4767" s="1"/>
      <c r="AG4767" s="2"/>
    </row>
    <row r="4768" spans="24:33" ht="43.95" customHeight="1" x14ac:dyDescent="0.3">
      <c r="X4768" s="2"/>
      <c r="Y4768" s="7"/>
      <c r="Z4768" s="2"/>
      <c r="AA4768" s="1"/>
      <c r="AC4768" s="2"/>
      <c r="AE4768" s="1"/>
      <c r="AG4768" s="2"/>
    </row>
    <row r="4769" spans="24:33" ht="43.95" customHeight="1" x14ac:dyDescent="0.3">
      <c r="X4769" s="2"/>
      <c r="Y4769" s="7"/>
      <c r="Z4769" s="2"/>
      <c r="AA4769" s="1"/>
      <c r="AC4769" s="2"/>
      <c r="AE4769" s="1"/>
      <c r="AG4769" s="2"/>
    </row>
    <row r="4770" spans="24:33" ht="43.95" customHeight="1" x14ac:dyDescent="0.3">
      <c r="X4770" s="2"/>
      <c r="Y4770" s="7"/>
      <c r="Z4770" s="2"/>
      <c r="AA4770" s="1"/>
      <c r="AC4770" s="2"/>
      <c r="AE4770" s="1"/>
      <c r="AG4770" s="2"/>
    </row>
    <row r="4771" spans="24:33" ht="43.95" customHeight="1" x14ac:dyDescent="0.3">
      <c r="X4771" s="2"/>
      <c r="Y4771" s="7"/>
      <c r="Z4771" s="2"/>
      <c r="AA4771" s="1"/>
      <c r="AC4771" s="2"/>
      <c r="AE4771" s="1"/>
      <c r="AG4771" s="2"/>
    </row>
    <row r="4772" spans="24:33" ht="43.95" customHeight="1" x14ac:dyDescent="0.3">
      <c r="X4772" s="2"/>
      <c r="Y4772" s="7"/>
      <c r="Z4772" s="2"/>
      <c r="AA4772" s="1"/>
      <c r="AC4772" s="2"/>
      <c r="AE4772" s="1"/>
      <c r="AG4772" s="2"/>
    </row>
    <row r="4773" spans="24:33" ht="43.95" customHeight="1" x14ac:dyDescent="0.3">
      <c r="X4773" s="2"/>
      <c r="Y4773" s="7"/>
      <c r="Z4773" s="2"/>
      <c r="AA4773" s="1"/>
      <c r="AC4773" s="2"/>
      <c r="AE4773" s="1"/>
      <c r="AG4773" s="2"/>
    </row>
    <row r="4774" spans="24:33" ht="43.95" customHeight="1" x14ac:dyDescent="0.3">
      <c r="X4774" s="2"/>
      <c r="Y4774" s="7"/>
      <c r="Z4774" s="2"/>
      <c r="AA4774" s="1"/>
      <c r="AC4774" s="2"/>
      <c r="AE4774" s="1"/>
      <c r="AG4774" s="2"/>
    </row>
    <row r="4775" spans="24:33" ht="43.95" customHeight="1" x14ac:dyDescent="0.3">
      <c r="X4775" s="2"/>
      <c r="Y4775" s="7"/>
      <c r="Z4775" s="2"/>
      <c r="AA4775" s="1"/>
      <c r="AC4775" s="2"/>
      <c r="AE4775" s="1"/>
      <c r="AG4775" s="2"/>
    </row>
    <row r="4776" spans="24:33" ht="43.95" customHeight="1" x14ac:dyDescent="0.3">
      <c r="X4776" s="2"/>
      <c r="Y4776" s="7"/>
      <c r="Z4776" s="2"/>
      <c r="AA4776" s="1"/>
      <c r="AC4776" s="2"/>
      <c r="AE4776" s="1"/>
      <c r="AG4776" s="2"/>
    </row>
    <row r="4777" spans="24:33" ht="43.95" customHeight="1" x14ac:dyDescent="0.3">
      <c r="X4777" s="2"/>
      <c r="Y4777" s="7"/>
      <c r="Z4777" s="2"/>
      <c r="AA4777" s="1"/>
      <c r="AC4777" s="2"/>
      <c r="AE4777" s="1"/>
      <c r="AG4777" s="2"/>
    </row>
    <row r="4778" spans="24:33" ht="43.95" customHeight="1" x14ac:dyDescent="0.3">
      <c r="X4778" s="2"/>
      <c r="Y4778" s="7"/>
      <c r="Z4778" s="2"/>
      <c r="AA4778" s="1"/>
      <c r="AC4778" s="2"/>
      <c r="AE4778" s="1"/>
      <c r="AG4778" s="2"/>
    </row>
    <row r="4779" spans="24:33" ht="43.95" customHeight="1" x14ac:dyDescent="0.3">
      <c r="X4779" s="2"/>
      <c r="Y4779" s="7"/>
      <c r="Z4779" s="2"/>
      <c r="AA4779" s="1"/>
      <c r="AC4779" s="2"/>
      <c r="AE4779" s="1"/>
      <c r="AG4779" s="2"/>
    </row>
    <row r="4780" spans="24:33" ht="43.95" customHeight="1" x14ac:dyDescent="0.3">
      <c r="X4780" s="2"/>
      <c r="Y4780" s="7"/>
      <c r="Z4780" s="2"/>
      <c r="AA4780" s="1"/>
      <c r="AC4780" s="2"/>
      <c r="AE4780" s="1"/>
      <c r="AG4780" s="2"/>
    </row>
    <row r="4781" spans="24:33" ht="43.95" customHeight="1" x14ac:dyDescent="0.3">
      <c r="X4781" s="2"/>
      <c r="Y4781" s="7"/>
      <c r="Z4781" s="2"/>
      <c r="AA4781" s="1"/>
      <c r="AC4781" s="2"/>
      <c r="AE4781" s="1"/>
      <c r="AG4781" s="2"/>
    </row>
    <row r="4782" spans="24:33" ht="43.95" customHeight="1" x14ac:dyDescent="0.3">
      <c r="X4782" s="2"/>
      <c r="Y4782" s="7"/>
      <c r="Z4782" s="2"/>
      <c r="AA4782" s="1"/>
      <c r="AC4782" s="2"/>
      <c r="AE4782" s="1"/>
      <c r="AG4782" s="2"/>
    </row>
    <row r="4783" spans="24:33" ht="43.95" customHeight="1" x14ac:dyDescent="0.3">
      <c r="X4783" s="2"/>
      <c r="Y4783" s="7"/>
      <c r="Z4783" s="2"/>
      <c r="AA4783" s="1"/>
      <c r="AC4783" s="2"/>
      <c r="AE4783" s="1"/>
      <c r="AG4783" s="2"/>
    </row>
    <row r="4784" spans="24:33" ht="43.95" customHeight="1" x14ac:dyDescent="0.3">
      <c r="X4784" s="2"/>
      <c r="Y4784" s="7"/>
      <c r="Z4784" s="2"/>
      <c r="AA4784" s="1"/>
      <c r="AC4784" s="2"/>
      <c r="AE4784" s="1"/>
      <c r="AG4784" s="2"/>
    </row>
    <row r="4785" spans="24:33" ht="43.95" customHeight="1" x14ac:dyDescent="0.3">
      <c r="X4785" s="2"/>
      <c r="Y4785" s="7"/>
      <c r="Z4785" s="2"/>
      <c r="AA4785" s="1"/>
      <c r="AC4785" s="2"/>
      <c r="AE4785" s="1"/>
      <c r="AG4785" s="2"/>
    </row>
    <row r="4786" spans="24:33" ht="43.95" customHeight="1" x14ac:dyDescent="0.3">
      <c r="X4786" s="2"/>
      <c r="Y4786" s="7"/>
      <c r="Z4786" s="2"/>
      <c r="AA4786" s="1"/>
      <c r="AC4786" s="2"/>
      <c r="AE4786" s="1"/>
      <c r="AG4786" s="2"/>
    </row>
    <row r="4787" spans="24:33" ht="43.95" customHeight="1" x14ac:dyDescent="0.3">
      <c r="X4787" s="2"/>
      <c r="Y4787" s="7"/>
      <c r="Z4787" s="2"/>
      <c r="AA4787" s="1"/>
      <c r="AC4787" s="2"/>
      <c r="AE4787" s="1"/>
      <c r="AG4787" s="2"/>
    </row>
    <row r="4788" spans="24:33" ht="43.95" customHeight="1" x14ac:dyDescent="0.3">
      <c r="X4788" s="2"/>
      <c r="Y4788" s="7"/>
      <c r="Z4788" s="2"/>
      <c r="AA4788" s="1"/>
      <c r="AC4788" s="2"/>
      <c r="AE4788" s="1"/>
      <c r="AG4788" s="2"/>
    </row>
    <row r="4789" spans="24:33" ht="43.95" customHeight="1" x14ac:dyDescent="0.3">
      <c r="X4789" s="2"/>
      <c r="Y4789" s="7"/>
      <c r="Z4789" s="2"/>
      <c r="AA4789" s="1"/>
      <c r="AC4789" s="2"/>
      <c r="AE4789" s="1"/>
      <c r="AG4789" s="2"/>
    </row>
    <row r="4790" spans="24:33" ht="43.95" customHeight="1" x14ac:dyDescent="0.3">
      <c r="X4790" s="2"/>
      <c r="Y4790" s="7"/>
      <c r="Z4790" s="2"/>
      <c r="AA4790" s="1"/>
      <c r="AC4790" s="2"/>
      <c r="AE4790" s="1"/>
      <c r="AG4790" s="2"/>
    </row>
    <row r="4791" spans="24:33" ht="43.95" customHeight="1" x14ac:dyDescent="0.3">
      <c r="X4791" s="2"/>
      <c r="Y4791" s="7"/>
      <c r="Z4791" s="2"/>
      <c r="AA4791" s="1"/>
      <c r="AC4791" s="2"/>
      <c r="AE4791" s="1"/>
      <c r="AG4791" s="2"/>
    </row>
    <row r="4792" spans="24:33" ht="43.95" customHeight="1" x14ac:dyDescent="0.3">
      <c r="X4792" s="2"/>
      <c r="Y4792" s="7"/>
      <c r="Z4792" s="2"/>
      <c r="AA4792" s="1"/>
      <c r="AC4792" s="2"/>
      <c r="AE4792" s="1"/>
      <c r="AG4792" s="2"/>
    </row>
    <row r="4793" spans="24:33" ht="43.95" customHeight="1" x14ac:dyDescent="0.3">
      <c r="X4793" s="2"/>
      <c r="Y4793" s="7"/>
      <c r="Z4793" s="2"/>
      <c r="AA4793" s="1"/>
      <c r="AC4793" s="2"/>
      <c r="AE4793" s="1"/>
      <c r="AG4793" s="2"/>
    </row>
    <row r="4794" spans="24:33" ht="43.95" customHeight="1" x14ac:dyDescent="0.3">
      <c r="X4794" s="2"/>
      <c r="Y4794" s="7"/>
      <c r="Z4794" s="2"/>
      <c r="AA4794" s="1"/>
      <c r="AC4794" s="2"/>
      <c r="AE4794" s="1"/>
      <c r="AG4794" s="2"/>
    </row>
    <row r="4795" spans="24:33" ht="43.95" customHeight="1" x14ac:dyDescent="0.3">
      <c r="X4795" s="2"/>
      <c r="Y4795" s="7"/>
      <c r="Z4795" s="2"/>
      <c r="AA4795" s="1"/>
      <c r="AC4795" s="2"/>
      <c r="AE4795" s="1"/>
      <c r="AG4795" s="2"/>
    </row>
    <row r="4796" spans="24:33" ht="43.95" customHeight="1" x14ac:dyDescent="0.3">
      <c r="X4796" s="2"/>
      <c r="Y4796" s="7"/>
      <c r="Z4796" s="2"/>
      <c r="AA4796" s="1"/>
      <c r="AC4796" s="2"/>
      <c r="AE4796" s="1"/>
      <c r="AG4796" s="2"/>
    </row>
    <row r="4797" spans="24:33" ht="43.95" customHeight="1" x14ac:dyDescent="0.3">
      <c r="X4797" s="2"/>
      <c r="Y4797" s="7"/>
      <c r="Z4797" s="2"/>
      <c r="AA4797" s="1"/>
      <c r="AC4797" s="2"/>
      <c r="AE4797" s="1"/>
      <c r="AG4797" s="2"/>
    </row>
    <row r="4798" spans="24:33" ht="43.95" customHeight="1" x14ac:dyDescent="0.3">
      <c r="X4798" s="2"/>
      <c r="Y4798" s="7"/>
      <c r="Z4798" s="2"/>
      <c r="AA4798" s="1"/>
      <c r="AC4798" s="2"/>
      <c r="AE4798" s="1"/>
      <c r="AG4798" s="2"/>
    </row>
    <row r="4799" spans="24:33" ht="43.95" customHeight="1" x14ac:dyDescent="0.3">
      <c r="X4799" s="2"/>
      <c r="Y4799" s="7"/>
      <c r="Z4799" s="2"/>
      <c r="AA4799" s="1"/>
      <c r="AC4799" s="2"/>
      <c r="AE4799" s="1"/>
      <c r="AG4799" s="2"/>
    </row>
    <row r="4800" spans="24:33" ht="43.95" customHeight="1" x14ac:dyDescent="0.3">
      <c r="X4800" s="2"/>
      <c r="Y4800" s="7"/>
      <c r="Z4800" s="2"/>
      <c r="AA4800" s="1"/>
      <c r="AC4800" s="2"/>
      <c r="AE4800" s="1"/>
      <c r="AG4800" s="2"/>
    </row>
    <row r="4801" spans="24:33" ht="43.95" customHeight="1" x14ac:dyDescent="0.3">
      <c r="X4801" s="2"/>
      <c r="Y4801" s="7"/>
      <c r="Z4801" s="2"/>
      <c r="AA4801" s="1"/>
      <c r="AC4801" s="2"/>
      <c r="AE4801" s="1"/>
      <c r="AG4801" s="2"/>
    </row>
    <row r="4802" spans="24:33" ht="43.95" customHeight="1" x14ac:dyDescent="0.3">
      <c r="X4802" s="2"/>
      <c r="Y4802" s="7"/>
      <c r="Z4802" s="2"/>
      <c r="AA4802" s="1"/>
      <c r="AC4802" s="2"/>
      <c r="AE4802" s="1"/>
      <c r="AG4802" s="2"/>
    </row>
    <row r="4803" spans="24:33" ht="43.95" customHeight="1" x14ac:dyDescent="0.3">
      <c r="X4803" s="2"/>
      <c r="Y4803" s="7"/>
      <c r="Z4803" s="2"/>
      <c r="AA4803" s="1"/>
      <c r="AC4803" s="2"/>
      <c r="AE4803" s="1"/>
      <c r="AG4803" s="2"/>
    </row>
    <row r="4804" spans="24:33" ht="43.95" customHeight="1" x14ac:dyDescent="0.3">
      <c r="X4804" s="2"/>
      <c r="Y4804" s="7"/>
      <c r="Z4804" s="2"/>
      <c r="AA4804" s="1"/>
      <c r="AC4804" s="2"/>
      <c r="AE4804" s="1"/>
      <c r="AG4804" s="2"/>
    </row>
    <row r="4805" spans="24:33" ht="43.95" customHeight="1" x14ac:dyDescent="0.3">
      <c r="X4805" s="2"/>
      <c r="Y4805" s="7"/>
      <c r="Z4805" s="2"/>
      <c r="AA4805" s="1"/>
      <c r="AC4805" s="2"/>
      <c r="AE4805" s="1"/>
      <c r="AG4805" s="2"/>
    </row>
    <row r="4806" spans="24:33" ht="43.95" customHeight="1" x14ac:dyDescent="0.3">
      <c r="X4806" s="2"/>
      <c r="Y4806" s="7"/>
      <c r="Z4806" s="2"/>
      <c r="AA4806" s="1"/>
      <c r="AC4806" s="2"/>
      <c r="AE4806" s="1"/>
      <c r="AG4806" s="2"/>
    </row>
    <row r="4807" spans="24:33" ht="43.95" customHeight="1" x14ac:dyDescent="0.3">
      <c r="X4807" s="2"/>
      <c r="Y4807" s="7"/>
      <c r="Z4807" s="2"/>
      <c r="AA4807" s="1"/>
      <c r="AC4807" s="2"/>
      <c r="AE4807" s="1"/>
      <c r="AG4807" s="2"/>
    </row>
    <row r="4808" spans="24:33" ht="43.95" customHeight="1" x14ac:dyDescent="0.3">
      <c r="X4808" s="2"/>
      <c r="Y4808" s="7"/>
      <c r="Z4808" s="2"/>
      <c r="AA4808" s="1"/>
      <c r="AC4808" s="2"/>
      <c r="AE4808" s="1"/>
      <c r="AG4808" s="2"/>
    </row>
    <row r="4809" spans="24:33" ht="43.95" customHeight="1" x14ac:dyDescent="0.3">
      <c r="X4809" s="2"/>
      <c r="Y4809" s="7"/>
      <c r="Z4809" s="2"/>
      <c r="AA4809" s="1"/>
      <c r="AC4809" s="2"/>
      <c r="AE4809" s="1"/>
      <c r="AG4809" s="2"/>
    </row>
    <row r="4810" spans="24:33" ht="43.95" customHeight="1" x14ac:dyDescent="0.3">
      <c r="X4810" s="2"/>
      <c r="Y4810" s="7"/>
      <c r="Z4810" s="2"/>
      <c r="AA4810" s="1"/>
      <c r="AC4810" s="2"/>
      <c r="AE4810" s="1"/>
      <c r="AG4810" s="2"/>
    </row>
    <row r="4811" spans="24:33" ht="43.95" customHeight="1" x14ac:dyDescent="0.3">
      <c r="X4811" s="2"/>
      <c r="Y4811" s="7"/>
      <c r="Z4811" s="2"/>
      <c r="AA4811" s="1"/>
      <c r="AC4811" s="2"/>
      <c r="AE4811" s="1"/>
      <c r="AG4811" s="2"/>
    </row>
    <row r="4812" spans="24:33" ht="43.95" customHeight="1" x14ac:dyDescent="0.3">
      <c r="X4812" s="2"/>
      <c r="Y4812" s="7"/>
      <c r="Z4812" s="2"/>
      <c r="AA4812" s="1"/>
      <c r="AC4812" s="2"/>
      <c r="AE4812" s="1"/>
      <c r="AG4812" s="2"/>
    </row>
    <row r="4813" spans="24:33" ht="43.95" customHeight="1" x14ac:dyDescent="0.3">
      <c r="X4813" s="2"/>
      <c r="Y4813" s="7"/>
      <c r="Z4813" s="2"/>
      <c r="AA4813" s="1"/>
      <c r="AC4813" s="2"/>
      <c r="AE4813" s="1"/>
      <c r="AG4813" s="2"/>
    </row>
    <row r="4814" spans="24:33" ht="43.95" customHeight="1" x14ac:dyDescent="0.3">
      <c r="X4814" s="2"/>
      <c r="Y4814" s="7"/>
      <c r="Z4814" s="2"/>
      <c r="AA4814" s="1"/>
      <c r="AC4814" s="2"/>
      <c r="AE4814" s="1"/>
      <c r="AG4814" s="2"/>
    </row>
    <row r="4815" spans="24:33" ht="43.95" customHeight="1" x14ac:dyDescent="0.3">
      <c r="X4815" s="2"/>
      <c r="Y4815" s="7"/>
      <c r="Z4815" s="2"/>
      <c r="AA4815" s="1"/>
      <c r="AC4815" s="2"/>
      <c r="AE4815" s="1"/>
      <c r="AG4815" s="2"/>
    </row>
    <row r="4816" spans="24:33" ht="43.95" customHeight="1" x14ac:dyDescent="0.3">
      <c r="X4816" s="2"/>
      <c r="Y4816" s="7"/>
      <c r="Z4816" s="2"/>
      <c r="AA4816" s="1"/>
      <c r="AC4816" s="2"/>
      <c r="AE4816" s="1"/>
      <c r="AG4816" s="2"/>
    </row>
    <row r="4817" spans="24:33" ht="43.95" customHeight="1" x14ac:dyDescent="0.3">
      <c r="X4817" s="2"/>
      <c r="Y4817" s="7"/>
      <c r="Z4817" s="2"/>
      <c r="AA4817" s="1"/>
      <c r="AC4817" s="2"/>
      <c r="AE4817" s="1"/>
      <c r="AG4817" s="2"/>
    </row>
    <row r="4818" spans="24:33" ht="43.95" customHeight="1" x14ac:dyDescent="0.3">
      <c r="X4818" s="2"/>
      <c r="Y4818" s="7"/>
      <c r="Z4818" s="2"/>
      <c r="AA4818" s="1"/>
      <c r="AC4818" s="2"/>
      <c r="AE4818" s="1"/>
      <c r="AG4818" s="2"/>
    </row>
    <row r="4819" spans="24:33" ht="43.95" customHeight="1" x14ac:dyDescent="0.3">
      <c r="X4819" s="2"/>
      <c r="Y4819" s="7"/>
      <c r="Z4819" s="2"/>
      <c r="AA4819" s="1"/>
      <c r="AC4819" s="2"/>
      <c r="AE4819" s="1"/>
      <c r="AG4819" s="2"/>
    </row>
    <row r="4820" spans="24:33" ht="43.95" customHeight="1" x14ac:dyDescent="0.3">
      <c r="X4820" s="2"/>
      <c r="Y4820" s="7"/>
      <c r="Z4820" s="2"/>
      <c r="AA4820" s="1"/>
      <c r="AC4820" s="2"/>
      <c r="AE4820" s="1"/>
      <c r="AG4820" s="2"/>
    </row>
    <row r="4821" spans="24:33" ht="43.95" customHeight="1" x14ac:dyDescent="0.3">
      <c r="X4821" s="2"/>
      <c r="Y4821" s="7"/>
      <c r="Z4821" s="2"/>
      <c r="AA4821" s="1"/>
      <c r="AC4821" s="2"/>
      <c r="AE4821" s="1"/>
      <c r="AG4821" s="2"/>
    </row>
    <row r="4822" spans="24:33" ht="43.95" customHeight="1" x14ac:dyDescent="0.3">
      <c r="X4822" s="2"/>
      <c r="Y4822" s="7"/>
      <c r="Z4822" s="2"/>
      <c r="AA4822" s="1"/>
      <c r="AC4822" s="2"/>
      <c r="AE4822" s="1"/>
      <c r="AG4822" s="2"/>
    </row>
    <row r="4823" spans="24:33" ht="43.95" customHeight="1" x14ac:dyDescent="0.3">
      <c r="X4823" s="2"/>
      <c r="Y4823" s="7"/>
      <c r="Z4823" s="2"/>
      <c r="AA4823" s="1"/>
      <c r="AC4823" s="2"/>
      <c r="AE4823" s="1"/>
      <c r="AG4823" s="2"/>
    </row>
    <row r="4824" spans="24:33" ht="43.95" customHeight="1" x14ac:dyDescent="0.3">
      <c r="X4824" s="2"/>
      <c r="Y4824" s="7"/>
      <c r="Z4824" s="2"/>
      <c r="AA4824" s="1"/>
      <c r="AC4824" s="2"/>
      <c r="AE4824" s="1"/>
      <c r="AG4824" s="2"/>
    </row>
    <row r="4825" spans="24:33" ht="43.95" customHeight="1" x14ac:dyDescent="0.3">
      <c r="X4825" s="2"/>
      <c r="Y4825" s="7"/>
      <c r="Z4825" s="2"/>
      <c r="AA4825" s="1"/>
      <c r="AC4825" s="2"/>
      <c r="AE4825" s="1"/>
      <c r="AG4825" s="2"/>
    </row>
    <row r="4826" spans="24:33" ht="43.95" customHeight="1" x14ac:dyDescent="0.3">
      <c r="X4826" s="2"/>
      <c r="Y4826" s="7"/>
      <c r="Z4826" s="2"/>
      <c r="AA4826" s="1"/>
      <c r="AC4826" s="2"/>
      <c r="AE4826" s="1"/>
      <c r="AG4826" s="2"/>
    </row>
    <row r="4827" spans="24:33" ht="43.95" customHeight="1" x14ac:dyDescent="0.3">
      <c r="X4827" s="2"/>
      <c r="Y4827" s="7"/>
      <c r="Z4827" s="2"/>
      <c r="AA4827" s="1"/>
      <c r="AC4827" s="2"/>
      <c r="AE4827" s="1"/>
      <c r="AG4827" s="2"/>
    </row>
    <row r="4828" spans="24:33" ht="43.95" customHeight="1" x14ac:dyDescent="0.3">
      <c r="X4828" s="2"/>
      <c r="Y4828" s="7"/>
      <c r="Z4828" s="2"/>
      <c r="AA4828" s="1"/>
      <c r="AC4828" s="2"/>
      <c r="AE4828" s="1"/>
      <c r="AG4828" s="2"/>
    </row>
    <row r="4829" spans="24:33" ht="43.95" customHeight="1" x14ac:dyDescent="0.3">
      <c r="X4829" s="2"/>
      <c r="Y4829" s="7"/>
      <c r="Z4829" s="2"/>
      <c r="AA4829" s="1"/>
      <c r="AC4829" s="2"/>
      <c r="AE4829" s="1"/>
      <c r="AG4829" s="2"/>
    </row>
    <row r="4830" spans="24:33" ht="43.95" customHeight="1" x14ac:dyDescent="0.3">
      <c r="X4830" s="2"/>
      <c r="Y4830" s="7"/>
      <c r="Z4830" s="2"/>
      <c r="AA4830" s="1"/>
      <c r="AC4830" s="2"/>
      <c r="AE4830" s="1"/>
      <c r="AG4830" s="2"/>
    </row>
    <row r="4831" spans="24:33" ht="43.95" customHeight="1" x14ac:dyDescent="0.3">
      <c r="X4831" s="2"/>
      <c r="Y4831" s="7"/>
      <c r="Z4831" s="2"/>
      <c r="AA4831" s="1"/>
      <c r="AC4831" s="2"/>
      <c r="AE4831" s="1"/>
      <c r="AG4831" s="2"/>
    </row>
    <row r="4832" spans="24:33" ht="43.95" customHeight="1" x14ac:dyDescent="0.3">
      <c r="X4832" s="2"/>
      <c r="Y4832" s="7"/>
      <c r="Z4832" s="2"/>
      <c r="AA4832" s="1"/>
      <c r="AC4832" s="2"/>
      <c r="AE4832" s="1"/>
      <c r="AG4832" s="2"/>
    </row>
    <row r="4833" spans="24:33" ht="43.95" customHeight="1" x14ac:dyDescent="0.3">
      <c r="X4833" s="2"/>
      <c r="Y4833" s="7"/>
      <c r="Z4833" s="2"/>
      <c r="AA4833" s="1"/>
      <c r="AC4833" s="2"/>
      <c r="AE4833" s="1"/>
      <c r="AG4833" s="2"/>
    </row>
    <row r="4834" spans="24:33" ht="43.95" customHeight="1" x14ac:dyDescent="0.3">
      <c r="X4834" s="2"/>
      <c r="Y4834" s="7"/>
      <c r="Z4834" s="2"/>
      <c r="AA4834" s="1"/>
      <c r="AC4834" s="2"/>
      <c r="AE4834" s="1"/>
      <c r="AG4834" s="2"/>
    </row>
    <row r="4835" spans="24:33" ht="43.95" customHeight="1" x14ac:dyDescent="0.3">
      <c r="X4835" s="200"/>
      <c r="Y4835" s="7"/>
      <c r="Z4835" s="2"/>
      <c r="AA4835" s="1"/>
      <c r="AC4835" s="2"/>
      <c r="AE4835" s="1"/>
      <c r="AG4835" s="2"/>
    </row>
    <row r="4836" spans="24:33" ht="43.95" customHeight="1" x14ac:dyDescent="0.3">
      <c r="X4836" s="2"/>
      <c r="Y4836" s="7"/>
      <c r="Z4836" s="2"/>
      <c r="AA4836" s="1"/>
      <c r="AC4836" s="2"/>
      <c r="AE4836" s="1"/>
      <c r="AG4836" s="2"/>
    </row>
    <row r="4837" spans="24:33" ht="43.95" customHeight="1" x14ac:dyDescent="0.3">
      <c r="X4837" s="2"/>
      <c r="Y4837" s="7"/>
      <c r="Z4837" s="2"/>
      <c r="AA4837" s="1"/>
      <c r="AC4837" s="2"/>
      <c r="AE4837" s="1"/>
      <c r="AG4837" s="2"/>
    </row>
    <row r="4838" spans="24:33" ht="43.95" customHeight="1" x14ac:dyDescent="0.3">
      <c r="X4838" s="2"/>
      <c r="Y4838" s="7"/>
      <c r="Z4838" s="2"/>
      <c r="AA4838" s="1"/>
      <c r="AC4838" s="2"/>
      <c r="AE4838" s="1"/>
      <c r="AG4838" s="2"/>
    </row>
    <row r="4839" spans="24:33" ht="43.95" customHeight="1" x14ac:dyDescent="0.3">
      <c r="X4839" s="2"/>
      <c r="Y4839" s="7"/>
      <c r="Z4839" s="2"/>
      <c r="AA4839" s="1"/>
      <c r="AC4839" s="2"/>
      <c r="AE4839" s="1"/>
      <c r="AG4839" s="2"/>
    </row>
    <row r="4840" spans="24:33" ht="43.95" customHeight="1" x14ac:dyDescent="0.3">
      <c r="X4840" s="2"/>
      <c r="Y4840" s="7"/>
      <c r="Z4840" s="2"/>
      <c r="AA4840" s="1"/>
      <c r="AC4840" s="2"/>
      <c r="AE4840" s="1"/>
      <c r="AG4840" s="2"/>
    </row>
    <row r="4841" spans="24:33" ht="43.95" customHeight="1" x14ac:dyDescent="0.3">
      <c r="X4841" s="200"/>
      <c r="Y4841" s="7"/>
      <c r="Z4841" s="2"/>
      <c r="AA4841" s="1"/>
      <c r="AC4841" s="2"/>
      <c r="AE4841" s="1"/>
      <c r="AG4841" s="2"/>
    </row>
    <row r="4842" spans="24:33" ht="43.95" customHeight="1" x14ac:dyDescent="0.3">
      <c r="X4842" s="2"/>
      <c r="Y4842" s="7"/>
      <c r="Z4842" s="2"/>
      <c r="AA4842" s="1"/>
      <c r="AC4842" s="2"/>
      <c r="AE4842" s="1"/>
      <c r="AG4842" s="2"/>
    </row>
    <row r="4843" spans="24:33" ht="43.95" customHeight="1" x14ac:dyDescent="0.3">
      <c r="X4843" s="2"/>
      <c r="Y4843" s="7"/>
      <c r="Z4843" s="2"/>
      <c r="AA4843" s="1"/>
      <c r="AC4843" s="2"/>
      <c r="AE4843" s="1"/>
      <c r="AG4843" s="2"/>
    </row>
    <row r="4844" spans="24:33" ht="43.95" customHeight="1" x14ac:dyDescent="0.3">
      <c r="X4844" s="2"/>
      <c r="Y4844" s="7"/>
      <c r="Z4844" s="2"/>
      <c r="AA4844" s="1"/>
      <c r="AC4844" s="2"/>
      <c r="AE4844" s="1"/>
      <c r="AG4844" s="2"/>
    </row>
    <row r="4845" spans="24:33" ht="43.95" customHeight="1" x14ac:dyDescent="0.3">
      <c r="X4845" s="2"/>
      <c r="Y4845" s="7"/>
      <c r="Z4845" s="2"/>
      <c r="AA4845" s="1"/>
      <c r="AC4845" s="2"/>
      <c r="AE4845" s="1"/>
      <c r="AG4845" s="2"/>
    </row>
    <row r="4846" spans="24:33" ht="43.95" customHeight="1" x14ac:dyDescent="0.3">
      <c r="X4846" s="2"/>
      <c r="Y4846" s="7"/>
      <c r="Z4846" s="2"/>
      <c r="AA4846" s="1"/>
      <c r="AC4846" s="2"/>
      <c r="AE4846" s="1"/>
      <c r="AG4846" s="2"/>
    </row>
    <row r="4847" spans="24:33" ht="43.95" customHeight="1" x14ac:dyDescent="0.3">
      <c r="X4847" s="2"/>
      <c r="Y4847" s="7"/>
      <c r="Z4847" s="2"/>
      <c r="AA4847" s="1"/>
      <c r="AC4847" s="2"/>
      <c r="AE4847" s="1"/>
      <c r="AG4847" s="2"/>
    </row>
    <row r="4848" spans="24:33" ht="43.95" customHeight="1" x14ac:dyDescent="0.3">
      <c r="X4848" s="2"/>
      <c r="Y4848" s="7"/>
      <c r="Z4848" s="2"/>
      <c r="AA4848" s="1"/>
      <c r="AC4848" s="2"/>
      <c r="AE4848" s="1"/>
      <c r="AG4848" s="2"/>
    </row>
    <row r="4849" spans="24:33" ht="43.95" customHeight="1" x14ac:dyDescent="0.3">
      <c r="X4849" s="2"/>
      <c r="Y4849" s="7"/>
      <c r="Z4849" s="2"/>
      <c r="AA4849" s="1"/>
      <c r="AC4849" s="2"/>
      <c r="AE4849" s="1"/>
      <c r="AG4849" s="2"/>
    </row>
    <row r="4850" spans="24:33" ht="43.95" customHeight="1" x14ac:dyDescent="0.3">
      <c r="X4850" s="2"/>
      <c r="Y4850" s="7"/>
      <c r="Z4850" s="2"/>
      <c r="AA4850" s="1"/>
      <c r="AC4850" s="2"/>
      <c r="AE4850" s="1"/>
      <c r="AG4850" s="2"/>
    </row>
    <row r="4851" spans="24:33" ht="43.95" customHeight="1" x14ac:dyDescent="0.3">
      <c r="X4851" s="2"/>
      <c r="Y4851" s="7"/>
      <c r="Z4851" s="2"/>
      <c r="AA4851" s="1"/>
      <c r="AC4851" s="2"/>
      <c r="AE4851" s="1"/>
      <c r="AG4851" s="2"/>
    </row>
    <row r="4852" spans="24:33" ht="43.95" customHeight="1" x14ac:dyDescent="0.3">
      <c r="X4852" s="2"/>
      <c r="Y4852" s="7"/>
      <c r="Z4852" s="2"/>
      <c r="AA4852" s="1"/>
      <c r="AC4852" s="2"/>
      <c r="AE4852" s="1"/>
      <c r="AG4852" s="2"/>
    </row>
    <row r="4853" spans="24:33" ht="43.95" customHeight="1" x14ac:dyDescent="0.3">
      <c r="X4853" s="201"/>
      <c r="Y4853" s="7"/>
      <c r="Z4853" s="2"/>
      <c r="AA4853" s="1"/>
      <c r="AC4853" s="2"/>
      <c r="AE4853" s="1"/>
      <c r="AG4853" s="2"/>
    </row>
    <row r="4854" spans="24:33" ht="43.95" customHeight="1" x14ac:dyDescent="0.3">
      <c r="X4854" s="2"/>
      <c r="Y4854" s="7"/>
      <c r="Z4854" s="2"/>
      <c r="AA4854" s="1"/>
      <c r="AC4854" s="2"/>
      <c r="AE4854" s="1"/>
      <c r="AG4854" s="2"/>
    </row>
    <row r="4855" spans="24:33" ht="43.95" customHeight="1" x14ac:dyDescent="0.3">
      <c r="X4855" s="2"/>
      <c r="Y4855" s="7"/>
      <c r="Z4855" s="2"/>
      <c r="AA4855" s="1"/>
      <c r="AC4855" s="2"/>
      <c r="AE4855" s="1"/>
      <c r="AG4855" s="2"/>
    </row>
    <row r="4856" spans="24:33" ht="43.95" customHeight="1" x14ac:dyDescent="0.3">
      <c r="X4856" s="2"/>
      <c r="Y4856" s="7"/>
      <c r="Z4856" s="2"/>
      <c r="AA4856" s="1"/>
      <c r="AC4856" s="2"/>
      <c r="AE4856" s="1"/>
      <c r="AG4856" s="2"/>
    </row>
    <row r="4857" spans="24:33" ht="43.95" customHeight="1" x14ac:dyDescent="0.3">
      <c r="X4857" s="2"/>
      <c r="Y4857" s="7"/>
      <c r="Z4857" s="2"/>
      <c r="AA4857" s="1"/>
      <c r="AC4857" s="2"/>
      <c r="AE4857" s="1"/>
      <c r="AG4857" s="2"/>
    </row>
    <row r="4858" spans="24:33" ht="43.95" customHeight="1" x14ac:dyDescent="0.3">
      <c r="X4858" s="2"/>
      <c r="Y4858" s="7"/>
      <c r="Z4858" s="2"/>
      <c r="AA4858" s="1"/>
      <c r="AC4858" s="2"/>
      <c r="AE4858" s="1"/>
      <c r="AG4858" s="2"/>
    </row>
    <row r="4859" spans="24:33" ht="43.95" customHeight="1" x14ac:dyDescent="0.3">
      <c r="X4859" s="2"/>
      <c r="Y4859" s="7"/>
      <c r="Z4859" s="2"/>
      <c r="AA4859" s="1"/>
      <c r="AC4859" s="2"/>
      <c r="AE4859" s="1"/>
      <c r="AG4859" s="2"/>
    </row>
    <row r="4860" spans="24:33" ht="43.95" customHeight="1" x14ac:dyDescent="0.3">
      <c r="X4860" s="2"/>
      <c r="Y4860" s="7"/>
      <c r="Z4860" s="2"/>
      <c r="AA4860" s="1"/>
      <c r="AC4860" s="2"/>
      <c r="AE4860" s="1"/>
      <c r="AG4860" s="2"/>
    </row>
    <row r="4861" spans="24:33" ht="43.95" customHeight="1" x14ac:dyDescent="0.3">
      <c r="X4861" s="2"/>
      <c r="Y4861" s="7"/>
      <c r="Z4861" s="2"/>
      <c r="AA4861" s="1"/>
      <c r="AC4861" s="2"/>
      <c r="AE4861" s="1"/>
      <c r="AG4861" s="2"/>
    </row>
    <row r="4862" spans="24:33" ht="43.95" customHeight="1" x14ac:dyDescent="0.3">
      <c r="X4862" s="2"/>
      <c r="Y4862" s="7"/>
      <c r="Z4862" s="2"/>
      <c r="AA4862" s="1"/>
      <c r="AC4862" s="2"/>
      <c r="AE4862" s="1"/>
      <c r="AG4862" s="2"/>
    </row>
    <row r="4863" spans="24:33" ht="43.95" customHeight="1" x14ac:dyDescent="0.3">
      <c r="X4863" s="2"/>
      <c r="Y4863" s="7"/>
      <c r="Z4863" s="2"/>
      <c r="AA4863" s="1"/>
      <c r="AC4863" s="2"/>
      <c r="AE4863" s="1"/>
      <c r="AG4863" s="2"/>
    </row>
    <row r="4864" spans="24:33" ht="43.95" customHeight="1" x14ac:dyDescent="0.3">
      <c r="X4864" s="2"/>
      <c r="Y4864" s="7"/>
      <c r="Z4864" s="2"/>
      <c r="AA4864" s="1"/>
      <c r="AC4864" s="2"/>
      <c r="AE4864" s="1"/>
      <c r="AG4864" s="2"/>
    </row>
    <row r="4865" spans="24:33" ht="43.95" customHeight="1" x14ac:dyDescent="0.3">
      <c r="X4865" s="2"/>
      <c r="Y4865" s="7"/>
      <c r="Z4865" s="2"/>
      <c r="AA4865" s="1"/>
      <c r="AC4865" s="2"/>
      <c r="AE4865" s="1"/>
      <c r="AG4865" s="2"/>
    </row>
    <row r="4866" spans="24:33" ht="43.95" customHeight="1" x14ac:dyDescent="0.3">
      <c r="X4866" s="2"/>
      <c r="Y4866" s="7"/>
      <c r="Z4866" s="2"/>
      <c r="AA4866" s="1"/>
      <c r="AC4866" s="2"/>
      <c r="AE4866" s="1"/>
      <c r="AG4866" s="2"/>
    </row>
    <row r="4867" spans="24:33" ht="43.95" customHeight="1" x14ac:dyDescent="0.3">
      <c r="X4867" s="2"/>
      <c r="Y4867" s="7"/>
      <c r="Z4867" s="2"/>
      <c r="AA4867" s="1"/>
      <c r="AC4867" s="2"/>
      <c r="AE4867" s="1"/>
      <c r="AG4867" s="2"/>
    </row>
    <row r="4868" spans="24:33" ht="43.95" customHeight="1" x14ac:dyDescent="0.3">
      <c r="X4868" s="2"/>
      <c r="Y4868" s="7"/>
      <c r="Z4868" s="2"/>
      <c r="AA4868" s="1"/>
      <c r="AC4868" s="2"/>
      <c r="AE4868" s="1"/>
      <c r="AG4868" s="2"/>
    </row>
    <row r="4869" spans="24:33" ht="43.95" customHeight="1" x14ac:dyDescent="0.3">
      <c r="X4869" s="2"/>
      <c r="Y4869" s="7"/>
      <c r="Z4869" s="2"/>
      <c r="AA4869" s="1"/>
      <c r="AC4869" s="2"/>
      <c r="AE4869" s="1"/>
      <c r="AG4869" s="2"/>
    </row>
    <row r="4870" spans="24:33" ht="43.95" customHeight="1" x14ac:dyDescent="0.3">
      <c r="X4870" s="2"/>
      <c r="Y4870" s="7"/>
      <c r="Z4870" s="2"/>
      <c r="AA4870" s="1"/>
      <c r="AC4870" s="2"/>
      <c r="AE4870" s="1"/>
      <c r="AG4870" s="2"/>
    </row>
    <row r="4871" spans="24:33" ht="43.95" customHeight="1" x14ac:dyDescent="0.3">
      <c r="X4871" s="2"/>
      <c r="Y4871" s="7"/>
      <c r="Z4871" s="2"/>
      <c r="AA4871" s="1"/>
      <c r="AC4871" s="2"/>
      <c r="AE4871" s="1"/>
      <c r="AG4871" s="2"/>
    </row>
    <row r="4872" spans="24:33" ht="43.95" customHeight="1" x14ac:dyDescent="0.3">
      <c r="X4872" s="2"/>
      <c r="Y4872" s="7"/>
      <c r="Z4872" s="2"/>
      <c r="AA4872" s="1"/>
      <c r="AC4872" s="2"/>
      <c r="AE4872" s="1"/>
      <c r="AG4872" s="2"/>
    </row>
    <row r="4873" spans="24:33" ht="43.95" customHeight="1" x14ac:dyDescent="0.3">
      <c r="X4873" s="2"/>
      <c r="Y4873" s="7"/>
      <c r="Z4873" s="2"/>
      <c r="AA4873" s="1"/>
      <c r="AC4873" s="2"/>
      <c r="AE4873" s="1"/>
      <c r="AG4873" s="2"/>
    </row>
    <row r="4874" spans="24:33" ht="43.95" customHeight="1" x14ac:dyDescent="0.3">
      <c r="X4874" s="2"/>
      <c r="Y4874" s="7"/>
      <c r="Z4874" s="2"/>
      <c r="AA4874" s="1"/>
      <c r="AC4874" s="2"/>
      <c r="AE4874" s="1"/>
      <c r="AG4874" s="2"/>
    </row>
    <row r="4875" spans="24:33" ht="43.95" customHeight="1" x14ac:dyDescent="0.3">
      <c r="X4875" s="2"/>
      <c r="Y4875" s="7"/>
      <c r="Z4875" s="2"/>
      <c r="AA4875" s="1"/>
      <c r="AC4875" s="2"/>
      <c r="AE4875" s="1"/>
      <c r="AG4875" s="2"/>
    </row>
    <row r="4876" spans="24:33" ht="43.95" customHeight="1" x14ac:dyDescent="0.3">
      <c r="X4876" s="2"/>
      <c r="Y4876" s="7"/>
      <c r="Z4876" s="2"/>
      <c r="AA4876" s="1"/>
      <c r="AC4876" s="2"/>
      <c r="AE4876" s="1"/>
      <c r="AG4876" s="2"/>
    </row>
    <row r="4877" spans="24:33" ht="43.95" customHeight="1" x14ac:dyDescent="0.3">
      <c r="X4877" s="211"/>
      <c r="Y4877" s="7"/>
      <c r="Z4877" s="2"/>
      <c r="AA4877" s="1"/>
      <c r="AC4877" s="2"/>
      <c r="AE4877" s="1"/>
      <c r="AG4877" s="2"/>
    </row>
    <row r="4878" spans="24:33" ht="43.95" customHeight="1" x14ac:dyDescent="0.3">
      <c r="X4878" s="2"/>
      <c r="Y4878" s="7"/>
      <c r="Z4878" s="2"/>
      <c r="AA4878" s="1"/>
      <c r="AC4878" s="2"/>
      <c r="AE4878" s="1"/>
      <c r="AG4878" s="2"/>
    </row>
    <row r="4879" spans="24:33" ht="43.95" customHeight="1" x14ac:dyDescent="0.3">
      <c r="X4879" s="2"/>
      <c r="Y4879" s="7"/>
      <c r="Z4879" s="2"/>
      <c r="AA4879" s="1"/>
      <c r="AC4879" s="2"/>
      <c r="AE4879" s="1"/>
      <c r="AG4879" s="2"/>
    </row>
    <row r="4880" spans="24:33" ht="43.95" customHeight="1" x14ac:dyDescent="0.3">
      <c r="X4880" s="2"/>
      <c r="Y4880" s="7"/>
      <c r="Z4880" s="2"/>
      <c r="AA4880" s="1"/>
      <c r="AC4880" s="2"/>
      <c r="AE4880" s="1"/>
      <c r="AG4880" s="2"/>
    </row>
    <row r="4881" spans="24:33" ht="43.95" customHeight="1" x14ac:dyDescent="0.3">
      <c r="X4881" s="2"/>
      <c r="Y4881" s="7"/>
      <c r="Z4881" s="2"/>
      <c r="AA4881" s="1"/>
      <c r="AC4881" s="2"/>
      <c r="AE4881" s="1"/>
      <c r="AG4881" s="2"/>
    </row>
    <row r="4882" spans="24:33" ht="43.95" customHeight="1" x14ac:dyDescent="0.3">
      <c r="X4882" s="211"/>
      <c r="Y4882" s="7"/>
      <c r="Z4882" s="2"/>
      <c r="AA4882" s="1"/>
      <c r="AC4882" s="2"/>
      <c r="AE4882" s="1"/>
      <c r="AG4882" s="2"/>
    </row>
    <row r="4883" spans="24:33" ht="43.95" customHeight="1" x14ac:dyDescent="0.3">
      <c r="X4883" s="2"/>
      <c r="Y4883" s="7"/>
      <c r="Z4883" s="2"/>
      <c r="AA4883" s="1"/>
      <c r="AC4883" s="2"/>
      <c r="AE4883" s="1"/>
      <c r="AG4883" s="2"/>
    </row>
    <row r="4884" spans="24:33" ht="43.95" customHeight="1" x14ac:dyDescent="0.3">
      <c r="X4884" s="2"/>
      <c r="Y4884" s="7"/>
      <c r="Z4884" s="2"/>
      <c r="AA4884" s="1"/>
      <c r="AC4884" s="2"/>
      <c r="AE4884" s="1"/>
      <c r="AG4884" s="2"/>
    </row>
    <row r="4885" spans="24:33" ht="43.95" customHeight="1" x14ac:dyDescent="0.3">
      <c r="X4885" s="2"/>
      <c r="Y4885" s="7"/>
      <c r="Z4885" s="2"/>
      <c r="AA4885" s="1"/>
      <c r="AC4885" s="2"/>
      <c r="AE4885" s="1"/>
      <c r="AG4885" s="2"/>
    </row>
    <row r="4886" spans="24:33" ht="43.95" customHeight="1" x14ac:dyDescent="0.3">
      <c r="X4886" s="2"/>
      <c r="Y4886" s="7"/>
      <c r="Z4886" s="2"/>
      <c r="AA4886" s="1"/>
      <c r="AC4886" s="2"/>
      <c r="AE4886" s="1"/>
      <c r="AG4886" s="2"/>
    </row>
    <row r="4887" spans="24:33" ht="43.95" customHeight="1" x14ac:dyDescent="0.3">
      <c r="X4887" s="2"/>
      <c r="Y4887" s="7"/>
      <c r="Z4887" s="2"/>
      <c r="AA4887" s="1"/>
      <c r="AC4887" s="2"/>
      <c r="AE4887" s="1"/>
      <c r="AG4887" s="2"/>
    </row>
    <row r="4888" spans="24:33" ht="43.95" customHeight="1" x14ac:dyDescent="0.3">
      <c r="X4888" s="2"/>
      <c r="Y4888" s="7"/>
      <c r="Z4888" s="2"/>
      <c r="AA4888" s="1"/>
      <c r="AC4888" s="2"/>
      <c r="AE4888" s="1"/>
      <c r="AG4888" s="2"/>
    </row>
    <row r="4889" spans="24:33" ht="43.95" customHeight="1" x14ac:dyDescent="0.3">
      <c r="X4889" s="2"/>
      <c r="Y4889" s="7"/>
      <c r="Z4889" s="2"/>
      <c r="AA4889" s="1"/>
      <c r="AC4889" s="2"/>
      <c r="AE4889" s="1"/>
      <c r="AG4889" s="2"/>
    </row>
    <row r="4890" spans="24:33" ht="43.95" customHeight="1" x14ac:dyDescent="0.3">
      <c r="X4890" s="2"/>
      <c r="Y4890" s="7"/>
      <c r="Z4890" s="2"/>
      <c r="AA4890" s="1"/>
      <c r="AC4890" s="2"/>
      <c r="AE4890" s="1"/>
      <c r="AG4890" s="2"/>
    </row>
    <row r="4891" spans="24:33" ht="43.95" customHeight="1" x14ac:dyDescent="0.3">
      <c r="X4891" s="2"/>
      <c r="Y4891" s="7"/>
      <c r="Z4891" s="2"/>
      <c r="AA4891" s="1"/>
      <c r="AC4891" s="2"/>
      <c r="AE4891" s="1"/>
      <c r="AG4891" s="2"/>
    </row>
    <row r="4892" spans="24:33" ht="43.95" customHeight="1" x14ac:dyDescent="0.3">
      <c r="X4892" s="2"/>
      <c r="Y4892" s="7"/>
      <c r="Z4892" s="2"/>
      <c r="AA4892" s="1"/>
      <c r="AC4892" s="2"/>
      <c r="AE4892" s="1"/>
      <c r="AG4892" s="2"/>
    </row>
    <row r="4893" spans="24:33" ht="43.95" customHeight="1" x14ac:dyDescent="0.3">
      <c r="X4893" s="2"/>
      <c r="Y4893" s="7"/>
      <c r="Z4893" s="2"/>
      <c r="AA4893" s="1"/>
      <c r="AC4893" s="2"/>
      <c r="AE4893" s="1"/>
      <c r="AG4893" s="2"/>
    </row>
    <row r="4894" spans="24:33" ht="43.95" customHeight="1" x14ac:dyDescent="0.3">
      <c r="X4894" s="2"/>
      <c r="Y4894" s="7"/>
      <c r="Z4894" s="2"/>
      <c r="AA4894" s="1"/>
      <c r="AC4894" s="2"/>
      <c r="AE4894" s="1"/>
      <c r="AG4894" s="2"/>
    </row>
    <row r="4895" spans="24:33" ht="43.95" customHeight="1" x14ac:dyDescent="0.3">
      <c r="X4895" s="2"/>
      <c r="Y4895" s="7"/>
      <c r="Z4895" s="2"/>
      <c r="AA4895" s="1"/>
      <c r="AC4895" s="2"/>
      <c r="AE4895" s="1"/>
      <c r="AG4895" s="2"/>
    </row>
    <row r="4896" spans="24:33" ht="43.95" customHeight="1" x14ac:dyDescent="0.3">
      <c r="X4896" s="2"/>
      <c r="Y4896" s="7"/>
      <c r="Z4896" s="2"/>
      <c r="AA4896" s="1"/>
      <c r="AC4896" s="2"/>
      <c r="AE4896" s="1"/>
      <c r="AG4896" s="2"/>
    </row>
    <row r="4897" spans="24:33" ht="43.95" customHeight="1" x14ac:dyDescent="0.3">
      <c r="X4897" s="211"/>
      <c r="Y4897" s="7"/>
      <c r="Z4897" s="2"/>
      <c r="AA4897" s="1"/>
      <c r="AC4897" s="2"/>
      <c r="AE4897" s="1"/>
      <c r="AG4897" s="2"/>
    </row>
    <row r="4898" spans="24:33" ht="43.95" customHeight="1" x14ac:dyDescent="0.3">
      <c r="X4898" s="2"/>
      <c r="Y4898" s="7"/>
      <c r="Z4898" s="2"/>
      <c r="AA4898" s="1"/>
      <c r="AC4898" s="2"/>
      <c r="AE4898" s="1"/>
      <c r="AG4898" s="2"/>
    </row>
    <row r="4899" spans="24:33" ht="43.95" customHeight="1" x14ac:dyDescent="0.3">
      <c r="X4899" s="2"/>
      <c r="Y4899" s="7"/>
      <c r="Z4899" s="2"/>
      <c r="AA4899" s="1"/>
      <c r="AC4899" s="2"/>
      <c r="AE4899" s="1"/>
      <c r="AG4899" s="2"/>
    </row>
    <row r="4900" spans="24:33" ht="43.95" customHeight="1" x14ac:dyDescent="0.3">
      <c r="X4900" s="2"/>
      <c r="Y4900" s="7"/>
      <c r="Z4900" s="2"/>
      <c r="AA4900" s="1"/>
      <c r="AC4900" s="2"/>
      <c r="AE4900" s="1"/>
      <c r="AG4900" s="2"/>
    </row>
    <row r="4901" spans="24:33" ht="43.95" customHeight="1" x14ac:dyDescent="0.3">
      <c r="X4901" s="2"/>
      <c r="Y4901" s="7"/>
      <c r="Z4901" s="2"/>
      <c r="AA4901" s="1"/>
      <c r="AC4901" s="2"/>
      <c r="AE4901" s="1"/>
      <c r="AG4901" s="2"/>
    </row>
    <row r="4902" spans="24:33" ht="43.95" customHeight="1" x14ac:dyDescent="0.3">
      <c r="X4902" s="2"/>
      <c r="Y4902" s="7"/>
      <c r="Z4902" s="2"/>
      <c r="AA4902" s="1"/>
      <c r="AC4902" s="2"/>
      <c r="AE4902" s="1"/>
      <c r="AG4902" s="2"/>
    </row>
    <row r="4903" spans="24:33" ht="43.95" customHeight="1" x14ac:dyDescent="0.3">
      <c r="X4903" s="2"/>
      <c r="Y4903" s="7"/>
      <c r="Z4903" s="2"/>
      <c r="AA4903" s="1"/>
      <c r="AC4903" s="2"/>
      <c r="AE4903" s="1"/>
      <c r="AG4903" s="2"/>
    </row>
    <row r="4904" spans="24:33" ht="43.95" customHeight="1" x14ac:dyDescent="0.3">
      <c r="X4904" s="2"/>
      <c r="Y4904" s="7"/>
      <c r="Z4904" s="2"/>
      <c r="AA4904" s="1"/>
      <c r="AC4904" s="2"/>
      <c r="AE4904" s="1"/>
      <c r="AG4904" s="2"/>
    </row>
    <row r="4905" spans="24:33" ht="43.95" customHeight="1" x14ac:dyDescent="0.3">
      <c r="X4905" s="2"/>
      <c r="Y4905" s="7"/>
      <c r="Z4905" s="2"/>
      <c r="AA4905" s="1"/>
      <c r="AC4905" s="2"/>
      <c r="AE4905" s="1"/>
      <c r="AG4905" s="2"/>
    </row>
    <row r="4906" spans="24:33" ht="43.95" customHeight="1" x14ac:dyDescent="0.3">
      <c r="X4906" s="2"/>
      <c r="Y4906" s="7"/>
      <c r="Z4906" s="2"/>
      <c r="AA4906" s="1"/>
      <c r="AC4906" s="2"/>
      <c r="AE4906" s="1"/>
      <c r="AG4906" s="2"/>
    </row>
    <row r="4907" spans="24:33" ht="43.95" customHeight="1" x14ac:dyDescent="0.3">
      <c r="X4907" s="2"/>
      <c r="Y4907" s="7"/>
      <c r="Z4907" s="2"/>
      <c r="AA4907" s="1"/>
      <c r="AC4907" s="2"/>
      <c r="AE4907" s="1"/>
      <c r="AG4907" s="2"/>
    </row>
    <row r="4908" spans="24:33" ht="43.95" customHeight="1" x14ac:dyDescent="0.3">
      <c r="X4908" s="2"/>
      <c r="Y4908" s="7"/>
      <c r="Z4908" s="2"/>
      <c r="AA4908" s="1"/>
      <c r="AC4908" s="2"/>
      <c r="AE4908" s="1"/>
      <c r="AG4908" s="2"/>
    </row>
    <row r="4909" spans="24:33" ht="43.95" customHeight="1" x14ac:dyDescent="0.3">
      <c r="X4909" s="2"/>
      <c r="Y4909" s="7"/>
      <c r="Z4909" s="2"/>
      <c r="AA4909" s="1"/>
      <c r="AC4909" s="2"/>
      <c r="AE4909" s="1"/>
      <c r="AG4909" s="2"/>
    </row>
    <row r="4910" spans="24:33" ht="43.95" customHeight="1" x14ac:dyDescent="0.3">
      <c r="X4910" s="2"/>
      <c r="Y4910" s="7"/>
      <c r="Z4910" s="2"/>
      <c r="AA4910" s="1"/>
      <c r="AC4910" s="2"/>
      <c r="AE4910" s="1"/>
      <c r="AG4910" s="2"/>
    </row>
    <row r="4911" spans="24:33" ht="43.95" customHeight="1" x14ac:dyDescent="0.3">
      <c r="X4911" s="2"/>
      <c r="Y4911" s="7"/>
      <c r="Z4911" s="2"/>
      <c r="AA4911" s="1"/>
      <c r="AC4911" s="2"/>
      <c r="AE4911" s="1"/>
      <c r="AG4911" s="2"/>
    </row>
    <row r="4912" spans="24:33" ht="43.95" customHeight="1" x14ac:dyDescent="0.3">
      <c r="X4912" s="2"/>
      <c r="Y4912" s="7"/>
      <c r="Z4912" s="2"/>
      <c r="AA4912" s="1"/>
      <c r="AC4912" s="2"/>
      <c r="AE4912" s="1"/>
      <c r="AG4912" s="2"/>
    </row>
    <row r="4913" spans="24:33" ht="43.95" customHeight="1" x14ac:dyDescent="0.3">
      <c r="X4913" s="2"/>
      <c r="Y4913" s="7"/>
      <c r="Z4913" s="2"/>
      <c r="AA4913" s="1"/>
      <c r="AC4913" s="2"/>
      <c r="AE4913" s="1"/>
      <c r="AG4913" s="2"/>
    </row>
    <row r="4914" spans="24:33" ht="43.95" customHeight="1" x14ac:dyDescent="0.3">
      <c r="X4914" s="2"/>
      <c r="Y4914" s="7"/>
      <c r="Z4914" s="2"/>
      <c r="AA4914" s="1"/>
      <c r="AC4914" s="2"/>
      <c r="AE4914" s="1"/>
      <c r="AG4914" s="2"/>
    </row>
    <row r="4915" spans="24:33" ht="43.95" customHeight="1" x14ac:dyDescent="0.3">
      <c r="X4915" s="2"/>
      <c r="Y4915" s="7"/>
      <c r="Z4915" s="2"/>
      <c r="AA4915" s="1"/>
      <c r="AC4915" s="2"/>
      <c r="AE4915" s="1"/>
      <c r="AG4915" s="2"/>
    </row>
    <row r="4916" spans="24:33" ht="43.95" customHeight="1" x14ac:dyDescent="0.3">
      <c r="X4916" s="2"/>
      <c r="Y4916" s="7"/>
      <c r="Z4916" s="2"/>
      <c r="AA4916" s="1"/>
      <c r="AC4916" s="2"/>
      <c r="AE4916" s="1"/>
      <c r="AG4916" s="2"/>
    </row>
    <row r="4917" spans="24:33" ht="43.95" customHeight="1" x14ac:dyDescent="0.3">
      <c r="X4917" s="2"/>
      <c r="Y4917" s="7"/>
      <c r="Z4917" s="2"/>
      <c r="AA4917" s="1"/>
      <c r="AC4917" s="2"/>
      <c r="AE4917" s="1"/>
      <c r="AG4917" s="2"/>
    </row>
    <row r="4918" spans="24:33" ht="43.95" customHeight="1" x14ac:dyDescent="0.3">
      <c r="X4918" s="2"/>
      <c r="Y4918" s="7"/>
      <c r="Z4918" s="2"/>
      <c r="AA4918" s="1"/>
      <c r="AC4918" s="2"/>
      <c r="AE4918" s="1"/>
      <c r="AG4918" s="2"/>
    </row>
    <row r="4919" spans="24:33" ht="43.95" customHeight="1" x14ac:dyDescent="0.3">
      <c r="X4919" s="2"/>
      <c r="Y4919" s="7"/>
      <c r="Z4919" s="2"/>
      <c r="AA4919" s="1"/>
      <c r="AC4919" s="2"/>
      <c r="AE4919" s="1"/>
      <c r="AG4919" s="2"/>
    </row>
    <row r="4920" spans="24:33" ht="43.95" customHeight="1" x14ac:dyDescent="0.3">
      <c r="X4920" s="2"/>
      <c r="Y4920" s="7"/>
      <c r="Z4920" s="2"/>
      <c r="AA4920" s="1"/>
      <c r="AC4920" s="2"/>
      <c r="AE4920" s="1"/>
      <c r="AG4920" s="2"/>
    </row>
    <row r="4921" spans="24:33" ht="43.95" customHeight="1" x14ac:dyDescent="0.3">
      <c r="X4921" s="2"/>
      <c r="Y4921" s="7"/>
      <c r="Z4921" s="2"/>
      <c r="AA4921" s="1"/>
      <c r="AC4921" s="2"/>
      <c r="AE4921" s="1"/>
      <c r="AG4921" s="2"/>
    </row>
    <row r="4922" spans="24:33" ht="43.95" customHeight="1" x14ac:dyDescent="0.3">
      <c r="X4922" s="2"/>
      <c r="Y4922" s="7"/>
      <c r="Z4922" s="2"/>
      <c r="AA4922" s="1"/>
      <c r="AC4922" s="2"/>
      <c r="AE4922" s="1"/>
      <c r="AG4922" s="2"/>
    </row>
    <row r="4923" spans="24:33" ht="43.95" customHeight="1" x14ac:dyDescent="0.3">
      <c r="X4923" s="2"/>
      <c r="Y4923" s="7"/>
      <c r="Z4923" s="2"/>
      <c r="AA4923" s="1"/>
      <c r="AC4923" s="2"/>
      <c r="AE4923" s="1"/>
      <c r="AG4923" s="2"/>
    </row>
    <row r="4924" spans="24:33" ht="43.95" customHeight="1" x14ac:dyDescent="0.3">
      <c r="X4924" s="2"/>
      <c r="Y4924" s="7"/>
      <c r="Z4924" s="2"/>
      <c r="AA4924" s="1"/>
      <c r="AC4924" s="2"/>
      <c r="AE4924" s="1"/>
      <c r="AG4924" s="2"/>
    </row>
    <row r="4925" spans="24:33" ht="43.95" customHeight="1" x14ac:dyDescent="0.3">
      <c r="X4925" s="2"/>
      <c r="Y4925" s="7"/>
      <c r="Z4925" s="2"/>
      <c r="AA4925" s="1"/>
      <c r="AC4925" s="2"/>
      <c r="AE4925" s="1"/>
      <c r="AG4925" s="2"/>
    </row>
    <row r="4926" spans="24:33" ht="43.95" customHeight="1" x14ac:dyDescent="0.3">
      <c r="X4926" s="2"/>
      <c r="Y4926" s="7"/>
      <c r="Z4926" s="2"/>
      <c r="AA4926" s="1"/>
      <c r="AC4926" s="2"/>
      <c r="AE4926" s="1"/>
      <c r="AG4926" s="2"/>
    </row>
    <row r="4927" spans="24:33" ht="43.95" customHeight="1" x14ac:dyDescent="0.3">
      <c r="X4927" s="2"/>
      <c r="Y4927" s="7"/>
      <c r="Z4927" s="2"/>
      <c r="AA4927" s="1"/>
      <c r="AC4927" s="2"/>
      <c r="AE4927" s="1"/>
      <c r="AG4927" s="2"/>
    </row>
    <row r="4928" spans="24:33" ht="43.95" customHeight="1" x14ac:dyDescent="0.3">
      <c r="X4928" s="2"/>
      <c r="Y4928" s="7"/>
      <c r="Z4928" s="2"/>
      <c r="AA4928" s="1"/>
      <c r="AC4928" s="2"/>
      <c r="AE4928" s="1"/>
      <c r="AG4928" s="2"/>
    </row>
    <row r="4929" spans="24:33" ht="43.95" customHeight="1" x14ac:dyDescent="0.3">
      <c r="X4929" s="2"/>
      <c r="Y4929" s="7"/>
      <c r="Z4929" s="2"/>
      <c r="AA4929" s="1"/>
      <c r="AC4929" s="2"/>
      <c r="AE4929" s="1"/>
      <c r="AG4929" s="2"/>
    </row>
    <row r="4930" spans="24:33" ht="43.95" customHeight="1" x14ac:dyDescent="0.3">
      <c r="X4930" s="2"/>
      <c r="Y4930" s="7"/>
      <c r="Z4930" s="2"/>
      <c r="AA4930" s="1"/>
      <c r="AC4930" s="2"/>
      <c r="AE4930" s="1"/>
      <c r="AG4930" s="2"/>
    </row>
    <row r="4931" spans="24:33" ht="43.95" customHeight="1" x14ac:dyDescent="0.3">
      <c r="X4931" s="2"/>
      <c r="Y4931" s="7"/>
      <c r="Z4931" s="2"/>
      <c r="AA4931" s="1"/>
      <c r="AC4931" s="2"/>
      <c r="AE4931" s="1"/>
      <c r="AG4931" s="2"/>
    </row>
    <row r="4932" spans="24:33" ht="43.95" customHeight="1" x14ac:dyDescent="0.3">
      <c r="X4932" s="2"/>
      <c r="Y4932" s="7"/>
      <c r="Z4932" s="2"/>
      <c r="AA4932" s="1"/>
      <c r="AC4932" s="2"/>
      <c r="AE4932" s="1"/>
      <c r="AG4932" s="2"/>
    </row>
    <row r="4933" spans="24:33" ht="43.95" customHeight="1" x14ac:dyDescent="0.3">
      <c r="X4933" s="2"/>
      <c r="Y4933" s="7"/>
      <c r="Z4933" s="2"/>
      <c r="AA4933" s="1"/>
      <c r="AC4933" s="2"/>
      <c r="AE4933" s="1"/>
      <c r="AG4933" s="2"/>
    </row>
    <row r="4934" spans="24:33" ht="43.95" customHeight="1" x14ac:dyDescent="0.3">
      <c r="X4934" s="2"/>
      <c r="Y4934" s="7"/>
      <c r="Z4934" s="2"/>
      <c r="AA4934" s="1"/>
      <c r="AC4934" s="2"/>
      <c r="AE4934" s="1"/>
      <c r="AG4934" s="2"/>
    </row>
    <row r="4935" spans="24:33" ht="43.95" customHeight="1" x14ac:dyDescent="0.3">
      <c r="X4935" s="2"/>
      <c r="Y4935" s="7"/>
      <c r="Z4935" s="2"/>
      <c r="AA4935" s="1"/>
      <c r="AC4935" s="2"/>
      <c r="AE4935" s="1"/>
      <c r="AG4935" s="2"/>
    </row>
    <row r="4936" spans="24:33" ht="43.95" customHeight="1" x14ac:dyDescent="0.3">
      <c r="X4936" s="2"/>
      <c r="Y4936" s="7"/>
      <c r="Z4936" s="2"/>
      <c r="AA4936" s="1"/>
      <c r="AC4936" s="2"/>
      <c r="AE4936" s="1"/>
      <c r="AG4936" s="2"/>
    </row>
    <row r="4937" spans="24:33" ht="43.95" customHeight="1" x14ac:dyDescent="0.3">
      <c r="X4937" s="2"/>
      <c r="Y4937" s="7"/>
      <c r="Z4937" s="2"/>
      <c r="AA4937" s="1"/>
      <c r="AC4937" s="2"/>
      <c r="AE4937" s="1"/>
      <c r="AG4937" s="2"/>
    </row>
    <row r="4938" spans="24:33" ht="43.95" customHeight="1" x14ac:dyDescent="0.3">
      <c r="X4938" s="2"/>
      <c r="Y4938" s="7"/>
      <c r="Z4938" s="2"/>
      <c r="AA4938" s="1"/>
      <c r="AC4938" s="2"/>
      <c r="AE4938" s="1"/>
      <c r="AG4938" s="2"/>
    </row>
    <row r="4939" spans="24:33" ht="43.95" customHeight="1" x14ac:dyDescent="0.3">
      <c r="X4939" s="2"/>
      <c r="Y4939" s="7"/>
      <c r="Z4939" s="2"/>
      <c r="AA4939" s="1"/>
      <c r="AC4939" s="2"/>
      <c r="AE4939" s="1"/>
      <c r="AG4939" s="2"/>
    </row>
    <row r="4940" spans="24:33" ht="43.95" customHeight="1" x14ac:dyDescent="0.3">
      <c r="X4940" s="2"/>
      <c r="Y4940" s="7"/>
      <c r="Z4940" s="2"/>
      <c r="AA4940" s="1"/>
      <c r="AC4940" s="2"/>
      <c r="AE4940" s="1"/>
      <c r="AG4940" s="2"/>
    </row>
    <row r="4941" spans="24:33" ht="43.95" customHeight="1" x14ac:dyDescent="0.3">
      <c r="X4941" s="2"/>
      <c r="Y4941" s="7"/>
      <c r="Z4941" s="2"/>
      <c r="AA4941" s="1"/>
      <c r="AC4941" s="2"/>
      <c r="AE4941" s="1"/>
      <c r="AG4941" s="2"/>
    </row>
    <row r="4942" spans="24:33" ht="43.95" customHeight="1" x14ac:dyDescent="0.3">
      <c r="X4942" s="2"/>
      <c r="Y4942" s="7"/>
      <c r="Z4942" s="2"/>
      <c r="AA4942" s="1"/>
      <c r="AC4942" s="2"/>
      <c r="AE4942" s="1"/>
      <c r="AG4942" s="2"/>
    </row>
    <row r="4943" spans="24:33" ht="43.95" customHeight="1" x14ac:dyDescent="0.3">
      <c r="X4943" s="2"/>
      <c r="Y4943" s="7"/>
      <c r="Z4943" s="2"/>
      <c r="AA4943" s="1"/>
      <c r="AC4943" s="2"/>
      <c r="AE4943" s="1"/>
      <c r="AG4943" s="2"/>
    </row>
    <row r="4944" spans="24:33" ht="43.95" customHeight="1" x14ac:dyDescent="0.3">
      <c r="X4944" s="2"/>
      <c r="Y4944" s="7"/>
      <c r="Z4944" s="2"/>
      <c r="AA4944" s="1"/>
      <c r="AC4944" s="2"/>
      <c r="AE4944" s="1"/>
      <c r="AG4944" s="2"/>
    </row>
    <row r="4945" spans="24:33" ht="43.95" customHeight="1" x14ac:dyDescent="0.3">
      <c r="X4945" s="2"/>
      <c r="Y4945" s="7"/>
      <c r="Z4945" s="2"/>
      <c r="AA4945" s="1"/>
      <c r="AC4945" s="2"/>
      <c r="AE4945" s="1"/>
      <c r="AG4945" s="2"/>
    </row>
    <row r="4946" spans="24:33" ht="43.95" customHeight="1" x14ac:dyDescent="0.3">
      <c r="X4946" s="213"/>
      <c r="Y4946" s="7"/>
      <c r="Z4946" s="2"/>
      <c r="AA4946" s="1"/>
      <c r="AC4946" s="2"/>
      <c r="AE4946" s="1"/>
      <c r="AG4946" s="2"/>
    </row>
    <row r="4947" spans="24:33" ht="43.95" customHeight="1" x14ac:dyDescent="0.3">
      <c r="X4947" s="2"/>
      <c r="Y4947" s="7"/>
      <c r="Z4947" s="2"/>
      <c r="AA4947" s="1"/>
      <c r="AC4947" s="2"/>
      <c r="AE4947" s="1"/>
      <c r="AG4947" s="2"/>
    </row>
    <row r="4948" spans="24:33" ht="43.95" customHeight="1" x14ac:dyDescent="0.3">
      <c r="X4948" s="2"/>
      <c r="Y4948" s="7"/>
      <c r="Z4948" s="2"/>
      <c r="AA4948" s="1"/>
      <c r="AC4948" s="2"/>
      <c r="AE4948" s="1"/>
      <c r="AG4948" s="2"/>
    </row>
    <row r="4949" spans="24:33" ht="43.95" customHeight="1" x14ac:dyDescent="0.3">
      <c r="X4949" s="2"/>
      <c r="Y4949" s="7"/>
      <c r="Z4949" s="2"/>
      <c r="AA4949" s="1"/>
      <c r="AC4949" s="2"/>
      <c r="AE4949" s="1"/>
      <c r="AG4949" s="2"/>
    </row>
    <row r="4950" spans="24:33" ht="43.95" customHeight="1" x14ac:dyDescent="0.3">
      <c r="X4950" s="2"/>
      <c r="Y4950" s="7"/>
      <c r="Z4950" s="2"/>
      <c r="AA4950" s="1"/>
      <c r="AC4950" s="2"/>
      <c r="AE4950" s="1"/>
      <c r="AG4950" s="2"/>
    </row>
    <row r="4951" spans="24:33" ht="43.95" customHeight="1" x14ac:dyDescent="0.3">
      <c r="X4951" s="213"/>
      <c r="Y4951" s="7"/>
      <c r="Z4951" s="2"/>
      <c r="AA4951" s="1"/>
      <c r="AC4951" s="2"/>
      <c r="AE4951" s="1"/>
      <c r="AG4951" s="2"/>
    </row>
    <row r="4952" spans="24:33" ht="43.95" customHeight="1" x14ac:dyDescent="0.3">
      <c r="X4952" s="2"/>
      <c r="Y4952" s="7"/>
      <c r="Z4952" s="2"/>
      <c r="AA4952" s="1"/>
      <c r="AC4952" s="2"/>
      <c r="AE4952" s="1"/>
      <c r="AG4952" s="2"/>
    </row>
    <row r="4953" spans="24:33" ht="43.95" customHeight="1" x14ac:dyDescent="0.3">
      <c r="X4953" s="2"/>
      <c r="Y4953" s="7"/>
      <c r="Z4953" s="2"/>
      <c r="AA4953" s="1"/>
      <c r="AC4953" s="2"/>
      <c r="AE4953" s="1"/>
      <c r="AG4953" s="2"/>
    </row>
    <row r="4954" spans="24:33" ht="43.95" customHeight="1" x14ac:dyDescent="0.3">
      <c r="X4954" s="2"/>
      <c r="Y4954" s="7"/>
      <c r="Z4954" s="2"/>
      <c r="AA4954" s="1"/>
      <c r="AC4954" s="2"/>
      <c r="AE4954" s="1"/>
      <c r="AG4954" s="2"/>
    </row>
    <row r="4955" spans="24:33" ht="43.95" customHeight="1" x14ac:dyDescent="0.3">
      <c r="X4955" s="2"/>
      <c r="Y4955" s="7"/>
      <c r="Z4955" s="2"/>
      <c r="AA4955" s="1"/>
      <c r="AC4955" s="2"/>
      <c r="AE4955" s="1"/>
      <c r="AG4955" s="2"/>
    </row>
    <row r="4956" spans="24:33" ht="43.95" customHeight="1" x14ac:dyDescent="0.3">
      <c r="X4956" s="2"/>
      <c r="Y4956" s="7"/>
      <c r="Z4956" s="2"/>
      <c r="AA4956" s="1"/>
      <c r="AC4956" s="2"/>
      <c r="AE4956" s="1"/>
      <c r="AG4956" s="2"/>
    </row>
    <row r="4957" spans="24:33" ht="43.95" customHeight="1" x14ac:dyDescent="0.3">
      <c r="X4957" s="2"/>
      <c r="Y4957" s="7"/>
      <c r="Z4957" s="2"/>
      <c r="AA4957" s="1"/>
      <c r="AC4957" s="2"/>
      <c r="AE4957" s="1"/>
      <c r="AG4957" s="2"/>
    </row>
    <row r="4958" spans="24:33" ht="43.95" customHeight="1" x14ac:dyDescent="0.3">
      <c r="X4958" s="2"/>
      <c r="Y4958" s="7"/>
      <c r="Z4958" s="2"/>
      <c r="AA4958" s="1"/>
      <c r="AC4958" s="2"/>
      <c r="AE4958" s="1"/>
      <c r="AG4958" s="2"/>
    </row>
    <row r="4959" spans="24:33" ht="43.95" customHeight="1" x14ac:dyDescent="0.3">
      <c r="X4959" s="2"/>
      <c r="Y4959" s="7"/>
      <c r="Z4959" s="2"/>
      <c r="AA4959" s="1"/>
      <c r="AC4959" s="2"/>
      <c r="AE4959" s="1"/>
      <c r="AG4959" s="2"/>
    </row>
    <row r="4960" spans="24:33" ht="43.95" customHeight="1" x14ac:dyDescent="0.3">
      <c r="X4960" s="213"/>
      <c r="Y4960" s="7"/>
      <c r="Z4960" s="2"/>
      <c r="AA4960" s="1"/>
      <c r="AC4960" s="2"/>
      <c r="AE4960" s="1"/>
      <c r="AG4960" s="2"/>
    </row>
    <row r="4961" spans="24:33" ht="43.95" customHeight="1" x14ac:dyDescent="0.3">
      <c r="X4961" s="2"/>
      <c r="Y4961" s="7"/>
      <c r="Z4961" s="2"/>
      <c r="AA4961" s="1"/>
      <c r="AC4961" s="2"/>
      <c r="AE4961" s="1"/>
      <c r="AG4961" s="2"/>
    </row>
    <row r="4962" spans="24:33" ht="43.95" customHeight="1" x14ac:dyDescent="0.3">
      <c r="X4962" s="213"/>
      <c r="Y4962" s="7"/>
      <c r="Z4962" s="2"/>
      <c r="AA4962" s="1"/>
      <c r="AC4962" s="2"/>
      <c r="AE4962" s="1"/>
      <c r="AG4962" s="2"/>
    </row>
    <row r="4963" spans="24:33" ht="43.95" customHeight="1" x14ac:dyDescent="0.3">
      <c r="X4963" s="2"/>
      <c r="Y4963" s="7"/>
      <c r="Z4963" s="2"/>
      <c r="AA4963" s="1"/>
      <c r="AC4963" s="2"/>
      <c r="AE4963" s="1"/>
      <c r="AG4963" s="2"/>
    </row>
    <row r="4964" spans="24:33" ht="43.95" customHeight="1" x14ac:dyDescent="0.3">
      <c r="X4964" s="2"/>
      <c r="Y4964" s="7"/>
      <c r="Z4964" s="2"/>
      <c r="AA4964" s="1"/>
      <c r="AC4964" s="2"/>
      <c r="AE4964" s="1"/>
      <c r="AG4964" s="2"/>
    </row>
    <row r="4965" spans="24:33" ht="43.95" customHeight="1" x14ac:dyDescent="0.3">
      <c r="X4965" s="2"/>
      <c r="Y4965" s="7"/>
      <c r="Z4965" s="2"/>
      <c r="AA4965" s="1"/>
      <c r="AC4965" s="2"/>
      <c r="AE4965" s="1"/>
      <c r="AG4965" s="2"/>
    </row>
    <row r="4966" spans="24:33" ht="43.95" customHeight="1" x14ac:dyDescent="0.3">
      <c r="X4966" s="2"/>
      <c r="Y4966" s="7"/>
      <c r="Z4966" s="2"/>
      <c r="AA4966" s="1"/>
      <c r="AC4966" s="2"/>
      <c r="AE4966" s="1"/>
      <c r="AG4966" s="2"/>
    </row>
    <row r="4967" spans="24:33" ht="43.95" customHeight="1" x14ac:dyDescent="0.3">
      <c r="X4967" s="2"/>
      <c r="Y4967" s="7"/>
      <c r="Z4967" s="2"/>
      <c r="AA4967" s="1"/>
      <c r="AC4967" s="2"/>
      <c r="AE4967" s="1"/>
      <c r="AG4967" s="2"/>
    </row>
    <row r="4968" spans="24:33" ht="43.95" customHeight="1" x14ac:dyDescent="0.3">
      <c r="X4968" s="2"/>
      <c r="Y4968" s="7"/>
      <c r="Z4968" s="2"/>
      <c r="AA4968" s="1"/>
      <c r="AC4968" s="2"/>
      <c r="AE4968" s="1"/>
      <c r="AG4968" s="2"/>
    </row>
    <row r="4969" spans="24:33" ht="43.95" customHeight="1" x14ac:dyDescent="0.3">
      <c r="X4969" s="2"/>
      <c r="Y4969" s="7"/>
      <c r="Z4969" s="2"/>
      <c r="AA4969" s="1"/>
      <c r="AC4969" s="2"/>
      <c r="AE4969" s="1"/>
      <c r="AG4969" s="2"/>
    </row>
    <row r="4970" spans="24:33" ht="43.95" customHeight="1" x14ac:dyDescent="0.3">
      <c r="X4970" s="2"/>
      <c r="Y4970" s="7"/>
      <c r="Z4970" s="2"/>
      <c r="AA4970" s="1"/>
      <c r="AC4970" s="2"/>
      <c r="AE4970" s="1"/>
      <c r="AG4970" s="2"/>
    </row>
    <row r="4971" spans="24:33" ht="43.95" customHeight="1" x14ac:dyDescent="0.3">
      <c r="X4971" s="2"/>
      <c r="Y4971" s="7"/>
      <c r="Z4971" s="2"/>
      <c r="AA4971" s="1"/>
      <c r="AC4971" s="2"/>
      <c r="AE4971" s="1"/>
      <c r="AG4971" s="2"/>
    </row>
    <row r="4972" spans="24:33" ht="43.95" customHeight="1" x14ac:dyDescent="0.3">
      <c r="X4972" s="2"/>
      <c r="Y4972" s="7"/>
      <c r="Z4972" s="2"/>
      <c r="AA4972" s="1"/>
      <c r="AC4972" s="2"/>
      <c r="AE4972" s="1"/>
      <c r="AG4972" s="2"/>
    </row>
    <row r="4973" spans="24:33" ht="43.95" customHeight="1" x14ac:dyDescent="0.3">
      <c r="X4973" s="2"/>
      <c r="Y4973" s="7"/>
      <c r="Z4973" s="2"/>
      <c r="AA4973" s="1"/>
      <c r="AC4973" s="2"/>
      <c r="AE4973" s="1"/>
      <c r="AG4973" s="2"/>
    </row>
    <row r="4974" spans="24:33" ht="43.95" customHeight="1" x14ac:dyDescent="0.3">
      <c r="X4974" s="2"/>
      <c r="Y4974" s="7"/>
      <c r="Z4974" s="2"/>
      <c r="AA4974" s="1"/>
      <c r="AC4974" s="2"/>
      <c r="AE4974" s="1"/>
      <c r="AG4974" s="2"/>
    </row>
    <row r="4975" spans="24:33" ht="43.95" customHeight="1" x14ac:dyDescent="0.3">
      <c r="X4975" s="2"/>
      <c r="Y4975" s="7"/>
      <c r="Z4975" s="2"/>
      <c r="AA4975" s="1"/>
      <c r="AC4975" s="2"/>
      <c r="AE4975" s="1"/>
      <c r="AG4975" s="2"/>
    </row>
    <row r="4976" spans="24:33" ht="43.95" customHeight="1" x14ac:dyDescent="0.3">
      <c r="X4976" s="2"/>
      <c r="Y4976" s="7"/>
      <c r="Z4976" s="2"/>
      <c r="AA4976" s="1"/>
      <c r="AC4976" s="2"/>
      <c r="AE4976" s="1"/>
      <c r="AG4976" s="2"/>
    </row>
    <row r="4977" spans="24:33" ht="43.95" customHeight="1" x14ac:dyDescent="0.3">
      <c r="X4977" s="2"/>
      <c r="Y4977" s="7"/>
      <c r="Z4977" s="2"/>
      <c r="AA4977" s="1"/>
      <c r="AC4977" s="2"/>
      <c r="AE4977" s="1"/>
      <c r="AG4977" s="2"/>
    </row>
    <row r="4978" spans="24:33" ht="43.95" customHeight="1" x14ac:dyDescent="0.3">
      <c r="X4978" s="2"/>
      <c r="Y4978" s="7"/>
      <c r="Z4978" s="2"/>
      <c r="AA4978" s="1"/>
      <c r="AC4978" s="2"/>
      <c r="AE4978" s="1"/>
      <c r="AG4978" s="2"/>
    </row>
    <row r="4979" spans="24:33" ht="43.95" customHeight="1" x14ac:dyDescent="0.3">
      <c r="X4979" s="2"/>
      <c r="Y4979" s="7"/>
      <c r="Z4979" s="2"/>
      <c r="AA4979" s="1"/>
      <c r="AC4979" s="2"/>
      <c r="AE4979" s="1"/>
      <c r="AG4979" s="2"/>
    </row>
    <row r="4980" spans="24:33" ht="43.95" customHeight="1" x14ac:dyDescent="0.3">
      <c r="X4980" s="2"/>
      <c r="Y4980" s="7"/>
      <c r="Z4980" s="2"/>
      <c r="AA4980" s="1"/>
      <c r="AC4980" s="2"/>
      <c r="AE4980" s="1"/>
      <c r="AG4980" s="2"/>
    </row>
    <row r="4981" spans="24:33" ht="43.95" customHeight="1" x14ac:dyDescent="0.3">
      <c r="X4981" s="2"/>
      <c r="Y4981" s="7"/>
      <c r="Z4981" s="2"/>
      <c r="AA4981" s="1"/>
      <c r="AC4981" s="2"/>
      <c r="AE4981" s="1"/>
      <c r="AG4981" s="2"/>
    </row>
    <row r="4982" spans="24:33" ht="43.95" customHeight="1" x14ac:dyDescent="0.3">
      <c r="X4982" s="2"/>
      <c r="Y4982" s="7"/>
      <c r="Z4982" s="2"/>
      <c r="AA4982" s="1"/>
      <c r="AC4982" s="2"/>
      <c r="AE4982" s="1"/>
      <c r="AG4982" s="2"/>
    </row>
    <row r="4983" spans="24:33" ht="43.95" customHeight="1" x14ac:dyDescent="0.3">
      <c r="X4983" s="2"/>
      <c r="Y4983" s="7"/>
      <c r="Z4983" s="2"/>
      <c r="AA4983" s="1"/>
      <c r="AC4983" s="2"/>
      <c r="AE4983" s="1"/>
      <c r="AG4983" s="2"/>
    </row>
    <row r="4984" spans="24:33" ht="43.95" customHeight="1" x14ac:dyDescent="0.3">
      <c r="X4984" s="2"/>
      <c r="Y4984" s="7"/>
      <c r="Z4984" s="2"/>
      <c r="AA4984" s="1"/>
      <c r="AC4984" s="2"/>
      <c r="AE4984" s="1"/>
      <c r="AG4984" s="2"/>
    </row>
    <row r="4985" spans="24:33" ht="43.95" customHeight="1" x14ac:dyDescent="0.3">
      <c r="X4985" s="2"/>
      <c r="Y4985" s="7"/>
      <c r="Z4985" s="2"/>
      <c r="AA4985" s="1"/>
      <c r="AC4985" s="2"/>
      <c r="AE4985" s="1"/>
      <c r="AG4985" s="2"/>
    </row>
    <row r="4986" spans="24:33" ht="43.95" customHeight="1" x14ac:dyDescent="0.3">
      <c r="X4986" s="2"/>
      <c r="Y4986" s="7"/>
      <c r="Z4986" s="2"/>
      <c r="AA4986" s="1"/>
      <c r="AC4986" s="2"/>
      <c r="AE4986" s="1"/>
      <c r="AG4986" s="2"/>
    </row>
    <row r="4987" spans="24:33" ht="43.95" customHeight="1" x14ac:dyDescent="0.3">
      <c r="X4987" s="2"/>
      <c r="Y4987" s="7"/>
      <c r="Z4987" s="2"/>
      <c r="AA4987" s="1"/>
      <c r="AC4987" s="2"/>
      <c r="AE4987" s="1"/>
      <c r="AG4987" s="2"/>
    </row>
    <row r="4988" spans="24:33" ht="43.95" customHeight="1" x14ac:dyDescent="0.3">
      <c r="X4988" s="2"/>
      <c r="Y4988" s="7"/>
      <c r="Z4988" s="2"/>
      <c r="AA4988" s="1"/>
      <c r="AC4988" s="2"/>
      <c r="AE4988" s="1"/>
      <c r="AG4988" s="2"/>
    </row>
    <row r="4989" spans="24:33" ht="43.95" customHeight="1" x14ac:dyDescent="0.3">
      <c r="X4989" s="2"/>
      <c r="Y4989" s="7"/>
      <c r="Z4989" s="2"/>
      <c r="AA4989" s="1"/>
      <c r="AC4989" s="2"/>
      <c r="AE4989" s="1"/>
      <c r="AG4989" s="2"/>
    </row>
    <row r="4990" spans="24:33" ht="43.95" customHeight="1" x14ac:dyDescent="0.3">
      <c r="X4990" s="2"/>
      <c r="Y4990" s="7"/>
      <c r="Z4990" s="2"/>
      <c r="AA4990" s="1"/>
      <c r="AC4990" s="2"/>
      <c r="AE4990" s="1"/>
      <c r="AG4990" s="2"/>
    </row>
    <row r="4991" spans="24:33" ht="43.95" customHeight="1" x14ac:dyDescent="0.3">
      <c r="X4991" s="2"/>
      <c r="Y4991" s="7"/>
      <c r="Z4991" s="2"/>
      <c r="AA4991" s="1"/>
      <c r="AC4991" s="2"/>
      <c r="AE4991" s="1"/>
      <c r="AG4991" s="2"/>
    </row>
    <row r="4992" spans="24:33" ht="43.95" customHeight="1" x14ac:dyDescent="0.3">
      <c r="X4992" s="2"/>
      <c r="Y4992" s="7"/>
      <c r="Z4992" s="2"/>
      <c r="AA4992" s="1"/>
      <c r="AC4992" s="2"/>
      <c r="AE4992" s="1"/>
      <c r="AG4992" s="2"/>
    </row>
    <row r="4993" spans="24:33" ht="43.95" customHeight="1" x14ac:dyDescent="0.3">
      <c r="X4993" s="2"/>
      <c r="Y4993" s="7"/>
      <c r="Z4993" s="2"/>
      <c r="AA4993" s="1"/>
      <c r="AC4993" s="2"/>
      <c r="AE4993" s="1"/>
      <c r="AG4993" s="2"/>
    </row>
    <row r="4994" spans="24:33" ht="43.95" customHeight="1" x14ac:dyDescent="0.3">
      <c r="X4994" s="2"/>
      <c r="Y4994" s="7"/>
      <c r="Z4994" s="2"/>
      <c r="AA4994" s="1"/>
      <c r="AC4994" s="2"/>
      <c r="AE4994" s="1"/>
      <c r="AG4994" s="2"/>
    </row>
    <row r="4995" spans="24:33" ht="43.95" customHeight="1" x14ac:dyDescent="0.3">
      <c r="X4995" s="2"/>
      <c r="Y4995" s="7"/>
      <c r="Z4995" s="2"/>
      <c r="AA4995" s="1"/>
      <c r="AC4995" s="2"/>
      <c r="AE4995" s="1"/>
      <c r="AG4995" s="2"/>
    </row>
    <row r="4996" spans="24:33" ht="43.95" customHeight="1" x14ac:dyDescent="0.3">
      <c r="X4996" s="2"/>
      <c r="Y4996" s="7"/>
      <c r="Z4996" s="2"/>
      <c r="AA4996" s="1"/>
      <c r="AC4996" s="2"/>
      <c r="AE4996" s="1"/>
      <c r="AG4996" s="2"/>
    </row>
    <row r="4997" spans="24:33" ht="43.95" customHeight="1" x14ac:dyDescent="0.3">
      <c r="X4997" s="2"/>
      <c r="Y4997" s="7"/>
      <c r="Z4997" s="2"/>
      <c r="AA4997" s="1"/>
      <c r="AC4997" s="2"/>
      <c r="AE4997" s="1"/>
      <c r="AG4997" s="2"/>
    </row>
    <row r="4998" spans="24:33" ht="43.95" customHeight="1" x14ac:dyDescent="0.3">
      <c r="X4998" s="2"/>
      <c r="Y4998" s="7"/>
      <c r="Z4998" s="2"/>
      <c r="AA4998" s="1"/>
      <c r="AC4998" s="2"/>
      <c r="AE4998" s="1"/>
      <c r="AG4998" s="2"/>
    </row>
    <row r="4999" spans="24:33" ht="43.95" customHeight="1" x14ac:dyDescent="0.3">
      <c r="X4999" s="2"/>
      <c r="Y4999" s="7"/>
      <c r="Z4999" s="2"/>
      <c r="AA4999" s="1"/>
      <c r="AC4999" s="2"/>
      <c r="AE4999" s="1"/>
      <c r="AG4999" s="2"/>
    </row>
    <row r="5000" spans="24:33" ht="43.95" customHeight="1" x14ac:dyDescent="0.3">
      <c r="X5000" s="2"/>
      <c r="Y5000" s="7"/>
      <c r="Z5000" s="2"/>
      <c r="AA5000" s="1"/>
      <c r="AC5000" s="2"/>
      <c r="AE5000" s="1"/>
      <c r="AG5000" s="2"/>
    </row>
    <row r="5001" spans="24:33" ht="43.95" customHeight="1" x14ac:dyDescent="0.3">
      <c r="X5001" s="2"/>
      <c r="Y5001" s="7"/>
      <c r="Z5001" s="2"/>
      <c r="AA5001" s="1"/>
      <c r="AC5001" s="2"/>
      <c r="AE5001" s="1"/>
      <c r="AG5001" s="2"/>
    </row>
    <row r="5002" spans="24:33" ht="43.95" customHeight="1" x14ac:dyDescent="0.3">
      <c r="X5002" s="2"/>
      <c r="Y5002" s="7"/>
      <c r="Z5002" s="2"/>
      <c r="AA5002" s="1"/>
      <c r="AC5002" s="2"/>
      <c r="AE5002" s="1"/>
      <c r="AG5002" s="2"/>
    </row>
    <row r="5003" spans="24:33" ht="43.95" customHeight="1" x14ac:dyDescent="0.3">
      <c r="X5003" s="217"/>
      <c r="Y5003" s="7"/>
      <c r="Z5003" s="2"/>
      <c r="AA5003" s="1"/>
      <c r="AC5003" s="2"/>
      <c r="AE5003" s="1"/>
      <c r="AG5003" s="2"/>
    </row>
    <row r="5004" spans="24:33" ht="43.95" customHeight="1" x14ac:dyDescent="0.3">
      <c r="X5004" s="2"/>
      <c r="Y5004" s="7"/>
      <c r="Z5004" s="2"/>
      <c r="AA5004" s="1"/>
      <c r="AC5004" s="2"/>
      <c r="AE5004" s="1"/>
      <c r="AG5004" s="2"/>
    </row>
    <row r="5005" spans="24:33" ht="43.95" customHeight="1" x14ac:dyDescent="0.3">
      <c r="X5005" s="2"/>
      <c r="Y5005" s="7"/>
      <c r="Z5005" s="2"/>
      <c r="AA5005" s="1"/>
      <c r="AC5005" s="2"/>
      <c r="AE5005" s="1"/>
      <c r="AG5005" s="2"/>
    </row>
    <row r="5006" spans="24:33" ht="43.95" customHeight="1" x14ac:dyDescent="0.3">
      <c r="X5006" s="2"/>
      <c r="Y5006" s="7"/>
      <c r="Z5006" s="2"/>
      <c r="AA5006" s="1"/>
      <c r="AC5006" s="2"/>
      <c r="AE5006" s="1"/>
      <c r="AG5006" s="2"/>
    </row>
    <row r="5007" spans="24:33" ht="43.95" customHeight="1" x14ac:dyDescent="0.3">
      <c r="X5007" s="2"/>
      <c r="Y5007" s="7"/>
      <c r="Z5007" s="2"/>
      <c r="AA5007" s="1"/>
      <c r="AC5007" s="2"/>
      <c r="AE5007" s="1"/>
      <c r="AG5007" s="2"/>
    </row>
    <row r="5008" spans="24:33" ht="43.95" customHeight="1" x14ac:dyDescent="0.3">
      <c r="X5008" s="2"/>
      <c r="Y5008" s="7"/>
      <c r="Z5008" s="2"/>
      <c r="AA5008" s="1"/>
      <c r="AC5008" s="2"/>
      <c r="AE5008" s="1"/>
      <c r="AG5008" s="2"/>
    </row>
    <row r="5009" spans="24:33" ht="43.95" customHeight="1" x14ac:dyDescent="0.3">
      <c r="X5009" s="2"/>
      <c r="Y5009" s="7"/>
      <c r="Z5009" s="2"/>
      <c r="AA5009" s="1"/>
      <c r="AC5009" s="2"/>
      <c r="AE5009" s="1"/>
      <c r="AG5009" s="2"/>
    </row>
    <row r="5010" spans="24:33" ht="43.95" customHeight="1" x14ac:dyDescent="0.3">
      <c r="X5010" s="2"/>
      <c r="Y5010" s="7"/>
      <c r="Z5010" s="2"/>
      <c r="AA5010" s="1"/>
      <c r="AC5010" s="2"/>
      <c r="AE5010" s="1"/>
      <c r="AG5010" s="2"/>
    </row>
    <row r="5011" spans="24:33" ht="43.95" customHeight="1" x14ac:dyDescent="0.3">
      <c r="X5011" s="2"/>
      <c r="Y5011" s="7"/>
      <c r="Z5011" s="2"/>
      <c r="AA5011" s="1"/>
      <c r="AC5011" s="2"/>
      <c r="AE5011" s="1"/>
      <c r="AG5011" s="2"/>
    </row>
    <row r="5012" spans="24:33" ht="43.95" customHeight="1" x14ac:dyDescent="0.3">
      <c r="X5012" s="2"/>
      <c r="Y5012" s="7"/>
      <c r="Z5012" s="2"/>
      <c r="AA5012" s="1"/>
      <c r="AC5012" s="2"/>
      <c r="AE5012" s="1"/>
      <c r="AG5012" s="2"/>
    </row>
    <row r="5013" spans="24:33" ht="43.95" customHeight="1" x14ac:dyDescent="0.3">
      <c r="X5013" s="2"/>
      <c r="Y5013" s="7"/>
      <c r="Z5013" s="2"/>
      <c r="AA5013" s="1"/>
      <c r="AC5013" s="2"/>
      <c r="AE5013" s="1"/>
      <c r="AG5013" s="2"/>
    </row>
    <row r="5014" spans="24:33" ht="43.95" customHeight="1" x14ac:dyDescent="0.3">
      <c r="X5014" s="2"/>
      <c r="Y5014" s="7"/>
      <c r="Z5014" s="2"/>
      <c r="AA5014" s="1"/>
      <c r="AC5014" s="2"/>
      <c r="AE5014" s="1"/>
      <c r="AG5014" s="2"/>
    </row>
    <row r="5015" spans="24:33" ht="43.95" customHeight="1" x14ac:dyDescent="0.3">
      <c r="X5015" s="217"/>
      <c r="Y5015" s="7"/>
      <c r="Z5015" s="2"/>
      <c r="AA5015" s="1"/>
      <c r="AC5015" s="2"/>
      <c r="AE5015" s="1"/>
      <c r="AG5015" s="2"/>
    </row>
    <row r="5016" spans="24:33" ht="43.95" customHeight="1" x14ac:dyDescent="0.3">
      <c r="X5016" s="2"/>
      <c r="Y5016" s="7"/>
      <c r="Z5016" s="2"/>
      <c r="AA5016" s="1"/>
      <c r="AC5016" s="2"/>
      <c r="AE5016" s="1"/>
      <c r="AG5016" s="2"/>
    </row>
    <row r="5017" spans="24:33" ht="43.95" customHeight="1" x14ac:dyDescent="0.3">
      <c r="X5017" s="2"/>
      <c r="Y5017" s="7"/>
      <c r="Z5017" s="2"/>
      <c r="AA5017" s="1"/>
      <c r="AC5017" s="2"/>
      <c r="AE5017" s="1"/>
      <c r="AG5017" s="2"/>
    </row>
    <row r="5018" spans="24:33" ht="43.95" customHeight="1" x14ac:dyDescent="0.3">
      <c r="X5018" s="2"/>
      <c r="Y5018" s="7"/>
      <c r="Z5018" s="2"/>
      <c r="AA5018" s="1"/>
      <c r="AC5018" s="2"/>
      <c r="AE5018" s="1"/>
      <c r="AG5018" s="2"/>
    </row>
    <row r="5019" spans="24:33" ht="43.95" customHeight="1" x14ac:dyDescent="0.3">
      <c r="X5019" s="2"/>
      <c r="Y5019" s="7"/>
      <c r="Z5019" s="2"/>
      <c r="AA5019" s="1"/>
      <c r="AC5019" s="2"/>
      <c r="AE5019" s="1"/>
      <c r="AG5019" s="2"/>
    </row>
    <row r="5020" spans="24:33" ht="43.95" customHeight="1" x14ac:dyDescent="0.3">
      <c r="X5020" s="2"/>
      <c r="Y5020" s="7"/>
      <c r="Z5020" s="2"/>
      <c r="AA5020" s="1"/>
      <c r="AC5020" s="2"/>
      <c r="AE5020" s="1"/>
      <c r="AG5020" s="2"/>
    </row>
    <row r="5021" spans="24:33" ht="43.95" customHeight="1" x14ac:dyDescent="0.3">
      <c r="X5021" s="2"/>
      <c r="Y5021" s="7"/>
      <c r="Z5021" s="2"/>
      <c r="AA5021" s="1"/>
      <c r="AC5021" s="2"/>
      <c r="AE5021" s="1"/>
      <c r="AG5021" s="2"/>
    </row>
    <row r="5022" spans="24:33" ht="43.95" customHeight="1" x14ac:dyDescent="0.3">
      <c r="X5022" s="2"/>
      <c r="Y5022" s="7"/>
      <c r="Z5022" s="2"/>
      <c r="AA5022" s="1"/>
      <c r="AC5022" s="2"/>
      <c r="AE5022" s="1"/>
      <c r="AG5022" s="2"/>
    </row>
    <row r="5023" spans="24:33" ht="43.95" customHeight="1" x14ac:dyDescent="0.3">
      <c r="X5023" s="2"/>
      <c r="Y5023" s="7"/>
      <c r="Z5023" s="2"/>
      <c r="AA5023" s="1"/>
      <c r="AC5023" s="2"/>
      <c r="AE5023" s="1"/>
      <c r="AG5023" s="2"/>
    </row>
    <row r="5024" spans="24:33" ht="43.95" customHeight="1" x14ac:dyDescent="0.3">
      <c r="X5024" s="2"/>
      <c r="Y5024" s="7"/>
      <c r="Z5024" s="2"/>
      <c r="AA5024" s="1"/>
      <c r="AC5024" s="2"/>
      <c r="AE5024" s="1"/>
      <c r="AG5024" s="2"/>
    </row>
    <row r="5025" spans="24:33" ht="43.95" customHeight="1" x14ac:dyDescent="0.3">
      <c r="X5025" s="217"/>
      <c r="Y5025" s="7"/>
      <c r="Z5025" s="2"/>
      <c r="AA5025" s="1"/>
      <c r="AC5025" s="2"/>
      <c r="AE5025" s="1"/>
      <c r="AG5025" s="2"/>
    </row>
    <row r="5026" spans="24:33" ht="43.95" customHeight="1" x14ac:dyDescent="0.3">
      <c r="X5026" s="2"/>
      <c r="Y5026" s="7"/>
      <c r="Z5026" s="2"/>
      <c r="AA5026" s="1"/>
      <c r="AC5026" s="2"/>
      <c r="AE5026" s="1"/>
      <c r="AG5026" s="2"/>
    </row>
    <row r="5027" spans="24:33" ht="43.95" customHeight="1" x14ac:dyDescent="0.3">
      <c r="X5027" s="2"/>
      <c r="Y5027" s="7"/>
      <c r="Z5027" s="2"/>
      <c r="AA5027" s="1"/>
      <c r="AC5027" s="2"/>
      <c r="AE5027" s="1"/>
      <c r="AG5027" s="2"/>
    </row>
    <row r="5028" spans="24:33" ht="43.95" customHeight="1" x14ac:dyDescent="0.3">
      <c r="X5028" s="2"/>
      <c r="Y5028" s="7"/>
      <c r="Z5028" s="2"/>
      <c r="AA5028" s="1"/>
      <c r="AC5028" s="2"/>
      <c r="AE5028" s="1"/>
      <c r="AG5028" s="2"/>
    </row>
    <row r="5029" spans="24:33" ht="43.95" customHeight="1" x14ac:dyDescent="0.3">
      <c r="X5029" s="2"/>
      <c r="Y5029" s="7"/>
      <c r="Z5029" s="2"/>
      <c r="AA5029" s="1"/>
      <c r="AC5029" s="2"/>
      <c r="AE5029" s="1"/>
      <c r="AG5029" s="2"/>
    </row>
    <row r="5030" spans="24:33" ht="43.95" customHeight="1" x14ac:dyDescent="0.3">
      <c r="X5030" s="2"/>
      <c r="Y5030" s="7"/>
      <c r="Z5030" s="2"/>
      <c r="AA5030" s="1"/>
      <c r="AC5030" s="2"/>
      <c r="AE5030" s="1"/>
      <c r="AG5030" s="2"/>
    </row>
    <row r="5031" spans="24:33" ht="43.95" customHeight="1" x14ac:dyDescent="0.3">
      <c r="X5031" s="2"/>
      <c r="Y5031" s="7"/>
      <c r="Z5031" s="2"/>
      <c r="AA5031" s="1"/>
      <c r="AC5031" s="2"/>
      <c r="AE5031" s="1"/>
      <c r="AG5031" s="2"/>
    </row>
    <row r="5032" spans="24:33" ht="43.95" customHeight="1" x14ac:dyDescent="0.3">
      <c r="X5032" s="2"/>
      <c r="Y5032" s="7"/>
      <c r="Z5032" s="2"/>
      <c r="AA5032" s="1"/>
      <c r="AC5032" s="2"/>
      <c r="AE5032" s="1"/>
      <c r="AG5032" s="2"/>
    </row>
    <row r="5033" spans="24:33" ht="43.95" customHeight="1" x14ac:dyDescent="0.3">
      <c r="X5033" s="2"/>
      <c r="Y5033" s="7"/>
      <c r="Z5033" s="2"/>
      <c r="AA5033" s="1"/>
      <c r="AC5033" s="2"/>
      <c r="AE5033" s="1"/>
      <c r="AG5033" s="2"/>
    </row>
    <row r="5034" spans="24:33" ht="43.95" customHeight="1" x14ac:dyDescent="0.3">
      <c r="X5034" s="2"/>
      <c r="Y5034" s="7"/>
      <c r="Z5034" s="2"/>
      <c r="AA5034" s="1"/>
      <c r="AC5034" s="2"/>
      <c r="AE5034" s="1"/>
      <c r="AG5034" s="2"/>
    </row>
    <row r="5035" spans="24:33" ht="43.95" customHeight="1" x14ac:dyDescent="0.3">
      <c r="X5035" s="2"/>
      <c r="Y5035" s="7"/>
      <c r="Z5035" s="2"/>
      <c r="AA5035" s="1"/>
      <c r="AC5035" s="2"/>
      <c r="AE5035" s="1"/>
      <c r="AG5035" s="2"/>
    </row>
    <row r="5036" spans="24:33" ht="43.95" customHeight="1" x14ac:dyDescent="0.3">
      <c r="X5036" s="2"/>
      <c r="Y5036" s="7"/>
      <c r="Z5036" s="2"/>
      <c r="AA5036" s="1"/>
      <c r="AC5036" s="2"/>
      <c r="AE5036" s="1"/>
      <c r="AG5036" s="2"/>
    </row>
    <row r="5037" spans="24:33" ht="43.95" customHeight="1" x14ac:dyDescent="0.3">
      <c r="X5037" s="2"/>
      <c r="Y5037" s="7"/>
      <c r="Z5037" s="2"/>
      <c r="AA5037" s="1"/>
      <c r="AC5037" s="2"/>
      <c r="AE5037" s="1"/>
      <c r="AG5037" s="2"/>
    </row>
    <row r="5038" spans="24:33" ht="43.95" customHeight="1" x14ac:dyDescent="0.3">
      <c r="X5038" s="2"/>
      <c r="Y5038" s="7"/>
      <c r="Z5038" s="2"/>
      <c r="AA5038" s="1"/>
      <c r="AC5038" s="2"/>
      <c r="AE5038" s="1"/>
      <c r="AG5038" s="2"/>
    </row>
    <row r="5039" spans="24:33" ht="43.95" customHeight="1" x14ac:dyDescent="0.3">
      <c r="X5039" s="217"/>
      <c r="Y5039" s="7"/>
      <c r="Z5039" s="2"/>
      <c r="AA5039" s="1"/>
      <c r="AC5039" s="2"/>
      <c r="AE5039" s="1"/>
      <c r="AG5039" s="2"/>
    </row>
    <row r="5040" spans="24:33" ht="43.95" customHeight="1" x14ac:dyDescent="0.3">
      <c r="X5040" s="2"/>
      <c r="Y5040" s="7"/>
      <c r="Z5040" s="2"/>
      <c r="AA5040" s="1"/>
      <c r="AC5040" s="2"/>
      <c r="AE5040" s="1"/>
      <c r="AG5040" s="2"/>
    </row>
    <row r="5041" spans="24:33" ht="43.95" customHeight="1" x14ac:dyDescent="0.3">
      <c r="X5041" s="2"/>
      <c r="Y5041" s="7"/>
      <c r="Z5041" s="2"/>
      <c r="AA5041" s="1"/>
      <c r="AC5041" s="2"/>
      <c r="AE5041" s="1"/>
      <c r="AG5041" s="2"/>
    </row>
    <row r="5042" spans="24:33" ht="43.95" customHeight="1" x14ac:dyDescent="0.3">
      <c r="X5042" s="2"/>
      <c r="Y5042" s="7"/>
      <c r="Z5042" s="2"/>
      <c r="AA5042" s="1"/>
      <c r="AC5042" s="2"/>
      <c r="AE5042" s="1"/>
      <c r="AG5042" s="2"/>
    </row>
    <row r="5043" spans="24:33" ht="43.95" customHeight="1" x14ac:dyDescent="0.3">
      <c r="X5043" s="2"/>
      <c r="Y5043" s="7"/>
      <c r="Z5043" s="2"/>
      <c r="AA5043" s="1"/>
      <c r="AC5043" s="2"/>
      <c r="AE5043" s="1"/>
      <c r="AG5043" s="2"/>
    </row>
    <row r="5044" spans="24:33" ht="43.95" customHeight="1" x14ac:dyDescent="0.3">
      <c r="X5044" s="2"/>
      <c r="Y5044" s="7"/>
      <c r="Z5044" s="2"/>
      <c r="AA5044" s="1"/>
      <c r="AC5044" s="2"/>
      <c r="AE5044" s="1"/>
      <c r="AG5044" s="2"/>
    </row>
    <row r="5045" spans="24:33" ht="43.95" customHeight="1" x14ac:dyDescent="0.3">
      <c r="X5045" s="2"/>
      <c r="Y5045" s="7"/>
      <c r="Z5045" s="2"/>
      <c r="AA5045" s="1"/>
      <c r="AC5045" s="2"/>
      <c r="AE5045" s="1"/>
      <c r="AG5045" s="2"/>
    </row>
    <row r="5046" spans="24:33" ht="43.95" customHeight="1" x14ac:dyDescent="0.3">
      <c r="X5046" s="2"/>
      <c r="Y5046" s="7"/>
      <c r="Z5046" s="2"/>
      <c r="AA5046" s="1"/>
      <c r="AC5046" s="2"/>
      <c r="AE5046" s="1"/>
      <c r="AG5046" s="2"/>
    </row>
    <row r="5047" spans="24:33" ht="43.95" customHeight="1" x14ac:dyDescent="0.3">
      <c r="X5047" s="2"/>
      <c r="Y5047" s="7"/>
      <c r="Z5047" s="2"/>
      <c r="AA5047" s="1"/>
      <c r="AC5047" s="2"/>
      <c r="AE5047" s="1"/>
      <c r="AG5047" s="2"/>
    </row>
    <row r="5048" spans="24:33" ht="43.95" customHeight="1" x14ac:dyDescent="0.3">
      <c r="X5048" s="2"/>
      <c r="Y5048" s="7"/>
      <c r="Z5048" s="2"/>
      <c r="AA5048" s="1"/>
      <c r="AC5048" s="2"/>
      <c r="AE5048" s="1"/>
      <c r="AG5048" s="2"/>
    </row>
    <row r="5049" spans="24:33" ht="43.95" customHeight="1" x14ac:dyDescent="0.3">
      <c r="X5049" s="2"/>
      <c r="Y5049" s="7"/>
      <c r="Z5049" s="2"/>
      <c r="AA5049" s="1"/>
      <c r="AC5049" s="2"/>
      <c r="AE5049" s="1"/>
      <c r="AG5049" s="2"/>
    </row>
    <row r="5050" spans="24:33" ht="43.95" customHeight="1" x14ac:dyDescent="0.3">
      <c r="X5050" s="2"/>
      <c r="Y5050" s="7"/>
      <c r="Z5050" s="2"/>
      <c r="AA5050" s="1"/>
      <c r="AC5050" s="2"/>
      <c r="AE5050" s="1"/>
      <c r="AG5050" s="2"/>
    </row>
    <row r="5051" spans="24:33" ht="43.95" customHeight="1" x14ac:dyDescent="0.3">
      <c r="X5051" s="2"/>
      <c r="Y5051" s="7"/>
      <c r="Z5051" s="2"/>
      <c r="AA5051" s="1"/>
      <c r="AC5051" s="2"/>
      <c r="AE5051" s="1"/>
      <c r="AG5051" s="2"/>
    </row>
    <row r="5052" spans="24:33" ht="43.95" customHeight="1" x14ac:dyDescent="0.3">
      <c r="X5052" s="2"/>
      <c r="Y5052" s="7"/>
      <c r="Z5052" s="2"/>
      <c r="AA5052" s="1"/>
      <c r="AC5052" s="2"/>
      <c r="AE5052" s="1"/>
      <c r="AG5052" s="2"/>
    </row>
    <row r="5053" spans="24:33" ht="43.95" customHeight="1" x14ac:dyDescent="0.3">
      <c r="X5053" s="2"/>
      <c r="Y5053" s="7"/>
      <c r="Z5053" s="2"/>
      <c r="AA5053" s="1"/>
      <c r="AC5053" s="2"/>
      <c r="AE5053" s="1"/>
      <c r="AG5053" s="2"/>
    </row>
    <row r="5054" spans="24:33" ht="43.95" customHeight="1" x14ac:dyDescent="0.3">
      <c r="X5054" s="2"/>
      <c r="Y5054" s="7"/>
      <c r="Z5054" s="2"/>
      <c r="AA5054" s="1"/>
      <c r="AC5054" s="2"/>
      <c r="AE5054" s="1"/>
      <c r="AG5054" s="2"/>
    </row>
    <row r="5055" spans="24:33" ht="43.95" customHeight="1" x14ac:dyDescent="0.3">
      <c r="X5055" s="2"/>
      <c r="Y5055" s="7"/>
      <c r="Z5055" s="2"/>
      <c r="AA5055" s="1"/>
      <c r="AC5055" s="2"/>
      <c r="AE5055" s="1"/>
      <c r="AG5055" s="2"/>
    </row>
    <row r="5056" spans="24:33" ht="43.95" customHeight="1" x14ac:dyDescent="0.3">
      <c r="X5056" s="2"/>
      <c r="Y5056" s="7"/>
      <c r="Z5056" s="2"/>
      <c r="AA5056" s="1"/>
      <c r="AC5056" s="2"/>
      <c r="AE5056" s="1"/>
      <c r="AG5056" s="2"/>
    </row>
    <row r="5057" spans="24:33" ht="43.95" customHeight="1" x14ac:dyDescent="0.3">
      <c r="X5057" s="2"/>
      <c r="Y5057" s="7"/>
      <c r="Z5057" s="2"/>
      <c r="AA5057" s="1"/>
      <c r="AC5057" s="2"/>
      <c r="AE5057" s="1"/>
      <c r="AG5057" s="2"/>
    </row>
    <row r="5058" spans="24:33" ht="43.95" customHeight="1" x14ac:dyDescent="0.3">
      <c r="X5058" s="2"/>
      <c r="Y5058" s="7"/>
      <c r="Z5058" s="2"/>
      <c r="AA5058" s="1"/>
      <c r="AC5058" s="2"/>
      <c r="AE5058" s="1"/>
      <c r="AG5058" s="2"/>
    </row>
    <row r="5059" spans="24:33" ht="43.95" customHeight="1" x14ac:dyDescent="0.3">
      <c r="X5059" s="2"/>
      <c r="Y5059" s="7"/>
      <c r="Z5059" s="2"/>
      <c r="AA5059" s="1"/>
      <c r="AC5059" s="2"/>
      <c r="AE5059" s="1"/>
      <c r="AG5059" s="2"/>
    </row>
    <row r="5060" spans="24:33" ht="43.95" customHeight="1" x14ac:dyDescent="0.3">
      <c r="X5060" s="2"/>
      <c r="Y5060" s="7"/>
      <c r="Z5060" s="2"/>
      <c r="AA5060" s="1"/>
      <c r="AC5060" s="2"/>
      <c r="AE5060" s="1"/>
      <c r="AG5060" s="2"/>
    </row>
    <row r="5061" spans="24:33" ht="43.95" customHeight="1" x14ac:dyDescent="0.3">
      <c r="X5061" s="2"/>
      <c r="Y5061" s="7"/>
      <c r="Z5061" s="2"/>
      <c r="AA5061" s="1"/>
      <c r="AC5061" s="2"/>
      <c r="AE5061" s="1"/>
      <c r="AG5061" s="2"/>
    </row>
    <row r="5062" spans="24:33" ht="43.95" customHeight="1" x14ac:dyDescent="0.3">
      <c r="X5062" s="2"/>
      <c r="Y5062" s="7"/>
      <c r="Z5062" s="2"/>
      <c r="AA5062" s="1"/>
      <c r="AC5062" s="2"/>
      <c r="AE5062" s="1"/>
      <c r="AG5062" s="2"/>
    </row>
    <row r="5063" spans="24:33" ht="43.95" customHeight="1" x14ac:dyDescent="0.3">
      <c r="X5063" s="2"/>
      <c r="Y5063" s="7"/>
      <c r="Z5063" s="2"/>
      <c r="AA5063" s="1"/>
      <c r="AC5063" s="2"/>
      <c r="AE5063" s="1"/>
      <c r="AG5063" s="2"/>
    </row>
    <row r="5064" spans="24:33" ht="43.95" customHeight="1" x14ac:dyDescent="0.3">
      <c r="X5064" s="2"/>
      <c r="Y5064" s="7"/>
      <c r="Z5064" s="2"/>
      <c r="AA5064" s="1"/>
      <c r="AC5064" s="2"/>
      <c r="AE5064" s="1"/>
      <c r="AG5064" s="2"/>
    </row>
    <row r="5065" spans="24:33" ht="43.95" customHeight="1" x14ac:dyDescent="0.3">
      <c r="X5065" s="2"/>
      <c r="Y5065" s="7"/>
      <c r="Z5065" s="2"/>
      <c r="AA5065" s="1"/>
      <c r="AC5065" s="2"/>
      <c r="AE5065" s="1"/>
      <c r="AG5065" s="2"/>
    </row>
    <row r="5066" spans="24:33" ht="43.95" customHeight="1" x14ac:dyDescent="0.3">
      <c r="X5066" s="2"/>
      <c r="Y5066" s="7"/>
      <c r="Z5066" s="2"/>
      <c r="AA5066" s="1"/>
      <c r="AC5066" s="2"/>
      <c r="AE5066" s="1"/>
      <c r="AG5066" s="2"/>
    </row>
    <row r="5067" spans="24:33" ht="43.95" customHeight="1" x14ac:dyDescent="0.3">
      <c r="X5067" s="2"/>
      <c r="Y5067" s="7"/>
      <c r="Z5067" s="2"/>
      <c r="AA5067" s="1"/>
      <c r="AC5067" s="2"/>
      <c r="AE5067" s="1"/>
      <c r="AG5067" s="2"/>
    </row>
    <row r="5068" spans="24:33" ht="43.95" customHeight="1" x14ac:dyDescent="0.3">
      <c r="X5068" s="2"/>
      <c r="Y5068" s="7"/>
      <c r="Z5068" s="2"/>
      <c r="AA5068" s="1"/>
      <c r="AC5068" s="2"/>
      <c r="AE5068" s="1"/>
      <c r="AG5068" s="2"/>
    </row>
    <row r="5069" spans="24:33" ht="43.95" customHeight="1" x14ac:dyDescent="0.3">
      <c r="X5069" s="2"/>
      <c r="Y5069" s="7"/>
      <c r="Z5069" s="2"/>
      <c r="AA5069" s="1"/>
      <c r="AC5069" s="2"/>
      <c r="AE5069" s="1"/>
      <c r="AG5069" s="2"/>
    </row>
    <row r="5070" spans="24:33" ht="43.95" customHeight="1" x14ac:dyDescent="0.3">
      <c r="X5070" s="2"/>
      <c r="Y5070" s="7"/>
      <c r="Z5070" s="2"/>
      <c r="AA5070" s="1"/>
      <c r="AC5070" s="2"/>
      <c r="AE5070" s="1"/>
      <c r="AG5070" s="2"/>
    </row>
    <row r="5071" spans="24:33" ht="43.95" customHeight="1" x14ac:dyDescent="0.3">
      <c r="X5071" s="2"/>
      <c r="Y5071" s="7"/>
      <c r="Z5071" s="2"/>
      <c r="AA5071" s="1"/>
      <c r="AC5071" s="2"/>
      <c r="AE5071" s="1"/>
      <c r="AG5071" s="2"/>
    </row>
    <row r="5072" spans="24:33" ht="43.95" customHeight="1" x14ac:dyDescent="0.3">
      <c r="X5072" s="2"/>
      <c r="Y5072" s="7"/>
      <c r="Z5072" s="2"/>
      <c r="AA5072" s="1"/>
      <c r="AC5072" s="2"/>
      <c r="AE5072" s="1"/>
      <c r="AG5072" s="2"/>
    </row>
    <row r="5073" spans="24:33" ht="43.95" customHeight="1" x14ac:dyDescent="0.3">
      <c r="X5073" s="2"/>
      <c r="Y5073" s="7"/>
      <c r="Z5073" s="2"/>
      <c r="AA5073" s="1"/>
      <c r="AC5073" s="2"/>
      <c r="AE5073" s="1"/>
      <c r="AG5073" s="2"/>
    </row>
    <row r="5074" spans="24:33" ht="43.95" customHeight="1" x14ac:dyDescent="0.3">
      <c r="X5074" s="2"/>
      <c r="Y5074" s="7"/>
      <c r="Z5074" s="2"/>
      <c r="AA5074" s="1"/>
      <c r="AC5074" s="2"/>
      <c r="AE5074" s="1"/>
      <c r="AG5074" s="2"/>
    </row>
    <row r="5075" spans="24:33" ht="43.95" customHeight="1" x14ac:dyDescent="0.3">
      <c r="X5075" s="2"/>
      <c r="Y5075" s="7"/>
      <c r="Z5075" s="2"/>
      <c r="AA5075" s="1"/>
      <c r="AC5075" s="2"/>
      <c r="AE5075" s="1"/>
      <c r="AG5075" s="2"/>
    </row>
    <row r="5076" spans="24:33" ht="43.95" customHeight="1" x14ac:dyDescent="0.3">
      <c r="X5076" s="2"/>
      <c r="Y5076" s="7"/>
      <c r="Z5076" s="2"/>
      <c r="AA5076" s="1"/>
      <c r="AC5076" s="2"/>
      <c r="AE5076" s="1"/>
      <c r="AG5076" s="2"/>
    </row>
    <row r="5077" spans="24:33" ht="43.95" customHeight="1" x14ac:dyDescent="0.3">
      <c r="X5077" s="2"/>
      <c r="Y5077" s="7"/>
      <c r="Z5077" s="2"/>
      <c r="AA5077" s="1"/>
      <c r="AC5077" s="2"/>
      <c r="AE5077" s="1"/>
      <c r="AG5077" s="2"/>
    </row>
    <row r="5078" spans="24:33" ht="43.95" customHeight="1" x14ac:dyDescent="0.3">
      <c r="X5078" s="2"/>
      <c r="Y5078" s="7"/>
      <c r="Z5078" s="2"/>
      <c r="AA5078" s="1"/>
      <c r="AC5078" s="2"/>
      <c r="AE5078" s="1"/>
      <c r="AG5078" s="2"/>
    </row>
    <row r="5079" spans="24:33" ht="43.95" customHeight="1" x14ac:dyDescent="0.3">
      <c r="X5079" s="2"/>
      <c r="Y5079" s="7"/>
      <c r="Z5079" s="2"/>
      <c r="AA5079" s="1"/>
      <c r="AC5079" s="2"/>
      <c r="AE5079" s="1"/>
      <c r="AG5079" s="2"/>
    </row>
    <row r="5080" spans="24:33" ht="43.95" customHeight="1" x14ac:dyDescent="0.3">
      <c r="X5080" s="2"/>
      <c r="Y5080" s="7"/>
      <c r="Z5080" s="2"/>
      <c r="AA5080" s="1"/>
      <c r="AC5080" s="2"/>
      <c r="AE5080" s="1"/>
      <c r="AG5080" s="2"/>
    </row>
    <row r="5081" spans="24:33" ht="43.95" customHeight="1" x14ac:dyDescent="0.3">
      <c r="X5081" s="2"/>
      <c r="Y5081" s="7"/>
      <c r="Z5081" s="2"/>
      <c r="AA5081" s="1"/>
      <c r="AC5081" s="2"/>
      <c r="AE5081" s="1"/>
      <c r="AG5081" s="2"/>
    </row>
    <row r="5082" spans="24:33" ht="43.95" customHeight="1" x14ac:dyDescent="0.3">
      <c r="X5082" s="2"/>
      <c r="Y5082" s="7"/>
      <c r="Z5082" s="2"/>
      <c r="AA5082" s="1"/>
      <c r="AC5082" s="2"/>
      <c r="AE5082" s="1"/>
      <c r="AG5082" s="2"/>
    </row>
    <row r="5083" spans="24:33" ht="43.95" customHeight="1" x14ac:dyDescent="0.3">
      <c r="X5083" s="2"/>
      <c r="Y5083" s="7"/>
      <c r="Z5083" s="2"/>
      <c r="AA5083" s="1"/>
      <c r="AC5083" s="2"/>
      <c r="AE5083" s="1"/>
      <c r="AG5083" s="2"/>
    </row>
    <row r="5084" spans="24:33" ht="43.95" customHeight="1" x14ac:dyDescent="0.3">
      <c r="X5084" s="2"/>
      <c r="Y5084" s="7"/>
      <c r="Z5084" s="2"/>
      <c r="AA5084" s="1"/>
      <c r="AC5084" s="2"/>
      <c r="AE5084" s="1"/>
      <c r="AG5084" s="2"/>
    </row>
    <row r="5085" spans="24:33" ht="43.95" customHeight="1" x14ac:dyDescent="0.3">
      <c r="X5085" s="2"/>
      <c r="Y5085" s="7"/>
      <c r="Z5085" s="2"/>
      <c r="AA5085" s="1"/>
      <c r="AC5085" s="2"/>
      <c r="AE5085" s="1"/>
      <c r="AG5085" s="2"/>
    </row>
    <row r="5086" spans="24:33" ht="43.95" customHeight="1" x14ac:dyDescent="0.3">
      <c r="X5086" s="2"/>
      <c r="Y5086" s="7"/>
      <c r="Z5086" s="2"/>
      <c r="AA5086" s="1"/>
      <c r="AC5086" s="2"/>
      <c r="AE5086" s="1"/>
      <c r="AG5086" s="2"/>
    </row>
    <row r="5087" spans="24:33" ht="43.95" customHeight="1" x14ac:dyDescent="0.3">
      <c r="X5087" s="2"/>
      <c r="Y5087" s="7"/>
      <c r="Z5087" s="2"/>
      <c r="AA5087" s="1"/>
      <c r="AC5087" s="2"/>
      <c r="AE5087" s="1"/>
      <c r="AG5087" s="2"/>
    </row>
    <row r="5088" spans="24:33" ht="43.95" customHeight="1" x14ac:dyDescent="0.3">
      <c r="X5088" s="2"/>
      <c r="Y5088" s="7"/>
      <c r="Z5088" s="2"/>
      <c r="AA5088" s="1"/>
      <c r="AC5088" s="2"/>
      <c r="AE5088" s="1"/>
      <c r="AG5088" s="2"/>
    </row>
    <row r="5089" spans="24:33" ht="43.95" customHeight="1" x14ac:dyDescent="0.3">
      <c r="X5089" s="219"/>
      <c r="Y5089" s="7"/>
      <c r="Z5089" s="2"/>
      <c r="AA5089" s="1"/>
      <c r="AC5089" s="2"/>
      <c r="AE5089" s="1"/>
      <c r="AG5089" s="2"/>
    </row>
    <row r="5090" spans="24:33" ht="43.95" customHeight="1" x14ac:dyDescent="0.3">
      <c r="X5090" s="2"/>
      <c r="Y5090" s="7"/>
      <c r="Z5090" s="2"/>
      <c r="AA5090" s="1"/>
      <c r="AC5090" s="2"/>
      <c r="AE5090" s="1"/>
      <c r="AG5090" s="2"/>
    </row>
    <row r="5091" spans="24:33" ht="43.95" customHeight="1" x14ac:dyDescent="0.3">
      <c r="X5091" s="2"/>
      <c r="Y5091" s="7"/>
      <c r="Z5091" s="2"/>
      <c r="AA5091" s="1"/>
      <c r="AC5091" s="2"/>
      <c r="AE5091" s="1"/>
      <c r="AG5091" s="2"/>
    </row>
    <row r="5092" spans="24:33" ht="43.95" customHeight="1" x14ac:dyDescent="0.3">
      <c r="X5092" s="2"/>
      <c r="Y5092" s="7"/>
      <c r="Z5092" s="2"/>
      <c r="AA5092" s="1"/>
      <c r="AC5092" s="2"/>
      <c r="AE5092" s="1"/>
      <c r="AG5092" s="2"/>
    </row>
    <row r="5093" spans="24:33" ht="43.95" customHeight="1" x14ac:dyDescent="0.3">
      <c r="X5093" s="219"/>
      <c r="Y5093" s="7"/>
      <c r="Z5093" s="2"/>
      <c r="AA5093" s="1"/>
      <c r="AC5093" s="2"/>
      <c r="AE5093" s="1"/>
      <c r="AG5093" s="2"/>
    </row>
    <row r="5094" spans="24:33" ht="43.95" customHeight="1" x14ac:dyDescent="0.3">
      <c r="X5094" s="2"/>
      <c r="Y5094" s="7"/>
      <c r="Z5094" s="2"/>
      <c r="AA5094" s="1"/>
      <c r="AC5094" s="2"/>
      <c r="AE5094" s="1"/>
      <c r="AG5094" s="2"/>
    </row>
    <row r="5095" spans="24:33" ht="43.95" customHeight="1" x14ac:dyDescent="0.3">
      <c r="X5095" s="2"/>
      <c r="Y5095" s="7"/>
      <c r="Z5095" s="2"/>
      <c r="AA5095" s="1"/>
      <c r="AC5095" s="2"/>
      <c r="AE5095" s="1"/>
      <c r="AG5095" s="2"/>
    </row>
    <row r="5096" spans="24:33" ht="43.95" customHeight="1" x14ac:dyDescent="0.3">
      <c r="X5096" s="2"/>
      <c r="Y5096" s="7"/>
      <c r="Z5096" s="2"/>
      <c r="AA5096" s="1"/>
      <c r="AC5096" s="2"/>
      <c r="AE5096" s="1"/>
      <c r="AG5096" s="2"/>
    </row>
    <row r="5097" spans="24:33" ht="43.95" customHeight="1" x14ac:dyDescent="0.3">
      <c r="X5097" s="2"/>
      <c r="Y5097" s="7"/>
      <c r="Z5097" s="2"/>
      <c r="AA5097" s="1"/>
      <c r="AC5097" s="2"/>
      <c r="AE5097" s="1"/>
      <c r="AG5097" s="2"/>
    </row>
    <row r="5098" spans="24:33" ht="43.95" customHeight="1" x14ac:dyDescent="0.3">
      <c r="X5098" s="2"/>
      <c r="Y5098" s="7"/>
      <c r="Z5098" s="2"/>
      <c r="AA5098" s="1"/>
      <c r="AC5098" s="2"/>
      <c r="AE5098" s="1"/>
      <c r="AG5098" s="2"/>
    </row>
    <row r="5099" spans="24:33" ht="43.95" customHeight="1" x14ac:dyDescent="0.3">
      <c r="X5099" s="2"/>
      <c r="Y5099" s="7"/>
      <c r="Z5099" s="2"/>
      <c r="AA5099" s="1"/>
      <c r="AC5099" s="2"/>
      <c r="AE5099" s="1"/>
      <c r="AG5099" s="2"/>
    </row>
    <row r="5100" spans="24:33" ht="43.95" customHeight="1" x14ac:dyDescent="0.3">
      <c r="X5100" s="2"/>
      <c r="Y5100" s="7"/>
      <c r="Z5100" s="2"/>
      <c r="AA5100" s="1"/>
      <c r="AC5100" s="2"/>
      <c r="AE5100" s="1"/>
      <c r="AG5100" s="2"/>
    </row>
    <row r="5101" spans="24:33" ht="43.95" customHeight="1" x14ac:dyDescent="0.3">
      <c r="X5101" s="2"/>
      <c r="Y5101" s="7"/>
      <c r="Z5101" s="2"/>
      <c r="AA5101" s="1"/>
      <c r="AC5101" s="2"/>
      <c r="AE5101" s="1"/>
      <c r="AG5101" s="2"/>
    </row>
    <row r="5102" spans="24:33" ht="43.95" customHeight="1" x14ac:dyDescent="0.3">
      <c r="X5102" s="2"/>
      <c r="Y5102" s="7"/>
      <c r="Z5102" s="2"/>
      <c r="AA5102" s="1"/>
      <c r="AC5102" s="2"/>
      <c r="AE5102" s="1"/>
      <c r="AG5102" s="2"/>
    </row>
    <row r="5103" spans="24:33" ht="43.95" customHeight="1" x14ac:dyDescent="0.3">
      <c r="X5103" s="2"/>
      <c r="Y5103" s="7"/>
      <c r="Z5103" s="2"/>
      <c r="AA5103" s="1"/>
      <c r="AC5103" s="2"/>
      <c r="AE5103" s="1"/>
      <c r="AG5103" s="2"/>
    </row>
    <row r="5104" spans="24:33" ht="43.95" customHeight="1" x14ac:dyDescent="0.3">
      <c r="X5104" s="2"/>
      <c r="Y5104" s="7"/>
      <c r="Z5104" s="2"/>
      <c r="AA5104" s="1"/>
      <c r="AC5104" s="2"/>
      <c r="AE5104" s="1"/>
      <c r="AG5104" s="2"/>
    </row>
    <row r="5105" spans="24:33" ht="43.95" customHeight="1" x14ac:dyDescent="0.3">
      <c r="X5105" s="2"/>
      <c r="Y5105" s="7"/>
      <c r="Z5105" s="2"/>
      <c r="AA5105" s="1"/>
      <c r="AC5105" s="2"/>
      <c r="AE5105" s="1"/>
      <c r="AG5105" s="2"/>
    </row>
    <row r="5106" spans="24:33" ht="43.95" customHeight="1" x14ac:dyDescent="0.3">
      <c r="X5106" s="2"/>
      <c r="Y5106" s="7"/>
      <c r="Z5106" s="2"/>
      <c r="AA5106" s="1"/>
      <c r="AC5106" s="2"/>
      <c r="AE5106" s="1"/>
      <c r="AG5106" s="2"/>
    </row>
    <row r="5107" spans="24:33" ht="43.95" customHeight="1" x14ac:dyDescent="0.3">
      <c r="X5107" s="2"/>
      <c r="Y5107" s="7"/>
      <c r="Z5107" s="2"/>
      <c r="AA5107" s="1"/>
      <c r="AC5107" s="2"/>
      <c r="AE5107" s="1"/>
      <c r="AG5107" s="2"/>
    </row>
    <row r="5108" spans="24:33" ht="43.95" customHeight="1" x14ac:dyDescent="0.3">
      <c r="X5108" s="2"/>
      <c r="Y5108" s="7"/>
      <c r="Z5108" s="2"/>
      <c r="AA5108" s="1"/>
      <c r="AC5108" s="2"/>
      <c r="AE5108" s="1"/>
      <c r="AG5108" s="2"/>
    </row>
    <row r="5109" spans="24:33" ht="43.95" customHeight="1" x14ac:dyDescent="0.3">
      <c r="X5109" s="2"/>
      <c r="Y5109" s="7"/>
      <c r="Z5109" s="2"/>
      <c r="AA5109" s="1"/>
      <c r="AC5109" s="2"/>
      <c r="AE5109" s="1"/>
      <c r="AG5109" s="2"/>
    </row>
    <row r="5110" spans="24:33" ht="43.95" customHeight="1" x14ac:dyDescent="0.3">
      <c r="X5110" s="2"/>
      <c r="Y5110" s="7"/>
      <c r="Z5110" s="2"/>
      <c r="AA5110" s="1"/>
      <c r="AC5110" s="2"/>
      <c r="AE5110" s="1"/>
      <c r="AG5110" s="2"/>
    </row>
    <row r="5111" spans="24:33" ht="43.95" customHeight="1" x14ac:dyDescent="0.3">
      <c r="X5111" s="2"/>
      <c r="Y5111" s="7"/>
      <c r="Z5111" s="2"/>
      <c r="AA5111" s="1"/>
      <c r="AC5111" s="2"/>
      <c r="AE5111" s="1"/>
      <c r="AG5111" s="2"/>
    </row>
    <row r="5112" spans="24:33" ht="43.95" customHeight="1" x14ac:dyDescent="0.3">
      <c r="X5112" s="2"/>
      <c r="Y5112" s="7"/>
      <c r="Z5112" s="2"/>
      <c r="AA5112" s="1"/>
      <c r="AC5112" s="2"/>
      <c r="AE5112" s="1"/>
      <c r="AG5112" s="2"/>
    </row>
    <row r="5113" spans="24:33" ht="43.95" customHeight="1" x14ac:dyDescent="0.3">
      <c r="X5113" s="2"/>
      <c r="Y5113" s="7"/>
      <c r="Z5113" s="2"/>
      <c r="AA5113" s="1"/>
      <c r="AC5113" s="2"/>
      <c r="AE5113" s="1"/>
      <c r="AG5113" s="2"/>
    </row>
    <row r="5114" spans="24:33" ht="43.95" customHeight="1" x14ac:dyDescent="0.3">
      <c r="X5114" s="2"/>
      <c r="Y5114" s="7"/>
      <c r="Z5114" s="2"/>
      <c r="AA5114" s="1"/>
      <c r="AC5114" s="2"/>
      <c r="AE5114" s="1"/>
      <c r="AG5114" s="2"/>
    </row>
    <row r="5115" spans="24:33" ht="43.95" customHeight="1" x14ac:dyDescent="0.3">
      <c r="X5115" s="2"/>
      <c r="Y5115" s="7"/>
      <c r="Z5115" s="2"/>
      <c r="AA5115" s="1"/>
      <c r="AC5115" s="2"/>
      <c r="AE5115" s="1"/>
      <c r="AG5115" s="2"/>
    </row>
    <row r="5116" spans="24:33" ht="43.95" customHeight="1" x14ac:dyDescent="0.3">
      <c r="X5116" s="2"/>
      <c r="Y5116" s="7"/>
      <c r="Z5116" s="2"/>
      <c r="AA5116" s="1"/>
      <c r="AC5116" s="2"/>
      <c r="AE5116" s="1"/>
      <c r="AG5116" s="2"/>
    </row>
    <row r="5117" spans="24:33" ht="43.95" customHeight="1" x14ac:dyDescent="0.3">
      <c r="X5117" s="221"/>
      <c r="Y5117" s="7"/>
      <c r="Z5117" s="2"/>
      <c r="AA5117" s="1"/>
      <c r="AC5117" s="2"/>
      <c r="AE5117" s="1"/>
      <c r="AG5117" s="2"/>
    </row>
    <row r="5118" spans="24:33" ht="43.95" customHeight="1" x14ac:dyDescent="0.3">
      <c r="X5118" s="221"/>
      <c r="Y5118" s="7"/>
      <c r="Z5118" s="2"/>
      <c r="AA5118" s="1"/>
      <c r="AC5118" s="2"/>
      <c r="AE5118" s="1"/>
      <c r="AG5118" s="2"/>
    </row>
    <row r="5119" spans="24:33" ht="43.95" customHeight="1" x14ac:dyDescent="0.3">
      <c r="X5119" s="2"/>
      <c r="Y5119" s="7"/>
      <c r="Z5119" s="2"/>
      <c r="AA5119" s="1"/>
      <c r="AC5119" s="2"/>
      <c r="AE5119" s="1"/>
      <c r="AG5119" s="2"/>
    </row>
    <row r="5120" spans="24:33" ht="43.95" customHeight="1" x14ac:dyDescent="0.3">
      <c r="X5120" s="2"/>
      <c r="Y5120" s="7"/>
      <c r="Z5120" s="2"/>
      <c r="AA5120" s="1"/>
      <c r="AC5120" s="2"/>
      <c r="AE5120" s="1"/>
      <c r="AG5120" s="2"/>
    </row>
    <row r="5121" spans="24:33" ht="43.95" customHeight="1" x14ac:dyDescent="0.3">
      <c r="X5121" s="2"/>
      <c r="Y5121" s="7"/>
      <c r="Z5121" s="2"/>
      <c r="AA5121" s="1"/>
      <c r="AC5121" s="2"/>
      <c r="AE5121" s="1"/>
      <c r="AG5121" s="2"/>
    </row>
    <row r="5122" spans="24:33" ht="43.95" customHeight="1" x14ac:dyDescent="0.3">
      <c r="X5122" s="221"/>
      <c r="Y5122" s="7"/>
      <c r="Z5122" s="2"/>
      <c r="AA5122" s="1"/>
      <c r="AC5122" s="2"/>
      <c r="AE5122" s="1"/>
      <c r="AG5122" s="2"/>
    </row>
    <row r="5123" spans="24:33" ht="43.95" customHeight="1" x14ac:dyDescent="0.3">
      <c r="X5123" s="2"/>
      <c r="Y5123" s="7"/>
      <c r="Z5123" s="2"/>
      <c r="AA5123" s="1"/>
      <c r="AC5123" s="2"/>
      <c r="AE5123" s="1"/>
      <c r="AG5123" s="2"/>
    </row>
    <row r="5124" spans="24:33" ht="43.95" customHeight="1" x14ac:dyDescent="0.3">
      <c r="X5124" s="2"/>
      <c r="Y5124" s="7"/>
      <c r="Z5124" s="2"/>
      <c r="AA5124" s="1"/>
      <c r="AC5124" s="2"/>
      <c r="AE5124" s="1"/>
      <c r="AG5124" s="2"/>
    </row>
    <row r="5125" spans="24:33" ht="43.95" customHeight="1" x14ac:dyDescent="0.3">
      <c r="X5125" s="2"/>
      <c r="Y5125" s="7"/>
      <c r="Z5125" s="2"/>
      <c r="AA5125" s="1"/>
      <c r="AC5125" s="2"/>
      <c r="AE5125" s="1"/>
      <c r="AG5125" s="2"/>
    </row>
    <row r="5126" spans="24:33" ht="43.95" customHeight="1" x14ac:dyDescent="0.3">
      <c r="X5126" s="2"/>
      <c r="Y5126" s="7"/>
      <c r="Z5126" s="2"/>
      <c r="AA5126" s="1"/>
      <c r="AC5126" s="2"/>
      <c r="AE5126" s="1"/>
      <c r="AG5126" s="2"/>
    </row>
    <row r="5127" spans="24:33" ht="43.95" customHeight="1" x14ac:dyDescent="0.3">
      <c r="X5127" s="2"/>
      <c r="Y5127" s="7"/>
      <c r="Z5127" s="2"/>
      <c r="AA5127" s="1"/>
      <c r="AC5127" s="2"/>
      <c r="AE5127" s="1"/>
      <c r="AG5127" s="2"/>
    </row>
    <row r="5128" spans="24:33" ht="43.95" customHeight="1" x14ac:dyDescent="0.3">
      <c r="X5128" s="2"/>
      <c r="Y5128" s="7"/>
      <c r="Z5128" s="2"/>
      <c r="AA5128" s="1"/>
      <c r="AC5128" s="2"/>
      <c r="AE5128" s="1"/>
      <c r="AG5128" s="2"/>
    </row>
    <row r="5129" spans="24:33" ht="43.95" customHeight="1" x14ac:dyDescent="0.3">
      <c r="X5129" s="2"/>
      <c r="Y5129" s="7"/>
      <c r="Z5129" s="2"/>
      <c r="AA5129" s="1"/>
      <c r="AC5129" s="2"/>
      <c r="AE5129" s="1"/>
      <c r="AG5129" s="2"/>
    </row>
    <row r="5130" spans="24:33" ht="43.95" customHeight="1" x14ac:dyDescent="0.3">
      <c r="X5130" s="2"/>
      <c r="Y5130" s="7"/>
      <c r="Z5130" s="2"/>
      <c r="AA5130" s="1"/>
      <c r="AC5130" s="2"/>
      <c r="AE5130" s="1"/>
      <c r="AG5130" s="2"/>
    </row>
    <row r="5131" spans="24:33" ht="43.95" customHeight="1" x14ac:dyDescent="0.3">
      <c r="X5131" s="2"/>
      <c r="Y5131" s="7"/>
      <c r="Z5131" s="2"/>
      <c r="AA5131" s="1"/>
      <c r="AC5131" s="2"/>
      <c r="AE5131" s="1"/>
      <c r="AG5131" s="2"/>
    </row>
    <row r="5132" spans="24:33" ht="43.95" customHeight="1" x14ac:dyDescent="0.3">
      <c r="X5132" s="221"/>
      <c r="Y5132" s="7"/>
      <c r="Z5132" s="2"/>
      <c r="AA5132" s="1"/>
      <c r="AC5132" s="2"/>
      <c r="AE5132" s="1"/>
      <c r="AG5132" s="2"/>
    </row>
    <row r="5133" spans="24:33" ht="43.95" customHeight="1" x14ac:dyDescent="0.3">
      <c r="X5133" s="2"/>
      <c r="Y5133" s="7"/>
      <c r="Z5133" s="2"/>
      <c r="AA5133" s="1"/>
      <c r="AC5133" s="2"/>
      <c r="AE5133" s="1"/>
      <c r="AG5133" s="2"/>
    </row>
    <row r="5134" spans="24:33" ht="43.95" customHeight="1" x14ac:dyDescent="0.3">
      <c r="X5134" s="2"/>
      <c r="Y5134" s="7"/>
      <c r="Z5134" s="2"/>
      <c r="AA5134" s="1"/>
      <c r="AC5134" s="2"/>
      <c r="AE5134" s="1"/>
      <c r="AG5134" s="2"/>
    </row>
    <row r="5135" spans="24:33" ht="43.95" customHeight="1" x14ac:dyDescent="0.3">
      <c r="X5135" s="2"/>
      <c r="Y5135" s="7"/>
      <c r="Z5135" s="2"/>
      <c r="AA5135" s="1"/>
      <c r="AC5135" s="2"/>
      <c r="AE5135" s="1"/>
      <c r="AG5135" s="2"/>
    </row>
    <row r="5136" spans="24:33" ht="43.95" customHeight="1" x14ac:dyDescent="0.3">
      <c r="X5136" s="2"/>
      <c r="Y5136" s="7"/>
      <c r="Z5136" s="2"/>
      <c r="AA5136" s="1"/>
      <c r="AC5136" s="2"/>
      <c r="AE5136" s="1"/>
      <c r="AG5136" s="2"/>
    </row>
    <row r="5137" spans="24:33" ht="43.95" customHeight="1" x14ac:dyDescent="0.3">
      <c r="X5137" s="2"/>
      <c r="Y5137" s="7"/>
      <c r="Z5137" s="2"/>
      <c r="AA5137" s="1"/>
      <c r="AC5137" s="2"/>
      <c r="AE5137" s="1"/>
      <c r="AG5137" s="2"/>
    </row>
    <row r="5138" spans="24:33" ht="43.95" customHeight="1" x14ac:dyDescent="0.3">
      <c r="X5138" s="2"/>
      <c r="Y5138" s="7"/>
      <c r="Z5138" s="2"/>
      <c r="AA5138" s="1"/>
      <c r="AC5138" s="2"/>
      <c r="AE5138" s="1"/>
      <c r="AG5138" s="2"/>
    </row>
    <row r="5139" spans="24:33" ht="43.95" customHeight="1" x14ac:dyDescent="0.3">
      <c r="X5139" s="2"/>
      <c r="Y5139" s="7"/>
      <c r="Z5139" s="2"/>
      <c r="AA5139" s="1"/>
      <c r="AC5139" s="2"/>
      <c r="AE5139" s="1"/>
      <c r="AG5139" s="2"/>
    </row>
    <row r="5140" spans="24:33" ht="43.95" customHeight="1" x14ac:dyDescent="0.3">
      <c r="X5140" s="2"/>
      <c r="Y5140" s="7"/>
      <c r="Z5140" s="2"/>
      <c r="AA5140" s="1"/>
      <c r="AC5140" s="2"/>
      <c r="AE5140" s="1"/>
      <c r="AG5140" s="2"/>
    </row>
    <row r="5141" spans="24:33" ht="43.95" customHeight="1" x14ac:dyDescent="0.3">
      <c r="X5141" s="2"/>
      <c r="Y5141" s="7"/>
      <c r="Z5141" s="2"/>
      <c r="AA5141" s="1"/>
      <c r="AC5141" s="2"/>
      <c r="AE5141" s="1"/>
      <c r="AG5141" s="2"/>
    </row>
    <row r="5142" spans="24:33" ht="43.95" customHeight="1" x14ac:dyDescent="0.3">
      <c r="X5142" s="2"/>
      <c r="Y5142" s="7"/>
      <c r="Z5142" s="2"/>
      <c r="AA5142" s="1"/>
      <c r="AC5142" s="2"/>
      <c r="AE5142" s="1"/>
      <c r="AG5142" s="2"/>
    </row>
    <row r="5143" spans="24:33" ht="43.95" customHeight="1" x14ac:dyDescent="0.3">
      <c r="X5143" s="2"/>
      <c r="Y5143" s="7"/>
      <c r="Z5143" s="2"/>
      <c r="AA5143" s="1"/>
      <c r="AC5143" s="2"/>
      <c r="AE5143" s="1"/>
      <c r="AG5143" s="2"/>
    </row>
    <row r="5144" spans="24:33" ht="43.95" customHeight="1" x14ac:dyDescent="0.3">
      <c r="X5144" s="2"/>
      <c r="Y5144" s="7"/>
      <c r="Z5144" s="2"/>
      <c r="AA5144" s="1"/>
      <c r="AC5144" s="2"/>
      <c r="AE5144" s="1"/>
      <c r="AG5144" s="2"/>
    </row>
    <row r="5145" spans="24:33" ht="43.95" customHeight="1" x14ac:dyDescent="0.3">
      <c r="X5145" s="2"/>
      <c r="Y5145" s="7"/>
      <c r="Z5145" s="2"/>
      <c r="AA5145" s="1"/>
      <c r="AC5145" s="2"/>
      <c r="AE5145" s="1"/>
      <c r="AG5145" s="2"/>
    </row>
    <row r="5146" spans="24:33" ht="43.95" customHeight="1" x14ac:dyDescent="0.3">
      <c r="X5146" s="2"/>
      <c r="Y5146" s="7"/>
      <c r="Z5146" s="2"/>
      <c r="AA5146" s="1"/>
      <c r="AC5146" s="2"/>
      <c r="AE5146" s="1"/>
      <c r="AG5146" s="2"/>
    </row>
    <row r="5147" spans="24:33" ht="43.95" customHeight="1" x14ac:dyDescent="0.3">
      <c r="X5147" s="2"/>
      <c r="Y5147" s="7"/>
      <c r="Z5147" s="2"/>
      <c r="AA5147" s="1"/>
      <c r="AC5147" s="2"/>
      <c r="AE5147" s="1"/>
      <c r="AG5147" s="2"/>
    </row>
    <row r="5148" spans="24:33" ht="43.95" customHeight="1" x14ac:dyDescent="0.3">
      <c r="X5148" s="2"/>
      <c r="Y5148" s="7"/>
      <c r="Z5148" s="2"/>
      <c r="AA5148" s="1"/>
      <c r="AC5148" s="2"/>
      <c r="AE5148" s="1"/>
      <c r="AG5148" s="2"/>
    </row>
    <row r="5149" spans="24:33" ht="43.95" customHeight="1" x14ac:dyDescent="0.3">
      <c r="X5149" s="2"/>
      <c r="Y5149" s="7"/>
      <c r="Z5149" s="2"/>
      <c r="AA5149" s="1"/>
      <c r="AC5149" s="2"/>
      <c r="AE5149" s="1"/>
      <c r="AG5149" s="2"/>
    </row>
    <row r="5150" spans="24:33" ht="43.95" customHeight="1" x14ac:dyDescent="0.3">
      <c r="X5150" s="2"/>
      <c r="Y5150" s="7"/>
      <c r="Z5150" s="2"/>
      <c r="AA5150" s="1"/>
      <c r="AC5150" s="2"/>
      <c r="AE5150" s="1"/>
      <c r="AG5150" s="2"/>
    </row>
    <row r="5151" spans="24:33" ht="43.95" customHeight="1" x14ac:dyDescent="0.3">
      <c r="X5151" s="2"/>
      <c r="Y5151" s="7"/>
      <c r="Z5151" s="2"/>
      <c r="AA5151" s="1"/>
      <c r="AC5151" s="2"/>
      <c r="AE5151" s="1"/>
      <c r="AG5151" s="2"/>
    </row>
    <row r="5152" spans="24:33" ht="43.95" customHeight="1" x14ac:dyDescent="0.3">
      <c r="X5152" s="2"/>
      <c r="Y5152" s="7"/>
      <c r="Z5152" s="2"/>
      <c r="AA5152" s="1"/>
      <c r="AC5152" s="2"/>
      <c r="AE5152" s="1"/>
      <c r="AG5152" s="2"/>
    </row>
    <row r="5153" spans="24:33" ht="43.95" customHeight="1" x14ac:dyDescent="0.3">
      <c r="X5153" s="2"/>
      <c r="Y5153" s="7"/>
      <c r="Z5153" s="2"/>
      <c r="AA5153" s="1"/>
      <c r="AC5153" s="2"/>
      <c r="AE5153" s="1"/>
      <c r="AG5153" s="2"/>
    </row>
    <row r="5154" spans="24:33" ht="43.95" customHeight="1" x14ac:dyDescent="0.3">
      <c r="X5154" s="2"/>
      <c r="Y5154" s="7"/>
      <c r="Z5154" s="2"/>
      <c r="AA5154" s="1"/>
      <c r="AC5154" s="2"/>
      <c r="AE5154" s="1"/>
      <c r="AG5154" s="2"/>
    </row>
    <row r="5155" spans="24:33" ht="43.95" customHeight="1" x14ac:dyDescent="0.3">
      <c r="X5155" s="2"/>
      <c r="Y5155" s="7"/>
      <c r="Z5155" s="2"/>
      <c r="AA5155" s="1"/>
      <c r="AC5155" s="2"/>
      <c r="AE5155" s="1"/>
      <c r="AG5155" s="2"/>
    </row>
    <row r="5156" spans="24:33" ht="43.95" customHeight="1" x14ac:dyDescent="0.3">
      <c r="X5156" s="2"/>
      <c r="Y5156" s="7"/>
      <c r="Z5156" s="2"/>
      <c r="AA5156" s="1"/>
      <c r="AC5156" s="2"/>
      <c r="AE5156" s="1"/>
      <c r="AG5156" s="2"/>
    </row>
    <row r="5157" spans="24:33" ht="43.95" customHeight="1" x14ac:dyDescent="0.3">
      <c r="X5157" s="2"/>
      <c r="Y5157" s="7"/>
      <c r="Z5157" s="2"/>
      <c r="AA5157" s="1"/>
      <c r="AC5157" s="2"/>
      <c r="AE5157" s="1"/>
      <c r="AG5157" s="2"/>
    </row>
    <row r="5158" spans="24:33" ht="43.95" customHeight="1" x14ac:dyDescent="0.3">
      <c r="X5158" s="2"/>
      <c r="Y5158" s="7"/>
      <c r="Z5158" s="2"/>
      <c r="AA5158" s="1"/>
      <c r="AC5158" s="2"/>
      <c r="AE5158" s="1"/>
      <c r="AG5158" s="2"/>
    </row>
    <row r="5159" spans="24:33" ht="43.95" customHeight="1" x14ac:dyDescent="0.3">
      <c r="X5159" s="2"/>
      <c r="Y5159" s="7"/>
      <c r="Z5159" s="2"/>
      <c r="AA5159" s="1"/>
      <c r="AC5159" s="2"/>
      <c r="AE5159" s="1"/>
      <c r="AG5159" s="2"/>
    </row>
    <row r="5160" spans="24:33" ht="43.95" customHeight="1" x14ac:dyDescent="0.3">
      <c r="X5160" s="2"/>
      <c r="Y5160" s="7"/>
      <c r="Z5160" s="2"/>
      <c r="AA5160" s="1"/>
      <c r="AC5160" s="2"/>
      <c r="AE5160" s="1"/>
      <c r="AG5160" s="2"/>
    </row>
    <row r="5161" spans="24:33" ht="43.95" customHeight="1" x14ac:dyDescent="0.3">
      <c r="X5161" s="2"/>
      <c r="Y5161" s="7"/>
      <c r="Z5161" s="2"/>
      <c r="AA5161" s="1"/>
      <c r="AC5161" s="2"/>
      <c r="AE5161" s="1"/>
      <c r="AG5161" s="2"/>
    </row>
    <row r="5162" spans="24:33" ht="43.95" customHeight="1" x14ac:dyDescent="0.3">
      <c r="X5162" s="2"/>
      <c r="Y5162" s="7"/>
      <c r="Z5162" s="2"/>
      <c r="AA5162" s="1"/>
      <c r="AC5162" s="2"/>
      <c r="AE5162" s="1"/>
      <c r="AG5162" s="2"/>
    </row>
    <row r="5163" spans="24:33" ht="43.95" customHeight="1" x14ac:dyDescent="0.3">
      <c r="X5163" s="2"/>
      <c r="Y5163" s="7"/>
      <c r="Z5163" s="2"/>
      <c r="AA5163" s="1"/>
      <c r="AC5163" s="2"/>
      <c r="AE5163" s="1"/>
      <c r="AG5163" s="2"/>
    </row>
    <row r="5164" spans="24:33" ht="43.95" customHeight="1" x14ac:dyDescent="0.3">
      <c r="X5164" s="2"/>
      <c r="Y5164" s="7"/>
      <c r="Z5164" s="2"/>
      <c r="AA5164" s="1"/>
      <c r="AC5164" s="2"/>
      <c r="AE5164" s="1"/>
      <c r="AG5164" s="2"/>
    </row>
    <row r="5165" spans="24:33" ht="43.95" customHeight="1" x14ac:dyDescent="0.3">
      <c r="X5165" s="2"/>
      <c r="Y5165" s="7"/>
      <c r="Z5165" s="2"/>
      <c r="AA5165" s="1"/>
      <c r="AC5165" s="2"/>
      <c r="AE5165" s="1"/>
      <c r="AG5165" s="2"/>
    </row>
    <row r="5166" spans="24:33" ht="43.95" customHeight="1" x14ac:dyDescent="0.3">
      <c r="X5166" s="2"/>
      <c r="Y5166" s="7"/>
      <c r="Z5166" s="2"/>
      <c r="AA5166" s="1"/>
      <c r="AC5166" s="2"/>
      <c r="AE5166" s="1"/>
      <c r="AG5166" s="2"/>
    </row>
    <row r="5167" spans="24:33" ht="43.95" customHeight="1" x14ac:dyDescent="0.3">
      <c r="X5167" s="2"/>
      <c r="Y5167" s="7"/>
      <c r="Z5167" s="2"/>
      <c r="AA5167" s="1"/>
      <c r="AC5167" s="2"/>
      <c r="AE5167" s="1"/>
      <c r="AG5167" s="2"/>
    </row>
    <row r="5168" spans="24:33" ht="43.95" customHeight="1" x14ac:dyDescent="0.3">
      <c r="X5168" s="2"/>
      <c r="Y5168" s="7"/>
      <c r="Z5168" s="2"/>
      <c r="AA5168" s="1"/>
      <c r="AC5168" s="2"/>
      <c r="AE5168" s="1"/>
      <c r="AG5168" s="2"/>
    </row>
    <row r="5169" spans="24:33" ht="43.95" customHeight="1" x14ac:dyDescent="0.3">
      <c r="X5169" s="2"/>
      <c r="Y5169" s="7"/>
      <c r="Z5169" s="2"/>
      <c r="AA5169" s="1"/>
      <c r="AC5169" s="2"/>
      <c r="AE5169" s="1"/>
      <c r="AG5169" s="2"/>
    </row>
    <row r="5170" spans="24:33" ht="43.95" customHeight="1" x14ac:dyDescent="0.3">
      <c r="X5170" s="2"/>
      <c r="Y5170" s="7"/>
      <c r="Z5170" s="2"/>
      <c r="AA5170" s="1"/>
      <c r="AC5170" s="2"/>
      <c r="AE5170" s="1"/>
      <c r="AG5170" s="2"/>
    </row>
    <row r="5171" spans="24:33" ht="43.95" customHeight="1" x14ac:dyDescent="0.3">
      <c r="X5171" s="2"/>
      <c r="Y5171" s="7"/>
      <c r="Z5171" s="2"/>
      <c r="AA5171" s="1"/>
      <c r="AC5171" s="2"/>
      <c r="AE5171" s="1"/>
      <c r="AG5171" s="2"/>
    </row>
    <row r="5172" spans="24:33" ht="43.95" customHeight="1" x14ac:dyDescent="0.3">
      <c r="X5172" s="2"/>
      <c r="Y5172" s="7"/>
      <c r="Z5172" s="2"/>
      <c r="AA5172" s="1"/>
      <c r="AC5172" s="2"/>
      <c r="AE5172" s="1"/>
      <c r="AG5172" s="2"/>
    </row>
    <row r="5173" spans="24:33" ht="43.95" customHeight="1" x14ac:dyDescent="0.3">
      <c r="X5173" s="2"/>
      <c r="Y5173" s="7"/>
      <c r="Z5173" s="2"/>
      <c r="AA5173" s="1"/>
      <c r="AC5173" s="2"/>
      <c r="AE5173" s="1"/>
      <c r="AG5173" s="2"/>
    </row>
    <row r="5174" spans="24:33" ht="43.95" customHeight="1" x14ac:dyDescent="0.3">
      <c r="X5174" s="2"/>
      <c r="Y5174" s="7"/>
      <c r="Z5174" s="2"/>
      <c r="AA5174" s="1"/>
      <c r="AC5174" s="2"/>
      <c r="AE5174" s="1"/>
      <c r="AG5174" s="2"/>
    </row>
    <row r="5175" spans="24:33" ht="43.95" customHeight="1" x14ac:dyDescent="0.3">
      <c r="X5175" s="2"/>
      <c r="Y5175" s="7"/>
      <c r="Z5175" s="2"/>
      <c r="AA5175" s="1"/>
      <c r="AC5175" s="2"/>
      <c r="AE5175" s="1"/>
      <c r="AG5175" s="2"/>
    </row>
    <row r="5176" spans="24:33" ht="43.95" customHeight="1" x14ac:dyDescent="0.3">
      <c r="X5176" s="2"/>
      <c r="Y5176" s="7"/>
      <c r="Z5176" s="2"/>
      <c r="AA5176" s="1"/>
      <c r="AC5176" s="2"/>
      <c r="AE5176" s="1"/>
      <c r="AG5176" s="2"/>
    </row>
    <row r="5177" spans="24:33" ht="43.95" customHeight="1" x14ac:dyDescent="0.3">
      <c r="X5177" s="2"/>
      <c r="Y5177" s="7"/>
      <c r="Z5177" s="2"/>
      <c r="AA5177" s="1"/>
      <c r="AC5177" s="2"/>
      <c r="AE5177" s="1"/>
      <c r="AG5177" s="2"/>
    </row>
    <row r="5178" spans="24:33" ht="43.95" customHeight="1" x14ac:dyDescent="0.3">
      <c r="X5178" s="2"/>
      <c r="Y5178" s="7"/>
      <c r="Z5178" s="2"/>
      <c r="AA5178" s="1"/>
      <c r="AC5178" s="2"/>
      <c r="AE5178" s="1"/>
      <c r="AG5178" s="2"/>
    </row>
    <row r="5179" spans="24:33" ht="43.95" customHeight="1" x14ac:dyDescent="0.3">
      <c r="X5179" s="2"/>
      <c r="Y5179" s="7"/>
      <c r="Z5179" s="2"/>
      <c r="AA5179" s="1"/>
      <c r="AC5179" s="2"/>
      <c r="AE5179" s="1"/>
      <c r="AG5179" s="2"/>
    </row>
    <row r="5180" spans="24:33" ht="43.95" customHeight="1" x14ac:dyDescent="0.3">
      <c r="X5180" s="2"/>
      <c r="Y5180" s="7"/>
      <c r="Z5180" s="2"/>
      <c r="AA5180" s="1"/>
      <c r="AC5180" s="2"/>
      <c r="AE5180" s="1"/>
      <c r="AG5180" s="2"/>
    </row>
    <row r="5181" spans="24:33" ht="43.95" customHeight="1" x14ac:dyDescent="0.3">
      <c r="X5181" s="2"/>
      <c r="Y5181" s="7"/>
      <c r="Z5181" s="2"/>
      <c r="AA5181" s="1"/>
      <c r="AC5181" s="2"/>
      <c r="AE5181" s="1"/>
      <c r="AG5181" s="2"/>
    </row>
    <row r="5182" spans="24:33" ht="43.95" customHeight="1" x14ac:dyDescent="0.3">
      <c r="X5182" s="2"/>
      <c r="Y5182" s="7"/>
      <c r="Z5182" s="2"/>
      <c r="AA5182" s="1"/>
      <c r="AC5182" s="2"/>
      <c r="AE5182" s="1"/>
      <c r="AG5182" s="2"/>
    </row>
    <row r="5183" spans="24:33" ht="43.95" customHeight="1" x14ac:dyDescent="0.3">
      <c r="X5183" s="2"/>
      <c r="Y5183" s="7"/>
      <c r="Z5183" s="2"/>
      <c r="AA5183" s="1"/>
      <c r="AC5183" s="2"/>
      <c r="AE5183" s="1"/>
      <c r="AG5183" s="2"/>
    </row>
    <row r="5184" spans="24:33" ht="43.95" customHeight="1" x14ac:dyDescent="0.3">
      <c r="X5184" s="2"/>
      <c r="Y5184" s="7"/>
      <c r="Z5184" s="2"/>
      <c r="AA5184" s="1"/>
      <c r="AC5184" s="2"/>
      <c r="AE5184" s="1"/>
      <c r="AG5184" s="2"/>
    </row>
    <row r="5185" spans="24:33" ht="43.95" customHeight="1" x14ac:dyDescent="0.3">
      <c r="X5185" s="2"/>
      <c r="Y5185" s="7"/>
      <c r="Z5185" s="2"/>
      <c r="AA5185" s="1"/>
      <c r="AC5185" s="2"/>
      <c r="AE5185" s="1"/>
      <c r="AG5185" s="2"/>
    </row>
    <row r="5186" spans="24:33" ht="43.95" customHeight="1" x14ac:dyDescent="0.3">
      <c r="X5186" s="2"/>
      <c r="Y5186" s="7"/>
      <c r="Z5186" s="2"/>
      <c r="AA5186" s="1"/>
      <c r="AC5186" s="2"/>
      <c r="AE5186" s="1"/>
      <c r="AG5186" s="2"/>
    </row>
    <row r="5187" spans="24:33" ht="43.95" customHeight="1" x14ac:dyDescent="0.3">
      <c r="X5187" s="2"/>
      <c r="Y5187" s="7"/>
      <c r="Z5187" s="2"/>
      <c r="AA5187" s="1"/>
      <c r="AC5187" s="2"/>
      <c r="AE5187" s="1"/>
      <c r="AG5187" s="2"/>
    </row>
    <row r="5188" spans="24:33" ht="43.95" customHeight="1" x14ac:dyDescent="0.3">
      <c r="X5188" s="2"/>
      <c r="Y5188" s="7"/>
      <c r="Z5188" s="2"/>
      <c r="AA5188" s="1"/>
      <c r="AC5188" s="2"/>
      <c r="AE5188" s="1"/>
      <c r="AG5188" s="2"/>
    </row>
    <row r="5189" spans="24:33" ht="43.95" customHeight="1" x14ac:dyDescent="0.3">
      <c r="X5189" s="2"/>
      <c r="Y5189" s="7"/>
      <c r="Z5189" s="2"/>
      <c r="AA5189" s="1"/>
      <c r="AC5189" s="2"/>
      <c r="AE5189" s="1"/>
      <c r="AG5189" s="2"/>
    </row>
    <row r="5190" spans="24:33" ht="43.95" customHeight="1" x14ac:dyDescent="0.3">
      <c r="X5190" s="2"/>
      <c r="Y5190" s="7"/>
      <c r="Z5190" s="2"/>
      <c r="AA5190" s="1"/>
      <c r="AC5190" s="2"/>
      <c r="AE5190" s="1"/>
      <c r="AG5190" s="2"/>
    </row>
    <row r="5191" spans="24:33" ht="43.95" customHeight="1" x14ac:dyDescent="0.3">
      <c r="X5191" s="2"/>
      <c r="Y5191" s="7"/>
      <c r="Z5191" s="2"/>
      <c r="AA5191" s="1"/>
      <c r="AC5191" s="2"/>
      <c r="AE5191" s="1"/>
      <c r="AG5191" s="2"/>
    </row>
    <row r="5192" spans="24:33" ht="43.95" customHeight="1" x14ac:dyDescent="0.3">
      <c r="X5192" s="2"/>
      <c r="Y5192" s="7"/>
      <c r="Z5192" s="2"/>
      <c r="AA5192" s="1"/>
      <c r="AC5192" s="2"/>
      <c r="AE5192" s="1"/>
      <c r="AG5192" s="2"/>
    </row>
    <row r="5193" spans="24:33" ht="43.95" customHeight="1" x14ac:dyDescent="0.3">
      <c r="X5193" s="2"/>
      <c r="Y5193" s="7"/>
      <c r="Z5193" s="2"/>
      <c r="AA5193" s="1"/>
      <c r="AC5193" s="2"/>
      <c r="AE5193" s="1"/>
      <c r="AG5193" s="2"/>
    </row>
    <row r="5194" spans="24:33" ht="43.95" customHeight="1" x14ac:dyDescent="0.3">
      <c r="X5194" s="2"/>
      <c r="Y5194" s="7"/>
      <c r="Z5194" s="2"/>
      <c r="AA5194" s="1"/>
      <c r="AC5194" s="2"/>
      <c r="AE5194" s="1"/>
      <c r="AG5194" s="2"/>
    </row>
    <row r="5195" spans="24:33" ht="43.95" customHeight="1" x14ac:dyDescent="0.3">
      <c r="X5195" s="2"/>
      <c r="Y5195" s="7"/>
      <c r="Z5195" s="2"/>
      <c r="AA5195" s="1"/>
      <c r="AC5195" s="2"/>
      <c r="AE5195" s="1"/>
      <c r="AG5195" s="2"/>
    </row>
    <row r="5196" spans="24:33" ht="43.95" customHeight="1" x14ac:dyDescent="0.3">
      <c r="X5196" s="2"/>
      <c r="Y5196" s="7"/>
      <c r="Z5196" s="2"/>
      <c r="AA5196" s="1"/>
      <c r="AC5196" s="2"/>
      <c r="AE5196" s="1"/>
      <c r="AG5196" s="2"/>
    </row>
    <row r="5197" spans="24:33" ht="43.95" customHeight="1" x14ac:dyDescent="0.3">
      <c r="X5197" s="2"/>
      <c r="Y5197" s="7"/>
      <c r="Z5197" s="2"/>
      <c r="AA5197" s="1"/>
      <c r="AC5197" s="2"/>
      <c r="AE5197" s="1"/>
      <c r="AG5197" s="2"/>
    </row>
    <row r="5198" spans="24:33" ht="43.95" customHeight="1" x14ac:dyDescent="0.3">
      <c r="X5198" s="2"/>
      <c r="Y5198" s="7"/>
      <c r="Z5198" s="2"/>
      <c r="AA5198" s="1"/>
      <c r="AC5198" s="2"/>
      <c r="AE5198" s="1"/>
      <c r="AG5198" s="2"/>
    </row>
    <row r="5199" spans="24:33" ht="43.95" customHeight="1" x14ac:dyDescent="0.3">
      <c r="X5199" s="2"/>
      <c r="Y5199" s="7"/>
      <c r="Z5199" s="2"/>
      <c r="AA5199" s="1"/>
      <c r="AC5199" s="2"/>
      <c r="AE5199" s="1"/>
      <c r="AG5199" s="2"/>
    </row>
    <row r="5200" spans="24:33" ht="43.95" customHeight="1" x14ac:dyDescent="0.3">
      <c r="X5200" s="2"/>
      <c r="Y5200" s="7"/>
      <c r="Z5200" s="2"/>
      <c r="AA5200" s="1"/>
      <c r="AC5200" s="2"/>
      <c r="AE5200" s="1"/>
      <c r="AG5200" s="2"/>
    </row>
    <row r="5201" spans="24:33" ht="43.95" customHeight="1" x14ac:dyDescent="0.3">
      <c r="X5201" s="2"/>
      <c r="Y5201" s="7"/>
      <c r="Z5201" s="2"/>
      <c r="AA5201" s="1"/>
      <c r="AC5201" s="2"/>
      <c r="AE5201" s="1"/>
      <c r="AG5201" s="2"/>
    </row>
    <row r="5202" spans="24:33" ht="43.95" customHeight="1" x14ac:dyDescent="0.3">
      <c r="X5202" s="2"/>
      <c r="Y5202" s="7"/>
      <c r="Z5202" s="2"/>
      <c r="AA5202" s="1"/>
      <c r="AC5202" s="2"/>
      <c r="AE5202" s="1"/>
      <c r="AG5202" s="2"/>
    </row>
    <row r="5203" spans="24:33" ht="43.95" customHeight="1" x14ac:dyDescent="0.3">
      <c r="X5203" s="2"/>
      <c r="Y5203" s="7"/>
      <c r="Z5203" s="2"/>
      <c r="AA5203" s="1"/>
      <c r="AC5203" s="2"/>
      <c r="AE5203" s="1"/>
      <c r="AG5203" s="2"/>
    </row>
    <row r="5204" spans="24:33" ht="43.95" customHeight="1" x14ac:dyDescent="0.3">
      <c r="X5204" s="2"/>
      <c r="Y5204" s="7"/>
      <c r="Z5204" s="2"/>
      <c r="AA5204" s="1"/>
      <c r="AC5204" s="2"/>
      <c r="AE5204" s="1"/>
      <c r="AG5204" s="2"/>
    </row>
    <row r="5205" spans="24:33" ht="43.95" customHeight="1" x14ac:dyDescent="0.3">
      <c r="X5205" s="2"/>
      <c r="Y5205" s="7"/>
      <c r="Z5205" s="2"/>
      <c r="AA5205" s="1"/>
      <c r="AC5205" s="2"/>
      <c r="AE5205" s="1"/>
      <c r="AG5205" s="2"/>
    </row>
    <row r="5206" spans="24:33" ht="43.95" customHeight="1" x14ac:dyDescent="0.3">
      <c r="X5206" s="223"/>
      <c r="Y5206" s="7"/>
      <c r="Z5206" s="2"/>
      <c r="AA5206" s="1"/>
      <c r="AC5206" s="2"/>
      <c r="AE5206" s="1"/>
      <c r="AG5206" s="2"/>
    </row>
    <row r="5207" spans="24:33" ht="43.95" customHeight="1" x14ac:dyDescent="0.3">
      <c r="X5207" s="223"/>
      <c r="Y5207" s="7"/>
      <c r="Z5207" s="2"/>
      <c r="AA5207" s="1"/>
      <c r="AC5207" s="2"/>
      <c r="AE5207" s="1"/>
      <c r="AG5207" s="2"/>
    </row>
    <row r="5208" spans="24:33" ht="43.95" customHeight="1" x14ac:dyDescent="0.3">
      <c r="X5208" s="223"/>
      <c r="Y5208" s="7"/>
      <c r="Z5208" s="2"/>
      <c r="AA5208" s="1"/>
      <c r="AC5208" s="2"/>
      <c r="AE5208" s="1"/>
      <c r="AG5208" s="2"/>
    </row>
    <row r="5209" spans="24:33" ht="43.95" customHeight="1" x14ac:dyDescent="0.3">
      <c r="X5209" s="2"/>
      <c r="Y5209" s="7"/>
      <c r="Z5209" s="2"/>
      <c r="AA5209" s="1"/>
      <c r="AC5209" s="2"/>
      <c r="AE5209" s="1"/>
      <c r="AG5209" s="2"/>
    </row>
    <row r="5210" spans="24:33" ht="43.95" customHeight="1" x14ac:dyDescent="0.3">
      <c r="X5210" s="2"/>
      <c r="Y5210" s="7"/>
      <c r="Z5210" s="2"/>
      <c r="AA5210" s="1"/>
      <c r="AC5210" s="2"/>
      <c r="AE5210" s="1"/>
      <c r="AG5210" s="2"/>
    </row>
    <row r="5211" spans="24:33" ht="43.95" customHeight="1" x14ac:dyDescent="0.3">
      <c r="X5211" s="2"/>
      <c r="Y5211" s="7"/>
      <c r="Z5211" s="2"/>
      <c r="AA5211" s="1"/>
      <c r="AC5211" s="2"/>
      <c r="AE5211" s="1"/>
      <c r="AG5211" s="2"/>
    </row>
    <row r="5212" spans="24:33" ht="43.95" customHeight="1" x14ac:dyDescent="0.3">
      <c r="X5212" s="2"/>
      <c r="Y5212" s="7"/>
      <c r="Z5212" s="2"/>
      <c r="AA5212" s="1"/>
      <c r="AC5212" s="2"/>
      <c r="AE5212" s="1"/>
      <c r="AG5212" s="2"/>
    </row>
    <row r="5213" spans="24:33" ht="43.95" customHeight="1" x14ac:dyDescent="0.3">
      <c r="X5213" s="2"/>
      <c r="Y5213" s="7"/>
      <c r="Z5213" s="2"/>
      <c r="AA5213" s="1"/>
      <c r="AC5213" s="2"/>
      <c r="AE5213" s="1"/>
      <c r="AG5213" s="2"/>
    </row>
    <row r="5214" spans="24:33" ht="43.95" customHeight="1" x14ac:dyDescent="0.3">
      <c r="X5214" s="2"/>
      <c r="Y5214" s="7"/>
      <c r="Z5214" s="2"/>
      <c r="AA5214" s="1"/>
      <c r="AC5214" s="2"/>
      <c r="AE5214" s="1"/>
      <c r="AG5214" s="2"/>
    </row>
    <row r="5215" spans="24:33" ht="43.95" customHeight="1" x14ac:dyDescent="0.3">
      <c r="X5215" s="2"/>
      <c r="Y5215" s="7"/>
      <c r="Z5215" s="2"/>
      <c r="AA5215" s="1"/>
      <c r="AC5215" s="2"/>
      <c r="AE5215" s="1"/>
      <c r="AG5215" s="2"/>
    </row>
    <row r="5216" spans="24:33" ht="43.95" customHeight="1" x14ac:dyDescent="0.3">
      <c r="X5216" s="2"/>
      <c r="Y5216" s="7"/>
      <c r="Z5216" s="2"/>
      <c r="AA5216" s="1"/>
      <c r="AC5216" s="2"/>
      <c r="AE5216" s="1"/>
      <c r="AG5216" s="2"/>
    </row>
    <row r="5217" spans="24:33" ht="43.95" customHeight="1" x14ac:dyDescent="0.3">
      <c r="X5217" s="2"/>
      <c r="Y5217" s="7"/>
      <c r="Z5217" s="2"/>
      <c r="AA5217" s="1"/>
      <c r="AC5217" s="2"/>
      <c r="AE5217" s="1"/>
      <c r="AG5217" s="2"/>
    </row>
    <row r="5218" spans="24:33" ht="43.95" customHeight="1" x14ac:dyDescent="0.3">
      <c r="X5218" s="2"/>
      <c r="Y5218" s="7"/>
      <c r="Z5218" s="2"/>
      <c r="AA5218" s="1"/>
      <c r="AC5218" s="2"/>
      <c r="AE5218" s="1"/>
      <c r="AG5218" s="2"/>
    </row>
    <row r="5219" spans="24:33" ht="43.95" customHeight="1" x14ac:dyDescent="0.3">
      <c r="X5219" s="2"/>
      <c r="Y5219" s="7"/>
      <c r="Z5219" s="2"/>
      <c r="AA5219" s="1"/>
      <c r="AC5219" s="2"/>
      <c r="AE5219" s="1"/>
      <c r="AG5219" s="2"/>
    </row>
    <row r="5220" spans="24:33" ht="43.95" customHeight="1" x14ac:dyDescent="0.3">
      <c r="X5220" s="2"/>
      <c r="Y5220" s="7"/>
      <c r="Z5220" s="2"/>
      <c r="AA5220" s="1"/>
      <c r="AC5220" s="2"/>
      <c r="AE5220" s="1"/>
      <c r="AG5220" s="2"/>
    </row>
    <row r="5221" spans="24:33" ht="43.95" customHeight="1" x14ac:dyDescent="0.3">
      <c r="X5221" s="2"/>
      <c r="Y5221" s="7"/>
      <c r="Z5221" s="2"/>
      <c r="AA5221" s="1"/>
      <c r="AC5221" s="2"/>
      <c r="AE5221" s="1"/>
      <c r="AG5221" s="2"/>
    </row>
    <row r="5222" spans="24:33" ht="43.95" customHeight="1" x14ac:dyDescent="0.3">
      <c r="X5222" s="2"/>
      <c r="Y5222" s="7"/>
      <c r="Z5222" s="2"/>
      <c r="AA5222" s="1"/>
      <c r="AC5222" s="2"/>
      <c r="AE5222" s="1"/>
      <c r="AG5222" s="2"/>
    </row>
    <row r="5223" spans="24:33" ht="43.95" customHeight="1" x14ac:dyDescent="0.3">
      <c r="X5223" s="2"/>
      <c r="Y5223" s="7"/>
      <c r="Z5223" s="2"/>
      <c r="AA5223" s="1"/>
      <c r="AC5223" s="2"/>
      <c r="AE5223" s="1"/>
      <c r="AG5223" s="2"/>
    </row>
    <row r="5224" spans="24:33" ht="43.95" customHeight="1" x14ac:dyDescent="0.3">
      <c r="X5224" s="2"/>
      <c r="Y5224" s="7"/>
      <c r="Z5224" s="2"/>
      <c r="AA5224" s="1"/>
      <c r="AC5224" s="2"/>
      <c r="AE5224" s="1"/>
      <c r="AG5224" s="2"/>
    </row>
    <row r="5225" spans="24:33" ht="43.95" customHeight="1" x14ac:dyDescent="0.3">
      <c r="X5225" s="225"/>
      <c r="Y5225" s="7"/>
      <c r="Z5225" s="2"/>
      <c r="AA5225" s="1"/>
      <c r="AC5225" s="2"/>
      <c r="AE5225" s="1"/>
      <c r="AG5225" s="2"/>
    </row>
    <row r="5226" spans="24:33" ht="43.95" customHeight="1" x14ac:dyDescent="0.3">
      <c r="X5226" s="2"/>
      <c r="Y5226" s="7"/>
      <c r="Z5226" s="2"/>
      <c r="AA5226" s="1"/>
      <c r="AC5226" s="2"/>
      <c r="AE5226" s="1"/>
      <c r="AG5226" s="2"/>
    </row>
    <row r="5227" spans="24:33" ht="43.95" customHeight="1" x14ac:dyDescent="0.3">
      <c r="X5227" s="2"/>
      <c r="Y5227" s="7"/>
      <c r="Z5227" s="2"/>
      <c r="AA5227" s="1"/>
      <c r="AC5227" s="2"/>
      <c r="AE5227" s="1"/>
      <c r="AG5227" s="2"/>
    </row>
    <row r="5228" spans="24:33" ht="43.95" customHeight="1" x14ac:dyDescent="0.3">
      <c r="X5228" s="2"/>
      <c r="Y5228" s="7"/>
      <c r="Z5228" s="2"/>
      <c r="AA5228" s="1"/>
      <c r="AC5228" s="2"/>
      <c r="AE5228" s="1"/>
      <c r="AG5228" s="2"/>
    </row>
    <row r="5229" spans="24:33" ht="43.95" customHeight="1" x14ac:dyDescent="0.3">
      <c r="X5229" s="2"/>
      <c r="Y5229" s="7"/>
      <c r="Z5229" s="2"/>
      <c r="AA5229" s="1"/>
      <c r="AC5229" s="2"/>
      <c r="AE5229" s="1"/>
      <c r="AG5229" s="2"/>
    </row>
    <row r="5230" spans="24:33" ht="43.95" customHeight="1" x14ac:dyDescent="0.3">
      <c r="X5230" s="2"/>
      <c r="Y5230" s="7"/>
      <c r="Z5230" s="2"/>
      <c r="AA5230" s="1"/>
      <c r="AC5230" s="2"/>
      <c r="AE5230" s="1"/>
      <c r="AG5230" s="2"/>
    </row>
    <row r="5231" spans="24:33" ht="43.95" customHeight="1" x14ac:dyDescent="0.3">
      <c r="X5231" s="2"/>
      <c r="Y5231" s="7"/>
      <c r="Z5231" s="2"/>
      <c r="AA5231" s="1"/>
      <c r="AC5231" s="2"/>
      <c r="AE5231" s="1"/>
      <c r="AG5231" s="2"/>
    </row>
    <row r="5232" spans="24:33" ht="43.95" customHeight="1" x14ac:dyDescent="0.3">
      <c r="X5232" s="2"/>
      <c r="Y5232" s="7"/>
      <c r="Z5232" s="2"/>
      <c r="AA5232" s="1"/>
      <c r="AC5232" s="2"/>
      <c r="AE5232" s="1"/>
      <c r="AG5232" s="2"/>
    </row>
    <row r="5233" spans="24:33" ht="43.95" customHeight="1" x14ac:dyDescent="0.3">
      <c r="X5233" s="2"/>
      <c r="Y5233" s="7"/>
      <c r="Z5233" s="2"/>
      <c r="AA5233" s="1"/>
      <c r="AC5233" s="2"/>
      <c r="AE5233" s="1"/>
      <c r="AG5233" s="2"/>
    </row>
    <row r="5234" spans="24:33" ht="43.95" customHeight="1" x14ac:dyDescent="0.3">
      <c r="X5234" s="2"/>
      <c r="Y5234" s="7"/>
      <c r="Z5234" s="2"/>
      <c r="AA5234" s="1"/>
      <c r="AC5234" s="2"/>
      <c r="AE5234" s="1"/>
      <c r="AG5234" s="2"/>
    </row>
    <row r="5235" spans="24:33" ht="43.95" customHeight="1" x14ac:dyDescent="0.3">
      <c r="X5235" s="2"/>
      <c r="Y5235" s="7"/>
      <c r="Z5235" s="2"/>
      <c r="AA5235" s="1"/>
      <c r="AC5235" s="2"/>
      <c r="AE5235" s="1"/>
      <c r="AG5235" s="2"/>
    </row>
    <row r="5236" spans="24:33" ht="43.95" customHeight="1" x14ac:dyDescent="0.3">
      <c r="X5236" s="2"/>
      <c r="Y5236" s="7"/>
      <c r="Z5236" s="2"/>
      <c r="AA5236" s="1"/>
      <c r="AC5236" s="2"/>
      <c r="AE5236" s="1"/>
      <c r="AG5236" s="2"/>
    </row>
    <row r="5237" spans="24:33" ht="43.95" customHeight="1" x14ac:dyDescent="0.3">
      <c r="X5237" s="2"/>
      <c r="Y5237" s="7"/>
      <c r="Z5237" s="2"/>
      <c r="AA5237" s="1"/>
      <c r="AC5237" s="2"/>
      <c r="AE5237" s="1"/>
      <c r="AG5237" s="2"/>
    </row>
    <row r="5238" spans="24:33" ht="43.95" customHeight="1" x14ac:dyDescent="0.3">
      <c r="X5238" s="2"/>
      <c r="Y5238" s="7"/>
      <c r="Z5238" s="2"/>
      <c r="AA5238" s="1"/>
      <c r="AC5238" s="2"/>
      <c r="AE5238" s="1"/>
      <c r="AG5238" s="2"/>
    </row>
    <row r="5239" spans="24:33" ht="43.95" customHeight="1" x14ac:dyDescent="0.3">
      <c r="X5239" s="2"/>
      <c r="Y5239" s="7"/>
      <c r="Z5239" s="2"/>
      <c r="AA5239" s="1"/>
      <c r="AC5239" s="2"/>
      <c r="AE5239" s="1"/>
      <c r="AG5239" s="2"/>
    </row>
    <row r="5240" spans="24:33" ht="43.95" customHeight="1" x14ac:dyDescent="0.3">
      <c r="X5240" s="2"/>
      <c r="Y5240" s="7"/>
      <c r="Z5240" s="2"/>
      <c r="AA5240" s="1"/>
      <c r="AC5240" s="2"/>
      <c r="AE5240" s="1"/>
      <c r="AG5240" s="2"/>
    </row>
    <row r="5241" spans="24:33" ht="43.95" customHeight="1" x14ac:dyDescent="0.3">
      <c r="X5241" s="2"/>
      <c r="Y5241" s="7"/>
      <c r="Z5241" s="2"/>
      <c r="AA5241" s="1"/>
      <c r="AC5241" s="2"/>
      <c r="AE5241" s="1"/>
      <c r="AG5241" s="2"/>
    </row>
    <row r="5242" spans="24:33" ht="43.95" customHeight="1" x14ac:dyDescent="0.3">
      <c r="X5242" s="2"/>
      <c r="Y5242" s="7"/>
      <c r="Z5242" s="2"/>
      <c r="AA5242" s="1"/>
      <c r="AC5242" s="2"/>
      <c r="AE5242" s="1"/>
      <c r="AG5242" s="2"/>
    </row>
    <row r="5243" spans="24:33" ht="43.95" customHeight="1" x14ac:dyDescent="0.3">
      <c r="X5243" s="2"/>
      <c r="Y5243" s="7"/>
      <c r="Z5243" s="2"/>
      <c r="AA5243" s="1"/>
      <c r="AC5243" s="2"/>
      <c r="AE5243" s="1"/>
      <c r="AG5243" s="2"/>
    </row>
    <row r="5244" spans="24:33" ht="43.95" customHeight="1" x14ac:dyDescent="0.3">
      <c r="X5244" s="2"/>
      <c r="Y5244" s="7"/>
      <c r="Z5244" s="2"/>
      <c r="AA5244" s="1"/>
      <c r="AC5244" s="2"/>
      <c r="AE5244" s="1"/>
      <c r="AG5244" s="2"/>
    </row>
    <row r="5245" spans="24:33" ht="43.95" customHeight="1" x14ac:dyDescent="0.3">
      <c r="X5245" s="2"/>
      <c r="Y5245" s="7"/>
      <c r="Z5245" s="2"/>
      <c r="AA5245" s="1"/>
      <c r="AC5245" s="2"/>
      <c r="AE5245" s="1"/>
      <c r="AG5245" s="2"/>
    </row>
    <row r="5246" spans="24:33" ht="43.95" customHeight="1" x14ac:dyDescent="0.3">
      <c r="X5246" s="2"/>
      <c r="Y5246" s="7"/>
      <c r="Z5246" s="2"/>
      <c r="AA5246" s="1"/>
      <c r="AC5246" s="2"/>
      <c r="AE5246" s="1"/>
      <c r="AG5246" s="2"/>
    </row>
    <row r="5247" spans="24:33" ht="43.95" customHeight="1" x14ac:dyDescent="0.3">
      <c r="X5247" s="2"/>
      <c r="Y5247" s="7"/>
      <c r="Z5247" s="2"/>
      <c r="AA5247" s="1"/>
      <c r="AC5247" s="2"/>
      <c r="AE5247" s="1"/>
      <c r="AG5247" s="2"/>
    </row>
    <row r="5248" spans="24:33" ht="43.95" customHeight="1" x14ac:dyDescent="0.3">
      <c r="X5248" s="2"/>
      <c r="Y5248" s="7"/>
      <c r="Z5248" s="2"/>
      <c r="AA5248" s="1"/>
      <c r="AC5248" s="2"/>
      <c r="AE5248" s="1"/>
      <c r="AG5248" s="2"/>
    </row>
    <row r="5249" spans="24:33" ht="43.95" customHeight="1" x14ac:dyDescent="0.3">
      <c r="X5249" s="2"/>
      <c r="Y5249" s="7"/>
      <c r="Z5249" s="2"/>
      <c r="AA5249" s="1"/>
      <c r="AC5249" s="2"/>
      <c r="AE5249" s="1"/>
      <c r="AG5249" s="2"/>
    </row>
    <row r="5250" spans="24:33" ht="43.95" customHeight="1" x14ac:dyDescent="0.3">
      <c r="X5250" s="2"/>
      <c r="Y5250" s="7"/>
      <c r="Z5250" s="2"/>
      <c r="AA5250" s="1"/>
      <c r="AC5250" s="2"/>
      <c r="AE5250" s="1"/>
      <c r="AG5250" s="2"/>
    </row>
    <row r="5251" spans="24:33" ht="43.95" customHeight="1" x14ac:dyDescent="0.3">
      <c r="X5251" s="2"/>
      <c r="Y5251" s="7"/>
      <c r="Z5251" s="2"/>
      <c r="AA5251" s="1"/>
      <c r="AC5251" s="2"/>
      <c r="AE5251" s="1"/>
      <c r="AG5251" s="2"/>
    </row>
    <row r="5252" spans="24:33" ht="43.95" customHeight="1" x14ac:dyDescent="0.3">
      <c r="X5252" s="2"/>
      <c r="Y5252" s="7"/>
      <c r="Z5252" s="2"/>
      <c r="AA5252" s="1"/>
      <c r="AC5252" s="2"/>
      <c r="AE5252" s="1"/>
      <c r="AG5252" s="2"/>
    </row>
    <row r="5253" spans="24:33" ht="43.95" customHeight="1" x14ac:dyDescent="0.3">
      <c r="X5253" s="2"/>
      <c r="Y5253" s="7"/>
      <c r="Z5253" s="2"/>
      <c r="AA5253" s="1"/>
      <c r="AC5253" s="2"/>
      <c r="AE5253" s="1"/>
      <c r="AG5253" s="2"/>
    </row>
    <row r="5254" spans="24:33" ht="43.95" customHeight="1" x14ac:dyDescent="0.3">
      <c r="X5254" s="2"/>
      <c r="Y5254" s="7"/>
      <c r="Z5254" s="2"/>
      <c r="AA5254" s="1"/>
      <c r="AC5254" s="2"/>
      <c r="AE5254" s="1"/>
      <c r="AG5254" s="2"/>
    </row>
    <row r="5255" spans="24:33" ht="43.95" customHeight="1" x14ac:dyDescent="0.3">
      <c r="X5255" s="225"/>
      <c r="Y5255" s="7"/>
      <c r="Z5255" s="2"/>
      <c r="AA5255" s="1"/>
      <c r="AC5255" s="2"/>
      <c r="AE5255" s="1"/>
      <c r="AG5255" s="2"/>
    </row>
    <row r="5256" spans="24:33" ht="43.95" customHeight="1" x14ac:dyDescent="0.3">
      <c r="X5256" s="2"/>
      <c r="Y5256" s="7"/>
      <c r="Z5256" s="2"/>
      <c r="AA5256" s="1"/>
      <c r="AC5256" s="2"/>
      <c r="AE5256" s="1"/>
      <c r="AG5256" s="2"/>
    </row>
    <row r="5257" spans="24:33" ht="43.95" customHeight="1" x14ac:dyDescent="0.3">
      <c r="X5257" s="2"/>
      <c r="Y5257" s="7"/>
      <c r="Z5257" s="2"/>
      <c r="AA5257" s="1"/>
      <c r="AC5257" s="2"/>
      <c r="AE5257" s="1"/>
      <c r="AG5257" s="2"/>
    </row>
    <row r="5258" spans="24:33" ht="43.95" customHeight="1" x14ac:dyDescent="0.3">
      <c r="X5258" s="2"/>
      <c r="Y5258" s="7"/>
      <c r="Z5258" s="2"/>
      <c r="AA5258" s="1"/>
      <c r="AC5258" s="2"/>
      <c r="AE5258" s="1"/>
      <c r="AG5258" s="2"/>
    </row>
    <row r="5259" spans="24:33" ht="43.95" customHeight="1" x14ac:dyDescent="0.3">
      <c r="X5259" s="2"/>
      <c r="Y5259" s="7"/>
      <c r="Z5259" s="2"/>
      <c r="AA5259" s="1"/>
      <c r="AC5259" s="2"/>
      <c r="AE5259" s="1"/>
      <c r="AG5259" s="2"/>
    </row>
    <row r="5260" spans="24:33" ht="43.95" customHeight="1" x14ac:dyDescent="0.3">
      <c r="X5260" s="2"/>
      <c r="Y5260" s="7"/>
      <c r="Z5260" s="2"/>
      <c r="AA5260" s="1"/>
      <c r="AC5260" s="2"/>
      <c r="AE5260" s="1"/>
      <c r="AG5260" s="2"/>
    </row>
    <row r="5261" spans="24:33" ht="43.95" customHeight="1" x14ac:dyDescent="0.3">
      <c r="X5261" s="2"/>
      <c r="Y5261" s="7"/>
      <c r="Z5261" s="2"/>
      <c r="AA5261" s="1"/>
      <c r="AC5261" s="2"/>
      <c r="AE5261" s="1"/>
      <c r="AG5261" s="2"/>
    </row>
    <row r="5262" spans="24:33" ht="43.95" customHeight="1" x14ac:dyDescent="0.3">
      <c r="X5262" s="2"/>
      <c r="Y5262" s="7"/>
      <c r="Z5262" s="2"/>
      <c r="AA5262" s="1"/>
      <c r="AC5262" s="2"/>
      <c r="AE5262" s="1"/>
      <c r="AG5262" s="2"/>
    </row>
    <row r="5263" spans="24:33" ht="43.95" customHeight="1" x14ac:dyDescent="0.3">
      <c r="X5263" s="2"/>
      <c r="Y5263" s="7"/>
      <c r="Z5263" s="2"/>
      <c r="AA5263" s="1"/>
      <c r="AC5263" s="2"/>
      <c r="AE5263" s="1"/>
      <c r="AG5263" s="2"/>
    </row>
    <row r="5264" spans="24:33" ht="43.95" customHeight="1" x14ac:dyDescent="0.3">
      <c r="X5264" s="2"/>
      <c r="Y5264" s="7"/>
      <c r="Z5264" s="2"/>
      <c r="AA5264" s="1"/>
      <c r="AC5264" s="2"/>
      <c r="AE5264" s="1"/>
      <c r="AG5264" s="2"/>
    </row>
    <row r="5265" spans="24:33" ht="43.95" customHeight="1" x14ac:dyDescent="0.3">
      <c r="X5265" s="2"/>
      <c r="Y5265" s="7"/>
      <c r="Z5265" s="2"/>
      <c r="AA5265" s="1"/>
      <c r="AC5265" s="2"/>
      <c r="AE5265" s="1"/>
      <c r="AG5265" s="2"/>
    </row>
    <row r="5266" spans="24:33" ht="43.95" customHeight="1" x14ac:dyDescent="0.3">
      <c r="X5266" s="2"/>
      <c r="Y5266" s="7"/>
      <c r="Z5266" s="2"/>
      <c r="AA5266" s="1"/>
      <c r="AC5266" s="2"/>
      <c r="AE5266" s="1"/>
      <c r="AG5266" s="2"/>
    </row>
    <row r="5267" spans="24:33" ht="43.95" customHeight="1" x14ac:dyDescent="0.3">
      <c r="X5267" s="2"/>
      <c r="Y5267" s="7"/>
      <c r="Z5267" s="2"/>
      <c r="AA5267" s="1"/>
      <c r="AC5267" s="2"/>
      <c r="AE5267" s="1"/>
      <c r="AG5267" s="2"/>
    </row>
    <row r="5268" spans="24:33" ht="43.95" customHeight="1" x14ac:dyDescent="0.3">
      <c r="X5268" s="225"/>
      <c r="Y5268" s="7"/>
      <c r="Z5268" s="2"/>
      <c r="AA5268" s="1"/>
      <c r="AC5268" s="2"/>
      <c r="AE5268" s="1"/>
      <c r="AG5268" s="2"/>
    </row>
    <row r="5269" spans="24:33" ht="43.95" customHeight="1" x14ac:dyDescent="0.3">
      <c r="X5269" s="2"/>
      <c r="Y5269" s="7"/>
      <c r="Z5269" s="2"/>
      <c r="AA5269" s="1"/>
      <c r="AC5269" s="2"/>
      <c r="AE5269" s="1"/>
      <c r="AG5269" s="2"/>
    </row>
    <row r="5270" spans="24:33" ht="43.95" customHeight="1" x14ac:dyDescent="0.3">
      <c r="X5270" s="2"/>
      <c r="Y5270" s="7"/>
      <c r="Z5270" s="2"/>
      <c r="AA5270" s="1"/>
      <c r="AC5270" s="2"/>
      <c r="AE5270" s="1"/>
      <c r="AG5270" s="2"/>
    </row>
    <row r="5271" spans="24:33" ht="43.95" customHeight="1" x14ac:dyDescent="0.3">
      <c r="X5271" s="2"/>
      <c r="Y5271" s="7"/>
      <c r="Z5271" s="2"/>
      <c r="AA5271" s="1"/>
      <c r="AC5271" s="2"/>
      <c r="AE5271" s="1"/>
      <c r="AG5271" s="2"/>
    </row>
    <row r="5272" spans="24:33" ht="43.95" customHeight="1" x14ac:dyDescent="0.3">
      <c r="X5272" s="2"/>
      <c r="Y5272" s="7"/>
      <c r="Z5272" s="2"/>
      <c r="AA5272" s="1"/>
      <c r="AC5272" s="2"/>
      <c r="AE5272" s="1"/>
      <c r="AG5272" s="2"/>
    </row>
    <row r="5273" spans="24:33" ht="43.95" customHeight="1" x14ac:dyDescent="0.3">
      <c r="X5273" s="2"/>
      <c r="Y5273" s="7"/>
      <c r="Z5273" s="2"/>
      <c r="AA5273" s="1"/>
      <c r="AC5273" s="2"/>
      <c r="AE5273" s="1"/>
      <c r="AG5273" s="2"/>
    </row>
    <row r="5274" spans="24:33" ht="43.95" customHeight="1" x14ac:dyDescent="0.3">
      <c r="X5274" s="2"/>
      <c r="Y5274" s="7"/>
      <c r="Z5274" s="2"/>
      <c r="AA5274" s="1"/>
      <c r="AC5274" s="2"/>
      <c r="AE5274" s="1"/>
      <c r="AG5274" s="2"/>
    </row>
    <row r="5275" spans="24:33" ht="43.95" customHeight="1" x14ac:dyDescent="0.3">
      <c r="X5275" s="2"/>
      <c r="Y5275" s="7"/>
      <c r="Z5275" s="2"/>
      <c r="AA5275" s="1"/>
      <c r="AC5275" s="2"/>
      <c r="AE5275" s="1"/>
      <c r="AG5275" s="2"/>
    </row>
    <row r="5276" spans="24:33" ht="43.95" customHeight="1" x14ac:dyDescent="0.3">
      <c r="X5276" s="2"/>
      <c r="Y5276" s="7"/>
      <c r="Z5276" s="2"/>
      <c r="AA5276" s="1"/>
      <c r="AC5276" s="2"/>
      <c r="AE5276" s="1"/>
      <c r="AG5276" s="2"/>
    </row>
    <row r="5277" spans="24:33" ht="43.95" customHeight="1" x14ac:dyDescent="0.3">
      <c r="X5277" s="2"/>
      <c r="Y5277" s="7"/>
      <c r="Z5277" s="2"/>
      <c r="AA5277" s="1"/>
      <c r="AC5277" s="2"/>
      <c r="AE5277" s="1"/>
      <c r="AG5277" s="2"/>
    </row>
    <row r="5278" spans="24:33" ht="43.95" customHeight="1" x14ac:dyDescent="0.3">
      <c r="X5278" s="2"/>
      <c r="Y5278" s="7"/>
      <c r="Z5278" s="2"/>
      <c r="AA5278" s="1"/>
      <c r="AC5278" s="2"/>
      <c r="AE5278" s="1"/>
      <c r="AG5278" s="2"/>
    </row>
    <row r="5279" spans="24:33" ht="43.95" customHeight="1" x14ac:dyDescent="0.3">
      <c r="X5279" s="2"/>
      <c r="Y5279" s="7"/>
      <c r="Z5279" s="2"/>
      <c r="AA5279" s="1"/>
      <c r="AC5279" s="2"/>
      <c r="AE5279" s="1"/>
      <c r="AG5279" s="2"/>
    </row>
    <row r="5280" spans="24:33" ht="43.95" customHeight="1" x14ac:dyDescent="0.3">
      <c r="X5280" s="2"/>
      <c r="Y5280" s="7"/>
      <c r="Z5280" s="2"/>
      <c r="AA5280" s="1"/>
      <c r="AC5280" s="2"/>
      <c r="AE5280" s="1"/>
      <c r="AG5280" s="2"/>
    </row>
    <row r="5281" spans="24:33" ht="43.95" customHeight="1" x14ac:dyDescent="0.3">
      <c r="X5281" s="2"/>
      <c r="Y5281" s="7"/>
      <c r="Z5281" s="2"/>
      <c r="AA5281" s="1"/>
      <c r="AC5281" s="2"/>
      <c r="AE5281" s="1"/>
      <c r="AG5281" s="2"/>
    </row>
    <row r="5282" spans="24:33" ht="43.95" customHeight="1" x14ac:dyDescent="0.3">
      <c r="X5282" s="2"/>
      <c r="Y5282" s="7"/>
      <c r="Z5282" s="2"/>
      <c r="AA5282" s="1"/>
      <c r="AC5282" s="2"/>
      <c r="AE5282" s="1"/>
      <c r="AG5282" s="2"/>
    </row>
    <row r="5283" spans="24:33" ht="43.95" customHeight="1" x14ac:dyDescent="0.3">
      <c r="X5283" s="2"/>
      <c r="Y5283" s="7"/>
      <c r="Z5283" s="2"/>
      <c r="AA5283" s="1"/>
      <c r="AC5283" s="2"/>
      <c r="AE5283" s="1"/>
      <c r="AG5283" s="2"/>
    </row>
    <row r="5284" spans="24:33" ht="43.95" customHeight="1" x14ac:dyDescent="0.3">
      <c r="X5284" s="2"/>
      <c r="Y5284" s="7"/>
      <c r="Z5284" s="2"/>
      <c r="AA5284" s="1"/>
      <c r="AC5284" s="2"/>
      <c r="AE5284" s="1"/>
      <c r="AG5284" s="2"/>
    </row>
    <row r="5285" spans="24:33" ht="43.95" customHeight="1" x14ac:dyDescent="0.3">
      <c r="X5285" s="2"/>
      <c r="Y5285" s="7"/>
      <c r="Z5285" s="2"/>
      <c r="AA5285" s="1"/>
      <c r="AC5285" s="2"/>
      <c r="AE5285" s="1"/>
      <c r="AG5285" s="2"/>
    </row>
    <row r="5286" spans="24:33" ht="43.95" customHeight="1" x14ac:dyDescent="0.3">
      <c r="X5286" s="2"/>
      <c r="Y5286" s="7"/>
      <c r="Z5286" s="2"/>
      <c r="AA5286" s="1"/>
      <c r="AC5286" s="2"/>
      <c r="AE5286" s="1"/>
      <c r="AG5286" s="2"/>
    </row>
    <row r="5287" spans="24:33" ht="43.95" customHeight="1" x14ac:dyDescent="0.3">
      <c r="X5287" s="2"/>
      <c r="Y5287" s="7"/>
      <c r="Z5287" s="2"/>
      <c r="AA5287" s="1"/>
      <c r="AC5287" s="2"/>
      <c r="AE5287" s="1"/>
      <c r="AG5287" s="2"/>
    </row>
    <row r="5288" spans="24:33" ht="43.95" customHeight="1" x14ac:dyDescent="0.3">
      <c r="X5288" s="2"/>
      <c r="Y5288" s="7"/>
      <c r="Z5288" s="2"/>
      <c r="AA5288" s="1"/>
      <c r="AC5288" s="2"/>
      <c r="AE5288" s="1"/>
      <c r="AG5288" s="2"/>
    </row>
    <row r="5289" spans="24:33" ht="43.95" customHeight="1" x14ac:dyDescent="0.3">
      <c r="X5289" s="2"/>
      <c r="Y5289" s="7"/>
      <c r="Z5289" s="2"/>
      <c r="AA5289" s="1"/>
      <c r="AC5289" s="2"/>
      <c r="AE5289" s="1"/>
      <c r="AG5289" s="2"/>
    </row>
    <row r="5290" spans="24:33" ht="43.95" customHeight="1" x14ac:dyDescent="0.3">
      <c r="X5290" s="2"/>
      <c r="Y5290" s="7"/>
      <c r="Z5290" s="2"/>
      <c r="AA5290" s="1"/>
      <c r="AC5290" s="2"/>
      <c r="AE5290" s="1"/>
      <c r="AG5290" s="2"/>
    </row>
    <row r="5291" spans="24:33" ht="43.95" customHeight="1" x14ac:dyDescent="0.3">
      <c r="X5291" s="2"/>
      <c r="Y5291" s="7"/>
      <c r="Z5291" s="2"/>
      <c r="AA5291" s="1"/>
      <c r="AC5291" s="2"/>
      <c r="AE5291" s="1"/>
      <c r="AG5291" s="2"/>
    </row>
    <row r="5292" spans="24:33" ht="43.95" customHeight="1" x14ac:dyDescent="0.3">
      <c r="X5292" s="2"/>
      <c r="Y5292" s="7"/>
      <c r="Z5292" s="2"/>
      <c r="AA5292" s="1"/>
      <c r="AC5292" s="2"/>
      <c r="AE5292" s="1"/>
      <c r="AG5292" s="2"/>
    </row>
    <row r="5293" spans="24:33" ht="43.95" customHeight="1" x14ac:dyDescent="0.3">
      <c r="X5293" s="2"/>
      <c r="Y5293" s="7"/>
      <c r="Z5293" s="2"/>
      <c r="AA5293" s="1"/>
      <c r="AC5293" s="2"/>
      <c r="AE5293" s="1"/>
      <c r="AG5293" s="2"/>
    </row>
    <row r="5294" spans="24:33" ht="43.95" customHeight="1" x14ac:dyDescent="0.3">
      <c r="X5294" s="2"/>
      <c r="Y5294" s="7"/>
      <c r="Z5294" s="2"/>
      <c r="AA5294" s="1"/>
      <c r="AC5294" s="2"/>
      <c r="AE5294" s="1"/>
      <c r="AG5294" s="2"/>
    </row>
    <row r="5295" spans="24:33" ht="43.95" customHeight="1" x14ac:dyDescent="0.3">
      <c r="X5295" s="2"/>
      <c r="Y5295" s="7"/>
      <c r="Z5295" s="2"/>
      <c r="AA5295" s="1"/>
      <c r="AC5295" s="2"/>
      <c r="AE5295" s="1"/>
      <c r="AG5295" s="2"/>
    </row>
    <row r="5296" spans="24:33" ht="43.95" customHeight="1" x14ac:dyDescent="0.3">
      <c r="X5296" s="2"/>
      <c r="Y5296" s="7"/>
      <c r="Z5296" s="2"/>
      <c r="AA5296" s="1"/>
      <c r="AC5296" s="2"/>
      <c r="AE5296" s="1"/>
      <c r="AG5296" s="2"/>
    </row>
    <row r="5297" spans="24:33" ht="43.95" customHeight="1" x14ac:dyDescent="0.3">
      <c r="X5297" s="2"/>
      <c r="Y5297" s="7"/>
      <c r="Z5297" s="2"/>
      <c r="AA5297" s="1"/>
      <c r="AC5297" s="2"/>
      <c r="AE5297" s="1"/>
      <c r="AG5297" s="2"/>
    </row>
    <row r="5298" spans="24:33" ht="43.95" customHeight="1" x14ac:dyDescent="0.3">
      <c r="X5298" s="2"/>
      <c r="Y5298" s="7"/>
      <c r="Z5298" s="2"/>
      <c r="AA5298" s="1"/>
      <c r="AC5298" s="2"/>
      <c r="AE5298" s="1"/>
      <c r="AG5298" s="2"/>
    </row>
    <row r="5299" spans="24:33" ht="43.95" customHeight="1" x14ac:dyDescent="0.3">
      <c r="X5299" s="225"/>
      <c r="Y5299" s="7"/>
      <c r="Z5299" s="2"/>
      <c r="AA5299" s="1"/>
      <c r="AC5299" s="2"/>
      <c r="AE5299" s="1"/>
      <c r="AG5299" s="2"/>
    </row>
    <row r="5300" spans="24:33" ht="43.95" customHeight="1" x14ac:dyDescent="0.3">
      <c r="X5300" s="2"/>
      <c r="Y5300" s="7"/>
      <c r="Z5300" s="2"/>
      <c r="AA5300" s="1"/>
      <c r="AC5300" s="2"/>
      <c r="AE5300" s="1"/>
      <c r="AG5300" s="2"/>
    </row>
    <row r="5301" spans="24:33" ht="43.95" customHeight="1" x14ac:dyDescent="0.3">
      <c r="X5301" s="2"/>
      <c r="Y5301" s="7"/>
      <c r="Z5301" s="2"/>
      <c r="AA5301" s="1"/>
      <c r="AC5301" s="2"/>
      <c r="AE5301" s="1"/>
      <c r="AG5301" s="2"/>
    </row>
    <row r="5302" spans="24:33" ht="43.95" customHeight="1" x14ac:dyDescent="0.3">
      <c r="X5302" s="2"/>
      <c r="Y5302" s="7"/>
      <c r="Z5302" s="2"/>
      <c r="AA5302" s="1"/>
      <c r="AC5302" s="2"/>
      <c r="AE5302" s="1"/>
      <c r="AG5302" s="2"/>
    </row>
    <row r="5303" spans="24:33" ht="43.95" customHeight="1" x14ac:dyDescent="0.3">
      <c r="X5303" s="2"/>
      <c r="Y5303" s="7"/>
      <c r="Z5303" s="2"/>
      <c r="AA5303" s="1"/>
      <c r="AC5303" s="2"/>
      <c r="AE5303" s="1"/>
      <c r="AG5303" s="2"/>
    </row>
    <row r="5304" spans="24:33" ht="43.95" customHeight="1" x14ac:dyDescent="0.3">
      <c r="X5304" s="2"/>
      <c r="Y5304" s="7"/>
      <c r="Z5304" s="2"/>
      <c r="AA5304" s="1"/>
      <c r="AC5304" s="2"/>
      <c r="AE5304" s="1"/>
      <c r="AG5304" s="2"/>
    </row>
    <row r="5305" spans="24:33" ht="43.95" customHeight="1" x14ac:dyDescent="0.3">
      <c r="X5305" s="2"/>
      <c r="Y5305" s="7"/>
      <c r="Z5305" s="2"/>
      <c r="AA5305" s="1"/>
      <c r="AC5305" s="2"/>
      <c r="AE5305" s="1"/>
      <c r="AG5305" s="2"/>
    </row>
    <row r="5306" spans="24:33" ht="43.95" customHeight="1" x14ac:dyDescent="0.3">
      <c r="X5306" s="2"/>
      <c r="Y5306" s="7"/>
      <c r="Z5306" s="2"/>
      <c r="AA5306" s="1"/>
      <c r="AC5306" s="2"/>
      <c r="AE5306" s="1"/>
      <c r="AG5306" s="2"/>
    </row>
    <row r="5307" spans="24:33" ht="43.95" customHeight="1" x14ac:dyDescent="0.3">
      <c r="X5307" s="2"/>
      <c r="Y5307" s="7"/>
      <c r="Z5307" s="2"/>
      <c r="AA5307" s="1"/>
      <c r="AC5307" s="2"/>
      <c r="AE5307" s="1"/>
      <c r="AG5307" s="2"/>
    </row>
    <row r="5308" spans="24:33" ht="43.95" customHeight="1" x14ac:dyDescent="0.3">
      <c r="X5308" s="2"/>
      <c r="Y5308" s="7"/>
      <c r="Z5308" s="2"/>
      <c r="AA5308" s="1"/>
      <c r="AC5308" s="2"/>
      <c r="AE5308" s="1"/>
      <c r="AG5308" s="2"/>
    </row>
    <row r="5309" spans="24:33" ht="43.95" customHeight="1" x14ac:dyDescent="0.3">
      <c r="X5309" s="2"/>
      <c r="Y5309" s="7"/>
      <c r="Z5309" s="2"/>
      <c r="AA5309" s="1"/>
      <c r="AC5309" s="2"/>
      <c r="AE5309" s="1"/>
      <c r="AG5309" s="2"/>
    </row>
    <row r="5310" spans="24:33" ht="43.95" customHeight="1" x14ac:dyDescent="0.3">
      <c r="X5310" s="2"/>
      <c r="Y5310" s="7"/>
      <c r="Z5310" s="2"/>
      <c r="AA5310" s="1"/>
      <c r="AC5310" s="2"/>
      <c r="AE5310" s="1"/>
      <c r="AG5310" s="2"/>
    </row>
    <row r="5311" spans="24:33" ht="43.95" customHeight="1" x14ac:dyDescent="0.3">
      <c r="X5311" s="2"/>
      <c r="Y5311" s="7"/>
      <c r="Z5311" s="2"/>
      <c r="AA5311" s="1"/>
      <c r="AC5311" s="2"/>
      <c r="AE5311" s="1"/>
      <c r="AG5311" s="2"/>
    </row>
    <row r="5312" spans="24:33" ht="43.95" customHeight="1" x14ac:dyDescent="0.3">
      <c r="X5312" s="2"/>
      <c r="Y5312" s="7"/>
      <c r="Z5312" s="2"/>
      <c r="AA5312" s="1"/>
      <c r="AC5312" s="2"/>
      <c r="AE5312" s="1"/>
      <c r="AG5312" s="2"/>
    </row>
    <row r="5313" spans="24:33" ht="43.95" customHeight="1" x14ac:dyDescent="0.3">
      <c r="X5313" s="2"/>
      <c r="Y5313" s="7"/>
      <c r="Z5313" s="2"/>
      <c r="AA5313" s="1"/>
      <c r="AC5313" s="2"/>
      <c r="AE5313" s="1"/>
      <c r="AG5313" s="2"/>
    </row>
    <row r="5314" spans="24:33" ht="43.95" customHeight="1" x14ac:dyDescent="0.3">
      <c r="X5314" s="2"/>
      <c r="Y5314" s="7"/>
      <c r="Z5314" s="2"/>
      <c r="AA5314" s="1"/>
      <c r="AC5314" s="2"/>
      <c r="AE5314" s="1"/>
      <c r="AG5314" s="2"/>
    </row>
    <row r="5315" spans="24:33" ht="43.95" customHeight="1" x14ac:dyDescent="0.3">
      <c r="X5315" s="2"/>
      <c r="Y5315" s="7"/>
      <c r="Z5315" s="2"/>
      <c r="AA5315" s="1"/>
      <c r="AC5315" s="2"/>
      <c r="AE5315" s="1"/>
      <c r="AG5315" s="2"/>
    </row>
    <row r="5316" spans="24:33" ht="43.95" customHeight="1" x14ac:dyDescent="0.3">
      <c r="X5316" s="2"/>
      <c r="Y5316" s="7"/>
      <c r="Z5316" s="2"/>
      <c r="AA5316" s="1"/>
      <c r="AC5316" s="2"/>
      <c r="AE5316" s="1"/>
      <c r="AG5316" s="2"/>
    </row>
    <row r="5317" spans="24:33" ht="43.95" customHeight="1" x14ac:dyDescent="0.3">
      <c r="X5317" s="2"/>
      <c r="Y5317" s="7"/>
      <c r="Z5317" s="2"/>
      <c r="AA5317" s="1"/>
      <c r="AC5317" s="2"/>
      <c r="AE5317" s="1"/>
      <c r="AG5317" s="2"/>
    </row>
    <row r="5318" spans="24:33" ht="43.95" customHeight="1" x14ac:dyDescent="0.3">
      <c r="X5318" s="2"/>
      <c r="Y5318" s="7"/>
      <c r="Z5318" s="2"/>
      <c r="AA5318" s="1"/>
      <c r="AC5318" s="2"/>
      <c r="AE5318" s="1"/>
      <c r="AG5318" s="2"/>
    </row>
    <row r="5319" spans="24:33" ht="43.95" customHeight="1" x14ac:dyDescent="0.3">
      <c r="X5319" s="2"/>
      <c r="Y5319" s="7"/>
      <c r="Z5319" s="2"/>
      <c r="AA5319" s="1"/>
      <c r="AC5319" s="2"/>
      <c r="AE5319" s="1"/>
      <c r="AG5319" s="2"/>
    </row>
    <row r="5320" spans="24:33" ht="43.95" customHeight="1" x14ac:dyDescent="0.3">
      <c r="X5320" s="2"/>
      <c r="Y5320" s="7"/>
      <c r="Z5320" s="2"/>
      <c r="AA5320" s="1"/>
      <c r="AC5320" s="2"/>
      <c r="AE5320" s="1"/>
      <c r="AG5320" s="2"/>
    </row>
    <row r="5321" spans="24:33" ht="43.95" customHeight="1" x14ac:dyDescent="0.3">
      <c r="X5321" s="2"/>
      <c r="Y5321" s="7"/>
      <c r="Z5321" s="2"/>
      <c r="AA5321" s="1"/>
      <c r="AC5321" s="2"/>
      <c r="AE5321" s="1"/>
      <c r="AG5321" s="2"/>
    </row>
    <row r="5322" spans="24:33" ht="43.95" customHeight="1" x14ac:dyDescent="0.3">
      <c r="X5322" s="2"/>
      <c r="Y5322" s="7"/>
      <c r="Z5322" s="2"/>
      <c r="AA5322" s="1"/>
      <c r="AC5322" s="2"/>
      <c r="AE5322" s="1"/>
      <c r="AG5322" s="2"/>
    </row>
    <row r="5323" spans="24:33" ht="43.95" customHeight="1" x14ac:dyDescent="0.3">
      <c r="X5323" s="2"/>
      <c r="Y5323" s="7"/>
      <c r="Z5323" s="2"/>
      <c r="AA5323" s="1"/>
      <c r="AC5323" s="2"/>
      <c r="AE5323" s="1"/>
      <c r="AG5323" s="2"/>
    </row>
    <row r="5324" spans="24:33" ht="43.95" customHeight="1" x14ac:dyDescent="0.3">
      <c r="X5324" s="2"/>
      <c r="Y5324" s="7"/>
      <c r="Z5324" s="2"/>
      <c r="AA5324" s="1"/>
      <c r="AC5324" s="2"/>
      <c r="AE5324" s="1"/>
      <c r="AG5324" s="2"/>
    </row>
    <row r="5325" spans="24:33" ht="43.95" customHeight="1" x14ac:dyDescent="0.3">
      <c r="X5325" s="2"/>
      <c r="Y5325" s="7"/>
      <c r="Z5325" s="2"/>
      <c r="AA5325" s="1"/>
      <c r="AC5325" s="2"/>
      <c r="AE5325" s="1"/>
      <c r="AG5325" s="2"/>
    </row>
    <row r="5326" spans="24:33" ht="43.95" customHeight="1" x14ac:dyDescent="0.3">
      <c r="X5326" s="2"/>
      <c r="Y5326" s="7"/>
      <c r="Z5326" s="2"/>
      <c r="AA5326" s="1"/>
      <c r="AC5326" s="2"/>
      <c r="AE5326" s="1"/>
      <c r="AG5326" s="2"/>
    </row>
    <row r="5327" spans="24:33" ht="43.95" customHeight="1" x14ac:dyDescent="0.3">
      <c r="X5327" s="2"/>
      <c r="Y5327" s="7"/>
      <c r="Z5327" s="2"/>
      <c r="AA5327" s="1"/>
      <c r="AC5327" s="2"/>
      <c r="AE5327" s="1"/>
      <c r="AG5327" s="2"/>
    </row>
    <row r="5328" spans="24:33" ht="43.95" customHeight="1" x14ac:dyDescent="0.3">
      <c r="X5328" s="2"/>
      <c r="Y5328" s="7"/>
      <c r="Z5328" s="2"/>
      <c r="AA5328" s="1"/>
      <c r="AC5328" s="2"/>
      <c r="AE5328" s="1"/>
      <c r="AG5328" s="2"/>
    </row>
    <row r="5329" spans="24:33" ht="43.95" customHeight="1" x14ac:dyDescent="0.3">
      <c r="X5329" s="2"/>
      <c r="Y5329" s="7"/>
      <c r="Z5329" s="2"/>
      <c r="AA5329" s="1"/>
      <c r="AC5329" s="2"/>
      <c r="AE5329" s="1"/>
      <c r="AG5329" s="2"/>
    </row>
    <row r="5330" spans="24:33" ht="43.95" customHeight="1" x14ac:dyDescent="0.3">
      <c r="X5330" s="2"/>
      <c r="Y5330" s="7"/>
      <c r="Z5330" s="2"/>
      <c r="AA5330" s="1"/>
      <c r="AC5330" s="2"/>
      <c r="AE5330" s="1"/>
      <c r="AG5330" s="2"/>
    </row>
    <row r="5331" spans="24:33" ht="43.95" customHeight="1" x14ac:dyDescent="0.3">
      <c r="X5331" s="2"/>
      <c r="Y5331" s="7"/>
      <c r="Z5331" s="2"/>
      <c r="AA5331" s="1"/>
      <c r="AC5331" s="2"/>
      <c r="AE5331" s="1"/>
      <c r="AG5331" s="2"/>
    </row>
    <row r="5332" spans="24:33" ht="43.95" customHeight="1" x14ac:dyDescent="0.3">
      <c r="X5332" s="2"/>
      <c r="Y5332" s="7"/>
      <c r="Z5332" s="2"/>
      <c r="AA5332" s="1"/>
      <c r="AC5332" s="2"/>
      <c r="AE5332" s="1"/>
      <c r="AG5332" s="2"/>
    </row>
    <row r="5333" spans="24:33" ht="43.95" customHeight="1" x14ac:dyDescent="0.3">
      <c r="X5333" s="2"/>
      <c r="Y5333" s="7"/>
      <c r="Z5333" s="2"/>
      <c r="AA5333" s="1"/>
      <c r="AC5333" s="2"/>
      <c r="AE5333" s="1"/>
      <c r="AG5333" s="2"/>
    </row>
    <row r="5334" spans="24:33" ht="43.95" customHeight="1" x14ac:dyDescent="0.3">
      <c r="X5334" s="2"/>
      <c r="Y5334" s="7"/>
      <c r="Z5334" s="2"/>
      <c r="AA5334" s="1"/>
      <c r="AC5334" s="2"/>
      <c r="AE5334" s="1"/>
      <c r="AG5334" s="2"/>
    </row>
    <row r="5335" spans="24:33" ht="43.95" customHeight="1" x14ac:dyDescent="0.3">
      <c r="X5335" s="2"/>
      <c r="Y5335" s="7"/>
      <c r="Z5335" s="2"/>
      <c r="AA5335" s="1"/>
      <c r="AC5335" s="2"/>
      <c r="AE5335" s="1"/>
      <c r="AG5335" s="2"/>
    </row>
    <row r="5336" spans="24:33" ht="43.95" customHeight="1" x14ac:dyDescent="0.3">
      <c r="X5336" s="2"/>
      <c r="Y5336" s="7"/>
      <c r="Z5336" s="2"/>
      <c r="AA5336" s="1"/>
      <c r="AC5336" s="2"/>
      <c r="AE5336" s="1"/>
      <c r="AG5336" s="2"/>
    </row>
    <row r="5337" spans="24:33" ht="43.95" customHeight="1" x14ac:dyDescent="0.3">
      <c r="X5337" s="2"/>
      <c r="Y5337" s="7"/>
      <c r="Z5337" s="2"/>
      <c r="AA5337" s="1"/>
      <c r="AC5337" s="2"/>
      <c r="AE5337" s="1"/>
      <c r="AG5337" s="2"/>
    </row>
    <row r="5338" spans="24:33" ht="43.95" customHeight="1" x14ac:dyDescent="0.3">
      <c r="X5338" s="2"/>
      <c r="Y5338" s="7"/>
      <c r="Z5338" s="2"/>
      <c r="AA5338" s="1"/>
      <c r="AC5338" s="2"/>
      <c r="AE5338" s="1"/>
      <c r="AG5338" s="2"/>
    </row>
    <row r="5339" spans="24:33" ht="43.95" customHeight="1" x14ac:dyDescent="0.3">
      <c r="X5339" s="2"/>
      <c r="Y5339" s="7"/>
      <c r="Z5339" s="2"/>
      <c r="AA5339" s="1"/>
      <c r="AC5339" s="2"/>
      <c r="AE5339" s="1"/>
      <c r="AG5339" s="2"/>
    </row>
    <row r="5340" spans="24:33" ht="43.95" customHeight="1" x14ac:dyDescent="0.3">
      <c r="X5340" s="2"/>
      <c r="Y5340" s="7"/>
      <c r="Z5340" s="2"/>
      <c r="AA5340" s="1"/>
      <c r="AC5340" s="2"/>
      <c r="AE5340" s="1"/>
      <c r="AG5340" s="2"/>
    </row>
    <row r="5341" spans="24:33" ht="43.95" customHeight="1" x14ac:dyDescent="0.3">
      <c r="X5341" s="2"/>
      <c r="Y5341" s="7"/>
      <c r="Z5341" s="2"/>
      <c r="AA5341" s="1"/>
      <c r="AC5341" s="2"/>
      <c r="AE5341" s="1"/>
      <c r="AG5341" s="2"/>
    </row>
    <row r="5342" spans="24:33" ht="43.95" customHeight="1" x14ac:dyDescent="0.3">
      <c r="X5342" s="2"/>
      <c r="Y5342" s="7"/>
      <c r="Z5342" s="2"/>
      <c r="AA5342" s="1"/>
      <c r="AC5342" s="2"/>
      <c r="AE5342" s="1"/>
      <c r="AG5342" s="2"/>
    </row>
    <row r="5343" spans="24:33" ht="43.95" customHeight="1" x14ac:dyDescent="0.3">
      <c r="X5343" s="2"/>
      <c r="Y5343" s="7"/>
      <c r="Z5343" s="2"/>
      <c r="AA5343" s="1"/>
      <c r="AC5343" s="2"/>
      <c r="AE5343" s="1"/>
      <c r="AG5343" s="2"/>
    </row>
    <row r="5344" spans="24:33" ht="43.95" customHeight="1" x14ac:dyDescent="0.3">
      <c r="X5344" s="2"/>
      <c r="Y5344" s="7"/>
      <c r="Z5344" s="2"/>
      <c r="AA5344" s="1"/>
      <c r="AC5344" s="2"/>
      <c r="AE5344" s="1"/>
      <c r="AG5344" s="2"/>
    </row>
    <row r="5345" spans="24:33" ht="43.95" customHeight="1" x14ac:dyDescent="0.3">
      <c r="X5345" s="2"/>
      <c r="Y5345" s="7"/>
      <c r="Z5345" s="2"/>
      <c r="AA5345" s="1"/>
      <c r="AC5345" s="2"/>
      <c r="AE5345" s="1"/>
      <c r="AG5345" s="2"/>
    </row>
    <row r="5346" spans="24:33" ht="43.95" customHeight="1" x14ac:dyDescent="0.3">
      <c r="X5346" s="2"/>
      <c r="Y5346" s="7"/>
      <c r="Z5346" s="2"/>
      <c r="AA5346" s="1"/>
      <c r="AC5346" s="2"/>
      <c r="AE5346" s="1"/>
      <c r="AG5346" s="2"/>
    </row>
    <row r="5347" spans="24:33" ht="43.95" customHeight="1" x14ac:dyDescent="0.3">
      <c r="X5347" s="2"/>
      <c r="Y5347" s="7"/>
      <c r="Z5347" s="2"/>
      <c r="AA5347" s="1"/>
      <c r="AC5347" s="2"/>
      <c r="AE5347" s="1"/>
      <c r="AG5347" s="2"/>
    </row>
    <row r="5348" spans="24:33" ht="43.95" customHeight="1" x14ac:dyDescent="0.3">
      <c r="X5348" s="2"/>
      <c r="Y5348" s="7"/>
      <c r="Z5348" s="2"/>
      <c r="AA5348" s="1"/>
      <c r="AC5348" s="2"/>
      <c r="AE5348" s="1"/>
      <c r="AG5348" s="2"/>
    </row>
    <row r="5349" spans="24:33" ht="43.95" customHeight="1" x14ac:dyDescent="0.3">
      <c r="X5349" s="2"/>
      <c r="Y5349" s="7"/>
      <c r="Z5349" s="2"/>
      <c r="AA5349" s="1"/>
      <c r="AC5349" s="2"/>
      <c r="AE5349" s="1"/>
      <c r="AG5349" s="2"/>
    </row>
    <row r="5350" spans="24:33" ht="43.95" customHeight="1" x14ac:dyDescent="0.3">
      <c r="X5350" s="2"/>
      <c r="Y5350" s="7"/>
      <c r="Z5350" s="2"/>
      <c r="AA5350" s="1"/>
      <c r="AC5350" s="2"/>
      <c r="AE5350" s="1"/>
      <c r="AG5350" s="2"/>
    </row>
    <row r="5351" spans="24:33" ht="43.95" customHeight="1" x14ac:dyDescent="0.3">
      <c r="X5351" s="2"/>
      <c r="Y5351" s="7"/>
      <c r="Z5351" s="2"/>
      <c r="AA5351" s="1"/>
      <c r="AC5351" s="2"/>
      <c r="AE5351" s="1"/>
      <c r="AG5351" s="2"/>
    </row>
    <row r="5352" spans="24:33" ht="43.95" customHeight="1" x14ac:dyDescent="0.3">
      <c r="X5352" s="2"/>
      <c r="Y5352" s="7"/>
      <c r="Z5352" s="2"/>
      <c r="AA5352" s="1"/>
      <c r="AC5352" s="2"/>
      <c r="AE5352" s="1"/>
      <c r="AG5352" s="2"/>
    </row>
    <row r="5353" spans="24:33" ht="43.95" customHeight="1" x14ac:dyDescent="0.3">
      <c r="X5353" s="2"/>
      <c r="Y5353" s="7"/>
      <c r="Z5353" s="2"/>
      <c r="AA5353" s="1"/>
      <c r="AC5353" s="2"/>
      <c r="AE5353" s="1"/>
      <c r="AG5353" s="2"/>
    </row>
    <row r="5354" spans="24:33" ht="43.95" customHeight="1" x14ac:dyDescent="0.3">
      <c r="X5354" s="2"/>
      <c r="Y5354" s="7"/>
      <c r="Z5354" s="2"/>
      <c r="AA5354" s="1"/>
      <c r="AC5354" s="2"/>
      <c r="AE5354" s="1"/>
      <c r="AG5354" s="2"/>
    </row>
    <row r="5355" spans="24:33" ht="43.95" customHeight="1" x14ac:dyDescent="0.3">
      <c r="X5355" s="2"/>
      <c r="Y5355" s="7"/>
      <c r="Z5355" s="2"/>
      <c r="AA5355" s="1"/>
      <c r="AC5355" s="2"/>
      <c r="AE5355" s="1"/>
      <c r="AG5355" s="2"/>
    </row>
    <row r="5356" spans="24:33" ht="43.95" customHeight="1" x14ac:dyDescent="0.3">
      <c r="X5356" s="2"/>
      <c r="Y5356" s="7"/>
      <c r="Z5356" s="2"/>
      <c r="AA5356" s="1"/>
      <c r="AC5356" s="2"/>
      <c r="AE5356" s="1"/>
      <c r="AG5356" s="2"/>
    </row>
    <row r="5357" spans="24:33" ht="43.95" customHeight="1" x14ac:dyDescent="0.3">
      <c r="X5357" s="2"/>
      <c r="Y5357" s="7"/>
      <c r="Z5357" s="2"/>
      <c r="AA5357" s="1"/>
      <c r="AC5357" s="2"/>
      <c r="AE5357" s="1"/>
      <c r="AG5357" s="2"/>
    </row>
    <row r="5358" spans="24:33" ht="43.95" customHeight="1" x14ac:dyDescent="0.3">
      <c r="X5358" s="2"/>
      <c r="Y5358" s="7"/>
      <c r="Z5358" s="2"/>
      <c r="AA5358" s="1"/>
      <c r="AC5358" s="2"/>
      <c r="AE5358" s="1"/>
      <c r="AG5358" s="2"/>
    </row>
    <row r="5359" spans="24:33" ht="43.95" customHeight="1" x14ac:dyDescent="0.3">
      <c r="X5359" s="2"/>
      <c r="Y5359" s="7"/>
      <c r="Z5359" s="2"/>
      <c r="AA5359" s="1"/>
      <c r="AC5359" s="2"/>
      <c r="AE5359" s="1"/>
      <c r="AG5359" s="2"/>
    </row>
    <row r="5360" spans="24:33" ht="43.95" customHeight="1" x14ac:dyDescent="0.3">
      <c r="X5360" s="2"/>
      <c r="Y5360" s="7"/>
      <c r="Z5360" s="2"/>
      <c r="AA5360" s="1"/>
      <c r="AC5360" s="2"/>
      <c r="AE5360" s="1"/>
      <c r="AG5360" s="2"/>
    </row>
    <row r="5361" spans="24:33" ht="43.95" customHeight="1" x14ac:dyDescent="0.3">
      <c r="X5361" s="2"/>
      <c r="Y5361" s="7"/>
      <c r="Z5361" s="2"/>
      <c r="AA5361" s="1"/>
      <c r="AC5361" s="2"/>
      <c r="AE5361" s="1"/>
      <c r="AG5361" s="2"/>
    </row>
    <row r="5362" spans="24:33" ht="43.95" customHeight="1" x14ac:dyDescent="0.3">
      <c r="X5362" s="2"/>
      <c r="Y5362" s="7"/>
      <c r="Z5362" s="2"/>
      <c r="AA5362" s="1"/>
      <c r="AC5362" s="2"/>
      <c r="AE5362" s="1"/>
      <c r="AG5362" s="2"/>
    </row>
    <row r="5363" spans="24:33" ht="43.95" customHeight="1" x14ac:dyDescent="0.3">
      <c r="X5363" s="2"/>
      <c r="Y5363" s="7"/>
      <c r="Z5363" s="2"/>
      <c r="AA5363" s="1"/>
      <c r="AC5363" s="2"/>
      <c r="AE5363" s="1"/>
      <c r="AG5363" s="2"/>
    </row>
    <row r="5364" spans="24:33" ht="43.95" customHeight="1" x14ac:dyDescent="0.3">
      <c r="X5364" s="2"/>
      <c r="Y5364" s="7"/>
      <c r="Z5364" s="2"/>
      <c r="AA5364" s="1"/>
      <c r="AC5364" s="2"/>
      <c r="AE5364" s="1"/>
      <c r="AG5364" s="2"/>
    </row>
    <row r="5365" spans="24:33" ht="43.95" customHeight="1" x14ac:dyDescent="0.3">
      <c r="X5365" s="2"/>
      <c r="Y5365" s="7"/>
      <c r="Z5365" s="2"/>
      <c r="AA5365" s="1"/>
      <c r="AC5365" s="2"/>
      <c r="AE5365" s="1"/>
      <c r="AG5365" s="2"/>
    </row>
    <row r="5366" spans="24:33" ht="43.95" customHeight="1" x14ac:dyDescent="0.3">
      <c r="X5366" s="2"/>
      <c r="Y5366" s="7"/>
      <c r="Z5366" s="2"/>
      <c r="AA5366" s="1"/>
      <c r="AC5366" s="2"/>
      <c r="AE5366" s="1"/>
      <c r="AG5366" s="2"/>
    </row>
    <row r="5367" spans="24:33" ht="43.95" customHeight="1" x14ac:dyDescent="0.3">
      <c r="X5367" s="2"/>
      <c r="Y5367" s="7"/>
      <c r="Z5367" s="2"/>
      <c r="AA5367" s="1"/>
      <c r="AC5367" s="2"/>
      <c r="AE5367" s="1"/>
      <c r="AG5367" s="2"/>
    </row>
    <row r="5368" spans="24:33" ht="43.95" customHeight="1" x14ac:dyDescent="0.3">
      <c r="X5368" s="2"/>
      <c r="Y5368" s="7"/>
      <c r="Z5368" s="2"/>
      <c r="AA5368" s="1"/>
      <c r="AC5368" s="2"/>
      <c r="AE5368" s="1"/>
      <c r="AG5368" s="2"/>
    </row>
    <row r="5369" spans="24:33" ht="43.95" customHeight="1" x14ac:dyDescent="0.3">
      <c r="X5369" s="2"/>
      <c r="Y5369" s="7"/>
      <c r="Z5369" s="2"/>
      <c r="AA5369" s="1"/>
      <c r="AC5369" s="2"/>
      <c r="AE5369" s="1"/>
      <c r="AG5369" s="2"/>
    </row>
    <row r="5370" spans="24:33" ht="43.95" customHeight="1" x14ac:dyDescent="0.3">
      <c r="X5370" s="2"/>
      <c r="Y5370" s="7"/>
      <c r="Z5370" s="2"/>
      <c r="AA5370" s="1"/>
      <c r="AC5370" s="2"/>
      <c r="AE5370" s="1"/>
      <c r="AG5370" s="2"/>
    </row>
    <row r="5371" spans="24:33" ht="43.95" customHeight="1" x14ac:dyDescent="0.3">
      <c r="X5371" s="2"/>
      <c r="Y5371" s="7"/>
      <c r="Z5371" s="2"/>
      <c r="AA5371" s="1"/>
      <c r="AC5371" s="2"/>
      <c r="AE5371" s="1"/>
      <c r="AG5371" s="2"/>
    </row>
    <row r="5372" spans="24:33" ht="43.95" customHeight="1" x14ac:dyDescent="0.3">
      <c r="X5372" s="2"/>
      <c r="Y5372" s="7"/>
      <c r="Z5372" s="2"/>
      <c r="AA5372" s="1"/>
      <c r="AC5372" s="2"/>
      <c r="AE5372" s="1"/>
      <c r="AG5372" s="2"/>
    </row>
    <row r="5373" spans="24:33" ht="43.95" customHeight="1" x14ac:dyDescent="0.3">
      <c r="X5373" s="2"/>
      <c r="Y5373" s="7"/>
      <c r="Z5373" s="2"/>
      <c r="AA5373" s="1"/>
      <c r="AC5373" s="2"/>
      <c r="AE5373" s="1"/>
      <c r="AG5373" s="2"/>
    </row>
    <row r="5374" spans="24:33" ht="43.95" customHeight="1" x14ac:dyDescent="0.3">
      <c r="X5374" s="2"/>
      <c r="Y5374" s="7"/>
      <c r="Z5374" s="2"/>
      <c r="AA5374" s="1"/>
      <c r="AC5374" s="2"/>
      <c r="AE5374" s="1"/>
      <c r="AG5374" s="2"/>
    </row>
    <row r="5375" spans="24:33" ht="43.95" customHeight="1" x14ac:dyDescent="0.3">
      <c r="X5375" s="2"/>
      <c r="Y5375" s="7"/>
      <c r="Z5375" s="2"/>
      <c r="AA5375" s="1"/>
      <c r="AC5375" s="2"/>
      <c r="AE5375" s="1"/>
      <c r="AG5375" s="2"/>
    </row>
    <row r="5376" spans="24:33" ht="43.95" customHeight="1" x14ac:dyDescent="0.3">
      <c r="X5376" s="2"/>
      <c r="Y5376" s="7"/>
      <c r="Z5376" s="2"/>
      <c r="AA5376" s="1"/>
      <c r="AC5376" s="2"/>
      <c r="AE5376" s="1"/>
      <c r="AG5376" s="2"/>
    </row>
    <row r="5377" spans="24:33" ht="43.95" customHeight="1" x14ac:dyDescent="0.3">
      <c r="X5377" s="2"/>
      <c r="Y5377" s="7"/>
      <c r="Z5377" s="2"/>
      <c r="AA5377" s="1"/>
      <c r="AC5377" s="2"/>
      <c r="AE5377" s="1"/>
      <c r="AG5377" s="2"/>
    </row>
    <row r="5378" spans="24:33" ht="43.95" customHeight="1" x14ac:dyDescent="0.3">
      <c r="X5378" s="2"/>
      <c r="Y5378" s="7"/>
      <c r="Z5378" s="2"/>
      <c r="AA5378" s="1"/>
      <c r="AC5378" s="2"/>
      <c r="AE5378" s="1"/>
      <c r="AG5378" s="2"/>
    </row>
    <row r="5379" spans="24:33" ht="43.95" customHeight="1" x14ac:dyDescent="0.3">
      <c r="X5379" s="2"/>
      <c r="Y5379" s="7"/>
      <c r="Z5379" s="2"/>
      <c r="AA5379" s="1"/>
      <c r="AC5379" s="2"/>
      <c r="AE5379" s="1"/>
      <c r="AG5379" s="2"/>
    </row>
    <row r="5380" spans="24:33" ht="43.95" customHeight="1" x14ac:dyDescent="0.3">
      <c r="X5380" s="2"/>
      <c r="Y5380" s="7"/>
      <c r="Z5380" s="2"/>
      <c r="AA5380" s="1"/>
      <c r="AC5380" s="2"/>
      <c r="AE5380" s="1"/>
      <c r="AG5380" s="2"/>
    </row>
    <row r="5381" spans="24:33" ht="43.95" customHeight="1" x14ac:dyDescent="0.3">
      <c r="X5381" s="2"/>
      <c r="Y5381" s="7"/>
      <c r="Z5381" s="2"/>
      <c r="AA5381" s="1"/>
      <c r="AC5381" s="2"/>
      <c r="AE5381" s="1"/>
      <c r="AG5381" s="2"/>
    </row>
    <row r="5382" spans="24:33" ht="43.95" customHeight="1" x14ac:dyDescent="0.3">
      <c r="X5382" s="2"/>
      <c r="Y5382" s="7"/>
      <c r="Z5382" s="2"/>
      <c r="AA5382" s="1"/>
      <c r="AC5382" s="2"/>
      <c r="AE5382" s="1"/>
      <c r="AG5382" s="2"/>
    </row>
    <row r="5383" spans="24:33" ht="43.95" customHeight="1" x14ac:dyDescent="0.3">
      <c r="X5383" s="2"/>
      <c r="Y5383" s="7"/>
      <c r="Z5383" s="2"/>
      <c r="AA5383" s="1"/>
      <c r="AC5383" s="2"/>
      <c r="AE5383" s="1"/>
      <c r="AG5383" s="2"/>
    </row>
    <row r="5384" spans="24:33" ht="43.95" customHeight="1" x14ac:dyDescent="0.3">
      <c r="X5384" s="2"/>
      <c r="Y5384" s="7"/>
      <c r="Z5384" s="2"/>
      <c r="AA5384" s="1"/>
      <c r="AC5384" s="2"/>
      <c r="AE5384" s="1"/>
      <c r="AG5384" s="2"/>
    </row>
    <row r="5385" spans="24:33" ht="43.95" customHeight="1" x14ac:dyDescent="0.3">
      <c r="X5385" s="2"/>
      <c r="Y5385" s="7"/>
      <c r="Z5385" s="2"/>
      <c r="AA5385" s="1"/>
      <c r="AC5385" s="2"/>
      <c r="AE5385" s="1"/>
      <c r="AG5385" s="2"/>
    </row>
    <row r="5386" spans="24:33" ht="43.95" customHeight="1" x14ac:dyDescent="0.3">
      <c r="X5386" s="2"/>
      <c r="Y5386" s="7"/>
      <c r="Z5386" s="2"/>
      <c r="AA5386" s="1"/>
      <c r="AC5386" s="2"/>
      <c r="AE5386" s="1"/>
      <c r="AG5386" s="2"/>
    </row>
    <row r="5387" spans="24:33" ht="43.95" customHeight="1" x14ac:dyDescent="0.3">
      <c r="X5387" s="2"/>
      <c r="Y5387" s="7"/>
      <c r="Z5387" s="2"/>
      <c r="AA5387" s="1"/>
      <c r="AC5387" s="2"/>
      <c r="AE5387" s="1"/>
      <c r="AG5387" s="2"/>
    </row>
    <row r="5388" spans="24:33" ht="43.95" customHeight="1" x14ac:dyDescent="0.3">
      <c r="X5388" s="2"/>
      <c r="Y5388" s="7"/>
      <c r="Z5388" s="2"/>
      <c r="AA5388" s="1"/>
      <c r="AC5388" s="2"/>
      <c r="AE5388" s="1"/>
      <c r="AG5388" s="2"/>
    </row>
    <row r="5389" spans="24:33" ht="43.95" customHeight="1" x14ac:dyDescent="0.3">
      <c r="X5389" s="2"/>
      <c r="Y5389" s="7"/>
      <c r="Z5389" s="2"/>
      <c r="AA5389" s="1"/>
      <c r="AC5389" s="2"/>
      <c r="AE5389" s="1"/>
      <c r="AG5389" s="2"/>
    </row>
    <row r="5390" spans="24:33" ht="43.95" customHeight="1" x14ac:dyDescent="0.3">
      <c r="X5390" s="2"/>
      <c r="Y5390" s="7"/>
      <c r="Z5390" s="2"/>
      <c r="AA5390" s="1"/>
      <c r="AC5390" s="2"/>
      <c r="AE5390" s="1"/>
      <c r="AG5390" s="2"/>
    </row>
    <row r="5391" spans="24:33" ht="43.95" customHeight="1" x14ac:dyDescent="0.3">
      <c r="X5391" s="2"/>
      <c r="Y5391" s="7"/>
      <c r="Z5391" s="2"/>
      <c r="AA5391" s="1"/>
      <c r="AC5391" s="2"/>
      <c r="AE5391" s="1"/>
      <c r="AG5391" s="2"/>
    </row>
    <row r="5392" spans="24:33" ht="43.95" customHeight="1" x14ac:dyDescent="0.3">
      <c r="X5392" s="2"/>
      <c r="Y5392" s="7"/>
      <c r="Z5392" s="2"/>
      <c r="AA5392" s="1"/>
      <c r="AC5392" s="2"/>
      <c r="AE5392" s="1"/>
      <c r="AG5392" s="2"/>
    </row>
    <row r="5393" spans="24:33" ht="43.95" customHeight="1" x14ac:dyDescent="0.3">
      <c r="X5393" s="2"/>
      <c r="Y5393" s="7"/>
      <c r="Z5393" s="2"/>
      <c r="AA5393" s="1"/>
      <c r="AC5393" s="2"/>
      <c r="AE5393" s="1"/>
      <c r="AG5393" s="2"/>
    </row>
    <row r="5394" spans="24:33" ht="43.95" customHeight="1" x14ac:dyDescent="0.3">
      <c r="X5394" s="2"/>
      <c r="Y5394" s="7"/>
      <c r="Z5394" s="2"/>
      <c r="AA5394" s="1"/>
      <c r="AC5394" s="2"/>
      <c r="AE5394" s="1"/>
      <c r="AG5394" s="2"/>
    </row>
    <row r="5395" spans="24:33" ht="43.95" customHeight="1" x14ac:dyDescent="0.3">
      <c r="X5395" s="2"/>
      <c r="Y5395" s="7"/>
      <c r="Z5395" s="2"/>
      <c r="AA5395" s="1"/>
      <c r="AC5395" s="2"/>
      <c r="AE5395" s="1"/>
      <c r="AG5395" s="2"/>
    </row>
    <row r="5396" spans="24:33" ht="43.95" customHeight="1" x14ac:dyDescent="0.3">
      <c r="X5396" s="2"/>
      <c r="Y5396" s="7"/>
      <c r="Z5396" s="2"/>
      <c r="AA5396" s="1"/>
      <c r="AC5396" s="2"/>
      <c r="AE5396" s="1"/>
      <c r="AG5396" s="2"/>
    </row>
    <row r="5397" spans="24:33" ht="43.95" customHeight="1" x14ac:dyDescent="0.3">
      <c r="X5397" s="2"/>
      <c r="Y5397" s="7"/>
      <c r="Z5397" s="2"/>
      <c r="AA5397" s="1"/>
      <c r="AC5397" s="2"/>
      <c r="AE5397" s="1"/>
      <c r="AG5397" s="2"/>
    </row>
    <row r="5398" spans="24:33" ht="43.95" customHeight="1" x14ac:dyDescent="0.3">
      <c r="X5398" s="2"/>
      <c r="Y5398" s="7"/>
      <c r="Z5398" s="2"/>
      <c r="AA5398" s="1"/>
      <c r="AC5398" s="2"/>
      <c r="AE5398" s="1"/>
      <c r="AG5398" s="2"/>
    </row>
    <row r="5399" spans="24:33" ht="43.95" customHeight="1" x14ac:dyDescent="0.3">
      <c r="X5399" s="2"/>
      <c r="Y5399" s="7"/>
      <c r="Z5399" s="2"/>
      <c r="AA5399" s="1"/>
      <c r="AC5399" s="2"/>
      <c r="AE5399" s="1"/>
      <c r="AG5399" s="2"/>
    </row>
    <row r="5400" spans="24:33" ht="43.95" customHeight="1" x14ac:dyDescent="0.3">
      <c r="X5400" s="2"/>
      <c r="Y5400" s="7"/>
      <c r="Z5400" s="2"/>
      <c r="AA5400" s="1"/>
      <c r="AC5400" s="2"/>
      <c r="AE5400" s="1"/>
      <c r="AG5400" s="2"/>
    </row>
    <row r="5401" spans="24:33" ht="43.95" customHeight="1" x14ac:dyDescent="0.3">
      <c r="X5401" s="2"/>
      <c r="Y5401" s="7"/>
      <c r="Z5401" s="2"/>
      <c r="AA5401" s="1"/>
      <c r="AC5401" s="2"/>
      <c r="AE5401" s="1"/>
      <c r="AG5401" s="2"/>
    </row>
    <row r="5402" spans="24:33" ht="43.95" customHeight="1" x14ac:dyDescent="0.3">
      <c r="X5402" s="2"/>
      <c r="Y5402" s="7"/>
      <c r="Z5402" s="2"/>
      <c r="AA5402" s="1"/>
      <c r="AC5402" s="2"/>
      <c r="AE5402" s="1"/>
      <c r="AG5402" s="2"/>
    </row>
    <row r="5403" spans="24:33" ht="43.95" customHeight="1" x14ac:dyDescent="0.3">
      <c r="X5403" s="2"/>
      <c r="Y5403" s="7"/>
      <c r="Z5403" s="2"/>
      <c r="AA5403" s="1"/>
      <c r="AC5403" s="2"/>
      <c r="AE5403" s="1"/>
      <c r="AG5403" s="2"/>
    </row>
    <row r="5404" spans="24:33" ht="43.95" customHeight="1" x14ac:dyDescent="0.3">
      <c r="X5404" s="2"/>
      <c r="Y5404" s="7"/>
      <c r="Z5404" s="2"/>
      <c r="AA5404" s="1"/>
      <c r="AC5404" s="2"/>
      <c r="AE5404" s="1"/>
      <c r="AG5404" s="2"/>
    </row>
    <row r="5405" spans="24:33" ht="43.95" customHeight="1" x14ac:dyDescent="0.3">
      <c r="X5405" s="2"/>
      <c r="Y5405" s="7"/>
      <c r="Z5405" s="2"/>
      <c r="AA5405" s="1"/>
      <c r="AC5405" s="2"/>
      <c r="AE5405" s="1"/>
      <c r="AG5405" s="2"/>
    </row>
    <row r="5406" spans="24:33" ht="43.95" customHeight="1" x14ac:dyDescent="0.3">
      <c r="X5406" s="2"/>
      <c r="Y5406" s="7"/>
      <c r="Z5406" s="2"/>
      <c r="AA5406" s="1"/>
      <c r="AC5406" s="2"/>
      <c r="AE5406" s="1"/>
      <c r="AG5406" s="2"/>
    </row>
    <row r="5407" spans="24:33" ht="43.95" customHeight="1" x14ac:dyDescent="0.3">
      <c r="X5407" s="2"/>
      <c r="Y5407" s="7"/>
      <c r="Z5407" s="2"/>
      <c r="AA5407" s="1"/>
      <c r="AC5407" s="2"/>
      <c r="AE5407" s="1"/>
      <c r="AG5407" s="2"/>
    </row>
    <row r="5408" spans="24:33" ht="43.95" customHeight="1" x14ac:dyDescent="0.3">
      <c r="X5408" s="2"/>
      <c r="Y5408" s="7"/>
      <c r="Z5408" s="2"/>
      <c r="AA5408" s="1"/>
      <c r="AC5408" s="2"/>
      <c r="AE5408" s="1"/>
      <c r="AG5408" s="2"/>
    </row>
    <row r="5409" spans="24:33" ht="43.95" customHeight="1" x14ac:dyDescent="0.3">
      <c r="X5409" s="245"/>
      <c r="Y5409" s="7"/>
      <c r="Z5409" s="2"/>
      <c r="AA5409" s="1"/>
      <c r="AC5409" s="2"/>
      <c r="AE5409" s="1"/>
      <c r="AG5409" s="2"/>
    </row>
    <row r="5410" spans="24:33" ht="43.95" customHeight="1" x14ac:dyDescent="0.3">
      <c r="X5410" s="2"/>
      <c r="Y5410" s="7"/>
      <c r="Z5410" s="2"/>
      <c r="AA5410" s="1"/>
      <c r="AC5410" s="2"/>
      <c r="AE5410" s="1"/>
      <c r="AG5410" s="2"/>
    </row>
    <row r="5411" spans="24:33" ht="43.95" customHeight="1" x14ac:dyDescent="0.3">
      <c r="X5411" s="2"/>
      <c r="Y5411" s="7"/>
      <c r="Z5411" s="2"/>
      <c r="AA5411" s="1"/>
      <c r="AC5411" s="2"/>
      <c r="AE5411" s="1"/>
      <c r="AG5411" s="2"/>
    </row>
    <row r="5412" spans="24:33" ht="43.95" customHeight="1" x14ac:dyDescent="0.3">
      <c r="X5412" s="2"/>
      <c r="Y5412" s="7"/>
      <c r="Z5412" s="2"/>
      <c r="AA5412" s="1"/>
      <c r="AC5412" s="2"/>
      <c r="AE5412" s="1"/>
      <c r="AG5412" s="2"/>
    </row>
    <row r="5413" spans="24:33" ht="43.95" customHeight="1" x14ac:dyDescent="0.3">
      <c r="X5413" s="2"/>
      <c r="Y5413" s="7"/>
      <c r="Z5413" s="2"/>
      <c r="AA5413" s="1"/>
      <c r="AC5413" s="2"/>
      <c r="AE5413" s="1"/>
      <c r="AG5413" s="2"/>
    </row>
    <row r="5414" spans="24:33" ht="43.95" customHeight="1" x14ac:dyDescent="0.3">
      <c r="X5414" s="2"/>
      <c r="Y5414" s="7"/>
      <c r="Z5414" s="2"/>
      <c r="AA5414" s="1"/>
      <c r="AC5414" s="2"/>
      <c r="AE5414" s="1"/>
      <c r="AG5414" s="2"/>
    </row>
    <row r="5415" spans="24:33" ht="43.95" customHeight="1" x14ac:dyDescent="0.3">
      <c r="X5415" s="2"/>
      <c r="Y5415" s="7"/>
      <c r="Z5415" s="2"/>
      <c r="AA5415" s="1"/>
      <c r="AC5415" s="2"/>
      <c r="AE5415" s="1"/>
      <c r="AG5415" s="2"/>
    </row>
    <row r="5416" spans="24:33" ht="43.95" customHeight="1" x14ac:dyDescent="0.3">
      <c r="X5416" s="2"/>
      <c r="Y5416" s="7"/>
      <c r="Z5416" s="2"/>
      <c r="AA5416" s="1"/>
      <c r="AC5416" s="2"/>
      <c r="AE5416" s="1"/>
      <c r="AG5416" s="2"/>
    </row>
    <row r="5417" spans="24:33" ht="43.95" customHeight="1" x14ac:dyDescent="0.3">
      <c r="X5417" s="2"/>
      <c r="Y5417" s="7"/>
      <c r="Z5417" s="2"/>
      <c r="AA5417" s="1"/>
      <c r="AC5417" s="2"/>
      <c r="AE5417" s="1"/>
      <c r="AG5417" s="2"/>
    </row>
    <row r="5418" spans="24:33" ht="43.95" customHeight="1" x14ac:dyDescent="0.3">
      <c r="X5418" s="2"/>
      <c r="Y5418" s="7"/>
      <c r="Z5418" s="2"/>
      <c r="AA5418" s="1"/>
      <c r="AC5418" s="2"/>
      <c r="AE5418" s="1"/>
      <c r="AG5418" s="2"/>
    </row>
    <row r="5419" spans="24:33" ht="43.95" customHeight="1" x14ac:dyDescent="0.3">
      <c r="X5419" s="2"/>
      <c r="Y5419" s="7"/>
      <c r="Z5419" s="2"/>
      <c r="AA5419" s="1"/>
      <c r="AC5419" s="2"/>
      <c r="AE5419" s="1"/>
      <c r="AG5419" s="2"/>
    </row>
    <row r="5420" spans="24:33" ht="43.95" customHeight="1" x14ac:dyDescent="0.3">
      <c r="X5420" s="2"/>
      <c r="Y5420" s="7"/>
      <c r="Z5420" s="2"/>
      <c r="AA5420" s="1"/>
      <c r="AC5420" s="2"/>
      <c r="AE5420" s="1"/>
      <c r="AG5420" s="2"/>
    </row>
    <row r="5421" spans="24:33" ht="43.95" customHeight="1" x14ac:dyDescent="0.3">
      <c r="X5421" s="2"/>
      <c r="Y5421" s="7"/>
      <c r="Z5421" s="2"/>
      <c r="AA5421" s="1"/>
      <c r="AC5421" s="2"/>
      <c r="AE5421" s="1"/>
      <c r="AG5421" s="2"/>
    </row>
    <row r="5422" spans="24:33" ht="43.95" customHeight="1" x14ac:dyDescent="0.3">
      <c r="X5422" s="2"/>
      <c r="Y5422" s="7"/>
      <c r="Z5422" s="2"/>
      <c r="AA5422" s="1"/>
      <c r="AC5422" s="2"/>
      <c r="AE5422" s="1"/>
      <c r="AG5422" s="2"/>
    </row>
    <row r="5423" spans="24:33" ht="43.95" customHeight="1" x14ac:dyDescent="0.3">
      <c r="X5423" s="2"/>
      <c r="Y5423" s="7"/>
      <c r="Z5423" s="2"/>
      <c r="AA5423" s="1"/>
      <c r="AC5423" s="2"/>
      <c r="AE5423" s="1"/>
      <c r="AG5423" s="2"/>
    </row>
    <row r="5424" spans="24:33" ht="43.95" customHeight="1" x14ac:dyDescent="0.3">
      <c r="X5424" s="2"/>
      <c r="Y5424" s="7"/>
      <c r="Z5424" s="2"/>
      <c r="AA5424" s="1"/>
      <c r="AC5424" s="2"/>
      <c r="AE5424" s="1"/>
      <c r="AG5424" s="2"/>
    </row>
    <row r="5425" spans="24:33" ht="43.95" customHeight="1" x14ac:dyDescent="0.3">
      <c r="X5425" s="2"/>
      <c r="Y5425" s="7"/>
      <c r="Z5425" s="2"/>
      <c r="AA5425" s="1"/>
      <c r="AC5425" s="2"/>
      <c r="AE5425" s="1"/>
      <c r="AG5425" s="2"/>
    </row>
    <row r="5426" spans="24:33" ht="43.95" customHeight="1" x14ac:dyDescent="0.3">
      <c r="X5426" s="2"/>
      <c r="Y5426" s="7"/>
      <c r="Z5426" s="2"/>
      <c r="AA5426" s="1"/>
      <c r="AC5426" s="2"/>
      <c r="AE5426" s="1"/>
      <c r="AG5426" s="2"/>
    </row>
    <row r="5427" spans="24:33" ht="43.95" customHeight="1" x14ac:dyDescent="0.3">
      <c r="X5427" s="2"/>
      <c r="Y5427" s="7"/>
      <c r="Z5427" s="2"/>
      <c r="AA5427" s="1"/>
      <c r="AC5427" s="2"/>
      <c r="AE5427" s="1"/>
      <c r="AG5427" s="2"/>
    </row>
    <row r="5428" spans="24:33" ht="43.95" customHeight="1" x14ac:dyDescent="0.3">
      <c r="X5428" s="2"/>
      <c r="Y5428" s="7"/>
      <c r="Z5428" s="2"/>
      <c r="AA5428" s="1"/>
      <c r="AC5428" s="2"/>
      <c r="AE5428" s="1"/>
      <c r="AG5428" s="2"/>
    </row>
    <row r="5429" spans="24:33" ht="43.95" customHeight="1" x14ac:dyDescent="0.3">
      <c r="X5429" s="2"/>
      <c r="Y5429" s="7"/>
      <c r="Z5429" s="2"/>
      <c r="AA5429" s="1"/>
      <c r="AC5429" s="2"/>
      <c r="AE5429" s="1"/>
      <c r="AG5429" s="2"/>
    </row>
    <row r="5430" spans="24:33" ht="43.95" customHeight="1" x14ac:dyDescent="0.3">
      <c r="X5430" s="2"/>
      <c r="Y5430" s="7"/>
      <c r="Z5430" s="2"/>
      <c r="AA5430" s="1"/>
      <c r="AC5430" s="2"/>
      <c r="AE5430" s="1"/>
      <c r="AG5430" s="2"/>
    </row>
    <row r="5431" spans="24:33" ht="43.95" customHeight="1" x14ac:dyDescent="0.3">
      <c r="X5431" s="2"/>
      <c r="Y5431" s="7"/>
      <c r="Z5431" s="2"/>
      <c r="AA5431" s="1"/>
      <c r="AC5431" s="2"/>
      <c r="AE5431" s="1"/>
      <c r="AG5431" s="2"/>
    </row>
    <row r="5432" spans="24:33" ht="43.95" customHeight="1" x14ac:dyDescent="0.3">
      <c r="X5432" s="2"/>
      <c r="Y5432" s="7"/>
      <c r="Z5432" s="2"/>
      <c r="AA5432" s="1"/>
      <c r="AC5432" s="2"/>
      <c r="AE5432" s="1"/>
      <c r="AG5432" s="2"/>
    </row>
    <row r="5433" spans="24:33" ht="43.95" customHeight="1" x14ac:dyDescent="0.3">
      <c r="X5433" s="2"/>
      <c r="Y5433" s="7"/>
      <c r="Z5433" s="2"/>
      <c r="AA5433" s="1"/>
      <c r="AC5433" s="2"/>
      <c r="AE5433" s="1"/>
      <c r="AG5433" s="2"/>
    </row>
    <row r="5434" spans="24:33" ht="43.95" customHeight="1" x14ac:dyDescent="0.3">
      <c r="X5434" s="2"/>
      <c r="Y5434" s="7"/>
      <c r="Z5434" s="2"/>
      <c r="AA5434" s="1"/>
      <c r="AC5434" s="2"/>
      <c r="AE5434" s="1"/>
      <c r="AG5434" s="2"/>
    </row>
    <row r="5435" spans="24:33" ht="43.95" customHeight="1" x14ac:dyDescent="0.3">
      <c r="X5435" s="2"/>
      <c r="Y5435" s="7"/>
      <c r="Z5435" s="2"/>
      <c r="AA5435" s="1"/>
      <c r="AC5435" s="2"/>
      <c r="AE5435" s="1"/>
      <c r="AG5435" s="2"/>
    </row>
    <row r="5436" spans="24:33" ht="43.95" customHeight="1" x14ac:dyDescent="0.3">
      <c r="X5436" s="2"/>
      <c r="Y5436" s="7"/>
      <c r="Z5436" s="2"/>
      <c r="AA5436" s="1"/>
      <c r="AC5436" s="2"/>
      <c r="AE5436" s="1"/>
      <c r="AG5436" s="2"/>
    </row>
    <row r="5437" spans="24:33" ht="43.95" customHeight="1" x14ac:dyDescent="0.3">
      <c r="X5437" s="2"/>
      <c r="Y5437" s="7"/>
      <c r="Z5437" s="2"/>
      <c r="AA5437" s="1"/>
      <c r="AC5437" s="2"/>
      <c r="AE5437" s="1"/>
      <c r="AG5437" s="2"/>
    </row>
    <row r="5438" spans="24:33" ht="43.95" customHeight="1" x14ac:dyDescent="0.3">
      <c r="X5438" s="2"/>
      <c r="Y5438" s="7"/>
      <c r="Z5438" s="2"/>
      <c r="AA5438" s="1"/>
      <c r="AC5438" s="2"/>
      <c r="AE5438" s="1"/>
      <c r="AG5438" s="2"/>
    </row>
    <row r="5439" spans="24:33" ht="43.95" customHeight="1" x14ac:dyDescent="0.3">
      <c r="X5439" s="2"/>
      <c r="Y5439" s="7"/>
      <c r="Z5439" s="2"/>
      <c r="AA5439" s="1"/>
      <c r="AC5439" s="2"/>
      <c r="AE5439" s="1"/>
      <c r="AG5439" s="2"/>
    </row>
    <row r="5440" spans="24:33" ht="43.95" customHeight="1" x14ac:dyDescent="0.3">
      <c r="X5440" s="2"/>
      <c r="Y5440" s="7"/>
      <c r="Z5440" s="2"/>
      <c r="AA5440" s="1"/>
      <c r="AC5440" s="2"/>
      <c r="AE5440" s="1"/>
      <c r="AG5440" s="2"/>
    </row>
    <row r="5441" spans="24:33" ht="43.95" customHeight="1" x14ac:dyDescent="0.3">
      <c r="X5441" s="2"/>
      <c r="Y5441" s="7"/>
      <c r="Z5441" s="2"/>
      <c r="AA5441" s="1"/>
      <c r="AC5441" s="2"/>
      <c r="AE5441" s="1"/>
      <c r="AG5441" s="2"/>
    </row>
    <row r="5442" spans="24:33" ht="43.95" customHeight="1" x14ac:dyDescent="0.3">
      <c r="X5442" s="2"/>
      <c r="Y5442" s="7"/>
      <c r="Z5442" s="2"/>
      <c r="AA5442" s="1"/>
      <c r="AC5442" s="2"/>
      <c r="AE5442" s="1"/>
      <c r="AG5442" s="2"/>
    </row>
    <row r="5443" spans="24:33" ht="43.95" customHeight="1" x14ac:dyDescent="0.3">
      <c r="X5443" s="2"/>
      <c r="Y5443" s="7"/>
      <c r="Z5443" s="2"/>
      <c r="AA5443" s="1"/>
      <c r="AC5443" s="2"/>
      <c r="AE5443" s="1"/>
      <c r="AG5443" s="2"/>
    </row>
    <row r="5444" spans="24:33" ht="43.95" customHeight="1" x14ac:dyDescent="0.3">
      <c r="X5444" s="2"/>
      <c r="Y5444" s="7"/>
      <c r="Z5444" s="2"/>
      <c r="AA5444" s="1"/>
      <c r="AC5444" s="2"/>
      <c r="AE5444" s="1"/>
      <c r="AG5444" s="2"/>
    </row>
    <row r="5445" spans="24:33" ht="43.95" customHeight="1" x14ac:dyDescent="0.3">
      <c r="X5445" s="2"/>
      <c r="Y5445" s="7"/>
      <c r="Z5445" s="2"/>
      <c r="AA5445" s="1"/>
      <c r="AC5445" s="2"/>
      <c r="AE5445" s="1"/>
      <c r="AG5445" s="2"/>
    </row>
    <row r="5446" spans="24:33" ht="43.95" customHeight="1" x14ac:dyDescent="0.3">
      <c r="X5446" s="2"/>
      <c r="Y5446" s="7"/>
      <c r="Z5446" s="2"/>
      <c r="AA5446" s="1"/>
      <c r="AC5446" s="2"/>
      <c r="AE5446" s="1"/>
      <c r="AG5446" s="2"/>
    </row>
    <row r="5447" spans="24:33" ht="43.95" customHeight="1" x14ac:dyDescent="0.3">
      <c r="X5447" s="2"/>
      <c r="Y5447" s="7"/>
      <c r="Z5447" s="2"/>
      <c r="AA5447" s="1"/>
      <c r="AC5447" s="2"/>
      <c r="AE5447" s="1"/>
      <c r="AG5447" s="2"/>
    </row>
    <row r="5448" spans="24:33" ht="43.95" customHeight="1" x14ac:dyDescent="0.3">
      <c r="X5448" s="2"/>
      <c r="Y5448" s="7"/>
      <c r="Z5448" s="2"/>
      <c r="AA5448" s="1"/>
      <c r="AC5448" s="2"/>
      <c r="AE5448" s="1"/>
      <c r="AG5448" s="2"/>
    </row>
    <row r="5449" spans="24:33" ht="43.95" customHeight="1" x14ac:dyDescent="0.3">
      <c r="X5449" s="2"/>
      <c r="Y5449" s="7"/>
      <c r="Z5449" s="2"/>
      <c r="AA5449" s="1"/>
      <c r="AC5449" s="2"/>
      <c r="AE5449" s="1"/>
      <c r="AG5449" s="2"/>
    </row>
    <row r="5450" spans="24:33" ht="43.95" customHeight="1" x14ac:dyDescent="0.3">
      <c r="X5450" s="2"/>
      <c r="Y5450" s="7"/>
      <c r="Z5450" s="2"/>
      <c r="AA5450" s="1"/>
      <c r="AC5450" s="2"/>
      <c r="AE5450" s="1"/>
      <c r="AG5450" s="2"/>
    </row>
    <row r="5451" spans="24:33" ht="43.95" customHeight="1" x14ac:dyDescent="0.3">
      <c r="X5451" s="2"/>
      <c r="Y5451" s="7"/>
      <c r="Z5451" s="2"/>
      <c r="AA5451" s="1"/>
      <c r="AC5451" s="2"/>
      <c r="AE5451" s="1"/>
      <c r="AG5451" s="2"/>
    </row>
    <row r="5452" spans="24:33" ht="43.95" customHeight="1" x14ac:dyDescent="0.3">
      <c r="X5452" s="2"/>
      <c r="Y5452" s="7"/>
      <c r="Z5452" s="2"/>
      <c r="AA5452" s="1"/>
      <c r="AC5452" s="2"/>
      <c r="AE5452" s="1"/>
      <c r="AG5452" s="2"/>
    </row>
    <row r="5453" spans="24:33" ht="43.95" customHeight="1" x14ac:dyDescent="0.3">
      <c r="X5453" s="2"/>
      <c r="Y5453" s="7"/>
      <c r="Z5453" s="2"/>
      <c r="AA5453" s="1"/>
      <c r="AC5453" s="2"/>
      <c r="AE5453" s="1"/>
      <c r="AG5453" s="2"/>
    </row>
    <row r="5454" spans="24:33" ht="43.95" customHeight="1" x14ac:dyDescent="0.3">
      <c r="X5454" s="2"/>
      <c r="Y5454" s="7"/>
      <c r="Z5454" s="2"/>
      <c r="AA5454" s="1"/>
      <c r="AC5454" s="2"/>
      <c r="AE5454" s="1"/>
      <c r="AG5454" s="2"/>
    </row>
    <row r="5455" spans="24:33" ht="43.95" customHeight="1" x14ac:dyDescent="0.3">
      <c r="X5455" s="2"/>
      <c r="Y5455" s="7"/>
      <c r="Z5455" s="2"/>
      <c r="AA5455" s="1"/>
      <c r="AC5455" s="2"/>
      <c r="AE5455" s="1"/>
      <c r="AG5455" s="2"/>
    </row>
    <row r="5456" spans="24:33" ht="43.95" customHeight="1" x14ac:dyDescent="0.3">
      <c r="X5456" s="228"/>
      <c r="Y5456" s="7"/>
      <c r="Z5456" s="2"/>
      <c r="AA5456" s="1"/>
      <c r="AC5456" s="2"/>
      <c r="AE5456" s="1"/>
      <c r="AG5456" s="2"/>
    </row>
    <row r="5457" spans="24:33" ht="43.95" customHeight="1" x14ac:dyDescent="0.3">
      <c r="X5457" s="2"/>
      <c r="Y5457" s="7"/>
      <c r="Z5457" s="2"/>
      <c r="AA5457" s="1"/>
      <c r="AC5457" s="2"/>
      <c r="AE5457" s="1"/>
      <c r="AG5457" s="2"/>
    </row>
    <row r="5458" spans="24:33" ht="43.95" customHeight="1" x14ac:dyDescent="0.3">
      <c r="X5458" s="2"/>
      <c r="Y5458" s="7"/>
      <c r="Z5458" s="2"/>
      <c r="AA5458" s="1"/>
      <c r="AC5458" s="2"/>
      <c r="AE5458" s="1"/>
      <c r="AG5458" s="2"/>
    </row>
    <row r="5459" spans="24:33" ht="43.95" customHeight="1" x14ac:dyDescent="0.3">
      <c r="X5459" s="2"/>
      <c r="Y5459" s="7"/>
      <c r="Z5459" s="2"/>
      <c r="AA5459" s="1"/>
      <c r="AC5459" s="2"/>
      <c r="AE5459" s="1"/>
      <c r="AG5459" s="2"/>
    </row>
    <row r="5460" spans="24:33" ht="43.95" customHeight="1" x14ac:dyDescent="0.3">
      <c r="X5460" s="2"/>
      <c r="Y5460" s="7"/>
      <c r="Z5460" s="2"/>
      <c r="AA5460" s="1"/>
      <c r="AC5460" s="2"/>
      <c r="AE5460" s="1"/>
      <c r="AG5460" s="2"/>
    </row>
    <row r="5461" spans="24:33" ht="43.95" customHeight="1" x14ac:dyDescent="0.3">
      <c r="X5461" s="2"/>
      <c r="Y5461" s="7"/>
      <c r="Z5461" s="2"/>
      <c r="AA5461" s="1"/>
      <c r="AC5461" s="2"/>
      <c r="AE5461" s="1"/>
      <c r="AG5461" s="2"/>
    </row>
    <row r="5462" spans="24:33" ht="43.95" customHeight="1" x14ac:dyDescent="0.3">
      <c r="X5462" s="2"/>
      <c r="Y5462" s="7"/>
      <c r="Z5462" s="2"/>
      <c r="AA5462" s="1"/>
      <c r="AC5462" s="2"/>
      <c r="AE5462" s="1"/>
      <c r="AG5462" s="2"/>
    </row>
    <row r="5463" spans="24:33" ht="43.95" customHeight="1" x14ac:dyDescent="0.3">
      <c r="X5463" s="2"/>
      <c r="Y5463" s="7"/>
      <c r="Z5463" s="2"/>
      <c r="AA5463" s="1"/>
      <c r="AC5463" s="2"/>
      <c r="AE5463" s="1"/>
      <c r="AG5463" s="2"/>
    </row>
    <row r="5464" spans="24:33" ht="43.95" customHeight="1" x14ac:dyDescent="0.3">
      <c r="X5464" s="228"/>
      <c r="Y5464" s="7"/>
      <c r="Z5464" s="2"/>
      <c r="AA5464" s="1"/>
      <c r="AC5464" s="2"/>
      <c r="AE5464" s="1"/>
      <c r="AG5464" s="2"/>
    </row>
    <row r="5465" spans="24:33" ht="43.95" customHeight="1" x14ac:dyDescent="0.3">
      <c r="X5465" s="2"/>
      <c r="Y5465" s="7"/>
      <c r="Z5465" s="2"/>
      <c r="AA5465" s="1"/>
      <c r="AC5465" s="2"/>
      <c r="AE5465" s="1"/>
      <c r="AG5465" s="2"/>
    </row>
    <row r="5466" spans="24:33" ht="43.95" customHeight="1" x14ac:dyDescent="0.3">
      <c r="X5466" s="2"/>
      <c r="Y5466" s="7"/>
      <c r="Z5466" s="2"/>
      <c r="AA5466" s="1"/>
      <c r="AC5466" s="2"/>
      <c r="AE5466" s="1"/>
      <c r="AG5466" s="2"/>
    </row>
    <row r="5467" spans="24:33" ht="43.95" customHeight="1" x14ac:dyDescent="0.3">
      <c r="X5467" s="232"/>
      <c r="Y5467" s="7"/>
      <c r="Z5467" s="2"/>
      <c r="AA5467" s="1"/>
      <c r="AC5467" s="2"/>
      <c r="AE5467" s="1"/>
      <c r="AG5467" s="2"/>
    </row>
    <row r="5468" spans="24:33" ht="43.95" customHeight="1" x14ac:dyDescent="0.3">
      <c r="X5468" s="2"/>
      <c r="Y5468" s="7"/>
      <c r="Z5468" s="2"/>
      <c r="AA5468" s="1"/>
      <c r="AC5468" s="2"/>
      <c r="AE5468" s="1"/>
      <c r="AG5468" s="2"/>
    </row>
    <row r="5469" spans="24:33" ht="43.95" customHeight="1" x14ac:dyDescent="0.3">
      <c r="X5469" s="2"/>
      <c r="Y5469" s="7"/>
      <c r="Z5469" s="2"/>
      <c r="AA5469" s="1"/>
      <c r="AC5469" s="2"/>
      <c r="AE5469" s="1"/>
      <c r="AG5469" s="2"/>
    </row>
    <row r="5470" spans="24:33" ht="43.95" customHeight="1" x14ac:dyDescent="0.3">
      <c r="X5470" s="2"/>
      <c r="Y5470" s="7"/>
      <c r="Z5470" s="2"/>
      <c r="AA5470" s="1"/>
      <c r="AC5470" s="2"/>
      <c r="AE5470" s="1"/>
      <c r="AG5470" s="2"/>
    </row>
    <row r="5471" spans="24:33" ht="43.95" customHeight="1" x14ac:dyDescent="0.3">
      <c r="X5471" s="2"/>
      <c r="Y5471" s="7"/>
      <c r="Z5471" s="2"/>
      <c r="AA5471" s="1"/>
      <c r="AC5471" s="2"/>
      <c r="AE5471" s="1"/>
      <c r="AG5471" s="2"/>
    </row>
    <row r="5472" spans="24:33" ht="43.95" customHeight="1" x14ac:dyDescent="0.3">
      <c r="X5472" s="2"/>
      <c r="Y5472" s="7"/>
      <c r="Z5472" s="2"/>
      <c r="AA5472" s="1"/>
      <c r="AC5472" s="2"/>
      <c r="AE5472" s="1"/>
      <c r="AG5472" s="2"/>
    </row>
    <row r="5473" spans="24:33" ht="43.95" customHeight="1" x14ac:dyDescent="0.3">
      <c r="X5473" s="2"/>
      <c r="Y5473" s="7"/>
      <c r="Z5473" s="2"/>
      <c r="AA5473" s="1"/>
      <c r="AC5473" s="2"/>
      <c r="AE5473" s="1"/>
      <c r="AG5473" s="2"/>
    </row>
    <row r="5474" spans="24:33" ht="43.95" customHeight="1" x14ac:dyDescent="0.3">
      <c r="X5474" s="2"/>
      <c r="Y5474" s="7"/>
      <c r="Z5474" s="2"/>
      <c r="AA5474" s="1"/>
      <c r="AC5474" s="2"/>
      <c r="AE5474" s="1"/>
      <c r="AG5474" s="2"/>
    </row>
    <row r="5475" spans="24:33" ht="43.95" customHeight="1" x14ac:dyDescent="0.3">
      <c r="X5475" s="2"/>
      <c r="Y5475" s="7"/>
      <c r="Z5475" s="2"/>
      <c r="AA5475" s="1"/>
      <c r="AC5475" s="2"/>
      <c r="AE5475" s="1"/>
      <c r="AG5475" s="2"/>
    </row>
    <row r="5476" spans="24:33" ht="43.95" customHeight="1" x14ac:dyDescent="0.3">
      <c r="X5476" s="2"/>
      <c r="Y5476" s="7"/>
      <c r="Z5476" s="2"/>
      <c r="AA5476" s="1"/>
      <c r="AC5476" s="2"/>
      <c r="AE5476" s="1"/>
      <c r="AG5476" s="2"/>
    </row>
    <row r="5477" spans="24:33" ht="43.95" customHeight="1" x14ac:dyDescent="0.3">
      <c r="X5477" s="2"/>
      <c r="Y5477" s="7"/>
      <c r="Z5477" s="2"/>
      <c r="AA5477" s="1"/>
      <c r="AC5477" s="2"/>
      <c r="AE5477" s="1"/>
      <c r="AG5477" s="2"/>
    </row>
    <row r="5478" spans="24:33" ht="43.95" customHeight="1" x14ac:dyDescent="0.3">
      <c r="X5478" s="2"/>
      <c r="Y5478" s="7"/>
      <c r="Z5478" s="2"/>
      <c r="AA5478" s="1"/>
      <c r="AC5478" s="2"/>
      <c r="AE5478" s="1"/>
      <c r="AG5478" s="2"/>
    </row>
    <row r="5479" spans="24:33" ht="43.95" customHeight="1" x14ac:dyDescent="0.3">
      <c r="X5479" s="2"/>
      <c r="Y5479" s="7"/>
      <c r="Z5479" s="2"/>
      <c r="AA5479" s="1"/>
      <c r="AC5479" s="2"/>
      <c r="AE5479" s="1"/>
      <c r="AG5479" s="2"/>
    </row>
    <row r="5480" spans="24:33" ht="43.95" customHeight="1" x14ac:dyDescent="0.3">
      <c r="X5480" s="2"/>
      <c r="Y5480" s="7"/>
      <c r="Z5480" s="2"/>
      <c r="AA5480" s="1"/>
      <c r="AC5480" s="2"/>
      <c r="AE5480" s="1"/>
      <c r="AG5480" s="2"/>
    </row>
    <row r="5481" spans="24:33" ht="43.95" customHeight="1" x14ac:dyDescent="0.3">
      <c r="X5481" s="2"/>
      <c r="Y5481" s="7"/>
      <c r="Z5481" s="2"/>
      <c r="AA5481" s="1"/>
      <c r="AC5481" s="2"/>
      <c r="AE5481" s="1"/>
      <c r="AG5481" s="2"/>
    </row>
    <row r="5482" spans="24:33" ht="43.95" customHeight="1" x14ac:dyDescent="0.3">
      <c r="X5482" s="2"/>
      <c r="Y5482" s="7"/>
      <c r="Z5482" s="2"/>
      <c r="AA5482" s="1"/>
      <c r="AC5482" s="2"/>
      <c r="AE5482" s="1"/>
      <c r="AG5482" s="2"/>
    </row>
    <row r="5483" spans="24:33" ht="43.95" customHeight="1" x14ac:dyDescent="0.3">
      <c r="X5483" s="2"/>
      <c r="Y5483" s="7"/>
      <c r="Z5483" s="2"/>
      <c r="AA5483" s="1"/>
      <c r="AC5483" s="2"/>
      <c r="AE5483" s="1"/>
      <c r="AG5483" s="2"/>
    </row>
    <row r="5484" spans="24:33" ht="43.95" customHeight="1" x14ac:dyDescent="0.3">
      <c r="X5484" s="2"/>
      <c r="Y5484" s="7"/>
      <c r="Z5484" s="2"/>
      <c r="AA5484" s="1"/>
      <c r="AC5484" s="2"/>
      <c r="AE5484" s="1"/>
      <c r="AG5484" s="2"/>
    </row>
    <row r="5485" spans="24:33" ht="43.95" customHeight="1" x14ac:dyDescent="0.3">
      <c r="X5485" s="2"/>
      <c r="Y5485" s="7"/>
      <c r="Z5485" s="2"/>
      <c r="AA5485" s="1"/>
      <c r="AC5485" s="2"/>
      <c r="AE5485" s="1"/>
      <c r="AG5485" s="2"/>
    </row>
    <row r="5486" spans="24:33" ht="43.95" customHeight="1" x14ac:dyDescent="0.3">
      <c r="X5486" s="2"/>
      <c r="Y5486" s="7"/>
      <c r="Z5486" s="2"/>
      <c r="AA5486" s="1"/>
      <c r="AC5486" s="2"/>
      <c r="AE5486" s="1"/>
      <c r="AG5486" s="2"/>
    </row>
    <row r="5487" spans="24:33" ht="43.95" customHeight="1" x14ac:dyDescent="0.3">
      <c r="X5487" s="2"/>
      <c r="Y5487" s="7"/>
      <c r="Z5487" s="2"/>
      <c r="AA5487" s="1"/>
      <c r="AC5487" s="2"/>
      <c r="AE5487" s="1"/>
      <c r="AG5487" s="2"/>
    </row>
    <row r="5488" spans="24:33" ht="43.95" customHeight="1" x14ac:dyDescent="0.3">
      <c r="X5488" s="2"/>
      <c r="Y5488" s="7"/>
      <c r="Z5488" s="2"/>
      <c r="AA5488" s="1"/>
      <c r="AC5488" s="2"/>
      <c r="AE5488" s="1"/>
      <c r="AG5488" s="2"/>
    </row>
    <row r="5489" spans="24:33" ht="43.95" customHeight="1" x14ac:dyDescent="0.3">
      <c r="X5489" s="2"/>
      <c r="Y5489" s="7"/>
      <c r="Z5489" s="2"/>
      <c r="AA5489" s="1"/>
      <c r="AC5489" s="2"/>
      <c r="AE5489" s="1"/>
      <c r="AG5489" s="2"/>
    </row>
    <row r="5490" spans="24:33" ht="43.95" customHeight="1" x14ac:dyDescent="0.3">
      <c r="X5490" s="2"/>
      <c r="Y5490" s="7"/>
      <c r="Z5490" s="2"/>
      <c r="AA5490" s="1"/>
      <c r="AC5490" s="2"/>
      <c r="AE5490" s="1"/>
      <c r="AG5490" s="2"/>
    </row>
    <row r="5491" spans="24:33" ht="43.95" customHeight="1" x14ac:dyDescent="0.3">
      <c r="X5491" s="2"/>
      <c r="Y5491" s="7"/>
      <c r="Z5491" s="2"/>
      <c r="AA5491" s="1"/>
      <c r="AC5491" s="2"/>
      <c r="AE5491" s="1"/>
      <c r="AG5491" s="2"/>
    </row>
    <row r="5492" spans="24:33" ht="43.95" customHeight="1" x14ac:dyDescent="0.3">
      <c r="X5492" s="2"/>
      <c r="Y5492" s="7"/>
      <c r="Z5492" s="2"/>
      <c r="AA5492" s="1"/>
      <c r="AC5492" s="2"/>
      <c r="AE5492" s="1"/>
      <c r="AG5492" s="2"/>
    </row>
    <row r="5493" spans="24:33" ht="43.95" customHeight="1" x14ac:dyDescent="0.3">
      <c r="X5493" s="2"/>
      <c r="Y5493" s="7"/>
      <c r="Z5493" s="2"/>
      <c r="AA5493" s="1"/>
      <c r="AC5493" s="2"/>
      <c r="AE5493" s="1"/>
      <c r="AG5493" s="2"/>
    </row>
    <row r="5494" spans="24:33" ht="43.95" customHeight="1" x14ac:dyDescent="0.3">
      <c r="X5494" s="2"/>
      <c r="Y5494" s="7"/>
      <c r="Z5494" s="2"/>
      <c r="AA5494" s="1"/>
      <c r="AC5494" s="2"/>
      <c r="AE5494" s="1"/>
      <c r="AG5494" s="2"/>
    </row>
    <row r="5495" spans="24:33" ht="43.95" customHeight="1" x14ac:dyDescent="0.3">
      <c r="X5495" s="2"/>
      <c r="Y5495" s="7"/>
      <c r="Z5495" s="2"/>
      <c r="AA5495" s="1"/>
      <c r="AC5495" s="2"/>
      <c r="AE5495" s="1"/>
      <c r="AG5495" s="2"/>
    </row>
    <row r="5496" spans="24:33" ht="43.95" customHeight="1" x14ac:dyDescent="0.3">
      <c r="X5496" s="2"/>
      <c r="Y5496" s="7"/>
      <c r="Z5496" s="2"/>
      <c r="AA5496" s="1"/>
      <c r="AC5496" s="2"/>
      <c r="AE5496" s="1"/>
      <c r="AG5496" s="2"/>
    </row>
    <row r="5497" spans="24:33" ht="43.95" customHeight="1" x14ac:dyDescent="0.3">
      <c r="X5497" s="2"/>
      <c r="Y5497" s="7"/>
      <c r="Z5497" s="2"/>
      <c r="AA5497" s="1"/>
      <c r="AC5497" s="2"/>
      <c r="AE5497" s="1"/>
      <c r="AG5497" s="2"/>
    </row>
    <row r="5498" spans="24:33" ht="43.95" customHeight="1" x14ac:dyDescent="0.3">
      <c r="X5498" s="2"/>
      <c r="Y5498" s="7"/>
      <c r="Z5498" s="2"/>
      <c r="AA5498" s="1"/>
      <c r="AC5498" s="2"/>
      <c r="AE5498" s="1"/>
      <c r="AG5498" s="2"/>
    </row>
    <row r="5499" spans="24:33" ht="43.95" customHeight="1" x14ac:dyDescent="0.3">
      <c r="X5499" s="2"/>
      <c r="Y5499" s="7"/>
      <c r="Z5499" s="2"/>
      <c r="AA5499" s="1"/>
      <c r="AC5499" s="2"/>
      <c r="AE5499" s="1"/>
      <c r="AG5499" s="2"/>
    </row>
    <row r="5500" spans="24:33" ht="43.95" customHeight="1" x14ac:dyDescent="0.3">
      <c r="X5500" s="2"/>
      <c r="Y5500" s="7"/>
      <c r="Z5500" s="2"/>
      <c r="AA5500" s="1"/>
      <c r="AC5500" s="2"/>
      <c r="AE5500" s="1"/>
      <c r="AG5500" s="2"/>
    </row>
    <row r="5501" spans="24:33" ht="43.95" customHeight="1" x14ac:dyDescent="0.3">
      <c r="X5501" s="2"/>
      <c r="Y5501" s="7"/>
      <c r="Z5501" s="2"/>
      <c r="AA5501" s="1"/>
      <c r="AC5501" s="2"/>
      <c r="AE5501" s="1"/>
      <c r="AG5501" s="2"/>
    </row>
    <row r="5502" spans="24:33" ht="43.95" customHeight="1" x14ac:dyDescent="0.3">
      <c r="X5502" s="2"/>
      <c r="Y5502" s="7"/>
      <c r="Z5502" s="2"/>
      <c r="AA5502" s="1"/>
      <c r="AC5502" s="2"/>
      <c r="AE5502" s="1"/>
      <c r="AG5502" s="2"/>
    </row>
    <row r="5503" spans="24:33" ht="43.95" customHeight="1" x14ac:dyDescent="0.3">
      <c r="X5503" s="2"/>
      <c r="Y5503" s="7"/>
      <c r="Z5503" s="2"/>
      <c r="AA5503" s="1"/>
      <c r="AC5503" s="2"/>
      <c r="AE5503" s="1"/>
      <c r="AG5503" s="2"/>
    </row>
    <row r="5504" spans="24:33" ht="43.95" customHeight="1" x14ac:dyDescent="0.3">
      <c r="X5504" s="2"/>
      <c r="Y5504" s="7"/>
      <c r="Z5504" s="2"/>
      <c r="AA5504" s="1"/>
      <c r="AC5504" s="2"/>
      <c r="AE5504" s="1"/>
      <c r="AG5504" s="2"/>
    </row>
    <row r="5505" spans="24:33" ht="43.95" customHeight="1" x14ac:dyDescent="0.3">
      <c r="X5505" s="2"/>
      <c r="Y5505" s="7"/>
      <c r="Z5505" s="2"/>
      <c r="AA5505" s="1"/>
      <c r="AC5505" s="2"/>
      <c r="AE5505" s="1"/>
      <c r="AG5505" s="2"/>
    </row>
    <row r="5506" spans="24:33" ht="43.95" customHeight="1" x14ac:dyDescent="0.3">
      <c r="X5506" s="2"/>
      <c r="Y5506" s="7"/>
      <c r="Z5506" s="2"/>
      <c r="AA5506" s="1"/>
      <c r="AC5506" s="2"/>
      <c r="AE5506" s="1"/>
      <c r="AG5506" s="2"/>
    </row>
    <row r="5507" spans="24:33" ht="43.95" customHeight="1" x14ac:dyDescent="0.3">
      <c r="X5507" s="2"/>
      <c r="Y5507" s="7"/>
      <c r="Z5507" s="2"/>
      <c r="AA5507" s="1"/>
      <c r="AC5507" s="2"/>
      <c r="AE5507" s="1"/>
      <c r="AG5507" s="2"/>
    </row>
    <row r="5508" spans="24:33" ht="43.95" customHeight="1" x14ac:dyDescent="0.3">
      <c r="X5508" s="2"/>
      <c r="Y5508" s="7"/>
      <c r="Z5508" s="2"/>
      <c r="AA5508" s="1"/>
      <c r="AC5508" s="2"/>
      <c r="AE5508" s="1"/>
      <c r="AG5508" s="2"/>
    </row>
    <row r="5509" spans="24:33" ht="43.95" customHeight="1" x14ac:dyDescent="0.3">
      <c r="X5509" s="2"/>
      <c r="Y5509" s="7"/>
      <c r="Z5509" s="2"/>
      <c r="AA5509" s="1"/>
      <c r="AC5509" s="2"/>
      <c r="AE5509" s="1"/>
      <c r="AG5509" s="2"/>
    </row>
    <row r="5510" spans="24:33" ht="43.95" customHeight="1" x14ac:dyDescent="0.3">
      <c r="X5510" s="2"/>
      <c r="Y5510" s="7"/>
      <c r="Z5510" s="2"/>
      <c r="AA5510" s="1"/>
      <c r="AC5510" s="2"/>
      <c r="AE5510" s="1"/>
      <c r="AG5510" s="2"/>
    </row>
    <row r="5511" spans="24:33" ht="43.95" customHeight="1" x14ac:dyDescent="0.3">
      <c r="X5511" s="2"/>
      <c r="Y5511" s="7"/>
      <c r="Z5511" s="2"/>
      <c r="AA5511" s="1"/>
      <c r="AC5511" s="2"/>
      <c r="AE5511" s="1"/>
      <c r="AG5511" s="2"/>
    </row>
    <row r="5512" spans="24:33" ht="43.95" customHeight="1" x14ac:dyDescent="0.3">
      <c r="X5512" s="227"/>
      <c r="Y5512" s="7"/>
      <c r="Z5512" s="2"/>
      <c r="AA5512" s="1"/>
      <c r="AC5512" s="2"/>
      <c r="AE5512" s="1"/>
      <c r="AG5512" s="2"/>
    </row>
    <row r="5513" spans="24:33" ht="43.95" customHeight="1" x14ac:dyDescent="0.3">
      <c r="X5513" s="2"/>
      <c r="Y5513" s="7"/>
      <c r="Z5513" s="2"/>
      <c r="AA5513" s="1"/>
      <c r="AC5513" s="2"/>
      <c r="AE5513" s="1"/>
      <c r="AG5513" s="2"/>
    </row>
    <row r="5514" spans="24:33" ht="43.95" customHeight="1" x14ac:dyDescent="0.3">
      <c r="X5514" s="2"/>
      <c r="Y5514" s="7"/>
      <c r="Z5514" s="2"/>
      <c r="AA5514" s="1"/>
      <c r="AC5514" s="2"/>
      <c r="AE5514" s="1"/>
      <c r="AG5514" s="2"/>
    </row>
    <row r="5515" spans="24:33" ht="43.95" customHeight="1" x14ac:dyDescent="0.3">
      <c r="X5515" s="2"/>
      <c r="Y5515" s="7"/>
      <c r="Z5515" s="2"/>
      <c r="AA5515" s="1"/>
      <c r="AC5515" s="2"/>
      <c r="AE5515" s="1"/>
      <c r="AG5515" s="2"/>
    </row>
    <row r="5516" spans="24:33" ht="43.95" customHeight="1" x14ac:dyDescent="0.3">
      <c r="X5516" s="2"/>
      <c r="Y5516" s="7"/>
      <c r="Z5516" s="2"/>
      <c r="AA5516" s="1"/>
      <c r="AC5516" s="2"/>
      <c r="AE5516" s="1"/>
      <c r="AG5516" s="2"/>
    </row>
    <row r="5517" spans="24:33" ht="43.95" customHeight="1" x14ac:dyDescent="0.3">
      <c r="X5517" s="228"/>
      <c r="Y5517" s="7"/>
      <c r="Z5517" s="2"/>
      <c r="AA5517" s="1"/>
      <c r="AC5517" s="2"/>
      <c r="AE5517" s="1"/>
      <c r="AG5517" s="2"/>
    </row>
    <row r="5518" spans="24:33" ht="43.95" customHeight="1" x14ac:dyDescent="0.3">
      <c r="X5518" s="2"/>
      <c r="Y5518" s="7"/>
      <c r="Z5518" s="2"/>
      <c r="AA5518" s="1"/>
      <c r="AC5518" s="2"/>
      <c r="AE5518" s="1"/>
      <c r="AG5518" s="2"/>
    </row>
    <row r="5519" spans="24:33" ht="43.95" customHeight="1" x14ac:dyDescent="0.3">
      <c r="X5519" s="2"/>
      <c r="Y5519" s="7"/>
      <c r="Z5519" s="2"/>
      <c r="AA5519" s="1"/>
      <c r="AC5519" s="2"/>
      <c r="AE5519" s="1"/>
      <c r="AG5519" s="2"/>
    </row>
    <row r="5520" spans="24:33" ht="43.95" customHeight="1" x14ac:dyDescent="0.3">
      <c r="X5520" s="2"/>
      <c r="Y5520" s="7"/>
      <c r="Z5520" s="2"/>
      <c r="AA5520" s="1"/>
      <c r="AC5520" s="2"/>
      <c r="AE5520" s="1"/>
      <c r="AG5520" s="2"/>
    </row>
    <row r="5521" spans="24:33" ht="43.95" customHeight="1" x14ac:dyDescent="0.3">
      <c r="X5521" s="2"/>
      <c r="Y5521" s="7"/>
      <c r="Z5521" s="2"/>
      <c r="AA5521" s="1"/>
      <c r="AC5521" s="2"/>
      <c r="AE5521" s="1"/>
      <c r="AG5521" s="2"/>
    </row>
    <row r="5522" spans="24:33" ht="43.95" customHeight="1" x14ac:dyDescent="0.3">
      <c r="X5522" s="2"/>
      <c r="Y5522" s="7"/>
      <c r="Z5522" s="2"/>
      <c r="AA5522" s="1"/>
      <c r="AC5522" s="2"/>
      <c r="AE5522" s="1"/>
      <c r="AG5522" s="2"/>
    </row>
    <row r="5523" spans="24:33" ht="43.95" customHeight="1" x14ac:dyDescent="0.3">
      <c r="X5523" s="2"/>
      <c r="Y5523" s="7"/>
      <c r="Z5523" s="2"/>
      <c r="AA5523" s="1"/>
      <c r="AC5523" s="2"/>
      <c r="AE5523" s="1"/>
      <c r="AG5523" s="2"/>
    </row>
    <row r="5524" spans="24:33" ht="43.95" customHeight="1" x14ac:dyDescent="0.3">
      <c r="X5524" s="2"/>
      <c r="Y5524" s="7"/>
      <c r="Z5524" s="2"/>
      <c r="AA5524" s="1"/>
      <c r="AC5524" s="2"/>
      <c r="AE5524" s="1"/>
      <c r="AG5524" s="2"/>
    </row>
    <row r="5525" spans="24:33" ht="43.95" customHeight="1" x14ac:dyDescent="0.3">
      <c r="X5525" s="2"/>
      <c r="Y5525" s="7"/>
      <c r="Z5525" s="2"/>
      <c r="AA5525" s="1"/>
      <c r="AC5525" s="2"/>
      <c r="AE5525" s="1"/>
      <c r="AG5525" s="2"/>
    </row>
    <row r="5526" spans="24:33" ht="43.95" customHeight="1" x14ac:dyDescent="0.3">
      <c r="X5526" s="2"/>
      <c r="Y5526" s="7"/>
      <c r="Z5526" s="2"/>
      <c r="AA5526" s="1"/>
      <c r="AC5526" s="2"/>
      <c r="AE5526" s="1"/>
      <c r="AG5526" s="2"/>
    </row>
    <row r="5527" spans="24:33" ht="43.95" customHeight="1" x14ac:dyDescent="0.3">
      <c r="X5527" s="2"/>
      <c r="Y5527" s="7"/>
      <c r="Z5527" s="2"/>
      <c r="AA5527" s="1"/>
      <c r="AC5527" s="2"/>
      <c r="AE5527" s="1"/>
      <c r="AG5527" s="2"/>
    </row>
    <row r="5528" spans="24:33" ht="43.95" customHeight="1" x14ac:dyDescent="0.3">
      <c r="X5528" s="2"/>
      <c r="Y5528" s="7"/>
      <c r="Z5528" s="2"/>
      <c r="AA5528" s="1"/>
      <c r="AC5528" s="2"/>
      <c r="AE5528" s="1"/>
      <c r="AG5528" s="2"/>
    </row>
    <row r="5529" spans="24:33" ht="43.95" customHeight="1" x14ac:dyDescent="0.3">
      <c r="X5529" s="2"/>
      <c r="Y5529" s="7"/>
      <c r="Z5529" s="2"/>
      <c r="AA5529" s="1"/>
      <c r="AC5529" s="2"/>
      <c r="AE5529" s="1"/>
      <c r="AG5529" s="2"/>
    </row>
    <row r="5530" spans="24:33" ht="43.95" customHeight="1" x14ac:dyDescent="0.3">
      <c r="X5530" s="2"/>
      <c r="Y5530" s="7"/>
      <c r="Z5530" s="2"/>
      <c r="AA5530" s="1"/>
      <c r="AC5530" s="2"/>
      <c r="AE5530" s="1"/>
      <c r="AG5530" s="2"/>
    </row>
    <row r="5531" spans="24:33" ht="43.95" customHeight="1" x14ac:dyDescent="0.3">
      <c r="X5531" s="2"/>
      <c r="Y5531" s="7"/>
      <c r="Z5531" s="2"/>
      <c r="AA5531" s="1"/>
      <c r="AC5531" s="2"/>
      <c r="AE5531" s="1"/>
      <c r="AG5531" s="2"/>
    </row>
    <row r="5532" spans="24:33" ht="43.95" customHeight="1" x14ac:dyDescent="0.3">
      <c r="X5532" s="2"/>
      <c r="Y5532" s="7"/>
      <c r="Z5532" s="2"/>
      <c r="AA5532" s="1"/>
      <c r="AC5532" s="2"/>
      <c r="AE5532" s="1"/>
      <c r="AG5532" s="2"/>
    </row>
    <row r="5533" spans="24:33" ht="43.95" customHeight="1" x14ac:dyDescent="0.3">
      <c r="X5533" s="2"/>
      <c r="Y5533" s="7"/>
      <c r="Z5533" s="2"/>
      <c r="AA5533" s="1"/>
      <c r="AC5533" s="2"/>
      <c r="AE5533" s="1"/>
      <c r="AG5533" s="2"/>
    </row>
    <row r="5534" spans="24:33" ht="43.95" customHeight="1" x14ac:dyDescent="0.3">
      <c r="X5534" s="2"/>
      <c r="Y5534" s="7"/>
      <c r="Z5534" s="2"/>
      <c r="AA5534" s="1"/>
      <c r="AC5534" s="2"/>
      <c r="AE5534" s="1"/>
      <c r="AG5534" s="2"/>
    </row>
    <row r="5535" spans="24:33" ht="43.95" customHeight="1" x14ac:dyDescent="0.3">
      <c r="X5535" s="2"/>
      <c r="Y5535" s="7"/>
      <c r="Z5535" s="2"/>
      <c r="AA5535" s="1"/>
      <c r="AC5535" s="2"/>
      <c r="AE5535" s="1"/>
      <c r="AG5535" s="2"/>
    </row>
    <row r="5536" spans="24:33" ht="43.95" customHeight="1" x14ac:dyDescent="0.3">
      <c r="X5536" s="2"/>
      <c r="Y5536" s="7"/>
      <c r="Z5536" s="2"/>
      <c r="AA5536" s="1"/>
      <c r="AC5536" s="2"/>
      <c r="AE5536" s="1"/>
      <c r="AG5536" s="2"/>
    </row>
    <row r="5537" spans="24:33" ht="43.95" customHeight="1" x14ac:dyDescent="0.3">
      <c r="X5537" s="2"/>
      <c r="Y5537" s="7"/>
      <c r="Z5537" s="2"/>
      <c r="AA5537" s="1"/>
      <c r="AC5537" s="2"/>
      <c r="AE5537" s="1"/>
      <c r="AG5537" s="2"/>
    </row>
    <row r="5538" spans="24:33" ht="43.95" customHeight="1" x14ac:dyDescent="0.3">
      <c r="X5538" s="2"/>
      <c r="Y5538" s="7"/>
      <c r="Z5538" s="2"/>
      <c r="AA5538" s="1"/>
      <c r="AC5538" s="2"/>
      <c r="AE5538" s="1"/>
      <c r="AG5538" s="2"/>
    </row>
    <row r="5539" spans="24:33" ht="43.95" customHeight="1" x14ac:dyDescent="0.3">
      <c r="X5539" s="2"/>
      <c r="Y5539" s="7"/>
      <c r="Z5539" s="2"/>
      <c r="AA5539" s="1"/>
      <c r="AC5539" s="2"/>
      <c r="AE5539" s="1"/>
      <c r="AG5539" s="2"/>
    </row>
    <row r="5540" spans="24:33" ht="43.95" customHeight="1" x14ac:dyDescent="0.3">
      <c r="X5540" s="2"/>
      <c r="Y5540" s="7"/>
      <c r="Z5540" s="2"/>
      <c r="AA5540" s="1"/>
      <c r="AC5540" s="2"/>
      <c r="AE5540" s="1"/>
      <c r="AG5540" s="2"/>
    </row>
    <row r="5541" spans="24:33" ht="43.95" customHeight="1" x14ac:dyDescent="0.3">
      <c r="X5541" s="2"/>
      <c r="Y5541" s="7"/>
      <c r="Z5541" s="2"/>
      <c r="AA5541" s="1"/>
      <c r="AC5541" s="2"/>
      <c r="AE5541" s="1"/>
      <c r="AG5541" s="2"/>
    </row>
    <row r="5542" spans="24:33" ht="43.95" customHeight="1" x14ac:dyDescent="0.3">
      <c r="X5542" s="2"/>
      <c r="Y5542" s="7"/>
      <c r="Z5542" s="2"/>
      <c r="AA5542" s="1"/>
      <c r="AC5542" s="2"/>
      <c r="AE5542" s="1"/>
      <c r="AG5542" s="2"/>
    </row>
    <row r="5543" spans="24:33" ht="43.95" customHeight="1" x14ac:dyDescent="0.3">
      <c r="X5543" s="2"/>
      <c r="Y5543" s="7"/>
      <c r="Z5543" s="2"/>
      <c r="AA5543" s="1"/>
      <c r="AC5543" s="2"/>
      <c r="AE5543" s="1"/>
      <c r="AG5543" s="2"/>
    </row>
    <row r="5544" spans="24:33" ht="43.95" customHeight="1" x14ac:dyDescent="0.3">
      <c r="X5544" s="2"/>
      <c r="Y5544" s="7"/>
      <c r="Z5544" s="2"/>
      <c r="AA5544" s="1"/>
      <c r="AC5544" s="2"/>
      <c r="AE5544" s="1"/>
      <c r="AG5544" s="2"/>
    </row>
    <row r="5545" spans="24:33" ht="43.95" customHeight="1" x14ac:dyDescent="0.3">
      <c r="X5545" s="2"/>
      <c r="Y5545" s="7"/>
      <c r="Z5545" s="2"/>
      <c r="AA5545" s="1"/>
      <c r="AC5545" s="2"/>
      <c r="AE5545" s="1"/>
      <c r="AG5545" s="2"/>
    </row>
    <row r="5546" spans="24:33" ht="43.95" customHeight="1" x14ac:dyDescent="0.3">
      <c r="X5546" s="2"/>
      <c r="Y5546" s="7"/>
      <c r="Z5546" s="2"/>
      <c r="AA5546" s="1"/>
      <c r="AC5546" s="2"/>
      <c r="AE5546" s="1"/>
      <c r="AG5546" s="2"/>
    </row>
    <row r="5547" spans="24:33" ht="43.95" customHeight="1" x14ac:dyDescent="0.3">
      <c r="X5547" s="2"/>
      <c r="Y5547" s="7"/>
      <c r="Z5547" s="2"/>
      <c r="AA5547" s="1"/>
      <c r="AC5547" s="2"/>
      <c r="AE5547" s="1"/>
      <c r="AG5547" s="2"/>
    </row>
    <row r="5548" spans="24:33" ht="43.95" customHeight="1" x14ac:dyDescent="0.3">
      <c r="X5548" s="2"/>
      <c r="Y5548" s="7"/>
      <c r="Z5548" s="2"/>
      <c r="AA5548" s="1"/>
      <c r="AC5548" s="2"/>
      <c r="AE5548" s="1"/>
      <c r="AG5548" s="2"/>
    </row>
    <row r="5549" spans="24:33" ht="43.95" customHeight="1" x14ac:dyDescent="0.3">
      <c r="X5549" s="2"/>
      <c r="Y5549" s="7"/>
      <c r="Z5549" s="2"/>
      <c r="AA5549" s="1"/>
      <c r="AC5549" s="2"/>
      <c r="AE5549" s="1"/>
      <c r="AG5549" s="2"/>
    </row>
    <row r="5550" spans="24:33" ht="43.95" customHeight="1" x14ac:dyDescent="0.3">
      <c r="X5550" s="2"/>
      <c r="Y5550" s="7"/>
      <c r="Z5550" s="2"/>
      <c r="AA5550" s="1"/>
      <c r="AC5550" s="2"/>
      <c r="AE5550" s="1"/>
      <c r="AG5550" s="2"/>
    </row>
    <row r="5551" spans="24:33" ht="43.95" customHeight="1" x14ac:dyDescent="0.3">
      <c r="X5551" s="2"/>
      <c r="Y5551" s="7"/>
      <c r="Z5551" s="2"/>
      <c r="AA5551" s="1"/>
      <c r="AC5551" s="2"/>
      <c r="AE5551" s="1"/>
      <c r="AG5551" s="2"/>
    </row>
    <row r="5552" spans="24:33" ht="43.95" customHeight="1" x14ac:dyDescent="0.3">
      <c r="X5552" s="2"/>
      <c r="Y5552" s="7"/>
      <c r="Z5552" s="2"/>
      <c r="AA5552" s="1"/>
      <c r="AC5552" s="2"/>
      <c r="AE5552" s="1"/>
      <c r="AG5552" s="2"/>
    </row>
    <row r="5553" spans="24:33" ht="43.95" customHeight="1" x14ac:dyDescent="0.3">
      <c r="X5553" s="228"/>
      <c r="Y5553" s="7"/>
      <c r="Z5553" s="2"/>
      <c r="AA5553" s="1"/>
      <c r="AC5553" s="2"/>
      <c r="AE5553" s="1"/>
      <c r="AG5553" s="2"/>
    </row>
    <row r="5554" spans="24:33" ht="43.95" customHeight="1" x14ac:dyDescent="0.3">
      <c r="X5554" s="2"/>
      <c r="Y5554" s="7"/>
      <c r="Z5554" s="2"/>
      <c r="AA5554" s="1"/>
      <c r="AC5554" s="2"/>
      <c r="AE5554" s="1"/>
      <c r="AG5554" s="2"/>
    </row>
    <row r="5555" spans="24:33" ht="43.95" customHeight="1" x14ac:dyDescent="0.3">
      <c r="X5555" s="2"/>
      <c r="Y5555" s="7"/>
      <c r="Z5555" s="2"/>
      <c r="AA5555" s="1"/>
      <c r="AC5555" s="2"/>
      <c r="AE5555" s="1"/>
      <c r="AG5555" s="2"/>
    </row>
    <row r="5556" spans="24:33" ht="43.95" customHeight="1" x14ac:dyDescent="0.3">
      <c r="X5556" s="2"/>
      <c r="Y5556" s="7"/>
      <c r="Z5556" s="2"/>
      <c r="AA5556" s="1"/>
      <c r="AC5556" s="2"/>
      <c r="AE5556" s="1"/>
      <c r="AG5556" s="2"/>
    </row>
    <row r="5557" spans="24:33" ht="43.95" customHeight="1" x14ac:dyDescent="0.3">
      <c r="X5557" s="2"/>
      <c r="Y5557" s="7"/>
      <c r="Z5557" s="2"/>
      <c r="AA5557" s="1"/>
      <c r="AC5557" s="2"/>
      <c r="AE5557" s="1"/>
      <c r="AG5557" s="2"/>
    </row>
    <row r="5558" spans="24:33" ht="43.95" customHeight="1" x14ac:dyDescent="0.3">
      <c r="X5558" s="2"/>
      <c r="Y5558" s="7"/>
      <c r="Z5558" s="2"/>
      <c r="AA5558" s="1"/>
      <c r="AC5558" s="2"/>
      <c r="AE5558" s="1"/>
      <c r="AG5558" s="2"/>
    </row>
    <row r="5559" spans="24:33" ht="43.95" customHeight="1" x14ac:dyDescent="0.3">
      <c r="X5559" s="2"/>
      <c r="Y5559" s="7"/>
      <c r="Z5559" s="2"/>
      <c r="AA5559" s="1"/>
      <c r="AC5559" s="2"/>
      <c r="AE5559" s="1"/>
      <c r="AG5559" s="2"/>
    </row>
    <row r="5560" spans="24:33" ht="43.95" customHeight="1" x14ac:dyDescent="0.3">
      <c r="X5560" s="2"/>
      <c r="Y5560" s="7"/>
      <c r="Z5560" s="2"/>
      <c r="AA5560" s="1"/>
      <c r="AC5560" s="2"/>
      <c r="AE5560" s="1"/>
      <c r="AG5560" s="2"/>
    </row>
    <row r="5561" spans="24:33" ht="43.95" customHeight="1" x14ac:dyDescent="0.3">
      <c r="X5561" s="2"/>
      <c r="Y5561" s="7"/>
      <c r="Z5561" s="2"/>
      <c r="AA5561" s="1"/>
      <c r="AC5561" s="2"/>
      <c r="AE5561" s="1"/>
      <c r="AG5561" s="2"/>
    </row>
    <row r="5562" spans="24:33" ht="43.95" customHeight="1" x14ac:dyDescent="0.3">
      <c r="X5562" s="2"/>
      <c r="Y5562" s="7"/>
      <c r="Z5562" s="2"/>
      <c r="AA5562" s="1"/>
      <c r="AC5562" s="2"/>
      <c r="AE5562" s="1"/>
      <c r="AG5562" s="2"/>
    </row>
    <row r="5563" spans="24:33" ht="43.95" customHeight="1" x14ac:dyDescent="0.3">
      <c r="X5563" s="2"/>
      <c r="Y5563" s="7"/>
      <c r="Z5563" s="2"/>
      <c r="AA5563" s="1"/>
      <c r="AC5563" s="2"/>
      <c r="AE5563" s="1"/>
      <c r="AG5563" s="2"/>
    </row>
    <row r="5564" spans="24:33" ht="43.95" customHeight="1" x14ac:dyDescent="0.3">
      <c r="X5564" s="2"/>
      <c r="Y5564" s="7"/>
      <c r="Z5564" s="2"/>
      <c r="AA5564" s="1"/>
      <c r="AC5564" s="2"/>
      <c r="AE5564" s="1"/>
      <c r="AG5564" s="2"/>
    </row>
    <row r="5565" spans="24:33" ht="43.95" customHeight="1" x14ac:dyDescent="0.3">
      <c r="X5565" s="2"/>
      <c r="Y5565" s="7"/>
      <c r="Z5565" s="2"/>
      <c r="AA5565" s="1"/>
      <c r="AC5565" s="2"/>
      <c r="AE5565" s="1"/>
      <c r="AG5565" s="2"/>
    </row>
    <row r="5566" spans="24:33" ht="43.95" customHeight="1" x14ac:dyDescent="0.3">
      <c r="X5566" s="2"/>
      <c r="Y5566" s="7"/>
      <c r="Z5566" s="2"/>
      <c r="AA5566" s="1"/>
      <c r="AC5566" s="2"/>
      <c r="AE5566" s="1"/>
      <c r="AG5566" s="2"/>
    </row>
    <row r="5567" spans="24:33" ht="43.95" customHeight="1" x14ac:dyDescent="0.3">
      <c r="X5567" s="2"/>
      <c r="Y5567" s="7"/>
      <c r="Z5567" s="2"/>
      <c r="AA5567" s="1"/>
      <c r="AC5567" s="2"/>
      <c r="AE5567" s="1"/>
      <c r="AG5567" s="2"/>
    </row>
    <row r="5568" spans="24:33" ht="43.95" customHeight="1" x14ac:dyDescent="0.3">
      <c r="X5568" s="2"/>
      <c r="Y5568" s="7"/>
      <c r="Z5568" s="2"/>
      <c r="AA5568" s="1"/>
      <c r="AC5568" s="2"/>
      <c r="AE5568" s="1"/>
      <c r="AG5568" s="2"/>
    </row>
    <row r="5569" spans="24:33" ht="43.95" customHeight="1" x14ac:dyDescent="0.3">
      <c r="X5569" s="2"/>
      <c r="Y5569" s="7"/>
      <c r="Z5569" s="2"/>
      <c r="AA5569" s="1"/>
      <c r="AC5569" s="2"/>
      <c r="AE5569" s="1"/>
      <c r="AG5569" s="2"/>
    </row>
    <row r="5570" spans="24:33" ht="43.95" customHeight="1" x14ac:dyDescent="0.3">
      <c r="X5570" s="2"/>
      <c r="Y5570" s="7"/>
      <c r="Z5570" s="2"/>
      <c r="AA5570" s="1"/>
      <c r="AC5570" s="2"/>
      <c r="AE5570" s="1"/>
      <c r="AG5570" s="2"/>
    </row>
    <row r="5571" spans="24:33" ht="43.95" customHeight="1" x14ac:dyDescent="0.3">
      <c r="X5571" s="2"/>
      <c r="Y5571" s="7"/>
      <c r="Z5571" s="2"/>
      <c r="AA5571" s="1"/>
      <c r="AC5571" s="2"/>
      <c r="AE5571" s="1"/>
      <c r="AG5571" s="2"/>
    </row>
    <row r="5572" spans="24:33" ht="43.95" customHeight="1" x14ac:dyDescent="0.3">
      <c r="X5572" s="2"/>
      <c r="Y5572" s="7"/>
      <c r="Z5572" s="2"/>
      <c r="AA5572" s="1"/>
      <c r="AC5572" s="2"/>
      <c r="AE5572" s="1"/>
      <c r="AG5572" s="2"/>
    </row>
    <row r="5573" spans="24:33" ht="43.95" customHeight="1" x14ac:dyDescent="0.3">
      <c r="X5573" s="2"/>
      <c r="Y5573" s="7"/>
      <c r="Z5573" s="2"/>
      <c r="AA5573" s="1"/>
      <c r="AC5573" s="2"/>
      <c r="AE5573" s="1"/>
      <c r="AG5573" s="2"/>
    </row>
    <row r="5574" spans="24:33" ht="43.95" customHeight="1" x14ac:dyDescent="0.3">
      <c r="X5574" s="2"/>
      <c r="Y5574" s="7"/>
      <c r="Z5574" s="2"/>
      <c r="AA5574" s="1"/>
      <c r="AC5574" s="2"/>
      <c r="AE5574" s="1"/>
      <c r="AG5574" s="2"/>
    </row>
    <row r="5575" spans="24:33" ht="43.95" customHeight="1" x14ac:dyDescent="0.3">
      <c r="X5575" s="2"/>
      <c r="Y5575" s="7"/>
      <c r="Z5575" s="2"/>
      <c r="AA5575" s="1"/>
      <c r="AC5575" s="2"/>
      <c r="AE5575" s="1"/>
      <c r="AG5575" s="2"/>
    </row>
    <row r="5576" spans="24:33" ht="43.95" customHeight="1" x14ac:dyDescent="0.3">
      <c r="X5576" s="2"/>
      <c r="Y5576" s="7"/>
      <c r="Z5576" s="2"/>
      <c r="AA5576" s="1"/>
      <c r="AC5576" s="2"/>
      <c r="AE5576" s="1"/>
      <c r="AG5576" s="2"/>
    </row>
    <row r="5577" spans="24:33" ht="43.95" customHeight="1" x14ac:dyDescent="0.3">
      <c r="X5577" s="2"/>
      <c r="Y5577" s="7"/>
      <c r="Z5577" s="2"/>
      <c r="AA5577" s="1"/>
      <c r="AC5577" s="2"/>
      <c r="AE5577" s="1"/>
      <c r="AG5577" s="2"/>
    </row>
    <row r="5578" spans="24:33" ht="43.95" customHeight="1" x14ac:dyDescent="0.3">
      <c r="X5578" s="2"/>
      <c r="Y5578" s="7"/>
      <c r="Z5578" s="2"/>
      <c r="AA5578" s="1"/>
      <c r="AC5578" s="2"/>
      <c r="AE5578" s="1"/>
      <c r="AG5578" s="2"/>
    </row>
    <row r="5579" spans="24:33" ht="43.95" customHeight="1" x14ac:dyDescent="0.3">
      <c r="X5579" s="2"/>
      <c r="Y5579" s="7"/>
      <c r="Z5579" s="2"/>
      <c r="AA5579" s="1"/>
      <c r="AC5579" s="2"/>
      <c r="AE5579" s="1"/>
      <c r="AG5579" s="2"/>
    </row>
    <row r="5580" spans="24:33" ht="43.95" customHeight="1" x14ac:dyDescent="0.3">
      <c r="X5580" s="2"/>
      <c r="Y5580" s="7"/>
      <c r="Z5580" s="2"/>
      <c r="AA5580" s="1"/>
      <c r="AC5580" s="2"/>
      <c r="AE5580" s="1"/>
      <c r="AG5580" s="2"/>
    </row>
    <row r="5581" spans="24:33" ht="43.95" customHeight="1" x14ac:dyDescent="0.3">
      <c r="X5581" s="2"/>
      <c r="Y5581" s="7"/>
      <c r="Z5581" s="2"/>
      <c r="AA5581" s="1"/>
      <c r="AC5581" s="2"/>
      <c r="AE5581" s="1"/>
      <c r="AG5581" s="2"/>
    </row>
    <row r="5582" spans="24:33" ht="43.95" customHeight="1" x14ac:dyDescent="0.3">
      <c r="X5582" s="2"/>
      <c r="Y5582" s="7"/>
      <c r="Z5582" s="2"/>
      <c r="AA5582" s="1"/>
      <c r="AC5582" s="2"/>
      <c r="AE5582" s="1"/>
      <c r="AG5582" s="2"/>
    </row>
    <row r="5583" spans="24:33" ht="43.95" customHeight="1" x14ac:dyDescent="0.3">
      <c r="X5583" s="228"/>
      <c r="Y5583" s="7"/>
      <c r="Z5583" s="2"/>
      <c r="AA5583" s="1"/>
      <c r="AC5583" s="2"/>
      <c r="AE5583" s="1"/>
      <c r="AG5583" s="2"/>
    </row>
    <row r="5584" spans="24:33" ht="43.95" customHeight="1" x14ac:dyDescent="0.3">
      <c r="X5584" s="2"/>
      <c r="Y5584" s="7"/>
      <c r="Z5584" s="2"/>
      <c r="AA5584" s="1"/>
      <c r="AC5584" s="2"/>
      <c r="AE5584" s="1"/>
      <c r="AG5584" s="2"/>
    </row>
    <row r="5585" spans="24:33" ht="43.95" customHeight="1" x14ac:dyDescent="0.3">
      <c r="X5585" s="2"/>
      <c r="Y5585" s="7"/>
      <c r="Z5585" s="2"/>
      <c r="AA5585" s="1"/>
      <c r="AC5585" s="2"/>
      <c r="AE5585" s="1"/>
      <c r="AG5585" s="2"/>
    </row>
    <row r="5586" spans="24:33" ht="43.95" customHeight="1" x14ac:dyDescent="0.3">
      <c r="X5586" s="2"/>
      <c r="Y5586" s="7"/>
      <c r="Z5586" s="2"/>
      <c r="AA5586" s="1"/>
      <c r="AC5586" s="2"/>
      <c r="AE5586" s="1"/>
      <c r="AG5586" s="2"/>
    </row>
    <row r="5587" spans="24:33" ht="43.95" customHeight="1" x14ac:dyDescent="0.3">
      <c r="X5587" s="2"/>
      <c r="Y5587" s="7"/>
      <c r="Z5587" s="2"/>
      <c r="AA5587" s="1"/>
      <c r="AC5587" s="2"/>
      <c r="AE5587" s="1"/>
      <c r="AG5587" s="2"/>
    </row>
    <row r="5588" spans="24:33" ht="43.95" customHeight="1" x14ac:dyDescent="0.3">
      <c r="X5588" s="2"/>
      <c r="Y5588" s="7"/>
      <c r="Z5588" s="2"/>
      <c r="AA5588" s="1"/>
      <c r="AC5588" s="2"/>
      <c r="AE5588" s="1"/>
      <c r="AG5588" s="2"/>
    </row>
    <row r="5589" spans="24:33" ht="43.95" customHeight="1" x14ac:dyDescent="0.3">
      <c r="X5589" s="2"/>
      <c r="Y5589" s="7"/>
      <c r="Z5589" s="2"/>
      <c r="AA5589" s="1"/>
      <c r="AC5589" s="2"/>
      <c r="AE5589" s="1"/>
      <c r="AG5589" s="2"/>
    </row>
    <row r="5590" spans="24:33" ht="43.95" customHeight="1" x14ac:dyDescent="0.3">
      <c r="X5590" s="2"/>
      <c r="Y5590" s="7"/>
      <c r="Z5590" s="2"/>
      <c r="AA5590" s="1"/>
      <c r="AC5590" s="2"/>
      <c r="AE5590" s="1"/>
      <c r="AG5590" s="2"/>
    </row>
    <row r="5591" spans="24:33" ht="43.95" customHeight="1" x14ac:dyDescent="0.3">
      <c r="X5591" s="2"/>
      <c r="Y5591" s="7"/>
      <c r="Z5591" s="2"/>
      <c r="AA5591" s="1"/>
      <c r="AC5591" s="2"/>
      <c r="AE5591" s="1"/>
      <c r="AG5591" s="2"/>
    </row>
    <row r="5592" spans="24:33" ht="43.95" customHeight="1" x14ac:dyDescent="0.3">
      <c r="X5592" s="2"/>
      <c r="Y5592" s="7"/>
      <c r="Z5592" s="2"/>
      <c r="AA5592" s="1"/>
      <c r="AC5592" s="2"/>
      <c r="AE5592" s="1"/>
      <c r="AG5592" s="2"/>
    </row>
    <row r="5593" spans="24:33" ht="43.95" customHeight="1" x14ac:dyDescent="0.3">
      <c r="X5593" s="2"/>
      <c r="Y5593" s="7"/>
      <c r="Z5593" s="2"/>
      <c r="AA5593" s="1"/>
      <c r="AC5593" s="2"/>
      <c r="AE5593" s="1"/>
      <c r="AG5593" s="2"/>
    </row>
    <row r="5594" spans="24:33" ht="43.95" customHeight="1" x14ac:dyDescent="0.3">
      <c r="X5594" s="2"/>
      <c r="Y5594" s="7"/>
      <c r="Z5594" s="2"/>
      <c r="AA5594" s="1"/>
      <c r="AC5594" s="2"/>
      <c r="AE5594" s="1"/>
      <c r="AG5594" s="2"/>
    </row>
    <row r="5595" spans="24:33" ht="43.95" customHeight="1" x14ac:dyDescent="0.3">
      <c r="X5595" s="2"/>
      <c r="Y5595" s="7"/>
      <c r="Z5595" s="2"/>
      <c r="AA5595" s="1"/>
      <c r="AC5595" s="2"/>
      <c r="AE5595" s="1"/>
      <c r="AG5595" s="2"/>
    </row>
    <row r="5596" spans="24:33" ht="43.95" customHeight="1" x14ac:dyDescent="0.3">
      <c r="X5596" s="2"/>
      <c r="Y5596" s="7"/>
      <c r="Z5596" s="2"/>
      <c r="AA5596" s="1"/>
      <c r="AC5596" s="2"/>
      <c r="AE5596" s="1"/>
      <c r="AG5596" s="2"/>
    </row>
    <row r="5597" spans="24:33" ht="43.95" customHeight="1" x14ac:dyDescent="0.3">
      <c r="X5597" s="2"/>
      <c r="Y5597" s="7"/>
      <c r="Z5597" s="2"/>
      <c r="AA5597" s="1"/>
      <c r="AC5597" s="2"/>
      <c r="AE5597" s="1"/>
      <c r="AG5597" s="2"/>
    </row>
    <row r="5598" spans="24:33" ht="43.95" customHeight="1" x14ac:dyDescent="0.3">
      <c r="X5598" s="2"/>
      <c r="Y5598" s="7"/>
      <c r="Z5598" s="2"/>
      <c r="AA5598" s="1"/>
      <c r="AC5598" s="2"/>
      <c r="AE5598" s="1"/>
      <c r="AG5598" s="2"/>
    </row>
    <row r="5599" spans="24:33" ht="43.95" customHeight="1" x14ac:dyDescent="0.3">
      <c r="X5599" s="2"/>
      <c r="Y5599" s="7"/>
      <c r="Z5599" s="2"/>
      <c r="AA5599" s="1"/>
      <c r="AC5599" s="2"/>
      <c r="AE5599" s="1"/>
      <c r="AG5599" s="2"/>
    </row>
    <row r="5600" spans="24:33" ht="43.95" customHeight="1" x14ac:dyDescent="0.3">
      <c r="X5600" s="2"/>
      <c r="Y5600" s="7"/>
      <c r="Z5600" s="2"/>
      <c r="AA5600" s="1"/>
      <c r="AC5600" s="2"/>
      <c r="AE5600" s="1"/>
      <c r="AG5600" s="2"/>
    </row>
    <row r="5601" spans="24:33" ht="43.95" customHeight="1" x14ac:dyDescent="0.3">
      <c r="X5601" s="2"/>
      <c r="Y5601" s="7"/>
      <c r="Z5601" s="2"/>
      <c r="AA5601" s="1"/>
      <c r="AC5601" s="2"/>
      <c r="AE5601" s="1"/>
      <c r="AG5601" s="2"/>
    </row>
    <row r="5602" spans="24:33" ht="43.95" customHeight="1" x14ac:dyDescent="0.3">
      <c r="X5602" s="2"/>
      <c r="Y5602" s="7"/>
      <c r="Z5602" s="2"/>
      <c r="AA5602" s="1"/>
      <c r="AC5602" s="2"/>
      <c r="AE5602" s="1"/>
      <c r="AG5602" s="2"/>
    </row>
    <row r="5603" spans="24:33" ht="43.95" customHeight="1" x14ac:dyDescent="0.3">
      <c r="X5603" s="2"/>
      <c r="Y5603" s="7"/>
      <c r="Z5603" s="2"/>
      <c r="AA5603" s="1"/>
      <c r="AC5603" s="2"/>
      <c r="AE5603" s="1"/>
      <c r="AG5603" s="2"/>
    </row>
    <row r="5604" spans="24:33" ht="43.95" customHeight="1" x14ac:dyDescent="0.3">
      <c r="X5604" s="2"/>
      <c r="Y5604" s="7"/>
      <c r="Z5604" s="2"/>
      <c r="AA5604" s="1"/>
      <c r="AC5604" s="2"/>
      <c r="AE5604" s="1"/>
      <c r="AG5604" s="2"/>
    </row>
    <row r="5605" spans="24:33" ht="43.95" customHeight="1" x14ac:dyDescent="0.3">
      <c r="X5605" s="2"/>
      <c r="Y5605" s="7"/>
      <c r="Z5605" s="2"/>
      <c r="AA5605" s="1"/>
      <c r="AC5605" s="2"/>
      <c r="AE5605" s="1"/>
      <c r="AG5605" s="2"/>
    </row>
    <row r="5606" spans="24:33" ht="43.95" customHeight="1" x14ac:dyDescent="0.3">
      <c r="X5606" s="2"/>
      <c r="Y5606" s="7"/>
      <c r="Z5606" s="2"/>
      <c r="AA5606" s="1"/>
      <c r="AC5606" s="2"/>
      <c r="AE5606" s="1"/>
      <c r="AG5606" s="2"/>
    </row>
    <row r="5607" spans="24:33" ht="43.95" customHeight="1" x14ac:dyDescent="0.3">
      <c r="X5607" s="2"/>
      <c r="Y5607" s="7"/>
      <c r="Z5607" s="2"/>
      <c r="AA5607" s="1"/>
      <c r="AC5607" s="2"/>
      <c r="AE5607" s="1"/>
      <c r="AG5607" s="2"/>
    </row>
    <row r="5608" spans="24:33" ht="43.95" customHeight="1" x14ac:dyDescent="0.3">
      <c r="X5608" s="2"/>
      <c r="Y5608" s="7"/>
      <c r="Z5608" s="2"/>
      <c r="AA5608" s="1"/>
      <c r="AC5608" s="2"/>
      <c r="AE5608" s="1"/>
      <c r="AG5608" s="2"/>
    </row>
    <row r="5609" spans="24:33" ht="43.95" customHeight="1" x14ac:dyDescent="0.3">
      <c r="X5609" s="2"/>
      <c r="Y5609" s="7"/>
      <c r="Z5609" s="2"/>
      <c r="AA5609" s="1"/>
      <c r="AC5609" s="2"/>
      <c r="AE5609" s="1"/>
      <c r="AG5609" s="2"/>
    </row>
    <row r="5610" spans="24:33" ht="43.95" customHeight="1" x14ac:dyDescent="0.3">
      <c r="X5610" s="2"/>
      <c r="Y5610" s="7"/>
      <c r="Z5610" s="2"/>
      <c r="AA5610" s="1"/>
      <c r="AC5610" s="2"/>
      <c r="AE5610" s="1"/>
      <c r="AG5610" s="2"/>
    </row>
    <row r="5611" spans="24:33" ht="43.95" customHeight="1" x14ac:dyDescent="0.3">
      <c r="X5611" s="2"/>
      <c r="Y5611" s="7"/>
      <c r="Z5611" s="2"/>
      <c r="AA5611" s="1"/>
      <c r="AC5611" s="2"/>
      <c r="AE5611" s="1"/>
      <c r="AG5611" s="2"/>
    </row>
    <row r="5612" spans="24:33" ht="43.95" customHeight="1" x14ac:dyDescent="0.3">
      <c r="X5612" s="2"/>
      <c r="Y5612" s="7"/>
      <c r="Z5612" s="2"/>
      <c r="AA5612" s="1"/>
      <c r="AC5612" s="2"/>
      <c r="AE5612" s="1"/>
      <c r="AG5612" s="2"/>
    </row>
    <row r="5613" spans="24:33" ht="43.95" customHeight="1" x14ac:dyDescent="0.3">
      <c r="X5613" s="2"/>
      <c r="Y5613" s="7"/>
      <c r="Z5613" s="2"/>
      <c r="AA5613" s="1"/>
      <c r="AC5613" s="2"/>
      <c r="AE5613" s="1"/>
      <c r="AG5613" s="2"/>
    </row>
    <row r="5614" spans="24:33" ht="43.95" customHeight="1" x14ac:dyDescent="0.3">
      <c r="X5614" s="2"/>
      <c r="Y5614" s="7"/>
      <c r="Z5614" s="2"/>
      <c r="AA5614" s="1"/>
      <c r="AC5614" s="2"/>
      <c r="AE5614" s="1"/>
      <c r="AG5614" s="2"/>
    </row>
    <row r="5615" spans="24:33" ht="43.95" customHeight="1" x14ac:dyDescent="0.3">
      <c r="X5615" s="2"/>
      <c r="Y5615" s="7"/>
      <c r="Z5615" s="2"/>
      <c r="AA5615" s="1"/>
      <c r="AC5615" s="2"/>
      <c r="AE5615" s="1"/>
      <c r="AG5615" s="2"/>
    </row>
    <row r="5616" spans="24:33" ht="43.95" customHeight="1" x14ac:dyDescent="0.3">
      <c r="X5616" s="2"/>
      <c r="Y5616" s="7"/>
      <c r="Z5616" s="2"/>
      <c r="AA5616" s="1"/>
      <c r="AC5616" s="2"/>
      <c r="AE5616" s="1"/>
      <c r="AG5616" s="2"/>
    </row>
    <row r="5617" spans="24:33" ht="43.95" customHeight="1" x14ac:dyDescent="0.3">
      <c r="X5617" s="2"/>
      <c r="Y5617" s="7"/>
      <c r="Z5617" s="2"/>
      <c r="AA5617" s="1"/>
      <c r="AC5617" s="2"/>
      <c r="AE5617" s="1"/>
      <c r="AG5617" s="2"/>
    </row>
    <row r="5618" spans="24:33" ht="43.95" customHeight="1" x14ac:dyDescent="0.3">
      <c r="X5618" s="2"/>
      <c r="Y5618" s="7"/>
      <c r="Z5618" s="2"/>
      <c r="AA5618" s="1"/>
      <c r="AC5618" s="2"/>
      <c r="AE5618" s="1"/>
      <c r="AG5618" s="2"/>
    </row>
    <row r="5619" spans="24:33" ht="43.95" customHeight="1" x14ac:dyDescent="0.3">
      <c r="X5619" s="2"/>
      <c r="Y5619" s="7"/>
      <c r="Z5619" s="2"/>
      <c r="AA5619" s="1"/>
      <c r="AC5619" s="2"/>
      <c r="AE5619" s="1"/>
      <c r="AG5619" s="2"/>
    </row>
    <row r="5620" spans="24:33" ht="43.95" customHeight="1" x14ac:dyDescent="0.3">
      <c r="X5620" s="2"/>
      <c r="Y5620" s="7"/>
      <c r="Z5620" s="2"/>
      <c r="AA5620" s="1"/>
      <c r="AC5620" s="2"/>
      <c r="AE5620" s="1"/>
      <c r="AG5620" s="2"/>
    </row>
    <row r="5621" spans="24:33" ht="43.95" customHeight="1" x14ac:dyDescent="0.3">
      <c r="X5621" s="2"/>
      <c r="Y5621" s="7"/>
      <c r="Z5621" s="2"/>
      <c r="AA5621" s="1"/>
      <c r="AC5621" s="2"/>
      <c r="AE5621" s="1"/>
      <c r="AG5621" s="2"/>
    </row>
    <row r="5622" spans="24:33" ht="43.95" customHeight="1" x14ac:dyDescent="0.3">
      <c r="X5622" s="2"/>
      <c r="Y5622" s="7"/>
      <c r="Z5622" s="2"/>
      <c r="AA5622" s="1"/>
      <c r="AC5622" s="2"/>
      <c r="AE5622" s="1"/>
      <c r="AG5622" s="2"/>
    </row>
    <row r="5623" spans="24:33" ht="43.95" customHeight="1" x14ac:dyDescent="0.3">
      <c r="X5623" s="2"/>
      <c r="Y5623" s="7"/>
      <c r="Z5623" s="2"/>
      <c r="AA5623" s="1"/>
      <c r="AC5623" s="2"/>
      <c r="AE5623" s="1"/>
      <c r="AG5623" s="2"/>
    </row>
    <row r="5624" spans="24:33" ht="43.95" customHeight="1" x14ac:dyDescent="0.3">
      <c r="X5624" s="2"/>
      <c r="Y5624" s="7"/>
      <c r="Z5624" s="2"/>
      <c r="AA5624" s="1"/>
      <c r="AC5624" s="2"/>
      <c r="AE5624" s="1"/>
      <c r="AG5624" s="2"/>
    </row>
    <row r="5625" spans="24:33" ht="43.95" customHeight="1" x14ac:dyDescent="0.3">
      <c r="X5625" s="2"/>
      <c r="Y5625" s="7"/>
      <c r="Z5625" s="2"/>
      <c r="AA5625" s="1"/>
      <c r="AC5625" s="2"/>
      <c r="AE5625" s="1"/>
      <c r="AG5625" s="2"/>
    </row>
    <row r="5626" spans="24:33" ht="43.95" customHeight="1" x14ac:dyDescent="0.3">
      <c r="X5626" s="2"/>
      <c r="Y5626" s="7"/>
      <c r="Z5626" s="2"/>
      <c r="AA5626" s="1"/>
      <c r="AC5626" s="2"/>
      <c r="AE5626" s="1"/>
      <c r="AG5626" s="2"/>
    </row>
    <row r="5627" spans="24:33" ht="43.95" customHeight="1" x14ac:dyDescent="0.3">
      <c r="X5627" s="2"/>
      <c r="Y5627" s="7"/>
      <c r="Z5627" s="2"/>
      <c r="AA5627" s="1"/>
      <c r="AC5627" s="2"/>
      <c r="AE5627" s="1"/>
      <c r="AG5627" s="2"/>
    </row>
    <row r="5628" spans="24:33" ht="43.95" customHeight="1" x14ac:dyDescent="0.3">
      <c r="X5628" s="2"/>
      <c r="Y5628" s="7"/>
      <c r="Z5628" s="2"/>
      <c r="AA5628" s="1"/>
      <c r="AC5628" s="2"/>
      <c r="AE5628" s="1"/>
      <c r="AG5628" s="2"/>
    </row>
    <row r="5629" spans="24:33" ht="43.95" customHeight="1" x14ac:dyDescent="0.3">
      <c r="X5629" s="2"/>
      <c r="Y5629" s="7"/>
      <c r="Z5629" s="2"/>
      <c r="AA5629" s="1"/>
      <c r="AC5629" s="2"/>
      <c r="AE5629" s="1"/>
      <c r="AG5629" s="2"/>
    </row>
    <row r="5630" spans="24:33" ht="43.95" customHeight="1" x14ac:dyDescent="0.3">
      <c r="X5630" s="2"/>
      <c r="Y5630" s="7"/>
      <c r="Z5630" s="2"/>
      <c r="AA5630" s="1"/>
      <c r="AC5630" s="2"/>
      <c r="AE5630" s="1"/>
      <c r="AG5630" s="2"/>
    </row>
    <row r="5631" spans="24:33" ht="43.95" customHeight="1" x14ac:dyDescent="0.3">
      <c r="X5631" s="2"/>
      <c r="Y5631" s="7"/>
      <c r="Z5631" s="2"/>
      <c r="AA5631" s="1"/>
      <c r="AC5631" s="2"/>
      <c r="AE5631" s="1"/>
      <c r="AG5631" s="2"/>
    </row>
    <row r="5632" spans="24:33" ht="43.95" customHeight="1" x14ac:dyDescent="0.3">
      <c r="X5632" s="2"/>
      <c r="Y5632" s="7"/>
      <c r="Z5632" s="2"/>
      <c r="AA5632" s="1"/>
      <c r="AC5632" s="2"/>
      <c r="AE5632" s="1"/>
      <c r="AG5632" s="2"/>
    </row>
    <row r="5633" spans="24:33" ht="43.95" customHeight="1" x14ac:dyDescent="0.3">
      <c r="X5633" s="2"/>
      <c r="Y5633" s="7"/>
      <c r="Z5633" s="2"/>
      <c r="AA5633" s="1"/>
      <c r="AC5633" s="2"/>
      <c r="AE5633" s="1"/>
      <c r="AG5633" s="2"/>
    </row>
    <row r="5634" spans="24:33" ht="43.95" customHeight="1" x14ac:dyDescent="0.3">
      <c r="X5634" s="2"/>
      <c r="Y5634" s="7"/>
      <c r="Z5634" s="2"/>
      <c r="AA5634" s="1"/>
      <c r="AC5634" s="2"/>
      <c r="AE5634" s="1"/>
      <c r="AG5634" s="2"/>
    </row>
    <row r="5635" spans="24:33" ht="43.95" customHeight="1" x14ac:dyDescent="0.3">
      <c r="X5635" s="2"/>
      <c r="Y5635" s="7"/>
      <c r="Z5635" s="2"/>
      <c r="AA5635" s="1"/>
      <c r="AC5635" s="2"/>
      <c r="AE5635" s="1"/>
      <c r="AG5635" s="2"/>
    </row>
    <row r="5636" spans="24:33" ht="43.95" customHeight="1" x14ac:dyDescent="0.3">
      <c r="X5636" s="2"/>
      <c r="Y5636" s="7"/>
      <c r="Z5636" s="2"/>
      <c r="AA5636" s="1"/>
      <c r="AC5636" s="2"/>
      <c r="AE5636" s="1"/>
      <c r="AG5636" s="2"/>
    </row>
    <row r="5637" spans="24:33" ht="43.95" customHeight="1" x14ac:dyDescent="0.3">
      <c r="X5637" s="2"/>
      <c r="Y5637" s="7"/>
      <c r="Z5637" s="2"/>
      <c r="AA5637" s="1"/>
      <c r="AC5637" s="2"/>
      <c r="AE5637" s="1"/>
      <c r="AG5637" s="2"/>
    </row>
    <row r="5638" spans="24:33" ht="43.95" customHeight="1" x14ac:dyDescent="0.3">
      <c r="X5638" s="230"/>
      <c r="Y5638" s="7"/>
      <c r="Z5638" s="2"/>
      <c r="AA5638" s="1"/>
      <c r="AC5638" s="2"/>
      <c r="AE5638" s="1"/>
      <c r="AG5638" s="2"/>
    </row>
    <row r="5639" spans="24:33" ht="43.95" customHeight="1" x14ac:dyDescent="0.3">
      <c r="X5639" s="2"/>
      <c r="Y5639" s="7"/>
      <c r="Z5639" s="2"/>
      <c r="AA5639" s="1"/>
      <c r="AC5639" s="2"/>
      <c r="AE5639" s="1"/>
      <c r="AG5639" s="2"/>
    </row>
    <row r="5640" spans="24:33" ht="43.95" customHeight="1" x14ac:dyDescent="0.3">
      <c r="X5640" s="2"/>
      <c r="Y5640" s="7"/>
      <c r="Z5640" s="2"/>
      <c r="AA5640" s="1"/>
      <c r="AC5640" s="2"/>
      <c r="AE5640" s="1"/>
      <c r="AG5640" s="2"/>
    </row>
    <row r="5641" spans="24:33" ht="43.95" customHeight="1" x14ac:dyDescent="0.3">
      <c r="X5641" s="2"/>
      <c r="Y5641" s="7"/>
      <c r="Z5641" s="2"/>
      <c r="AA5641" s="1"/>
      <c r="AC5641" s="2"/>
      <c r="AE5641" s="1"/>
      <c r="AG5641" s="2"/>
    </row>
    <row r="5642" spans="24:33" ht="43.95" customHeight="1" x14ac:dyDescent="0.3">
      <c r="X5642" s="2"/>
      <c r="Y5642" s="7"/>
      <c r="Z5642" s="2"/>
      <c r="AA5642" s="1"/>
      <c r="AC5642" s="2"/>
      <c r="AE5642" s="1"/>
      <c r="AG5642" s="2"/>
    </row>
    <row r="5643" spans="24:33" ht="43.95" customHeight="1" x14ac:dyDescent="0.3">
      <c r="X5643" s="2"/>
      <c r="Y5643" s="7"/>
      <c r="Z5643" s="2"/>
      <c r="AA5643" s="1"/>
      <c r="AC5643" s="2"/>
      <c r="AE5643" s="1"/>
      <c r="AG5643" s="2"/>
    </row>
    <row r="5644" spans="24:33" ht="43.95" customHeight="1" x14ac:dyDescent="0.3">
      <c r="X5644" s="2"/>
      <c r="Y5644" s="7"/>
      <c r="Z5644" s="2"/>
      <c r="AA5644" s="1"/>
      <c r="AC5644" s="2"/>
      <c r="AE5644" s="1"/>
      <c r="AG5644" s="2"/>
    </row>
    <row r="5645" spans="24:33" ht="43.95" customHeight="1" x14ac:dyDescent="0.3">
      <c r="X5645" s="2"/>
      <c r="Y5645" s="7"/>
      <c r="Z5645" s="2"/>
      <c r="AA5645" s="1"/>
      <c r="AC5645" s="2"/>
      <c r="AE5645" s="1"/>
      <c r="AG5645" s="2"/>
    </row>
    <row r="5646" spans="24:33" ht="43.95" customHeight="1" x14ac:dyDescent="0.3">
      <c r="X5646" s="2"/>
      <c r="Y5646" s="7"/>
      <c r="Z5646" s="2"/>
      <c r="AA5646" s="1"/>
      <c r="AC5646" s="2"/>
      <c r="AE5646" s="1"/>
      <c r="AG5646" s="2"/>
    </row>
    <row r="5647" spans="24:33" ht="43.95" customHeight="1" x14ac:dyDescent="0.3">
      <c r="X5647" s="2"/>
      <c r="Y5647" s="7"/>
      <c r="Z5647" s="2"/>
      <c r="AA5647" s="1"/>
      <c r="AC5647" s="2"/>
      <c r="AE5647" s="1"/>
      <c r="AG5647" s="2"/>
    </row>
    <row r="5648" spans="24:33" ht="43.95" customHeight="1" x14ac:dyDescent="0.3">
      <c r="X5648" s="2"/>
      <c r="Y5648" s="7"/>
      <c r="Z5648" s="2"/>
      <c r="AA5648" s="1"/>
      <c r="AC5648" s="2"/>
      <c r="AE5648" s="1"/>
      <c r="AG5648" s="2"/>
    </row>
    <row r="5649" spans="24:33" ht="43.95" customHeight="1" x14ac:dyDescent="0.3">
      <c r="X5649" s="2"/>
      <c r="Y5649" s="7"/>
      <c r="Z5649" s="2"/>
      <c r="AA5649" s="1"/>
      <c r="AC5649" s="2"/>
      <c r="AE5649" s="1"/>
      <c r="AG5649" s="2"/>
    </row>
    <row r="5650" spans="24:33" ht="43.95" customHeight="1" x14ac:dyDescent="0.3">
      <c r="X5650" s="2"/>
      <c r="Y5650" s="7"/>
      <c r="Z5650" s="2"/>
      <c r="AA5650" s="1"/>
      <c r="AC5650" s="2"/>
      <c r="AE5650" s="1"/>
      <c r="AG5650" s="2"/>
    </row>
    <row r="5651" spans="24:33" ht="43.95" customHeight="1" x14ac:dyDescent="0.3">
      <c r="X5651" s="2"/>
      <c r="Y5651" s="7"/>
      <c r="Z5651" s="2"/>
      <c r="AA5651" s="1"/>
      <c r="AC5651" s="2"/>
      <c r="AE5651" s="1"/>
      <c r="AG5651" s="2"/>
    </row>
    <row r="5652" spans="24:33" ht="43.95" customHeight="1" x14ac:dyDescent="0.3">
      <c r="X5652" s="2"/>
      <c r="Y5652" s="7"/>
      <c r="Z5652" s="2"/>
      <c r="AA5652" s="1"/>
      <c r="AC5652" s="2"/>
      <c r="AE5652" s="1"/>
      <c r="AG5652" s="2"/>
    </row>
    <row r="5653" spans="24:33" ht="43.95" customHeight="1" x14ac:dyDescent="0.3">
      <c r="X5653" s="2"/>
      <c r="Y5653" s="7"/>
      <c r="Z5653" s="2"/>
      <c r="AA5653" s="1"/>
      <c r="AC5653" s="2"/>
      <c r="AE5653" s="1"/>
      <c r="AG5653" s="2"/>
    </row>
    <row r="5654" spans="24:33" ht="43.95" customHeight="1" x14ac:dyDescent="0.3">
      <c r="X5654" s="2"/>
      <c r="Y5654" s="7"/>
      <c r="Z5654" s="2"/>
      <c r="AA5654" s="1"/>
      <c r="AC5654" s="2"/>
      <c r="AE5654" s="1"/>
      <c r="AG5654" s="2"/>
    </row>
    <row r="5655" spans="24:33" ht="43.95" customHeight="1" x14ac:dyDescent="0.3">
      <c r="X5655" s="2"/>
      <c r="Y5655" s="7"/>
      <c r="Z5655" s="2"/>
      <c r="AA5655" s="1"/>
      <c r="AC5655" s="2"/>
      <c r="AE5655" s="1"/>
      <c r="AG5655" s="2"/>
    </row>
    <row r="5656" spans="24:33" ht="43.95" customHeight="1" x14ac:dyDescent="0.3">
      <c r="X5656" s="2"/>
      <c r="Y5656" s="7"/>
      <c r="Z5656" s="2"/>
      <c r="AA5656" s="1"/>
      <c r="AC5656" s="2"/>
      <c r="AE5656" s="1"/>
      <c r="AG5656" s="2"/>
    </row>
    <row r="5657" spans="24:33" ht="43.95" customHeight="1" x14ac:dyDescent="0.3">
      <c r="X5657" s="2"/>
      <c r="Y5657" s="7"/>
      <c r="Z5657" s="2"/>
      <c r="AA5657" s="1"/>
      <c r="AC5657" s="2"/>
      <c r="AE5657" s="1"/>
      <c r="AG5657" s="2"/>
    </row>
    <row r="5658" spans="24:33" ht="43.95" customHeight="1" x14ac:dyDescent="0.3">
      <c r="X5658" s="2"/>
      <c r="Y5658" s="7"/>
      <c r="Z5658" s="2"/>
      <c r="AA5658" s="1"/>
      <c r="AC5658" s="2"/>
      <c r="AE5658" s="1"/>
      <c r="AG5658" s="2"/>
    </row>
    <row r="5659" spans="24:33" ht="43.95" customHeight="1" x14ac:dyDescent="0.3">
      <c r="X5659" s="2"/>
      <c r="Y5659" s="7"/>
      <c r="Z5659" s="2"/>
      <c r="AA5659" s="1"/>
      <c r="AC5659" s="2"/>
      <c r="AE5659" s="1"/>
      <c r="AG5659" s="2"/>
    </row>
    <row r="5660" spans="24:33" ht="43.95" customHeight="1" x14ac:dyDescent="0.3">
      <c r="X5660" s="2"/>
      <c r="Y5660" s="7"/>
      <c r="Z5660" s="2"/>
      <c r="AA5660" s="1"/>
      <c r="AC5660" s="2"/>
      <c r="AE5660" s="1"/>
      <c r="AG5660" s="2"/>
    </row>
    <row r="5661" spans="24:33" ht="43.95" customHeight="1" x14ac:dyDescent="0.3">
      <c r="X5661" s="2"/>
      <c r="Y5661" s="7"/>
      <c r="Z5661" s="2"/>
      <c r="AA5661" s="1"/>
      <c r="AC5661" s="2"/>
      <c r="AE5661" s="1"/>
      <c r="AG5661" s="2"/>
    </row>
    <row r="5662" spans="24:33" ht="43.95" customHeight="1" x14ac:dyDescent="0.3">
      <c r="X5662" s="2"/>
      <c r="Y5662" s="7"/>
      <c r="Z5662" s="2"/>
      <c r="AA5662" s="1"/>
      <c r="AC5662" s="2"/>
      <c r="AE5662" s="1"/>
      <c r="AG5662" s="2"/>
    </row>
    <row r="5663" spans="24:33" ht="43.95" customHeight="1" x14ac:dyDescent="0.3">
      <c r="X5663" s="2"/>
      <c r="Y5663" s="7"/>
      <c r="Z5663" s="2"/>
      <c r="AA5663" s="1"/>
      <c r="AC5663" s="2"/>
      <c r="AE5663" s="1"/>
      <c r="AG5663" s="2"/>
    </row>
    <row r="5664" spans="24:33" ht="43.95" customHeight="1" x14ac:dyDescent="0.3">
      <c r="X5664" s="2"/>
      <c r="Y5664" s="7"/>
      <c r="Z5664" s="2"/>
      <c r="AA5664" s="1"/>
      <c r="AC5664" s="2"/>
      <c r="AE5664" s="1"/>
      <c r="AG5664" s="2"/>
    </row>
    <row r="5665" spans="24:33" ht="43.95" customHeight="1" x14ac:dyDescent="0.3">
      <c r="X5665" s="2"/>
      <c r="Y5665" s="7"/>
      <c r="Z5665" s="2"/>
      <c r="AA5665" s="1"/>
      <c r="AC5665" s="2"/>
      <c r="AE5665" s="1"/>
      <c r="AG5665" s="2"/>
    </row>
    <row r="5666" spans="24:33" ht="43.95" customHeight="1" x14ac:dyDescent="0.3">
      <c r="X5666" s="2"/>
      <c r="Y5666" s="7"/>
      <c r="Z5666" s="2"/>
      <c r="AA5666" s="1"/>
      <c r="AC5666" s="2"/>
      <c r="AE5666" s="1"/>
      <c r="AG5666" s="2"/>
    </row>
    <row r="5667" spans="24:33" ht="43.95" customHeight="1" x14ac:dyDescent="0.3">
      <c r="X5667" s="2"/>
      <c r="Y5667" s="7"/>
      <c r="Z5667" s="2"/>
      <c r="AA5667" s="1"/>
      <c r="AC5667" s="2"/>
      <c r="AE5667" s="1"/>
      <c r="AG5667" s="2"/>
    </row>
    <row r="5668" spans="24:33" ht="43.95" customHeight="1" x14ac:dyDescent="0.3">
      <c r="X5668" s="2"/>
      <c r="Y5668" s="7"/>
      <c r="Z5668" s="2"/>
      <c r="AA5668" s="1"/>
      <c r="AC5668" s="2"/>
      <c r="AE5668" s="1"/>
      <c r="AG5668" s="2"/>
    </row>
    <row r="5669" spans="24:33" ht="43.95" customHeight="1" x14ac:dyDescent="0.3">
      <c r="X5669" s="2"/>
      <c r="Y5669" s="7"/>
      <c r="Z5669" s="2"/>
      <c r="AA5669" s="1"/>
      <c r="AC5669" s="2"/>
      <c r="AE5669" s="1"/>
      <c r="AG5669" s="2"/>
    </row>
    <row r="5670" spans="24:33" ht="43.95" customHeight="1" x14ac:dyDescent="0.3">
      <c r="X5670" s="2"/>
      <c r="Y5670" s="7"/>
      <c r="Z5670" s="2"/>
      <c r="AA5670" s="1"/>
      <c r="AC5670" s="2"/>
      <c r="AE5670" s="1"/>
      <c r="AG5670" s="2"/>
    </row>
    <row r="5671" spans="24:33" ht="43.95" customHeight="1" x14ac:dyDescent="0.3">
      <c r="X5671" s="2"/>
      <c r="Y5671" s="7"/>
      <c r="Z5671" s="2"/>
      <c r="AA5671" s="1"/>
      <c r="AC5671" s="2"/>
      <c r="AE5671" s="1"/>
      <c r="AG5671" s="2"/>
    </row>
    <row r="5672" spans="24:33" ht="43.95" customHeight="1" x14ac:dyDescent="0.3">
      <c r="X5672" s="2"/>
      <c r="Y5672" s="7"/>
      <c r="Z5672" s="2"/>
      <c r="AA5672" s="1"/>
      <c r="AC5672" s="2"/>
      <c r="AE5672" s="1"/>
      <c r="AG5672" s="2"/>
    </row>
    <row r="5673" spans="24:33" ht="43.95" customHeight="1" x14ac:dyDescent="0.3">
      <c r="X5673" s="2"/>
      <c r="Y5673" s="7"/>
      <c r="Z5673" s="2"/>
      <c r="AA5673" s="1"/>
      <c r="AC5673" s="2"/>
      <c r="AE5673" s="1"/>
      <c r="AG5673" s="2"/>
    </row>
    <row r="5674" spans="24:33" ht="43.95" customHeight="1" x14ac:dyDescent="0.3">
      <c r="X5674" s="2"/>
      <c r="Y5674" s="7"/>
      <c r="Z5674" s="2"/>
      <c r="AA5674" s="1"/>
      <c r="AC5674" s="2"/>
      <c r="AE5674" s="1"/>
      <c r="AG5674" s="2"/>
    </row>
    <row r="5675" spans="24:33" ht="43.95" customHeight="1" x14ac:dyDescent="0.3">
      <c r="X5675" s="2"/>
      <c r="Y5675" s="7"/>
      <c r="Z5675" s="2"/>
      <c r="AA5675" s="1"/>
      <c r="AC5675" s="2"/>
      <c r="AE5675" s="1"/>
      <c r="AG5675" s="2"/>
    </row>
    <row r="5676" spans="24:33" ht="43.95" customHeight="1" x14ac:dyDescent="0.3">
      <c r="X5676" s="2"/>
      <c r="Y5676" s="7"/>
      <c r="Z5676" s="2"/>
      <c r="AA5676" s="1"/>
      <c r="AC5676" s="2"/>
      <c r="AE5676" s="1"/>
      <c r="AG5676" s="2"/>
    </row>
    <row r="5677" spans="24:33" ht="43.95" customHeight="1" x14ac:dyDescent="0.3">
      <c r="X5677" s="2"/>
      <c r="Y5677" s="7"/>
      <c r="Z5677" s="2"/>
      <c r="AA5677" s="1"/>
      <c r="AC5677" s="2"/>
      <c r="AE5677" s="1"/>
      <c r="AG5677" s="2"/>
    </row>
    <row r="5678" spans="24:33" ht="43.95" customHeight="1" x14ac:dyDescent="0.3">
      <c r="X5678" s="2"/>
      <c r="Y5678" s="7"/>
      <c r="Z5678" s="2"/>
      <c r="AA5678" s="1"/>
      <c r="AC5678" s="2"/>
      <c r="AE5678" s="1"/>
      <c r="AG5678" s="2"/>
    </row>
    <row r="5679" spans="24:33" ht="43.95" customHeight="1" x14ac:dyDescent="0.3">
      <c r="X5679" s="2"/>
      <c r="Y5679" s="7"/>
      <c r="Z5679" s="2"/>
      <c r="AA5679" s="1"/>
      <c r="AC5679" s="2"/>
      <c r="AE5679" s="1"/>
      <c r="AG5679" s="2"/>
    </row>
    <row r="5680" spans="24:33" ht="43.95" customHeight="1" x14ac:dyDescent="0.3">
      <c r="X5680" s="2"/>
      <c r="Y5680" s="7"/>
      <c r="Z5680" s="2"/>
      <c r="AA5680" s="1"/>
      <c r="AC5680" s="2"/>
      <c r="AE5680" s="1"/>
      <c r="AG5680" s="2"/>
    </row>
    <row r="5681" spans="24:33" ht="43.95" customHeight="1" x14ac:dyDescent="0.3">
      <c r="X5681" s="2"/>
      <c r="Y5681" s="7"/>
      <c r="Z5681" s="2"/>
      <c r="AA5681" s="1"/>
      <c r="AC5681" s="2"/>
      <c r="AE5681" s="1"/>
      <c r="AG5681" s="2"/>
    </row>
    <row r="5682" spans="24:33" ht="43.95" customHeight="1" x14ac:dyDescent="0.3">
      <c r="X5682" s="2"/>
      <c r="Y5682" s="7"/>
      <c r="Z5682" s="2"/>
      <c r="AA5682" s="1"/>
      <c r="AC5682" s="2"/>
      <c r="AE5682" s="1"/>
      <c r="AG5682" s="2"/>
    </row>
    <row r="5683" spans="24:33" ht="43.95" customHeight="1" x14ac:dyDescent="0.3">
      <c r="X5683" s="2"/>
      <c r="Y5683" s="7"/>
      <c r="Z5683" s="2"/>
      <c r="AA5683" s="1"/>
      <c r="AC5683" s="2"/>
      <c r="AE5683" s="1"/>
      <c r="AG5683" s="2"/>
    </row>
    <row r="5684" spans="24:33" ht="43.95" customHeight="1" x14ac:dyDescent="0.3">
      <c r="X5684" s="2"/>
      <c r="Y5684" s="7"/>
      <c r="Z5684" s="2"/>
      <c r="AA5684" s="1"/>
      <c r="AC5684" s="2"/>
      <c r="AE5684" s="1"/>
      <c r="AG5684" s="2"/>
    </row>
    <row r="5685" spans="24:33" ht="43.95" customHeight="1" x14ac:dyDescent="0.3">
      <c r="X5685" s="2"/>
      <c r="Y5685" s="7"/>
      <c r="Z5685" s="2"/>
      <c r="AA5685" s="1"/>
      <c r="AC5685" s="2"/>
      <c r="AE5685" s="1"/>
      <c r="AG5685" s="2"/>
    </row>
    <row r="5686" spans="24:33" ht="43.95" customHeight="1" x14ac:dyDescent="0.3">
      <c r="X5686" s="2"/>
      <c r="Y5686" s="7"/>
      <c r="Z5686" s="2"/>
      <c r="AA5686" s="1"/>
      <c r="AC5686" s="2"/>
      <c r="AE5686" s="1"/>
      <c r="AG5686" s="2"/>
    </row>
    <row r="5687" spans="24:33" ht="43.95" customHeight="1" x14ac:dyDescent="0.3">
      <c r="X5687" s="2"/>
      <c r="Y5687" s="7"/>
      <c r="Z5687" s="2"/>
      <c r="AA5687" s="1"/>
      <c r="AC5687" s="2"/>
      <c r="AE5687" s="1"/>
      <c r="AG5687" s="2"/>
    </row>
    <row r="5688" spans="24:33" ht="43.95" customHeight="1" x14ac:dyDescent="0.3">
      <c r="X5688" s="2"/>
      <c r="Y5688" s="7"/>
      <c r="Z5688" s="2"/>
      <c r="AA5688" s="1"/>
      <c r="AC5688" s="2"/>
      <c r="AE5688" s="1"/>
      <c r="AG5688" s="2"/>
    </row>
    <row r="5689" spans="24:33" ht="43.95" customHeight="1" x14ac:dyDescent="0.3">
      <c r="X5689" s="2"/>
      <c r="Y5689" s="7"/>
      <c r="Z5689" s="2"/>
      <c r="AA5689" s="1"/>
      <c r="AC5689" s="2"/>
      <c r="AE5689" s="1"/>
      <c r="AG5689" s="2"/>
    </row>
    <row r="5690" spans="24:33" ht="43.95" customHeight="1" x14ac:dyDescent="0.3">
      <c r="X5690" s="2"/>
      <c r="Y5690" s="7"/>
      <c r="Z5690" s="2"/>
      <c r="AA5690" s="1"/>
      <c r="AC5690" s="2"/>
      <c r="AE5690" s="1"/>
      <c r="AG5690" s="2"/>
    </row>
    <row r="5691" spans="24:33" ht="43.95" customHeight="1" x14ac:dyDescent="0.3">
      <c r="X5691" s="2"/>
      <c r="Y5691" s="7"/>
      <c r="Z5691" s="2"/>
      <c r="AA5691" s="1"/>
      <c r="AC5691" s="2"/>
      <c r="AE5691" s="1"/>
      <c r="AG5691" s="2"/>
    </row>
    <row r="5692" spans="24:33" ht="43.95" customHeight="1" x14ac:dyDescent="0.3">
      <c r="X5692" s="2"/>
      <c r="Y5692" s="7"/>
      <c r="Z5692" s="2"/>
      <c r="AA5692" s="1"/>
      <c r="AC5692" s="2"/>
      <c r="AE5692" s="1"/>
      <c r="AG5692" s="2"/>
    </row>
    <row r="5693" spans="24:33" ht="43.95" customHeight="1" x14ac:dyDescent="0.3">
      <c r="X5693" s="2"/>
      <c r="Y5693" s="7"/>
      <c r="Z5693" s="2"/>
      <c r="AA5693" s="1"/>
      <c r="AC5693" s="2"/>
      <c r="AE5693" s="1"/>
      <c r="AG5693" s="2"/>
    </row>
    <row r="5694" spans="24:33" ht="43.95" customHeight="1" x14ac:dyDescent="0.3">
      <c r="X5694" s="2"/>
      <c r="Y5694" s="7"/>
      <c r="Z5694" s="2"/>
      <c r="AA5694" s="1"/>
      <c r="AC5694" s="2"/>
      <c r="AE5694" s="1"/>
      <c r="AG5694" s="2"/>
    </row>
    <row r="5695" spans="24:33" ht="43.95" customHeight="1" x14ac:dyDescent="0.3">
      <c r="X5695" s="2"/>
      <c r="Y5695" s="7"/>
      <c r="Z5695" s="2"/>
      <c r="AA5695" s="1"/>
      <c r="AC5695" s="2"/>
      <c r="AE5695" s="1"/>
      <c r="AG5695" s="2"/>
    </row>
    <row r="5696" spans="24:33" ht="43.95" customHeight="1" x14ac:dyDescent="0.3">
      <c r="X5696" s="2"/>
      <c r="Y5696" s="7"/>
      <c r="Z5696" s="2"/>
      <c r="AA5696" s="1"/>
      <c r="AC5696" s="2"/>
      <c r="AE5696" s="1"/>
      <c r="AG5696" s="2"/>
    </row>
    <row r="5697" spans="24:33" ht="43.95" customHeight="1" x14ac:dyDescent="0.3">
      <c r="X5697" s="2"/>
      <c r="Y5697" s="7"/>
      <c r="Z5697" s="2"/>
      <c r="AA5697" s="1"/>
      <c r="AC5697" s="2"/>
      <c r="AE5697" s="1"/>
      <c r="AG5697" s="2"/>
    </row>
    <row r="5698" spans="24:33" ht="43.95" customHeight="1" x14ac:dyDescent="0.3">
      <c r="X5698" s="2"/>
      <c r="Y5698" s="7"/>
      <c r="Z5698" s="2"/>
      <c r="AA5698" s="1"/>
      <c r="AC5698" s="2"/>
      <c r="AE5698" s="1"/>
      <c r="AG5698" s="2"/>
    </row>
    <row r="5699" spans="24:33" ht="43.95" customHeight="1" x14ac:dyDescent="0.3">
      <c r="X5699" s="2"/>
      <c r="Y5699" s="7"/>
      <c r="Z5699" s="2"/>
      <c r="AA5699" s="1"/>
      <c r="AC5699" s="2"/>
      <c r="AE5699" s="1"/>
      <c r="AG5699" s="2"/>
    </row>
    <row r="5700" spans="24:33" ht="43.95" customHeight="1" x14ac:dyDescent="0.3">
      <c r="X5700" s="2"/>
      <c r="Y5700" s="7"/>
      <c r="Z5700" s="2"/>
      <c r="AA5700" s="1"/>
      <c r="AC5700" s="2"/>
      <c r="AE5700" s="1"/>
      <c r="AG5700" s="2"/>
    </row>
    <row r="5701" spans="24:33" ht="43.95" customHeight="1" x14ac:dyDescent="0.3">
      <c r="X5701" s="2"/>
      <c r="Y5701" s="7"/>
      <c r="Z5701" s="2"/>
      <c r="AA5701" s="1"/>
      <c r="AC5701" s="2"/>
      <c r="AE5701" s="1"/>
      <c r="AG5701" s="2"/>
    </row>
    <row r="5702" spans="24:33" ht="43.95" customHeight="1" x14ac:dyDescent="0.3">
      <c r="X5702" s="2"/>
      <c r="Y5702" s="7"/>
      <c r="Z5702" s="2"/>
      <c r="AA5702" s="1"/>
      <c r="AC5702" s="2"/>
      <c r="AE5702" s="1"/>
      <c r="AG5702" s="2"/>
    </row>
    <row r="5703" spans="24:33" ht="43.95" customHeight="1" x14ac:dyDescent="0.3">
      <c r="X5703" s="2"/>
      <c r="Y5703" s="7"/>
      <c r="Z5703" s="2"/>
      <c r="AA5703" s="1"/>
      <c r="AC5703" s="2"/>
      <c r="AE5703" s="1"/>
      <c r="AG5703" s="2"/>
    </row>
    <row r="5704" spans="24:33" ht="43.95" customHeight="1" x14ac:dyDescent="0.3">
      <c r="X5704" s="2"/>
      <c r="Y5704" s="7"/>
      <c r="Z5704" s="2"/>
      <c r="AA5704" s="1"/>
      <c r="AC5704" s="2"/>
      <c r="AE5704" s="1"/>
      <c r="AG5704" s="2"/>
    </row>
    <row r="5705" spans="24:33" ht="43.95" customHeight="1" x14ac:dyDescent="0.3">
      <c r="X5705" s="2"/>
      <c r="Y5705" s="7"/>
      <c r="Z5705" s="2"/>
      <c r="AA5705" s="1"/>
      <c r="AC5705" s="2"/>
      <c r="AE5705" s="1"/>
      <c r="AG5705" s="2"/>
    </row>
    <row r="5706" spans="24:33" ht="43.95" customHeight="1" x14ac:dyDescent="0.3">
      <c r="X5706" s="2"/>
      <c r="Y5706" s="7"/>
      <c r="Z5706" s="2"/>
      <c r="AA5706" s="1"/>
      <c r="AC5706" s="2"/>
      <c r="AE5706" s="1"/>
      <c r="AG5706" s="2"/>
    </row>
    <row r="5707" spans="24:33" ht="43.95" customHeight="1" x14ac:dyDescent="0.3">
      <c r="X5707" s="2"/>
      <c r="Y5707" s="7"/>
      <c r="Z5707" s="2"/>
      <c r="AA5707" s="1"/>
      <c r="AC5707" s="2"/>
      <c r="AE5707" s="1"/>
      <c r="AG5707" s="2"/>
    </row>
    <row r="5708" spans="24:33" ht="43.95" customHeight="1" x14ac:dyDescent="0.3">
      <c r="X5708" s="2"/>
      <c r="Y5708" s="7"/>
      <c r="Z5708" s="2"/>
      <c r="AA5708" s="1"/>
      <c r="AC5708" s="2"/>
      <c r="AE5708" s="1"/>
      <c r="AG5708" s="2"/>
    </row>
    <row r="5709" spans="24:33" ht="43.95" customHeight="1" x14ac:dyDescent="0.3">
      <c r="X5709" s="2"/>
      <c r="Y5709" s="7"/>
      <c r="Z5709" s="2"/>
      <c r="AA5709" s="1"/>
      <c r="AC5709" s="2"/>
      <c r="AE5709" s="1"/>
      <c r="AG5709" s="2"/>
    </row>
    <row r="5710" spans="24:33" ht="43.95" customHeight="1" x14ac:dyDescent="0.3">
      <c r="X5710" s="2"/>
      <c r="Y5710" s="7"/>
      <c r="Z5710" s="2"/>
      <c r="AA5710" s="1"/>
      <c r="AC5710" s="2"/>
      <c r="AE5710" s="1"/>
      <c r="AG5710" s="2"/>
    </row>
    <row r="5711" spans="24:33" ht="43.95" customHeight="1" x14ac:dyDescent="0.3">
      <c r="X5711" s="2"/>
      <c r="Y5711" s="7"/>
      <c r="Z5711" s="2"/>
      <c r="AA5711" s="1"/>
      <c r="AC5711" s="2"/>
      <c r="AE5711" s="1"/>
      <c r="AG5711" s="2"/>
    </row>
    <row r="5712" spans="24:33" ht="43.95" customHeight="1" x14ac:dyDescent="0.3">
      <c r="X5712" s="2"/>
      <c r="Y5712" s="7"/>
      <c r="Z5712" s="2"/>
      <c r="AA5712" s="1"/>
      <c r="AC5712" s="2"/>
      <c r="AE5712" s="1"/>
      <c r="AG5712" s="2"/>
    </row>
    <row r="5713" spans="24:33" ht="43.95" customHeight="1" x14ac:dyDescent="0.3">
      <c r="X5713" s="2"/>
      <c r="Y5713" s="7"/>
      <c r="Z5713" s="2"/>
      <c r="AA5713" s="1"/>
      <c r="AC5713" s="2"/>
      <c r="AE5713" s="1"/>
      <c r="AG5713" s="2"/>
    </row>
    <row r="5714" spans="24:33" ht="43.95" customHeight="1" x14ac:dyDescent="0.3">
      <c r="X5714" s="2"/>
      <c r="Y5714" s="7"/>
      <c r="Z5714" s="2"/>
      <c r="AA5714" s="1"/>
      <c r="AC5714" s="2"/>
      <c r="AE5714" s="1"/>
      <c r="AG5714" s="2"/>
    </row>
    <row r="5715" spans="24:33" ht="43.95" customHeight="1" x14ac:dyDescent="0.3">
      <c r="X5715" s="2"/>
      <c r="Y5715" s="7"/>
      <c r="Z5715" s="2"/>
      <c r="AA5715" s="1"/>
      <c r="AC5715" s="2"/>
      <c r="AE5715" s="1"/>
      <c r="AG5715" s="2"/>
    </row>
    <row r="5716" spans="24:33" ht="43.95" customHeight="1" x14ac:dyDescent="0.3">
      <c r="X5716" s="2"/>
      <c r="Y5716" s="7"/>
      <c r="Z5716" s="2"/>
      <c r="AA5716" s="1"/>
      <c r="AC5716" s="2"/>
      <c r="AE5716" s="1"/>
      <c r="AG5716" s="2"/>
    </row>
    <row r="5717" spans="24:33" ht="43.95" customHeight="1" x14ac:dyDescent="0.3">
      <c r="X5717" s="2"/>
      <c r="Y5717" s="7"/>
      <c r="Z5717" s="2"/>
      <c r="AA5717" s="1"/>
      <c r="AC5717" s="2"/>
      <c r="AE5717" s="1"/>
      <c r="AG5717" s="2"/>
    </row>
    <row r="5718" spans="24:33" ht="43.95" customHeight="1" x14ac:dyDescent="0.3">
      <c r="X5718" s="2"/>
      <c r="Y5718" s="7"/>
      <c r="Z5718" s="2"/>
      <c r="AA5718" s="1"/>
      <c r="AC5718" s="2"/>
      <c r="AE5718" s="1"/>
      <c r="AG5718" s="2"/>
    </row>
    <row r="5719" spans="24:33" ht="43.95" customHeight="1" x14ac:dyDescent="0.3">
      <c r="X5719" s="2"/>
      <c r="Y5719" s="7"/>
      <c r="Z5719" s="2"/>
      <c r="AA5719" s="1"/>
      <c r="AC5719" s="2"/>
      <c r="AE5719" s="1"/>
      <c r="AG5719" s="2"/>
    </row>
    <row r="5720" spans="24:33" ht="43.95" customHeight="1" x14ac:dyDescent="0.3">
      <c r="X5720" s="2"/>
      <c r="Y5720" s="7"/>
      <c r="Z5720" s="2"/>
      <c r="AA5720" s="1"/>
      <c r="AC5720" s="2"/>
      <c r="AE5720" s="1"/>
      <c r="AG5720" s="2"/>
    </row>
    <row r="5721" spans="24:33" ht="43.95" customHeight="1" x14ac:dyDescent="0.3">
      <c r="X5721" s="2"/>
      <c r="Y5721" s="7"/>
      <c r="Z5721" s="2"/>
      <c r="AA5721" s="1"/>
      <c r="AC5721" s="2"/>
      <c r="AE5721" s="1"/>
      <c r="AG5721" s="2"/>
    </row>
    <row r="5722" spans="24:33" ht="43.95" customHeight="1" x14ac:dyDescent="0.3">
      <c r="X5722" s="2"/>
      <c r="Y5722" s="7"/>
      <c r="Z5722" s="2"/>
      <c r="AA5722" s="1"/>
      <c r="AC5722" s="2"/>
      <c r="AE5722" s="1"/>
      <c r="AG5722" s="2"/>
    </row>
    <row r="5723" spans="24:33" ht="43.95" customHeight="1" x14ac:dyDescent="0.3">
      <c r="X5723" s="2"/>
      <c r="Y5723" s="7"/>
      <c r="Z5723" s="2"/>
      <c r="AA5723" s="1"/>
      <c r="AC5723" s="2"/>
      <c r="AE5723" s="1"/>
      <c r="AG5723" s="2"/>
    </row>
    <row r="5724" spans="24:33" ht="43.95" customHeight="1" x14ac:dyDescent="0.3">
      <c r="X5724" s="2"/>
      <c r="Y5724" s="7"/>
      <c r="Z5724" s="2"/>
      <c r="AA5724" s="1"/>
      <c r="AC5724" s="2"/>
      <c r="AE5724" s="1"/>
      <c r="AG5724" s="2"/>
    </row>
    <row r="5725" spans="24:33" ht="43.95" customHeight="1" x14ac:dyDescent="0.3">
      <c r="X5725" s="2"/>
      <c r="Y5725" s="7"/>
      <c r="Z5725" s="2"/>
      <c r="AA5725" s="1"/>
      <c r="AC5725" s="2"/>
      <c r="AE5725" s="1"/>
      <c r="AG5725" s="2"/>
    </row>
    <row r="5726" spans="24:33" ht="43.95" customHeight="1" x14ac:dyDescent="0.3">
      <c r="X5726" s="2"/>
      <c r="Y5726" s="7"/>
      <c r="Z5726" s="2"/>
      <c r="AA5726" s="1"/>
      <c r="AC5726" s="2"/>
      <c r="AE5726" s="1"/>
      <c r="AG5726" s="2"/>
    </row>
    <row r="5727" spans="24:33" ht="43.95" customHeight="1" x14ac:dyDescent="0.3">
      <c r="X5727" s="2"/>
      <c r="Y5727" s="7"/>
      <c r="Z5727" s="2"/>
      <c r="AA5727" s="1"/>
      <c r="AC5727" s="2"/>
      <c r="AE5727" s="1"/>
      <c r="AG5727" s="2"/>
    </row>
    <row r="5728" spans="24:33" ht="43.95" customHeight="1" x14ac:dyDescent="0.3">
      <c r="X5728" s="2"/>
      <c r="Y5728" s="7"/>
      <c r="Z5728" s="2"/>
      <c r="AA5728" s="1"/>
      <c r="AC5728" s="2"/>
      <c r="AE5728" s="1"/>
      <c r="AG5728" s="2"/>
    </row>
    <row r="5729" spans="24:33" ht="43.95" customHeight="1" x14ac:dyDescent="0.3">
      <c r="X5729" s="2"/>
      <c r="Y5729" s="7"/>
      <c r="Z5729" s="2"/>
      <c r="AA5729" s="1"/>
      <c r="AC5729" s="2"/>
      <c r="AE5729" s="1"/>
      <c r="AG5729" s="2"/>
    </row>
    <row r="5730" spans="24:33" ht="43.95" customHeight="1" x14ac:dyDescent="0.3">
      <c r="X5730" s="2"/>
      <c r="Y5730" s="7"/>
      <c r="Z5730" s="2"/>
      <c r="AA5730" s="1"/>
      <c r="AC5730" s="2"/>
      <c r="AE5730" s="1"/>
      <c r="AG5730" s="2"/>
    </row>
    <row r="5731" spans="24:33" ht="43.95" customHeight="1" x14ac:dyDescent="0.3">
      <c r="X5731" s="2"/>
      <c r="Y5731" s="7"/>
      <c r="Z5731" s="2"/>
      <c r="AA5731" s="1"/>
      <c r="AC5731" s="2"/>
      <c r="AE5731" s="1"/>
      <c r="AG5731" s="2"/>
    </row>
    <row r="5732" spans="24:33" ht="43.95" customHeight="1" x14ac:dyDescent="0.3">
      <c r="X5732" s="2"/>
      <c r="Y5732" s="7"/>
      <c r="Z5732" s="2"/>
      <c r="AA5732" s="1"/>
      <c r="AC5732" s="2"/>
      <c r="AE5732" s="1"/>
      <c r="AG5732" s="2"/>
    </row>
    <row r="5733" spans="24:33" ht="43.95" customHeight="1" x14ac:dyDescent="0.3">
      <c r="X5733" s="2"/>
      <c r="Y5733" s="7"/>
      <c r="Z5733" s="2"/>
      <c r="AA5733" s="1"/>
      <c r="AC5733" s="2"/>
      <c r="AE5733" s="1"/>
      <c r="AG5733" s="2"/>
    </row>
    <row r="5734" spans="24:33" ht="43.95" customHeight="1" x14ac:dyDescent="0.3">
      <c r="X5734" s="2"/>
      <c r="Y5734" s="7"/>
      <c r="Z5734" s="2"/>
      <c r="AA5734" s="1"/>
      <c r="AC5734" s="2"/>
      <c r="AE5734" s="1"/>
      <c r="AG5734" s="2"/>
    </row>
    <row r="5735" spans="24:33" ht="43.95" customHeight="1" x14ac:dyDescent="0.3">
      <c r="X5735" s="2"/>
      <c r="Y5735" s="7"/>
      <c r="Z5735" s="2"/>
      <c r="AA5735" s="1"/>
      <c r="AC5735" s="2"/>
      <c r="AE5735" s="1"/>
      <c r="AG5735" s="2"/>
    </row>
    <row r="5736" spans="24:33" ht="43.95" customHeight="1" x14ac:dyDescent="0.3">
      <c r="X5736" s="2"/>
      <c r="Y5736" s="7"/>
      <c r="Z5736" s="2"/>
      <c r="AA5736" s="1"/>
      <c r="AC5736" s="2"/>
      <c r="AE5736" s="1"/>
      <c r="AG5736" s="2"/>
    </row>
    <row r="5737" spans="24:33" ht="43.95" customHeight="1" x14ac:dyDescent="0.3">
      <c r="X5737" s="2"/>
      <c r="Y5737" s="7"/>
      <c r="Z5737" s="2"/>
      <c r="AA5737" s="1"/>
      <c r="AC5737" s="2"/>
      <c r="AE5737" s="1"/>
      <c r="AG5737" s="2"/>
    </row>
    <row r="5738" spans="24:33" ht="43.95" customHeight="1" x14ac:dyDescent="0.3">
      <c r="X5738" s="2"/>
      <c r="Y5738" s="7"/>
      <c r="Z5738" s="2"/>
      <c r="AA5738" s="1"/>
      <c r="AC5738" s="2"/>
      <c r="AE5738" s="1"/>
      <c r="AG5738" s="2"/>
    </row>
    <row r="5739" spans="24:33" ht="43.95" customHeight="1" x14ac:dyDescent="0.3">
      <c r="X5739" s="2"/>
      <c r="Y5739" s="7"/>
      <c r="Z5739" s="2"/>
      <c r="AA5739" s="1"/>
      <c r="AC5739" s="2"/>
      <c r="AE5739" s="1"/>
      <c r="AG5739" s="2"/>
    </row>
    <row r="5740" spans="24:33" ht="43.95" customHeight="1" x14ac:dyDescent="0.3">
      <c r="X5740" s="2"/>
      <c r="Y5740" s="7"/>
      <c r="Z5740" s="2"/>
      <c r="AA5740" s="1"/>
      <c r="AC5740" s="2"/>
      <c r="AE5740" s="1"/>
      <c r="AG5740" s="2"/>
    </row>
    <row r="5741" spans="24:33" ht="43.95" customHeight="1" x14ac:dyDescent="0.3">
      <c r="X5741" s="2"/>
      <c r="Y5741" s="7"/>
      <c r="Z5741" s="2"/>
      <c r="AA5741" s="1"/>
      <c r="AC5741" s="2"/>
      <c r="AE5741" s="1"/>
      <c r="AG5741" s="2"/>
    </row>
    <row r="5742" spans="24:33" ht="43.95" customHeight="1" x14ac:dyDescent="0.3">
      <c r="X5742" s="2"/>
      <c r="Y5742" s="7"/>
      <c r="Z5742" s="2"/>
      <c r="AA5742" s="1"/>
      <c r="AC5742" s="2"/>
      <c r="AE5742" s="1"/>
      <c r="AG5742" s="2"/>
    </row>
    <row r="5743" spans="24:33" ht="43.95" customHeight="1" x14ac:dyDescent="0.3">
      <c r="X5743" s="2"/>
      <c r="Y5743" s="7"/>
      <c r="Z5743" s="2"/>
      <c r="AA5743" s="1"/>
      <c r="AC5743" s="2"/>
      <c r="AE5743" s="1"/>
      <c r="AG5743" s="2"/>
    </row>
    <row r="5744" spans="24:33" ht="43.95" customHeight="1" x14ac:dyDescent="0.3">
      <c r="X5744" s="2"/>
      <c r="Y5744" s="7"/>
      <c r="Z5744" s="2"/>
      <c r="AA5744" s="1"/>
      <c r="AC5744" s="2"/>
      <c r="AE5744" s="1"/>
      <c r="AG5744" s="2"/>
    </row>
    <row r="5745" spans="24:33" ht="43.95" customHeight="1" x14ac:dyDescent="0.3">
      <c r="X5745" s="2"/>
      <c r="Y5745" s="7"/>
      <c r="Z5745" s="2"/>
      <c r="AA5745" s="1"/>
      <c r="AC5745" s="2"/>
      <c r="AE5745" s="1"/>
      <c r="AG5745" s="2"/>
    </row>
    <row r="5746" spans="24:33" ht="43.95" customHeight="1" x14ac:dyDescent="0.3">
      <c r="X5746" s="2"/>
      <c r="Y5746" s="7"/>
      <c r="Z5746" s="2"/>
      <c r="AA5746" s="1"/>
      <c r="AC5746" s="2"/>
      <c r="AE5746" s="1"/>
      <c r="AG5746" s="2"/>
    </row>
    <row r="5747" spans="24:33" ht="43.95" customHeight="1" x14ac:dyDescent="0.3">
      <c r="X5747" s="2"/>
      <c r="Y5747" s="7"/>
      <c r="Z5747" s="2"/>
      <c r="AA5747" s="1"/>
      <c r="AC5747" s="2"/>
      <c r="AE5747" s="1"/>
      <c r="AG5747" s="2"/>
    </row>
    <row r="5748" spans="24:33" ht="43.95" customHeight="1" x14ac:dyDescent="0.3">
      <c r="X5748" s="2"/>
      <c r="Y5748" s="7"/>
      <c r="Z5748" s="2"/>
      <c r="AA5748" s="1"/>
      <c r="AC5748" s="2"/>
      <c r="AE5748" s="1"/>
      <c r="AG5748" s="2"/>
    </row>
    <row r="5749" spans="24:33" ht="43.95" customHeight="1" x14ac:dyDescent="0.3">
      <c r="X5749" s="2"/>
      <c r="Y5749" s="7"/>
      <c r="Z5749" s="2"/>
      <c r="AA5749" s="1"/>
      <c r="AC5749" s="2"/>
      <c r="AE5749" s="1"/>
      <c r="AG5749" s="2"/>
    </row>
    <row r="5750" spans="24:33" ht="43.95" customHeight="1" x14ac:dyDescent="0.3">
      <c r="X5750" s="2"/>
      <c r="Y5750" s="7"/>
      <c r="Z5750" s="2"/>
      <c r="AA5750" s="1"/>
      <c r="AC5750" s="2"/>
      <c r="AE5750" s="1"/>
      <c r="AG5750" s="2"/>
    </row>
    <row r="5751" spans="24:33" ht="43.95" customHeight="1" x14ac:dyDescent="0.3">
      <c r="X5751" s="2"/>
      <c r="Y5751" s="7"/>
      <c r="Z5751" s="2"/>
      <c r="AA5751" s="1"/>
      <c r="AC5751" s="2"/>
      <c r="AE5751" s="1"/>
      <c r="AG5751" s="2"/>
    </row>
    <row r="5752" spans="24:33" ht="43.95" customHeight="1" x14ac:dyDescent="0.3">
      <c r="X5752" s="2"/>
      <c r="Y5752" s="7"/>
      <c r="Z5752" s="2"/>
      <c r="AA5752" s="1"/>
      <c r="AC5752" s="2"/>
      <c r="AE5752" s="1"/>
      <c r="AG5752" s="2"/>
    </row>
    <row r="5753" spans="24:33" ht="43.95" customHeight="1" x14ac:dyDescent="0.3">
      <c r="X5753" s="2"/>
      <c r="Y5753" s="7"/>
      <c r="Z5753" s="2"/>
      <c r="AA5753" s="1"/>
      <c r="AC5753" s="2"/>
      <c r="AE5753" s="1"/>
      <c r="AG5753" s="2"/>
    </row>
    <row r="5754" spans="24:33" ht="43.95" customHeight="1" x14ac:dyDescent="0.3">
      <c r="X5754" s="2"/>
      <c r="Y5754" s="7"/>
      <c r="Z5754" s="2"/>
      <c r="AA5754" s="1"/>
      <c r="AC5754" s="2"/>
      <c r="AE5754" s="1"/>
      <c r="AG5754" s="2"/>
    </row>
    <row r="5755" spans="24:33" ht="43.95" customHeight="1" x14ac:dyDescent="0.3">
      <c r="X5755" s="2"/>
      <c r="Y5755" s="7"/>
      <c r="Z5755" s="2"/>
      <c r="AA5755" s="1"/>
      <c r="AC5755" s="2"/>
      <c r="AE5755" s="1"/>
      <c r="AG5755" s="2"/>
    </row>
    <row r="5756" spans="24:33" ht="43.95" customHeight="1" x14ac:dyDescent="0.3">
      <c r="X5756" s="2"/>
      <c r="Y5756" s="7"/>
      <c r="Z5756" s="2"/>
      <c r="AA5756" s="1"/>
      <c r="AC5756" s="2"/>
      <c r="AE5756" s="1"/>
      <c r="AG5756" s="2"/>
    </row>
    <row r="5757" spans="24:33" ht="43.95" customHeight="1" x14ac:dyDescent="0.3">
      <c r="X5757" s="2"/>
      <c r="Y5757" s="7"/>
      <c r="Z5757" s="2"/>
      <c r="AA5757" s="1"/>
      <c r="AC5757" s="2"/>
      <c r="AE5757" s="1"/>
      <c r="AG5757" s="2"/>
    </row>
    <row r="5758" spans="24:33" ht="43.95" customHeight="1" x14ac:dyDescent="0.3">
      <c r="X5758" s="2"/>
      <c r="Y5758" s="7"/>
      <c r="Z5758" s="2"/>
      <c r="AA5758" s="1"/>
      <c r="AC5758" s="2"/>
      <c r="AE5758" s="1"/>
      <c r="AG5758" s="2"/>
    </row>
    <row r="5759" spans="24:33" ht="43.95" customHeight="1" x14ac:dyDescent="0.3">
      <c r="X5759" s="2"/>
      <c r="Y5759" s="7"/>
      <c r="Z5759" s="2"/>
      <c r="AA5759" s="1"/>
      <c r="AC5759" s="2"/>
      <c r="AE5759" s="1"/>
      <c r="AG5759" s="2"/>
    </row>
    <row r="5760" spans="24:33" ht="43.95" customHeight="1" x14ac:dyDescent="0.3">
      <c r="X5760" s="2"/>
      <c r="Y5760" s="7"/>
      <c r="Z5760" s="2"/>
      <c r="AA5760" s="1"/>
      <c r="AC5760" s="2"/>
      <c r="AE5760" s="1"/>
      <c r="AG5760" s="2"/>
    </row>
    <row r="5761" spans="24:33" ht="43.95" customHeight="1" x14ac:dyDescent="0.3">
      <c r="X5761" s="2"/>
      <c r="Y5761" s="7"/>
      <c r="Z5761" s="2"/>
      <c r="AA5761" s="1"/>
      <c r="AC5761" s="2"/>
      <c r="AE5761" s="1"/>
      <c r="AG5761" s="2"/>
    </row>
    <row r="5762" spans="24:33" ht="43.95" customHeight="1" x14ac:dyDescent="0.3">
      <c r="X5762" s="2"/>
      <c r="Y5762" s="7"/>
      <c r="Z5762" s="2"/>
      <c r="AA5762" s="1"/>
      <c r="AC5762" s="2"/>
      <c r="AE5762" s="1"/>
      <c r="AG5762" s="2"/>
    </row>
    <row r="5763" spans="24:33" ht="43.95" customHeight="1" x14ac:dyDescent="0.3">
      <c r="X5763" s="2"/>
      <c r="Y5763" s="7"/>
      <c r="Z5763" s="2"/>
      <c r="AA5763" s="1"/>
      <c r="AC5763" s="2"/>
      <c r="AE5763" s="1"/>
      <c r="AG5763" s="2"/>
    </row>
    <row r="5764" spans="24:33" ht="43.95" customHeight="1" x14ac:dyDescent="0.3">
      <c r="X5764" s="2"/>
      <c r="Y5764" s="7"/>
      <c r="Z5764" s="2"/>
      <c r="AA5764" s="1"/>
      <c r="AC5764" s="2"/>
      <c r="AE5764" s="1"/>
      <c r="AG5764" s="2"/>
    </row>
    <row r="5765" spans="24:33" ht="43.95" customHeight="1" x14ac:dyDescent="0.3">
      <c r="X5765" s="2"/>
      <c r="Y5765" s="7"/>
      <c r="Z5765" s="2"/>
      <c r="AA5765" s="1"/>
      <c r="AC5765" s="2"/>
      <c r="AE5765" s="1"/>
      <c r="AG5765" s="2"/>
    </row>
    <row r="5766" spans="24:33" ht="43.95" customHeight="1" x14ac:dyDescent="0.3">
      <c r="X5766" s="2"/>
      <c r="Y5766" s="7"/>
      <c r="Z5766" s="2"/>
      <c r="AA5766" s="1"/>
      <c r="AC5766" s="2"/>
      <c r="AE5766" s="1"/>
      <c r="AG5766" s="2"/>
    </row>
    <row r="5767" spans="24:33" ht="43.95" customHeight="1" x14ac:dyDescent="0.3">
      <c r="X5767" s="2"/>
      <c r="Y5767" s="7"/>
      <c r="Z5767" s="2"/>
      <c r="AA5767" s="1"/>
      <c r="AC5767" s="2"/>
      <c r="AE5767" s="1"/>
      <c r="AG5767" s="2"/>
    </row>
    <row r="5768" spans="24:33" ht="43.95" customHeight="1" x14ac:dyDescent="0.3">
      <c r="X5768" s="2"/>
      <c r="Y5768" s="7"/>
      <c r="Z5768" s="2"/>
      <c r="AA5768" s="1"/>
      <c r="AC5768" s="2"/>
      <c r="AE5768" s="1"/>
      <c r="AG5768" s="2"/>
    </row>
    <row r="5769" spans="24:33" ht="43.95" customHeight="1" x14ac:dyDescent="0.3">
      <c r="X5769" s="2"/>
      <c r="Y5769" s="7"/>
      <c r="Z5769" s="2"/>
      <c r="AA5769" s="1"/>
      <c r="AC5769" s="2"/>
      <c r="AE5769" s="1"/>
      <c r="AG5769" s="2"/>
    </row>
    <row r="5770" spans="24:33" ht="43.95" customHeight="1" x14ac:dyDescent="0.3">
      <c r="X5770" s="2"/>
      <c r="Y5770" s="7"/>
      <c r="Z5770" s="2"/>
      <c r="AA5770" s="1"/>
      <c r="AC5770" s="2"/>
      <c r="AE5770" s="1"/>
      <c r="AG5770" s="2"/>
    </row>
    <row r="5771" spans="24:33" ht="43.95" customHeight="1" x14ac:dyDescent="0.3">
      <c r="X5771" s="2"/>
      <c r="Y5771" s="7"/>
      <c r="Z5771" s="2"/>
      <c r="AA5771" s="1"/>
      <c r="AC5771" s="2"/>
      <c r="AE5771" s="1"/>
      <c r="AG5771" s="2"/>
    </row>
    <row r="5772" spans="24:33" ht="43.95" customHeight="1" x14ac:dyDescent="0.3">
      <c r="X5772" s="2"/>
      <c r="Y5772" s="7"/>
      <c r="Z5772" s="2"/>
      <c r="AA5772" s="1"/>
      <c r="AC5772" s="2"/>
      <c r="AE5772" s="1"/>
      <c r="AG5772" s="2"/>
    </row>
    <row r="5773" spans="24:33" ht="43.95" customHeight="1" x14ac:dyDescent="0.3">
      <c r="X5773" s="2"/>
      <c r="Y5773" s="7"/>
      <c r="Z5773" s="2"/>
      <c r="AA5773" s="1"/>
      <c r="AC5773" s="2"/>
      <c r="AE5773" s="1"/>
      <c r="AG5773" s="2"/>
    </row>
    <row r="5774" spans="24:33" ht="43.95" customHeight="1" x14ac:dyDescent="0.3">
      <c r="X5774" s="2"/>
      <c r="Y5774" s="7"/>
      <c r="Z5774" s="2"/>
      <c r="AA5774" s="1"/>
      <c r="AC5774" s="2"/>
      <c r="AE5774" s="1"/>
      <c r="AG5774" s="2"/>
    </row>
    <row r="5775" spans="24:33" ht="43.95" customHeight="1" x14ac:dyDescent="0.3">
      <c r="X5775" s="2"/>
      <c r="Y5775" s="7"/>
      <c r="Z5775" s="2"/>
      <c r="AA5775" s="1"/>
      <c r="AC5775" s="2"/>
      <c r="AE5775" s="1"/>
      <c r="AG5775" s="2"/>
    </row>
    <row r="5776" spans="24:33" ht="43.95" customHeight="1" x14ac:dyDescent="0.3">
      <c r="X5776" s="2"/>
      <c r="Y5776" s="7"/>
      <c r="Z5776" s="2"/>
      <c r="AA5776" s="1"/>
      <c r="AC5776" s="2"/>
      <c r="AE5776" s="1"/>
      <c r="AG5776" s="2"/>
    </row>
    <row r="5777" spans="24:33" ht="43.95" customHeight="1" x14ac:dyDescent="0.3">
      <c r="X5777" s="2"/>
      <c r="Y5777" s="7"/>
      <c r="Z5777" s="2"/>
      <c r="AA5777" s="1"/>
      <c r="AC5777" s="2"/>
      <c r="AE5777" s="1"/>
      <c r="AG5777" s="2"/>
    </row>
    <row r="5778" spans="24:33" ht="43.95" customHeight="1" x14ac:dyDescent="0.3">
      <c r="X5778" s="2"/>
      <c r="Y5778" s="7"/>
      <c r="Z5778" s="2"/>
      <c r="AA5778" s="1"/>
      <c r="AC5778" s="2"/>
      <c r="AE5778" s="1"/>
      <c r="AG5778" s="2"/>
    </row>
    <row r="5779" spans="24:33" ht="43.95" customHeight="1" x14ac:dyDescent="0.3">
      <c r="X5779" s="232"/>
      <c r="Y5779" s="7"/>
      <c r="Z5779" s="2"/>
      <c r="AA5779" s="1"/>
      <c r="AC5779" s="2"/>
      <c r="AE5779" s="1"/>
      <c r="AG5779" s="2"/>
    </row>
    <row r="5780" spans="24:33" ht="43.95" customHeight="1" x14ac:dyDescent="0.3">
      <c r="X5780" s="2"/>
      <c r="Y5780" s="7"/>
      <c r="Z5780" s="2"/>
      <c r="AA5780" s="1"/>
      <c r="AC5780" s="2"/>
      <c r="AE5780" s="1"/>
      <c r="AG5780" s="2"/>
    </row>
    <row r="5781" spans="24:33" ht="43.95" customHeight="1" x14ac:dyDescent="0.3">
      <c r="X5781" s="2"/>
      <c r="Y5781" s="7"/>
      <c r="Z5781" s="2"/>
      <c r="AA5781" s="1"/>
      <c r="AC5781" s="2"/>
      <c r="AE5781" s="1"/>
      <c r="AG5781" s="2"/>
    </row>
    <row r="5782" spans="24:33" ht="43.95" customHeight="1" x14ac:dyDescent="0.3">
      <c r="X5782" s="2"/>
      <c r="Y5782" s="7"/>
      <c r="Z5782" s="2"/>
      <c r="AA5782" s="1"/>
      <c r="AC5782" s="2"/>
      <c r="AE5782" s="1"/>
      <c r="AG5782" s="2"/>
    </row>
    <row r="5783" spans="24:33" ht="43.95" customHeight="1" x14ac:dyDescent="0.3">
      <c r="X5783" s="2"/>
      <c r="Y5783" s="7"/>
      <c r="Z5783" s="2"/>
      <c r="AA5783" s="1"/>
      <c r="AC5783" s="2"/>
      <c r="AE5783" s="1"/>
      <c r="AG5783" s="2"/>
    </row>
    <row r="5784" spans="24:33" ht="43.95" customHeight="1" x14ac:dyDescent="0.3">
      <c r="X5784" s="2"/>
      <c r="Y5784" s="7"/>
      <c r="Z5784" s="2"/>
      <c r="AA5784" s="1"/>
      <c r="AC5784" s="2"/>
      <c r="AE5784" s="1"/>
      <c r="AG5784" s="2"/>
    </row>
    <row r="5785" spans="24:33" ht="43.95" customHeight="1" x14ac:dyDescent="0.3">
      <c r="X5785" s="2"/>
      <c r="Y5785" s="7"/>
      <c r="Z5785" s="2"/>
      <c r="AA5785" s="1"/>
      <c r="AC5785" s="2"/>
      <c r="AE5785" s="1"/>
      <c r="AG5785" s="2"/>
    </row>
    <row r="5786" spans="24:33" ht="43.95" customHeight="1" x14ac:dyDescent="0.3">
      <c r="X5786" s="2"/>
      <c r="Y5786" s="7"/>
      <c r="Z5786" s="2"/>
      <c r="AA5786" s="1"/>
      <c r="AC5786" s="2"/>
      <c r="AE5786" s="1"/>
      <c r="AG5786" s="2"/>
    </row>
    <row r="5787" spans="24:33" ht="43.95" customHeight="1" x14ac:dyDescent="0.3">
      <c r="X5787" s="2"/>
      <c r="Y5787" s="7"/>
      <c r="Z5787" s="2"/>
      <c r="AA5787" s="1"/>
      <c r="AC5787" s="2"/>
      <c r="AE5787" s="1"/>
      <c r="AG5787" s="2"/>
    </row>
    <row r="5788" spans="24:33" ht="43.95" customHeight="1" x14ac:dyDescent="0.3">
      <c r="X5788" s="2"/>
      <c r="Y5788" s="7"/>
      <c r="Z5788" s="2"/>
      <c r="AA5788" s="1"/>
      <c r="AC5788" s="2"/>
      <c r="AE5788" s="1"/>
      <c r="AG5788" s="2"/>
    </row>
    <row r="5789" spans="24:33" ht="43.95" customHeight="1" x14ac:dyDescent="0.3">
      <c r="X5789" s="2"/>
      <c r="Y5789" s="7"/>
      <c r="Z5789" s="2"/>
      <c r="AA5789" s="1"/>
      <c r="AC5789" s="2"/>
      <c r="AE5789" s="1"/>
      <c r="AG5789" s="2"/>
    </row>
    <row r="5790" spans="24:33" ht="43.95" customHeight="1" x14ac:dyDescent="0.3">
      <c r="X5790" s="2"/>
      <c r="Y5790" s="7"/>
      <c r="Z5790" s="2"/>
      <c r="AA5790" s="1"/>
      <c r="AC5790" s="2"/>
      <c r="AE5790" s="1"/>
      <c r="AG5790" s="2"/>
    </row>
    <row r="5791" spans="24:33" ht="43.95" customHeight="1" x14ac:dyDescent="0.3">
      <c r="X5791" s="2"/>
      <c r="Y5791" s="7"/>
      <c r="Z5791" s="2"/>
      <c r="AA5791" s="1"/>
      <c r="AC5791" s="2"/>
      <c r="AE5791" s="1"/>
      <c r="AG5791" s="2"/>
    </row>
    <row r="5792" spans="24:33" ht="43.95" customHeight="1" x14ac:dyDescent="0.3">
      <c r="X5792" s="2"/>
      <c r="Y5792" s="7"/>
      <c r="Z5792" s="2"/>
      <c r="AA5792" s="1"/>
      <c r="AC5792" s="2"/>
      <c r="AE5792" s="1"/>
      <c r="AG5792" s="2"/>
    </row>
    <row r="5793" spans="24:33" ht="43.95" customHeight="1" x14ac:dyDescent="0.3">
      <c r="X5793" s="2"/>
      <c r="Y5793" s="7"/>
      <c r="Z5793" s="2"/>
      <c r="AA5793" s="1"/>
      <c r="AC5793" s="2"/>
      <c r="AE5793" s="1"/>
      <c r="AG5793" s="2"/>
    </row>
    <row r="5794" spans="24:33" ht="43.95" customHeight="1" x14ac:dyDescent="0.3">
      <c r="X5794" s="2"/>
      <c r="Y5794" s="7"/>
      <c r="Z5794" s="2"/>
      <c r="AA5794" s="1"/>
      <c r="AC5794" s="2"/>
      <c r="AE5794" s="1"/>
      <c r="AG5794" s="2"/>
    </row>
    <row r="5795" spans="24:33" ht="43.95" customHeight="1" x14ac:dyDescent="0.3">
      <c r="X5795" s="2"/>
      <c r="Y5795" s="7"/>
      <c r="Z5795" s="2"/>
      <c r="AA5795" s="1"/>
      <c r="AC5795" s="2"/>
      <c r="AE5795" s="1"/>
      <c r="AG5795" s="2"/>
    </row>
    <row r="5796" spans="24:33" ht="43.95" customHeight="1" x14ac:dyDescent="0.3">
      <c r="X5796" s="2"/>
      <c r="Y5796" s="7"/>
      <c r="Z5796" s="2"/>
      <c r="AA5796" s="1"/>
      <c r="AC5796" s="2"/>
      <c r="AE5796" s="1"/>
      <c r="AG5796" s="2"/>
    </row>
    <row r="5797" spans="24:33" ht="43.95" customHeight="1" x14ac:dyDescent="0.3">
      <c r="X5797" s="2"/>
      <c r="Y5797" s="7"/>
      <c r="Z5797" s="2"/>
      <c r="AA5797" s="1"/>
      <c r="AC5797" s="2"/>
      <c r="AE5797" s="1"/>
      <c r="AG5797" s="2"/>
    </row>
    <row r="5798" spans="24:33" ht="43.95" customHeight="1" x14ac:dyDescent="0.3">
      <c r="X5798" s="2"/>
      <c r="Y5798" s="7"/>
      <c r="Z5798" s="2"/>
      <c r="AA5798" s="1"/>
      <c r="AC5798" s="2"/>
      <c r="AE5798" s="1"/>
      <c r="AG5798" s="2"/>
    </row>
    <row r="5799" spans="24:33" ht="43.95" customHeight="1" x14ac:dyDescent="0.3">
      <c r="X5799" s="232"/>
      <c r="Y5799" s="7"/>
      <c r="Z5799" s="2"/>
      <c r="AA5799" s="1"/>
      <c r="AC5799" s="2"/>
      <c r="AE5799" s="1"/>
      <c r="AG5799" s="2"/>
    </row>
    <row r="5800" spans="24:33" ht="43.95" customHeight="1" x14ac:dyDescent="0.3">
      <c r="X5800" s="2"/>
      <c r="Y5800" s="7"/>
      <c r="Z5800" s="2"/>
      <c r="AA5800" s="1"/>
      <c r="AC5800" s="2"/>
      <c r="AE5800" s="1"/>
      <c r="AG5800" s="2"/>
    </row>
    <row r="5801" spans="24:33" ht="43.95" customHeight="1" x14ac:dyDescent="0.3">
      <c r="X5801" s="2"/>
      <c r="Y5801" s="7"/>
      <c r="Z5801" s="2"/>
      <c r="AA5801" s="1"/>
      <c r="AC5801" s="2"/>
      <c r="AE5801" s="1"/>
      <c r="AG5801" s="2"/>
    </row>
    <row r="5802" spans="24:33" ht="43.95" customHeight="1" x14ac:dyDescent="0.3">
      <c r="X5802" s="2"/>
      <c r="Y5802" s="7"/>
      <c r="Z5802" s="2"/>
      <c r="AA5802" s="1"/>
      <c r="AC5802" s="2"/>
      <c r="AE5802" s="1"/>
      <c r="AG5802" s="2"/>
    </row>
    <row r="5803" spans="24:33" ht="43.95" customHeight="1" x14ac:dyDescent="0.3">
      <c r="X5803" s="232"/>
      <c r="Y5803" s="7"/>
      <c r="Z5803" s="2"/>
      <c r="AA5803" s="1"/>
      <c r="AC5803" s="2"/>
      <c r="AE5803" s="1"/>
      <c r="AG5803" s="2"/>
    </row>
    <row r="5804" spans="24:33" ht="43.95" customHeight="1" x14ac:dyDescent="0.3">
      <c r="X5804" s="2"/>
      <c r="Y5804" s="7"/>
      <c r="Z5804" s="2"/>
      <c r="AA5804" s="1"/>
      <c r="AC5804" s="2"/>
      <c r="AE5804" s="1"/>
      <c r="AG5804" s="2"/>
    </row>
    <row r="5805" spans="24:33" ht="43.95" customHeight="1" x14ac:dyDescent="0.3">
      <c r="X5805" s="2"/>
      <c r="Y5805" s="7"/>
      <c r="Z5805" s="2"/>
      <c r="AA5805" s="1"/>
      <c r="AC5805" s="2"/>
      <c r="AE5805" s="1"/>
      <c r="AG5805" s="2"/>
    </row>
    <row r="5806" spans="24:33" ht="43.95" customHeight="1" x14ac:dyDescent="0.3">
      <c r="X5806" s="2"/>
      <c r="Y5806" s="7"/>
      <c r="Z5806" s="2"/>
      <c r="AA5806" s="1"/>
      <c r="AC5806" s="2"/>
      <c r="AE5806" s="1"/>
      <c r="AG5806" s="2"/>
    </row>
    <row r="5807" spans="24:33" ht="43.95" customHeight="1" x14ac:dyDescent="0.3">
      <c r="X5807" s="2"/>
      <c r="Y5807" s="7"/>
      <c r="Z5807" s="2"/>
      <c r="AA5807" s="1"/>
      <c r="AC5807" s="2"/>
      <c r="AE5807" s="1"/>
      <c r="AG5807" s="2"/>
    </row>
    <row r="5808" spans="24:33" ht="43.95" customHeight="1" x14ac:dyDescent="0.3">
      <c r="X5808" s="2"/>
      <c r="Y5808" s="7"/>
      <c r="Z5808" s="2"/>
      <c r="AA5808" s="1"/>
      <c r="AC5808" s="2"/>
      <c r="AE5808" s="1"/>
      <c r="AG5808" s="2"/>
    </row>
    <row r="5809" spans="24:33" ht="43.95" customHeight="1" x14ac:dyDescent="0.3">
      <c r="X5809" s="2"/>
      <c r="Y5809" s="7"/>
      <c r="Z5809" s="2"/>
      <c r="AA5809" s="1"/>
      <c r="AC5809" s="2"/>
      <c r="AE5809" s="1"/>
      <c r="AG5809" s="2"/>
    </row>
    <row r="5810" spans="24:33" ht="43.95" customHeight="1" x14ac:dyDescent="0.3">
      <c r="X5810" s="2"/>
      <c r="Y5810" s="7"/>
      <c r="Z5810" s="2"/>
      <c r="AA5810" s="1"/>
      <c r="AC5810" s="2"/>
      <c r="AE5810" s="1"/>
      <c r="AG5810" s="2"/>
    </row>
    <row r="5811" spans="24:33" ht="43.95" customHeight="1" x14ac:dyDescent="0.3">
      <c r="X5811" s="2"/>
      <c r="Y5811" s="7"/>
      <c r="Z5811" s="2"/>
      <c r="AA5811" s="1"/>
      <c r="AC5811" s="2"/>
      <c r="AE5811" s="1"/>
      <c r="AG5811" s="2"/>
    </row>
    <row r="5812" spans="24:33" ht="43.95" customHeight="1" x14ac:dyDescent="0.3">
      <c r="X5812" s="2"/>
      <c r="Y5812" s="7"/>
      <c r="Z5812" s="2"/>
      <c r="AA5812" s="1"/>
      <c r="AC5812" s="2"/>
      <c r="AE5812" s="1"/>
      <c r="AG5812" s="2"/>
    </row>
    <row r="5813" spans="24:33" ht="43.95" customHeight="1" x14ac:dyDescent="0.3">
      <c r="X5813" s="2"/>
      <c r="Y5813" s="7"/>
      <c r="Z5813" s="2"/>
      <c r="AA5813" s="1"/>
      <c r="AC5813" s="2"/>
      <c r="AE5813" s="1"/>
      <c r="AG5813" s="2"/>
    </row>
    <row r="5814" spans="24:33" ht="43.95" customHeight="1" x14ac:dyDescent="0.3">
      <c r="X5814" s="232"/>
      <c r="Y5814" s="7"/>
      <c r="Z5814" s="2"/>
      <c r="AA5814" s="1"/>
      <c r="AC5814" s="2"/>
      <c r="AE5814" s="1"/>
      <c r="AG5814" s="2"/>
    </row>
    <row r="5815" spans="24:33" ht="43.95" customHeight="1" x14ac:dyDescent="0.3">
      <c r="X5815" s="2"/>
      <c r="Y5815" s="7"/>
      <c r="Z5815" s="2"/>
      <c r="AA5815" s="1"/>
      <c r="AC5815" s="2"/>
      <c r="AE5815" s="1"/>
      <c r="AG5815" s="2"/>
    </row>
    <row r="5816" spans="24:33" ht="43.95" customHeight="1" x14ac:dyDescent="0.3">
      <c r="X5816" s="2"/>
      <c r="Y5816" s="7"/>
      <c r="Z5816" s="2"/>
      <c r="AA5816" s="1"/>
      <c r="AC5816" s="2"/>
      <c r="AE5816" s="1"/>
      <c r="AG5816" s="2"/>
    </row>
    <row r="5817" spans="24:33" ht="43.95" customHeight="1" x14ac:dyDescent="0.3">
      <c r="X5817" s="2"/>
      <c r="Y5817" s="7"/>
      <c r="Z5817" s="2"/>
      <c r="AA5817" s="1"/>
      <c r="AC5817" s="2"/>
      <c r="AE5817" s="1"/>
      <c r="AG5817" s="2"/>
    </row>
    <row r="5818" spans="24:33" ht="43.95" customHeight="1" x14ac:dyDescent="0.3">
      <c r="X5818" s="2"/>
      <c r="Y5818" s="7"/>
      <c r="Z5818" s="2"/>
      <c r="AA5818" s="1"/>
      <c r="AC5818" s="2"/>
      <c r="AE5818" s="1"/>
      <c r="AG5818" s="2"/>
    </row>
    <row r="5819" spans="24:33" ht="43.95" customHeight="1" x14ac:dyDescent="0.3">
      <c r="X5819" s="2"/>
      <c r="Y5819" s="7"/>
      <c r="Z5819" s="2"/>
      <c r="AA5819" s="1"/>
      <c r="AC5819" s="2"/>
      <c r="AE5819" s="1"/>
      <c r="AG5819" s="2"/>
    </row>
    <row r="5820" spans="24:33" ht="43.95" customHeight="1" x14ac:dyDescent="0.3">
      <c r="X5820" s="2"/>
      <c r="Y5820" s="7"/>
      <c r="Z5820" s="2"/>
      <c r="AA5820" s="1"/>
      <c r="AC5820" s="2"/>
      <c r="AE5820" s="1"/>
      <c r="AG5820" s="2"/>
    </row>
    <row r="5821" spans="24:33" ht="43.95" customHeight="1" x14ac:dyDescent="0.3">
      <c r="X5821" s="2"/>
      <c r="Y5821" s="7"/>
      <c r="Z5821" s="2"/>
      <c r="AA5821" s="1"/>
      <c r="AC5821" s="2"/>
      <c r="AE5821" s="1"/>
      <c r="AG5821" s="2"/>
    </row>
    <row r="5822" spans="24:33" ht="43.95" customHeight="1" x14ac:dyDescent="0.3">
      <c r="X5822" s="2"/>
      <c r="Y5822" s="7"/>
      <c r="Z5822" s="2"/>
      <c r="AA5822" s="1"/>
      <c r="AC5822" s="2"/>
      <c r="AE5822" s="1"/>
      <c r="AG5822" s="2"/>
    </row>
    <row r="5823" spans="24:33" ht="43.95" customHeight="1" x14ac:dyDescent="0.3">
      <c r="X5823" s="2"/>
      <c r="Y5823" s="7"/>
      <c r="Z5823" s="2"/>
      <c r="AA5823" s="1"/>
      <c r="AC5823" s="2"/>
      <c r="AE5823" s="1"/>
      <c r="AG5823" s="2"/>
    </row>
    <row r="5824" spans="24:33" ht="43.95" customHeight="1" x14ac:dyDescent="0.3">
      <c r="X5824" s="2"/>
      <c r="Y5824" s="7"/>
      <c r="Z5824" s="2"/>
      <c r="AA5824" s="1"/>
      <c r="AC5824" s="2"/>
      <c r="AE5824" s="1"/>
      <c r="AG5824" s="2"/>
    </row>
    <row r="5825" spans="24:33" ht="43.95" customHeight="1" x14ac:dyDescent="0.3">
      <c r="X5825" s="2"/>
      <c r="Y5825" s="7"/>
      <c r="Z5825" s="2"/>
      <c r="AA5825" s="1"/>
      <c r="AC5825" s="2"/>
      <c r="AE5825" s="1"/>
      <c r="AG5825" s="2"/>
    </row>
    <row r="5826" spans="24:33" ht="43.95" customHeight="1" x14ac:dyDescent="0.3">
      <c r="X5826" s="2"/>
      <c r="Y5826" s="7"/>
      <c r="Z5826" s="2"/>
      <c r="AA5826" s="1"/>
      <c r="AC5826" s="2"/>
      <c r="AE5826" s="1"/>
      <c r="AG5826" s="2"/>
    </row>
    <row r="5827" spans="24:33" ht="43.95" customHeight="1" x14ac:dyDescent="0.3">
      <c r="X5827" s="2"/>
      <c r="Y5827" s="7"/>
      <c r="Z5827" s="2"/>
      <c r="AA5827" s="1"/>
      <c r="AC5827" s="2"/>
      <c r="AE5827" s="1"/>
      <c r="AG5827" s="2"/>
    </row>
    <row r="5828" spans="24:33" ht="43.95" customHeight="1" x14ac:dyDescent="0.3">
      <c r="X5828" s="2"/>
      <c r="Y5828" s="7"/>
      <c r="Z5828" s="2"/>
      <c r="AA5828" s="1"/>
      <c r="AC5828" s="2"/>
      <c r="AE5828" s="1"/>
      <c r="AG5828" s="2"/>
    </row>
    <row r="5829" spans="24:33" ht="43.95" customHeight="1" x14ac:dyDescent="0.3">
      <c r="X5829" s="2"/>
      <c r="Y5829" s="7"/>
      <c r="Z5829" s="2"/>
      <c r="AA5829" s="1"/>
      <c r="AC5829" s="2"/>
      <c r="AE5829" s="1"/>
      <c r="AG5829" s="2"/>
    </row>
    <row r="5830" spans="24:33" ht="43.95" customHeight="1" x14ac:dyDescent="0.3">
      <c r="X5830" s="232"/>
      <c r="Y5830" s="7"/>
      <c r="Z5830" s="2"/>
      <c r="AA5830" s="1"/>
      <c r="AC5830" s="2"/>
      <c r="AE5830" s="1"/>
      <c r="AG5830" s="2"/>
    </row>
    <row r="5831" spans="24:33" ht="43.95" customHeight="1" x14ac:dyDescent="0.3">
      <c r="X5831" s="2"/>
      <c r="Y5831" s="7"/>
      <c r="Z5831" s="2"/>
      <c r="AA5831" s="1"/>
      <c r="AC5831" s="2"/>
      <c r="AE5831" s="1"/>
      <c r="AG5831" s="2"/>
    </row>
    <row r="5832" spans="24:33" ht="43.95" customHeight="1" x14ac:dyDescent="0.3">
      <c r="X5832" s="2"/>
      <c r="Y5832" s="7"/>
      <c r="Z5832" s="2"/>
      <c r="AA5832" s="1"/>
      <c r="AC5832" s="2"/>
      <c r="AE5832" s="1"/>
      <c r="AG5832" s="2"/>
    </row>
    <row r="5833" spans="24:33" ht="43.95" customHeight="1" x14ac:dyDescent="0.3">
      <c r="X5833" s="232"/>
      <c r="Y5833" s="7"/>
      <c r="Z5833" s="2"/>
      <c r="AA5833" s="1"/>
      <c r="AC5833" s="2"/>
      <c r="AE5833" s="1"/>
      <c r="AG5833" s="2"/>
    </row>
    <row r="5834" spans="24:33" ht="43.95" customHeight="1" x14ac:dyDescent="0.3">
      <c r="X5834" s="2"/>
      <c r="Y5834" s="7"/>
      <c r="Z5834" s="2"/>
      <c r="AA5834" s="1"/>
      <c r="AC5834" s="2"/>
      <c r="AE5834" s="1"/>
      <c r="AG5834" s="2"/>
    </row>
    <row r="5835" spans="24:33" ht="43.95" customHeight="1" x14ac:dyDescent="0.3">
      <c r="X5835" s="2"/>
      <c r="Y5835" s="7"/>
      <c r="Z5835" s="2"/>
      <c r="AA5835" s="1"/>
      <c r="AC5835" s="2"/>
      <c r="AE5835" s="1"/>
      <c r="AG5835" s="2"/>
    </row>
    <row r="5836" spans="24:33" ht="43.95" customHeight="1" x14ac:dyDescent="0.3">
      <c r="X5836" s="2"/>
      <c r="Y5836" s="7"/>
      <c r="Z5836" s="2"/>
      <c r="AA5836" s="1"/>
      <c r="AC5836" s="2"/>
      <c r="AE5836" s="1"/>
      <c r="AG5836" s="2"/>
    </row>
    <row r="5837" spans="24:33" ht="43.95" customHeight="1" x14ac:dyDescent="0.3">
      <c r="X5837" s="2"/>
      <c r="Y5837" s="7"/>
      <c r="Z5837" s="2"/>
      <c r="AA5837" s="1"/>
      <c r="AC5837" s="2"/>
      <c r="AE5837" s="1"/>
      <c r="AG5837" s="2"/>
    </row>
    <row r="5838" spans="24:33" ht="43.95" customHeight="1" x14ac:dyDescent="0.3">
      <c r="X5838" s="2"/>
      <c r="Y5838" s="7"/>
      <c r="Z5838" s="2"/>
      <c r="AA5838" s="1"/>
      <c r="AC5838" s="2"/>
      <c r="AE5838" s="1"/>
      <c r="AG5838" s="2"/>
    </row>
    <row r="5839" spans="24:33" ht="43.95" customHeight="1" x14ac:dyDescent="0.3">
      <c r="X5839" s="2"/>
      <c r="Y5839" s="7"/>
      <c r="Z5839" s="2"/>
      <c r="AA5839" s="1"/>
      <c r="AC5839" s="2"/>
      <c r="AE5839" s="1"/>
      <c r="AG5839" s="2"/>
    </row>
    <row r="5840" spans="24:33" ht="43.95" customHeight="1" x14ac:dyDescent="0.3">
      <c r="X5840" s="2"/>
      <c r="Y5840" s="7"/>
      <c r="Z5840" s="2"/>
      <c r="AA5840" s="1"/>
      <c r="AC5840" s="2"/>
      <c r="AE5840" s="1"/>
      <c r="AG5840" s="2"/>
    </row>
    <row r="5841" spans="24:33" ht="43.95" customHeight="1" x14ac:dyDescent="0.3">
      <c r="X5841" s="2"/>
      <c r="Y5841" s="7"/>
      <c r="Z5841" s="2"/>
      <c r="AA5841" s="1"/>
      <c r="AC5841" s="2"/>
      <c r="AE5841" s="1"/>
      <c r="AG5841" s="2"/>
    </row>
    <row r="5842" spans="24:33" ht="43.95" customHeight="1" x14ac:dyDescent="0.3">
      <c r="X5842" s="2"/>
      <c r="Y5842" s="7"/>
      <c r="Z5842" s="2"/>
      <c r="AA5842" s="1"/>
      <c r="AC5842" s="2"/>
      <c r="AE5842" s="1"/>
      <c r="AG5842" s="2"/>
    </row>
    <row r="5843" spans="24:33" ht="43.95" customHeight="1" x14ac:dyDescent="0.3">
      <c r="X5843" s="2"/>
      <c r="Y5843" s="7"/>
      <c r="Z5843" s="2"/>
      <c r="AA5843" s="1"/>
      <c r="AC5843" s="2"/>
      <c r="AE5843" s="1"/>
      <c r="AG5843" s="2"/>
    </row>
    <row r="5844" spans="24:33" ht="43.95" customHeight="1" x14ac:dyDescent="0.3">
      <c r="X5844" s="2"/>
      <c r="Y5844" s="7"/>
      <c r="Z5844" s="2"/>
      <c r="AA5844" s="1"/>
      <c r="AC5844" s="2"/>
      <c r="AE5844" s="1"/>
      <c r="AG5844" s="2"/>
    </row>
    <row r="5845" spans="24:33" ht="43.95" customHeight="1" x14ac:dyDescent="0.3">
      <c r="X5845" s="2"/>
      <c r="Y5845" s="7"/>
      <c r="Z5845" s="2"/>
      <c r="AA5845" s="1"/>
      <c r="AC5845" s="2"/>
      <c r="AE5845" s="1"/>
      <c r="AG5845" s="2"/>
    </row>
    <row r="5846" spans="24:33" ht="43.95" customHeight="1" x14ac:dyDescent="0.3">
      <c r="X5846" s="2"/>
      <c r="Y5846" s="7"/>
      <c r="Z5846" s="2"/>
      <c r="AA5846" s="1"/>
      <c r="AC5846" s="2"/>
      <c r="AE5846" s="1"/>
      <c r="AG5846" s="2"/>
    </row>
    <row r="5847" spans="24:33" ht="43.95" customHeight="1" x14ac:dyDescent="0.3">
      <c r="X5847" s="2"/>
      <c r="Y5847" s="7"/>
      <c r="Z5847" s="2"/>
      <c r="AA5847" s="1"/>
      <c r="AC5847" s="2"/>
      <c r="AE5847" s="1"/>
      <c r="AG5847" s="2"/>
    </row>
    <row r="5848" spans="24:33" ht="43.95" customHeight="1" x14ac:dyDescent="0.3">
      <c r="X5848" s="2"/>
      <c r="Y5848" s="7"/>
      <c r="Z5848" s="2"/>
      <c r="AA5848" s="1"/>
      <c r="AC5848" s="2"/>
      <c r="AE5848" s="1"/>
      <c r="AG5848" s="2"/>
    </row>
    <row r="5849" spans="24:33" ht="43.95" customHeight="1" x14ac:dyDescent="0.3">
      <c r="X5849" s="2"/>
      <c r="Y5849" s="7"/>
      <c r="Z5849" s="2"/>
      <c r="AA5849" s="1"/>
      <c r="AC5849" s="2"/>
      <c r="AE5849" s="1"/>
      <c r="AG5849" s="2"/>
    </row>
    <row r="5850" spans="24:33" ht="43.95" customHeight="1" x14ac:dyDescent="0.3">
      <c r="X5850" s="2"/>
      <c r="Y5850" s="7"/>
      <c r="Z5850" s="2"/>
      <c r="AA5850" s="1"/>
      <c r="AC5850" s="2"/>
      <c r="AE5850" s="1"/>
      <c r="AG5850" s="2"/>
    </row>
    <row r="5851" spans="24:33" ht="43.95" customHeight="1" x14ac:dyDescent="0.3">
      <c r="X5851" s="2"/>
      <c r="Y5851" s="7"/>
      <c r="Z5851" s="2"/>
      <c r="AA5851" s="1"/>
      <c r="AC5851" s="2"/>
      <c r="AE5851" s="1"/>
      <c r="AG5851" s="2"/>
    </row>
    <row r="5852" spans="24:33" ht="43.95" customHeight="1" x14ac:dyDescent="0.3">
      <c r="X5852" s="2"/>
      <c r="Y5852" s="7"/>
      <c r="Z5852" s="2"/>
      <c r="AA5852" s="1"/>
      <c r="AC5852" s="2"/>
      <c r="AE5852" s="1"/>
      <c r="AG5852" s="2"/>
    </row>
    <row r="5853" spans="24:33" ht="43.95" customHeight="1" x14ac:dyDescent="0.3">
      <c r="X5853" s="2"/>
      <c r="Y5853" s="7"/>
      <c r="Z5853" s="2"/>
      <c r="AA5853" s="1"/>
      <c r="AC5853" s="2"/>
      <c r="AE5853" s="1"/>
      <c r="AG5853" s="2"/>
    </row>
    <row r="5854" spans="24:33" ht="43.95" customHeight="1" x14ac:dyDescent="0.3">
      <c r="X5854" s="2"/>
      <c r="Y5854" s="7"/>
      <c r="Z5854" s="2"/>
      <c r="AA5854" s="1"/>
      <c r="AC5854" s="2"/>
      <c r="AE5854" s="1"/>
      <c r="AG5854" s="2"/>
    </row>
    <row r="5855" spans="24:33" ht="43.95" customHeight="1" x14ac:dyDescent="0.3">
      <c r="X5855" s="2"/>
      <c r="Y5855" s="7"/>
      <c r="Z5855" s="2"/>
      <c r="AA5855" s="1"/>
      <c r="AC5855" s="2"/>
      <c r="AE5855" s="1"/>
      <c r="AG5855" s="2"/>
    </row>
    <row r="5856" spans="24:33" ht="43.95" customHeight="1" x14ac:dyDescent="0.3">
      <c r="X5856" s="233"/>
      <c r="Y5856" s="7"/>
      <c r="Z5856" s="2"/>
      <c r="AA5856" s="1"/>
      <c r="AC5856" s="2"/>
      <c r="AE5856" s="1"/>
      <c r="AG5856" s="2"/>
    </row>
    <row r="5857" spans="24:33" ht="43.95" customHeight="1" x14ac:dyDescent="0.3">
      <c r="X5857" s="2"/>
      <c r="Y5857" s="7"/>
      <c r="Z5857" s="2"/>
      <c r="AA5857" s="1"/>
      <c r="AC5857" s="2"/>
      <c r="AE5857" s="1"/>
      <c r="AG5857" s="2"/>
    </row>
    <row r="5858" spans="24:33" ht="43.95" customHeight="1" x14ac:dyDescent="0.3">
      <c r="X5858" s="2"/>
      <c r="Y5858" s="7"/>
      <c r="Z5858" s="2"/>
      <c r="AA5858" s="1"/>
      <c r="AC5858" s="2"/>
      <c r="AE5858" s="1"/>
      <c r="AG5858" s="2"/>
    </row>
    <row r="5859" spans="24:33" ht="43.95" customHeight="1" x14ac:dyDescent="0.3">
      <c r="X5859" s="2"/>
      <c r="Y5859" s="7"/>
      <c r="Z5859" s="2"/>
      <c r="AA5859" s="1"/>
      <c r="AC5859" s="2"/>
      <c r="AE5859" s="1"/>
      <c r="AG5859" s="2"/>
    </row>
    <row r="5860" spans="24:33" ht="43.95" customHeight="1" x14ac:dyDescent="0.3">
      <c r="X5860" s="2"/>
      <c r="Y5860" s="7"/>
      <c r="Z5860" s="2"/>
      <c r="AA5860" s="1"/>
      <c r="AC5860" s="2"/>
      <c r="AE5860" s="1"/>
      <c r="AG5860" s="2"/>
    </row>
    <row r="5861" spans="24:33" ht="43.95" customHeight="1" x14ac:dyDescent="0.3">
      <c r="X5861" s="2"/>
      <c r="Y5861" s="7"/>
      <c r="Z5861" s="2"/>
      <c r="AA5861" s="1"/>
      <c r="AC5861" s="2"/>
      <c r="AE5861" s="1"/>
      <c r="AG5861" s="2"/>
    </row>
    <row r="5862" spans="24:33" ht="43.95" customHeight="1" x14ac:dyDescent="0.3">
      <c r="X5862" s="2"/>
      <c r="Y5862" s="7"/>
      <c r="Z5862" s="2"/>
      <c r="AA5862" s="1"/>
      <c r="AC5862" s="2"/>
      <c r="AE5862" s="1"/>
      <c r="AG5862" s="2"/>
    </row>
    <row r="5863" spans="24:33" ht="43.95" customHeight="1" x14ac:dyDescent="0.3">
      <c r="X5863" s="2"/>
      <c r="Y5863" s="7"/>
      <c r="Z5863" s="2"/>
      <c r="AA5863" s="1"/>
      <c r="AC5863" s="2"/>
      <c r="AE5863" s="1"/>
      <c r="AG5863" s="2"/>
    </row>
    <row r="5864" spans="24:33" ht="43.95" customHeight="1" x14ac:dyDescent="0.3">
      <c r="X5864" s="233"/>
      <c r="Y5864" s="7"/>
      <c r="Z5864" s="2"/>
      <c r="AA5864" s="1"/>
      <c r="AC5864" s="2"/>
      <c r="AE5864" s="1"/>
      <c r="AG5864" s="2"/>
    </row>
    <row r="5865" spans="24:33" ht="43.95" customHeight="1" x14ac:dyDescent="0.3">
      <c r="X5865" s="2"/>
      <c r="Y5865" s="7"/>
      <c r="Z5865" s="2"/>
      <c r="AA5865" s="1"/>
      <c r="AC5865" s="2"/>
      <c r="AE5865" s="1"/>
      <c r="AG5865" s="2"/>
    </row>
    <row r="5866" spans="24:33" ht="43.95" customHeight="1" x14ac:dyDescent="0.3">
      <c r="X5866" s="2"/>
      <c r="Y5866" s="7"/>
      <c r="Z5866" s="2"/>
      <c r="AA5866" s="1"/>
      <c r="AC5866" s="2"/>
      <c r="AE5866" s="1"/>
      <c r="AG5866" s="2"/>
    </row>
    <row r="5867" spans="24:33" ht="43.95" customHeight="1" x14ac:dyDescent="0.3">
      <c r="X5867" s="2"/>
      <c r="Y5867" s="7"/>
      <c r="Z5867" s="2"/>
      <c r="AA5867" s="1"/>
      <c r="AC5867" s="2"/>
      <c r="AE5867" s="1"/>
      <c r="AG5867" s="2"/>
    </row>
    <row r="5868" spans="24:33" ht="43.95" customHeight="1" x14ac:dyDescent="0.3">
      <c r="X5868" s="2"/>
      <c r="Y5868" s="7"/>
      <c r="Z5868" s="2"/>
      <c r="AA5868" s="1"/>
      <c r="AC5868" s="2"/>
      <c r="AE5868" s="1"/>
      <c r="AG5868" s="2"/>
    </row>
    <row r="5869" spans="24:33" ht="43.95" customHeight="1" x14ac:dyDescent="0.3">
      <c r="X5869" s="2"/>
      <c r="Y5869" s="7"/>
      <c r="Z5869" s="2"/>
      <c r="AA5869" s="1"/>
      <c r="AC5869" s="2"/>
      <c r="AE5869" s="1"/>
      <c r="AG5869" s="2"/>
    </row>
    <row r="5870" spans="24:33" ht="43.95" customHeight="1" x14ac:dyDescent="0.3">
      <c r="X5870" s="233"/>
      <c r="Y5870" s="7"/>
      <c r="Z5870" s="2"/>
      <c r="AA5870" s="1"/>
      <c r="AC5870" s="2"/>
      <c r="AE5870" s="1"/>
      <c r="AG5870" s="2"/>
    </row>
    <row r="5871" spans="24:33" ht="43.95" customHeight="1" x14ac:dyDescent="0.3">
      <c r="X5871" s="233"/>
      <c r="Y5871" s="7"/>
      <c r="Z5871" s="2"/>
      <c r="AA5871" s="1"/>
      <c r="AC5871" s="2"/>
      <c r="AE5871" s="1"/>
      <c r="AG5871" s="2"/>
    </row>
    <row r="5872" spans="24:33" ht="43.95" customHeight="1" x14ac:dyDescent="0.3">
      <c r="X5872" s="233"/>
      <c r="Y5872" s="7"/>
      <c r="Z5872" s="2"/>
      <c r="AA5872" s="1"/>
      <c r="AC5872" s="2"/>
      <c r="AE5872" s="1"/>
      <c r="AG5872" s="2"/>
    </row>
    <row r="5873" spans="24:33" ht="43.95" customHeight="1" x14ac:dyDescent="0.3">
      <c r="X5873" s="233"/>
      <c r="Y5873" s="7"/>
      <c r="Z5873" s="2"/>
      <c r="AA5873" s="1"/>
      <c r="AC5873" s="2"/>
      <c r="AE5873" s="1"/>
      <c r="AG5873" s="2"/>
    </row>
    <row r="5874" spans="24:33" ht="43.95" customHeight="1" x14ac:dyDescent="0.3">
      <c r="X5874" s="233"/>
      <c r="Y5874" s="7"/>
      <c r="Z5874" s="2"/>
      <c r="AA5874" s="1"/>
      <c r="AC5874" s="2"/>
      <c r="AE5874" s="1"/>
      <c r="AG5874" s="2"/>
    </row>
    <row r="5875" spans="24:33" ht="43.95" customHeight="1" x14ac:dyDescent="0.3">
      <c r="X5875" s="233"/>
      <c r="Y5875" s="7"/>
      <c r="Z5875" s="2"/>
      <c r="AA5875" s="1"/>
      <c r="AC5875" s="2"/>
      <c r="AE5875" s="1"/>
      <c r="AG5875" s="2"/>
    </row>
    <row r="5876" spans="24:33" ht="43.95" customHeight="1" x14ac:dyDescent="0.3">
      <c r="X5876" s="233"/>
      <c r="Y5876" s="7"/>
      <c r="Z5876" s="2"/>
      <c r="AA5876" s="1"/>
      <c r="AC5876" s="2"/>
      <c r="AE5876" s="1"/>
      <c r="AG5876" s="2"/>
    </row>
    <row r="5877" spans="24:33" ht="43.95" customHeight="1" x14ac:dyDescent="0.3">
      <c r="X5877" s="233"/>
      <c r="Y5877" s="7"/>
      <c r="Z5877" s="2"/>
      <c r="AA5877" s="1"/>
      <c r="AC5877" s="2"/>
      <c r="AE5877" s="1"/>
      <c r="AG5877" s="2"/>
    </row>
    <row r="5878" spans="24:33" ht="43.95" customHeight="1" x14ac:dyDescent="0.3">
      <c r="X5878" s="233"/>
      <c r="Y5878" s="7"/>
      <c r="Z5878" s="2"/>
      <c r="AA5878" s="1"/>
      <c r="AC5878" s="2"/>
      <c r="AE5878" s="1"/>
      <c r="AG5878" s="2"/>
    </row>
    <row r="5879" spans="24:33" ht="43.95" customHeight="1" x14ac:dyDescent="0.3">
      <c r="X5879" s="233"/>
      <c r="Y5879" s="7"/>
      <c r="Z5879" s="2"/>
      <c r="AA5879" s="1"/>
      <c r="AC5879" s="2"/>
      <c r="AE5879" s="1"/>
      <c r="AG5879" s="2"/>
    </row>
    <row r="5880" spans="24:33" ht="43.95" customHeight="1" x14ac:dyDescent="0.3">
      <c r="X5880" s="2"/>
      <c r="Y5880" s="7"/>
      <c r="Z5880" s="2"/>
      <c r="AA5880" s="1"/>
      <c r="AC5880" s="2"/>
      <c r="AE5880" s="1"/>
      <c r="AG5880" s="2"/>
    </row>
    <row r="5881" spans="24:33" ht="43.95" customHeight="1" x14ac:dyDescent="0.3">
      <c r="X5881" s="2"/>
      <c r="Y5881" s="7"/>
      <c r="Z5881" s="2"/>
      <c r="AA5881" s="1"/>
      <c r="AC5881" s="2"/>
      <c r="AE5881" s="1"/>
      <c r="AG5881" s="2"/>
    </row>
    <row r="5882" spans="24:33" ht="43.95" customHeight="1" x14ac:dyDescent="0.3">
      <c r="X5882" s="2"/>
      <c r="Y5882" s="7"/>
      <c r="Z5882" s="2"/>
      <c r="AA5882" s="1"/>
      <c r="AC5882" s="2"/>
      <c r="AE5882" s="1"/>
      <c r="AG5882" s="2"/>
    </row>
    <row r="5883" spans="24:33" ht="43.95" customHeight="1" x14ac:dyDescent="0.3">
      <c r="X5883" s="2"/>
      <c r="Y5883" s="7"/>
      <c r="Z5883" s="2"/>
      <c r="AA5883" s="1"/>
      <c r="AC5883" s="2"/>
      <c r="AE5883" s="1"/>
      <c r="AG5883" s="2"/>
    </row>
    <row r="5884" spans="24:33" ht="43.95" customHeight="1" x14ac:dyDescent="0.3">
      <c r="X5884" s="2"/>
      <c r="Y5884" s="7"/>
      <c r="Z5884" s="2"/>
      <c r="AA5884" s="1"/>
      <c r="AC5884" s="2"/>
      <c r="AE5884" s="1"/>
      <c r="AG5884" s="2"/>
    </row>
    <row r="5885" spans="24:33" ht="43.95" customHeight="1" x14ac:dyDescent="0.3">
      <c r="X5885" s="2"/>
      <c r="Y5885" s="7"/>
      <c r="Z5885" s="2"/>
      <c r="AA5885" s="1"/>
      <c r="AC5885" s="2"/>
      <c r="AE5885" s="1"/>
      <c r="AG5885" s="2"/>
    </row>
    <row r="5886" spans="24:33" ht="43.95" customHeight="1" x14ac:dyDescent="0.3">
      <c r="X5886" s="2"/>
      <c r="Y5886" s="7"/>
      <c r="Z5886" s="2"/>
      <c r="AA5886" s="1"/>
      <c r="AC5886" s="2"/>
      <c r="AE5886" s="1"/>
      <c r="AG5886" s="2"/>
    </row>
    <row r="5887" spans="24:33" ht="43.95" customHeight="1" x14ac:dyDescent="0.3">
      <c r="X5887" s="2"/>
      <c r="Y5887" s="7"/>
      <c r="Z5887" s="2"/>
      <c r="AA5887" s="1"/>
      <c r="AC5887" s="2"/>
      <c r="AE5887" s="1"/>
      <c r="AG5887" s="2"/>
    </row>
    <row r="5888" spans="24:33" ht="43.95" customHeight="1" x14ac:dyDescent="0.3">
      <c r="X5888" s="2"/>
      <c r="Y5888" s="7"/>
      <c r="Z5888" s="2"/>
      <c r="AA5888" s="1"/>
      <c r="AC5888" s="2"/>
      <c r="AE5888" s="1"/>
      <c r="AG5888" s="2"/>
    </row>
    <row r="5889" spans="24:33" ht="43.95" customHeight="1" x14ac:dyDescent="0.3">
      <c r="X5889" s="2"/>
      <c r="Y5889" s="7"/>
      <c r="Z5889" s="2"/>
      <c r="AA5889" s="1"/>
      <c r="AC5889" s="2"/>
      <c r="AE5889" s="1"/>
      <c r="AG5889" s="2"/>
    </row>
    <row r="5890" spans="24:33" ht="43.95" customHeight="1" x14ac:dyDescent="0.3">
      <c r="X5890" s="2"/>
      <c r="Y5890" s="7"/>
      <c r="Z5890" s="2"/>
      <c r="AA5890" s="1"/>
      <c r="AC5890" s="2"/>
      <c r="AE5890" s="1"/>
      <c r="AG5890" s="2"/>
    </row>
    <row r="5891" spans="24:33" ht="43.95" customHeight="1" x14ac:dyDescent="0.3">
      <c r="X5891" s="2"/>
      <c r="Y5891" s="7"/>
      <c r="Z5891" s="2"/>
      <c r="AA5891" s="1"/>
      <c r="AC5891" s="2"/>
      <c r="AE5891" s="1"/>
      <c r="AG5891" s="2"/>
    </row>
    <row r="5892" spans="24:33" ht="43.95" customHeight="1" x14ac:dyDescent="0.3">
      <c r="X5892" s="2"/>
      <c r="Y5892" s="7"/>
      <c r="Z5892" s="2"/>
      <c r="AA5892" s="1"/>
      <c r="AC5892" s="2"/>
      <c r="AE5892" s="1"/>
      <c r="AG5892" s="2"/>
    </row>
    <row r="5893" spans="24:33" ht="43.95" customHeight="1" x14ac:dyDescent="0.3">
      <c r="X5893" s="2"/>
      <c r="Y5893" s="7"/>
      <c r="Z5893" s="2"/>
      <c r="AA5893" s="1"/>
      <c r="AC5893" s="2"/>
      <c r="AE5893" s="1"/>
      <c r="AG5893" s="2"/>
    </row>
    <row r="5894" spans="24:33" ht="43.95" customHeight="1" x14ac:dyDescent="0.3">
      <c r="X5894" s="2"/>
      <c r="Y5894" s="7"/>
      <c r="Z5894" s="2"/>
      <c r="AA5894" s="1"/>
      <c r="AC5894" s="2"/>
      <c r="AE5894" s="1"/>
      <c r="AG5894" s="2"/>
    </row>
    <row r="5895" spans="24:33" ht="43.95" customHeight="1" x14ac:dyDescent="0.3">
      <c r="X5895" s="2"/>
      <c r="Y5895" s="7"/>
      <c r="Z5895" s="2"/>
      <c r="AA5895" s="1"/>
      <c r="AC5895" s="2"/>
      <c r="AE5895" s="1"/>
      <c r="AG5895" s="2"/>
    </row>
    <row r="5896" spans="24:33" ht="43.95" customHeight="1" x14ac:dyDescent="0.3">
      <c r="X5896" s="2"/>
      <c r="Y5896" s="7"/>
      <c r="Z5896" s="2"/>
      <c r="AA5896" s="1"/>
      <c r="AC5896" s="2"/>
      <c r="AE5896" s="1"/>
      <c r="AG5896" s="2"/>
    </row>
    <row r="5897" spans="24:33" ht="43.95" customHeight="1" x14ac:dyDescent="0.3">
      <c r="X5897" s="2"/>
      <c r="Y5897" s="7"/>
      <c r="Z5897" s="2"/>
      <c r="AA5897" s="1"/>
      <c r="AC5897" s="2"/>
      <c r="AE5897" s="1"/>
      <c r="AG5897" s="2"/>
    </row>
    <row r="5898" spans="24:33" ht="43.95" customHeight="1" x14ac:dyDescent="0.3">
      <c r="X5898" s="2"/>
      <c r="Y5898" s="7"/>
      <c r="Z5898" s="2"/>
      <c r="AA5898" s="1"/>
      <c r="AC5898" s="2"/>
      <c r="AE5898" s="1"/>
      <c r="AG5898" s="2"/>
    </row>
    <row r="5899" spans="24:33" ht="43.95" customHeight="1" x14ac:dyDescent="0.3">
      <c r="X5899" s="2"/>
      <c r="Y5899" s="7"/>
      <c r="Z5899" s="2"/>
      <c r="AA5899" s="1"/>
      <c r="AC5899" s="2"/>
      <c r="AE5899" s="1"/>
      <c r="AG5899" s="2"/>
    </row>
    <row r="5900" spans="24:33" ht="43.95" customHeight="1" x14ac:dyDescent="0.3">
      <c r="X5900" s="2"/>
      <c r="Y5900" s="7"/>
      <c r="Z5900" s="2"/>
      <c r="AA5900" s="1"/>
      <c r="AC5900" s="2"/>
      <c r="AE5900" s="1"/>
      <c r="AG5900" s="2"/>
    </row>
    <row r="5901" spans="24:33" ht="43.95" customHeight="1" x14ac:dyDescent="0.3">
      <c r="X5901" s="2"/>
      <c r="Y5901" s="7"/>
      <c r="Z5901" s="2"/>
      <c r="AA5901" s="1"/>
      <c r="AC5901" s="2"/>
      <c r="AE5901" s="1"/>
      <c r="AG5901" s="2"/>
    </row>
    <row r="5902" spans="24:33" ht="43.95" customHeight="1" x14ac:dyDescent="0.3">
      <c r="X5902" s="2"/>
      <c r="Y5902" s="7"/>
      <c r="Z5902" s="2"/>
      <c r="AA5902" s="1"/>
      <c r="AC5902" s="2"/>
      <c r="AE5902" s="1"/>
      <c r="AG5902" s="2"/>
    </row>
    <row r="5903" spans="24:33" ht="43.95" customHeight="1" x14ac:dyDescent="0.3">
      <c r="X5903" s="2"/>
      <c r="Y5903" s="7"/>
      <c r="Z5903" s="2"/>
      <c r="AA5903" s="1"/>
      <c r="AC5903" s="2"/>
      <c r="AE5903" s="1"/>
      <c r="AG5903" s="2"/>
    </row>
    <row r="5904" spans="24:33" ht="43.95" customHeight="1" x14ac:dyDescent="0.3">
      <c r="X5904" s="2"/>
      <c r="Y5904" s="7"/>
      <c r="Z5904" s="2"/>
      <c r="AA5904" s="1"/>
      <c r="AC5904" s="2"/>
      <c r="AE5904" s="1"/>
      <c r="AG5904" s="2"/>
    </row>
    <row r="5905" spans="24:33" ht="43.95" customHeight="1" x14ac:dyDescent="0.3">
      <c r="X5905" s="2"/>
      <c r="Y5905" s="7"/>
      <c r="Z5905" s="2"/>
      <c r="AA5905" s="1"/>
      <c r="AC5905" s="2"/>
      <c r="AE5905" s="1"/>
      <c r="AG5905" s="2"/>
    </row>
    <row r="5906" spans="24:33" ht="43.95" customHeight="1" x14ac:dyDescent="0.3">
      <c r="X5906" s="2"/>
      <c r="Y5906" s="7"/>
      <c r="Z5906" s="2"/>
      <c r="AA5906" s="1"/>
      <c r="AC5906" s="2"/>
      <c r="AE5906" s="1"/>
      <c r="AG5906" s="2"/>
    </row>
    <row r="5907" spans="24:33" ht="43.95" customHeight="1" x14ac:dyDescent="0.3">
      <c r="X5907" s="2"/>
      <c r="Y5907" s="7"/>
      <c r="Z5907" s="2"/>
      <c r="AA5907" s="1"/>
      <c r="AC5907" s="2"/>
      <c r="AE5907" s="1"/>
      <c r="AG5907" s="2"/>
    </row>
    <row r="5908" spans="24:33" ht="43.95" customHeight="1" x14ac:dyDescent="0.3">
      <c r="X5908" s="2"/>
      <c r="Y5908" s="7"/>
      <c r="Z5908" s="2"/>
      <c r="AA5908" s="1"/>
      <c r="AC5908" s="2"/>
      <c r="AE5908" s="1"/>
      <c r="AG5908" s="2"/>
    </row>
    <row r="5909" spans="24:33" ht="43.95" customHeight="1" x14ac:dyDescent="0.3">
      <c r="X5909" s="2"/>
      <c r="Y5909" s="7"/>
      <c r="Z5909" s="2"/>
      <c r="AA5909" s="1"/>
      <c r="AC5909" s="2"/>
      <c r="AE5909" s="1"/>
      <c r="AG5909" s="2"/>
    </row>
    <row r="5910" spans="24:33" ht="43.95" customHeight="1" x14ac:dyDescent="0.3">
      <c r="X5910" s="2"/>
      <c r="Y5910" s="7"/>
      <c r="Z5910" s="2"/>
      <c r="AA5910" s="1"/>
      <c r="AC5910" s="2"/>
      <c r="AE5910" s="1"/>
      <c r="AG5910" s="2"/>
    </row>
    <row r="5911" spans="24:33" ht="43.95" customHeight="1" x14ac:dyDescent="0.3">
      <c r="X5911" s="2"/>
      <c r="Y5911" s="7"/>
      <c r="Z5911" s="2"/>
      <c r="AA5911" s="1"/>
      <c r="AC5911" s="2"/>
      <c r="AE5911" s="1"/>
      <c r="AG5911" s="2"/>
    </row>
    <row r="5912" spans="24:33" ht="43.95" customHeight="1" x14ac:dyDescent="0.3">
      <c r="X5912" s="2"/>
      <c r="Y5912" s="7"/>
      <c r="Z5912" s="2"/>
      <c r="AA5912" s="1"/>
      <c r="AC5912" s="2"/>
      <c r="AE5912" s="1"/>
      <c r="AG5912" s="2"/>
    </row>
    <row r="5913" spans="24:33" ht="43.95" customHeight="1" x14ac:dyDescent="0.3">
      <c r="X5913" s="2"/>
      <c r="Y5913" s="7"/>
      <c r="Z5913" s="2"/>
      <c r="AA5913" s="1"/>
      <c r="AC5913" s="2"/>
      <c r="AE5913" s="1"/>
      <c r="AG5913" s="2"/>
    </row>
    <row r="5914" spans="24:33" ht="43.95" customHeight="1" x14ac:dyDescent="0.3">
      <c r="X5914" s="2"/>
      <c r="Y5914" s="7"/>
      <c r="Z5914" s="2"/>
      <c r="AA5914" s="1"/>
      <c r="AC5914" s="2"/>
      <c r="AE5914" s="1"/>
      <c r="AG5914" s="2"/>
    </row>
    <row r="5915" spans="24:33" ht="43.95" customHeight="1" x14ac:dyDescent="0.3">
      <c r="X5915" s="2"/>
      <c r="Y5915" s="7"/>
      <c r="Z5915" s="2"/>
      <c r="AA5915" s="1"/>
      <c r="AC5915" s="2"/>
      <c r="AE5915" s="1"/>
      <c r="AG5915" s="2"/>
    </row>
    <row r="5916" spans="24:33" ht="43.95" customHeight="1" x14ac:dyDescent="0.3">
      <c r="X5916" s="2"/>
      <c r="Y5916" s="7"/>
      <c r="Z5916" s="2"/>
      <c r="AA5916" s="1"/>
      <c r="AC5916" s="2"/>
      <c r="AE5916" s="1"/>
      <c r="AG5916" s="2"/>
    </row>
    <row r="5917" spans="24:33" ht="43.95" customHeight="1" x14ac:dyDescent="0.3">
      <c r="X5917" s="2"/>
      <c r="Y5917" s="7"/>
      <c r="Z5917" s="2"/>
      <c r="AA5917" s="1"/>
      <c r="AC5917" s="2"/>
      <c r="AE5917" s="1"/>
      <c r="AG5917" s="2"/>
    </row>
    <row r="5918" spans="24:33" ht="43.95" customHeight="1" x14ac:dyDescent="0.3">
      <c r="X5918" s="2"/>
      <c r="Y5918" s="7"/>
      <c r="Z5918" s="2"/>
      <c r="AA5918" s="1"/>
      <c r="AC5918" s="2"/>
      <c r="AE5918" s="1"/>
      <c r="AG5918" s="2"/>
    </row>
    <row r="5919" spans="24:33" ht="43.95" customHeight="1" x14ac:dyDescent="0.3">
      <c r="X5919" s="2"/>
      <c r="Y5919" s="7"/>
      <c r="Z5919" s="2"/>
      <c r="AA5919" s="1"/>
      <c r="AC5919" s="2"/>
      <c r="AE5919" s="1"/>
      <c r="AG5919" s="2"/>
    </row>
    <row r="5920" spans="24:33" ht="43.95" customHeight="1" x14ac:dyDescent="0.3">
      <c r="X5920" s="2"/>
      <c r="Y5920" s="7"/>
      <c r="Z5920" s="2"/>
      <c r="AA5920" s="1"/>
      <c r="AC5920" s="2"/>
      <c r="AE5920" s="1"/>
      <c r="AG5920" s="2"/>
    </row>
    <row r="5921" spans="24:33" ht="43.95" customHeight="1" x14ac:dyDescent="0.3">
      <c r="X5921" s="2"/>
      <c r="Y5921" s="7"/>
      <c r="Z5921" s="2"/>
      <c r="AA5921" s="1"/>
      <c r="AC5921" s="2"/>
      <c r="AE5921" s="1"/>
      <c r="AG5921" s="2"/>
    </row>
    <row r="5922" spans="24:33" ht="43.95" customHeight="1" x14ac:dyDescent="0.3">
      <c r="X5922" s="2"/>
      <c r="Y5922" s="7"/>
      <c r="Z5922" s="2"/>
      <c r="AA5922" s="1"/>
      <c r="AC5922" s="2"/>
      <c r="AE5922" s="1"/>
      <c r="AG5922" s="2"/>
    </row>
    <row r="5923" spans="24:33" ht="43.95" customHeight="1" x14ac:dyDescent="0.3">
      <c r="X5923" s="2"/>
      <c r="Y5923" s="7"/>
      <c r="Z5923" s="2"/>
      <c r="AA5923" s="1"/>
      <c r="AC5923" s="2"/>
      <c r="AE5923" s="1"/>
      <c r="AG5923" s="2"/>
    </row>
    <row r="5924" spans="24:33" ht="43.95" customHeight="1" x14ac:dyDescent="0.3">
      <c r="X5924" s="2"/>
      <c r="Y5924" s="7"/>
      <c r="Z5924" s="2"/>
      <c r="AA5924" s="1"/>
      <c r="AC5924" s="2"/>
      <c r="AE5924" s="1"/>
      <c r="AG5924" s="2"/>
    </row>
    <row r="5925" spans="24:33" ht="43.95" customHeight="1" x14ac:dyDescent="0.3">
      <c r="X5925" s="2"/>
      <c r="Y5925" s="7"/>
      <c r="Z5925" s="2"/>
      <c r="AA5925" s="1"/>
      <c r="AC5925" s="2"/>
      <c r="AE5925" s="1"/>
      <c r="AG5925" s="2"/>
    </row>
    <row r="5926" spans="24:33" ht="43.95" customHeight="1" x14ac:dyDescent="0.3">
      <c r="X5926" s="2"/>
      <c r="Y5926" s="7"/>
      <c r="Z5926" s="2"/>
      <c r="AA5926" s="1"/>
      <c r="AC5926" s="2"/>
      <c r="AE5926" s="1"/>
      <c r="AG5926" s="2"/>
    </row>
    <row r="5927" spans="24:33" ht="43.95" customHeight="1" x14ac:dyDescent="0.3">
      <c r="X5927" s="234"/>
      <c r="Y5927" s="7"/>
      <c r="Z5927" s="2"/>
      <c r="AA5927" s="1"/>
      <c r="AC5927" s="2"/>
      <c r="AE5927" s="1"/>
      <c r="AG5927" s="2"/>
    </row>
    <row r="5928" spans="24:33" ht="43.95" customHeight="1" x14ac:dyDescent="0.3">
      <c r="X5928" s="2"/>
      <c r="Y5928" s="7"/>
      <c r="Z5928" s="2"/>
      <c r="AA5928" s="1"/>
      <c r="AC5928" s="2"/>
      <c r="AE5928" s="1"/>
      <c r="AG5928" s="2"/>
    </row>
    <row r="5929" spans="24:33" ht="43.95" customHeight="1" x14ac:dyDescent="0.3">
      <c r="X5929" s="2"/>
      <c r="Y5929" s="7"/>
      <c r="Z5929" s="2"/>
      <c r="AA5929" s="1"/>
      <c r="AC5929" s="2"/>
      <c r="AE5929" s="1"/>
      <c r="AG5929" s="2"/>
    </row>
    <row r="5930" spans="24:33" ht="43.95" customHeight="1" x14ac:dyDescent="0.3">
      <c r="X5930" s="2"/>
      <c r="Y5930" s="7"/>
      <c r="Z5930" s="2"/>
      <c r="AA5930" s="1"/>
      <c r="AC5930" s="2"/>
      <c r="AE5930" s="1"/>
      <c r="AG5930" s="2"/>
    </row>
    <row r="5931" spans="24:33" ht="43.95" customHeight="1" x14ac:dyDescent="0.3">
      <c r="X5931" s="2"/>
      <c r="Y5931" s="7"/>
      <c r="Z5931" s="2"/>
      <c r="AA5931" s="1"/>
      <c r="AC5931" s="2"/>
      <c r="AE5931" s="1"/>
      <c r="AG5931" s="2"/>
    </row>
    <row r="5932" spans="24:33" ht="43.95" customHeight="1" x14ac:dyDescent="0.3">
      <c r="X5932" s="233"/>
      <c r="Y5932" s="7"/>
      <c r="Z5932" s="2"/>
      <c r="AA5932" s="1"/>
      <c r="AC5932" s="2"/>
      <c r="AE5932" s="1"/>
      <c r="AG5932" s="2"/>
    </row>
    <row r="5933" spans="24:33" ht="43.95" customHeight="1" x14ac:dyDescent="0.3">
      <c r="X5933" s="2"/>
      <c r="Y5933" s="7"/>
      <c r="Z5933" s="2"/>
      <c r="AA5933" s="1"/>
      <c r="AC5933" s="2"/>
      <c r="AE5933" s="1"/>
      <c r="AG5933" s="2"/>
    </row>
    <row r="5934" spans="24:33" ht="43.95" customHeight="1" x14ac:dyDescent="0.3">
      <c r="X5934" s="2"/>
      <c r="Y5934" s="7"/>
      <c r="Z5934" s="2"/>
      <c r="AA5934" s="1"/>
      <c r="AC5934" s="2"/>
      <c r="AE5934" s="1"/>
      <c r="AG5934" s="2"/>
    </row>
    <row r="5935" spans="24:33" ht="43.95" customHeight="1" x14ac:dyDescent="0.3">
      <c r="X5935" s="2"/>
      <c r="Y5935" s="7"/>
      <c r="Z5935" s="2"/>
      <c r="AA5935" s="1"/>
      <c r="AC5935" s="2"/>
      <c r="AE5935" s="1"/>
      <c r="AG5935" s="2"/>
    </row>
    <row r="5936" spans="24:33" ht="43.95" customHeight="1" x14ac:dyDescent="0.3">
      <c r="X5936" s="2"/>
      <c r="Y5936" s="7"/>
      <c r="Z5936" s="2"/>
      <c r="AA5936" s="1"/>
      <c r="AC5936" s="2"/>
      <c r="AE5936" s="1"/>
      <c r="AG5936" s="2"/>
    </row>
    <row r="5937" spans="24:33" ht="43.95" customHeight="1" x14ac:dyDescent="0.3">
      <c r="X5937" s="2"/>
      <c r="Y5937" s="7"/>
      <c r="Z5937" s="2"/>
      <c r="AA5937" s="1"/>
      <c r="AC5937" s="2"/>
      <c r="AE5937" s="1"/>
      <c r="AG5937" s="2"/>
    </row>
    <row r="5938" spans="24:33" ht="43.95" customHeight="1" x14ac:dyDescent="0.3">
      <c r="X5938" s="2"/>
      <c r="Y5938" s="7"/>
      <c r="Z5938" s="2"/>
      <c r="AA5938" s="1"/>
      <c r="AC5938" s="2"/>
      <c r="AE5938" s="1"/>
      <c r="AG5938" s="2"/>
    </row>
    <row r="5939" spans="24:33" ht="43.95" customHeight="1" x14ac:dyDescent="0.3">
      <c r="X5939" s="2"/>
      <c r="Y5939" s="7"/>
      <c r="Z5939" s="2"/>
      <c r="AA5939" s="1"/>
      <c r="AC5939" s="2"/>
      <c r="AE5939" s="1"/>
      <c r="AG5939" s="2"/>
    </row>
    <row r="5940" spans="24:33" ht="43.95" customHeight="1" x14ac:dyDescent="0.3">
      <c r="X5940" s="2"/>
      <c r="Y5940" s="7"/>
      <c r="Z5940" s="2"/>
      <c r="AA5940" s="1"/>
      <c r="AC5940" s="2"/>
      <c r="AE5940" s="1"/>
      <c r="AG5940" s="2"/>
    </row>
    <row r="5941" spans="24:33" ht="43.95" customHeight="1" x14ac:dyDescent="0.3">
      <c r="X5941" s="2"/>
      <c r="Y5941" s="7"/>
      <c r="Z5941" s="2"/>
      <c r="AA5941" s="1"/>
      <c r="AC5941" s="2"/>
      <c r="AE5941" s="1"/>
      <c r="AG5941" s="2"/>
    </row>
    <row r="5942" spans="24:33" ht="43.95" customHeight="1" x14ac:dyDescent="0.3">
      <c r="X5942" s="2"/>
      <c r="Y5942" s="7"/>
      <c r="Z5942" s="2"/>
      <c r="AA5942" s="1"/>
      <c r="AC5942" s="2"/>
      <c r="AE5942" s="1"/>
      <c r="AG5942" s="2"/>
    </row>
    <row r="5943" spans="24:33" ht="43.95" customHeight="1" x14ac:dyDescent="0.3">
      <c r="X5943" s="2"/>
      <c r="Y5943" s="7"/>
      <c r="Z5943" s="2"/>
      <c r="AA5943" s="1"/>
      <c r="AC5943" s="2"/>
      <c r="AE5943" s="1"/>
      <c r="AG5943" s="2"/>
    </row>
    <row r="5944" spans="24:33" ht="43.95" customHeight="1" x14ac:dyDescent="0.3">
      <c r="X5944" s="2"/>
      <c r="Y5944" s="7"/>
      <c r="Z5944" s="2"/>
      <c r="AA5944" s="1"/>
      <c r="AC5944" s="2"/>
      <c r="AE5944" s="1"/>
      <c r="AG5944" s="2"/>
    </row>
    <row r="5945" spans="24:33" ht="43.95" customHeight="1" x14ac:dyDescent="0.3">
      <c r="X5945" s="2"/>
      <c r="Y5945" s="7"/>
      <c r="Z5945" s="2"/>
      <c r="AA5945" s="1"/>
      <c r="AC5945" s="2"/>
      <c r="AE5945" s="1"/>
      <c r="AG5945" s="2"/>
    </row>
    <row r="5946" spans="24:33" ht="43.95" customHeight="1" x14ac:dyDescent="0.3">
      <c r="X5946" s="2"/>
      <c r="Y5946" s="7"/>
      <c r="Z5946" s="2"/>
      <c r="AA5946" s="1"/>
      <c r="AC5946" s="2"/>
      <c r="AE5946" s="1"/>
      <c r="AG5946" s="2"/>
    </row>
    <row r="5947" spans="24:33" ht="43.95" customHeight="1" x14ac:dyDescent="0.3">
      <c r="X5947" s="2"/>
      <c r="Y5947" s="7"/>
      <c r="Z5947" s="2"/>
      <c r="AA5947" s="1"/>
      <c r="AC5947" s="2"/>
      <c r="AE5947" s="1"/>
      <c r="AG5947" s="2"/>
    </row>
    <row r="5948" spans="24:33" ht="43.95" customHeight="1" x14ac:dyDescent="0.3">
      <c r="X5948" s="2"/>
      <c r="Y5948" s="7"/>
      <c r="Z5948" s="2"/>
      <c r="AA5948" s="1"/>
      <c r="AC5948" s="2"/>
      <c r="AE5948" s="1"/>
      <c r="AG5948" s="2"/>
    </row>
    <row r="5949" spans="24:33" ht="43.95" customHeight="1" x14ac:dyDescent="0.3">
      <c r="X5949" s="2"/>
      <c r="Y5949" s="7"/>
      <c r="Z5949" s="2"/>
      <c r="AA5949" s="1"/>
      <c r="AC5949" s="2"/>
      <c r="AE5949" s="1"/>
      <c r="AG5949" s="2"/>
    </row>
    <row r="5950" spans="24:33" ht="43.95" customHeight="1" x14ac:dyDescent="0.3">
      <c r="X5950" s="2"/>
      <c r="Y5950" s="7"/>
      <c r="Z5950" s="2"/>
      <c r="AA5950" s="1"/>
      <c r="AC5950" s="2"/>
      <c r="AE5950" s="1"/>
      <c r="AG5950" s="2"/>
    </row>
    <row r="5951" spans="24:33" ht="43.95" customHeight="1" x14ac:dyDescent="0.3">
      <c r="X5951" s="2"/>
      <c r="Y5951" s="7"/>
      <c r="Z5951" s="2"/>
      <c r="AA5951" s="1"/>
      <c r="AC5951" s="2"/>
      <c r="AE5951" s="1"/>
      <c r="AG5951" s="2"/>
    </row>
    <row r="5952" spans="24:33" ht="43.95" customHeight="1" x14ac:dyDescent="0.3">
      <c r="X5952" s="2"/>
      <c r="Y5952" s="7"/>
      <c r="Z5952" s="2"/>
      <c r="AA5952" s="1"/>
      <c r="AC5952" s="2"/>
      <c r="AE5952" s="1"/>
      <c r="AG5952" s="2"/>
    </row>
    <row r="5953" spans="24:33" ht="43.95" customHeight="1" x14ac:dyDescent="0.3">
      <c r="X5953" s="2"/>
      <c r="Y5953" s="7"/>
      <c r="Z5953" s="2"/>
      <c r="AA5953" s="1"/>
      <c r="AC5953" s="2"/>
      <c r="AE5953" s="1"/>
      <c r="AG5953" s="2"/>
    </row>
    <row r="5954" spans="24:33" ht="43.95" customHeight="1" x14ac:dyDescent="0.3">
      <c r="X5954" s="2"/>
      <c r="Y5954" s="7"/>
      <c r="Z5954" s="2"/>
      <c r="AA5954" s="1"/>
      <c r="AC5954" s="2"/>
      <c r="AE5954" s="1"/>
      <c r="AG5954" s="2"/>
    </row>
    <row r="5955" spans="24:33" ht="43.95" customHeight="1" x14ac:dyDescent="0.3">
      <c r="X5955" s="2"/>
      <c r="Y5955" s="7"/>
      <c r="Z5955" s="2"/>
      <c r="AA5955" s="1"/>
      <c r="AC5955" s="2"/>
      <c r="AE5955" s="1"/>
      <c r="AG5955" s="2"/>
    </row>
    <row r="5956" spans="24:33" ht="43.95" customHeight="1" x14ac:dyDescent="0.3">
      <c r="X5956" s="2"/>
      <c r="Y5956" s="7"/>
      <c r="Z5956" s="2"/>
      <c r="AA5956" s="1"/>
      <c r="AC5956" s="2"/>
      <c r="AE5956" s="1"/>
      <c r="AG5956" s="2"/>
    </row>
    <row r="5957" spans="24:33" ht="43.95" customHeight="1" x14ac:dyDescent="0.3">
      <c r="X5957" s="2"/>
      <c r="Y5957" s="7"/>
      <c r="Z5957" s="2"/>
      <c r="AA5957" s="1"/>
      <c r="AC5957" s="2"/>
      <c r="AE5957" s="1"/>
      <c r="AG5957" s="2"/>
    </row>
    <row r="5958" spans="24:33" ht="43.95" customHeight="1" x14ac:dyDescent="0.3">
      <c r="X5958" s="2"/>
      <c r="Y5958" s="7"/>
      <c r="Z5958" s="2"/>
      <c r="AA5958" s="1"/>
      <c r="AC5958" s="2"/>
      <c r="AE5958" s="1"/>
      <c r="AG5958" s="2"/>
    </row>
    <row r="5959" spans="24:33" ht="43.95" customHeight="1" x14ac:dyDescent="0.3">
      <c r="X5959" s="2"/>
      <c r="Y5959" s="7"/>
      <c r="Z5959" s="2"/>
      <c r="AA5959" s="1"/>
      <c r="AC5959" s="2"/>
      <c r="AE5959" s="1"/>
      <c r="AG5959" s="2"/>
    </row>
    <row r="5960" spans="24:33" ht="43.95" customHeight="1" x14ac:dyDescent="0.3">
      <c r="X5960" s="2"/>
      <c r="Y5960" s="7"/>
      <c r="Z5960" s="2"/>
      <c r="AA5960" s="1"/>
      <c r="AC5960" s="2"/>
      <c r="AE5960" s="1"/>
      <c r="AG5960" s="2"/>
    </row>
    <row r="5961" spans="24:33" ht="43.95" customHeight="1" x14ac:dyDescent="0.3">
      <c r="X5961" s="2"/>
      <c r="Y5961" s="7"/>
      <c r="Z5961" s="2"/>
      <c r="AA5961" s="1"/>
      <c r="AC5961" s="2"/>
      <c r="AE5961" s="1"/>
      <c r="AG5961" s="2"/>
    </row>
    <row r="5962" spans="24:33" ht="43.95" customHeight="1" x14ac:dyDescent="0.3">
      <c r="X5962" s="2"/>
      <c r="Y5962" s="7"/>
      <c r="Z5962" s="2"/>
      <c r="AA5962" s="1"/>
      <c r="AC5962" s="2"/>
      <c r="AE5962" s="1"/>
      <c r="AG5962" s="2"/>
    </row>
    <row r="5963" spans="24:33" ht="43.95" customHeight="1" x14ac:dyDescent="0.3">
      <c r="X5963" s="2"/>
      <c r="Y5963" s="7"/>
      <c r="Z5963" s="2"/>
      <c r="AA5963" s="1"/>
      <c r="AC5963" s="2"/>
      <c r="AE5963" s="1"/>
      <c r="AG5963" s="2"/>
    </row>
    <row r="5964" spans="24:33" ht="43.95" customHeight="1" x14ac:dyDescent="0.3">
      <c r="X5964" s="2"/>
      <c r="Y5964" s="7"/>
      <c r="Z5964" s="2"/>
      <c r="AA5964" s="1"/>
      <c r="AC5964" s="2"/>
      <c r="AE5964" s="1"/>
      <c r="AG5964" s="2"/>
    </row>
    <row r="5965" spans="24:33" ht="43.95" customHeight="1" x14ac:dyDescent="0.3">
      <c r="X5965" s="2"/>
      <c r="Y5965" s="7"/>
      <c r="Z5965" s="2"/>
      <c r="AA5965" s="1"/>
      <c r="AC5965" s="2"/>
      <c r="AE5965" s="1"/>
      <c r="AG5965" s="2"/>
    </row>
    <row r="5966" spans="24:33" ht="43.95" customHeight="1" x14ac:dyDescent="0.3">
      <c r="X5966" s="2"/>
      <c r="Y5966" s="7"/>
      <c r="Z5966" s="2"/>
      <c r="AA5966" s="1"/>
      <c r="AC5966" s="2"/>
      <c r="AE5966" s="1"/>
      <c r="AG5966" s="2"/>
    </row>
    <row r="5967" spans="24:33" ht="43.95" customHeight="1" x14ac:dyDescent="0.3">
      <c r="X5967" s="2"/>
      <c r="Y5967" s="7"/>
      <c r="Z5967" s="2"/>
      <c r="AA5967" s="1"/>
      <c r="AC5967" s="2"/>
      <c r="AE5967" s="1"/>
      <c r="AG5967" s="2"/>
    </row>
    <row r="5968" spans="24:33" ht="43.95" customHeight="1" x14ac:dyDescent="0.3">
      <c r="X5968" s="2"/>
      <c r="Y5968" s="7"/>
      <c r="Z5968" s="2"/>
      <c r="AA5968" s="1"/>
      <c r="AC5968" s="2"/>
      <c r="AE5968" s="1"/>
      <c r="AG5968" s="2"/>
    </row>
    <row r="5969" spans="24:33" ht="43.95" customHeight="1" x14ac:dyDescent="0.3">
      <c r="X5969" s="2"/>
      <c r="Y5969" s="7"/>
      <c r="Z5969" s="2"/>
      <c r="AA5969" s="1"/>
      <c r="AC5969" s="2"/>
      <c r="AE5969" s="1"/>
      <c r="AG5969" s="2"/>
    </row>
    <row r="5970" spans="24:33" ht="43.95" customHeight="1" x14ac:dyDescent="0.3">
      <c r="X5970" s="2"/>
      <c r="Y5970" s="7"/>
      <c r="Z5970" s="2"/>
      <c r="AA5970" s="1"/>
      <c r="AC5970" s="2"/>
      <c r="AE5970" s="1"/>
      <c r="AG5970" s="2"/>
    </row>
    <row r="5971" spans="24:33" ht="43.95" customHeight="1" x14ac:dyDescent="0.3">
      <c r="X5971" s="2"/>
      <c r="Y5971" s="7"/>
      <c r="Z5971" s="2"/>
      <c r="AA5971" s="1"/>
      <c r="AC5971" s="2"/>
      <c r="AE5971" s="1"/>
      <c r="AG5971" s="2"/>
    </row>
    <row r="5972" spans="24:33" ht="43.95" customHeight="1" x14ac:dyDescent="0.3">
      <c r="X5972" s="2"/>
      <c r="Y5972" s="7"/>
      <c r="Z5972" s="2"/>
      <c r="AA5972" s="1"/>
      <c r="AC5972" s="2"/>
      <c r="AE5972" s="1"/>
      <c r="AG5972" s="2"/>
    </row>
    <row r="5973" spans="24:33" ht="43.95" customHeight="1" x14ac:dyDescent="0.3">
      <c r="X5973" s="2"/>
      <c r="Y5973" s="7"/>
      <c r="Z5973" s="2"/>
      <c r="AA5973" s="1"/>
      <c r="AC5973" s="2"/>
      <c r="AE5973" s="1"/>
      <c r="AG5973" s="2"/>
    </row>
    <row r="5974" spans="24:33" ht="43.95" customHeight="1" x14ac:dyDescent="0.3">
      <c r="X5974" s="2"/>
      <c r="Y5974" s="7"/>
      <c r="Z5974" s="2"/>
      <c r="AA5974" s="1"/>
      <c r="AC5974" s="2"/>
      <c r="AE5974" s="1"/>
      <c r="AG5974" s="2"/>
    </row>
    <row r="5975" spans="24:33" ht="43.95" customHeight="1" x14ac:dyDescent="0.3">
      <c r="X5975" s="2"/>
      <c r="Y5975" s="7"/>
      <c r="Z5975" s="2"/>
      <c r="AA5975" s="1"/>
      <c r="AC5975" s="2"/>
      <c r="AE5975" s="1"/>
      <c r="AG5975" s="2"/>
    </row>
    <row r="5976" spans="24:33" ht="43.95" customHeight="1" x14ac:dyDescent="0.3">
      <c r="X5976" s="2"/>
      <c r="Y5976" s="7"/>
      <c r="Z5976" s="2"/>
      <c r="AA5976" s="1"/>
      <c r="AC5976" s="2"/>
      <c r="AE5976" s="1"/>
      <c r="AG5976" s="2"/>
    </row>
    <row r="5977" spans="24:33" ht="43.95" customHeight="1" x14ac:dyDescent="0.3">
      <c r="X5977" s="234"/>
      <c r="Y5977" s="7"/>
      <c r="Z5977" s="2"/>
      <c r="AA5977" s="1"/>
      <c r="AC5977" s="2"/>
      <c r="AE5977" s="1"/>
      <c r="AG5977" s="2"/>
    </row>
    <row r="5978" spans="24:33" ht="43.95" customHeight="1" x14ac:dyDescent="0.3">
      <c r="X5978" s="2"/>
      <c r="Y5978" s="7"/>
      <c r="Z5978" s="2"/>
      <c r="AA5978" s="1"/>
      <c r="AC5978" s="2"/>
      <c r="AE5978" s="1"/>
      <c r="AG5978" s="2"/>
    </row>
    <row r="5979" spans="24:33" ht="43.95" customHeight="1" x14ac:dyDescent="0.3">
      <c r="X5979" s="2"/>
      <c r="Y5979" s="7"/>
      <c r="Z5979" s="2"/>
      <c r="AA5979" s="1"/>
      <c r="AC5979" s="2"/>
      <c r="AE5979" s="1"/>
      <c r="AG5979" s="2"/>
    </row>
    <row r="5980" spans="24:33" ht="43.95" customHeight="1" x14ac:dyDescent="0.3">
      <c r="X5980" s="2"/>
      <c r="Y5980" s="7"/>
      <c r="Z5980" s="2"/>
      <c r="AA5980" s="1"/>
      <c r="AC5980" s="2"/>
      <c r="AE5980" s="1"/>
      <c r="AG5980" s="2"/>
    </row>
    <row r="5981" spans="24:33" ht="43.95" customHeight="1" x14ac:dyDescent="0.3">
      <c r="X5981" s="2"/>
      <c r="Y5981" s="7"/>
      <c r="Z5981" s="2"/>
      <c r="AA5981" s="1"/>
      <c r="AC5981" s="2"/>
      <c r="AE5981" s="1"/>
      <c r="AG5981" s="2"/>
    </row>
    <row r="5982" spans="24:33" ht="43.95" customHeight="1" x14ac:dyDescent="0.3">
      <c r="X5982" s="2"/>
      <c r="Y5982" s="7"/>
      <c r="Z5982" s="2"/>
      <c r="AA5982" s="1"/>
      <c r="AC5982" s="2"/>
      <c r="AE5982" s="1"/>
      <c r="AG5982" s="2"/>
    </row>
    <row r="5983" spans="24:33" ht="43.95" customHeight="1" x14ac:dyDescent="0.3">
      <c r="X5983" s="2"/>
      <c r="Y5983" s="7"/>
      <c r="Z5983" s="2"/>
      <c r="AA5983" s="1"/>
      <c r="AC5983" s="2"/>
      <c r="AE5983" s="1"/>
      <c r="AG5983" s="2"/>
    </row>
    <row r="5984" spans="24:33" ht="43.95" customHeight="1" x14ac:dyDescent="0.3">
      <c r="X5984" s="2"/>
      <c r="Y5984" s="7"/>
      <c r="Z5984" s="2"/>
      <c r="AA5984" s="1"/>
      <c r="AC5984" s="2"/>
      <c r="AE5984" s="1"/>
      <c r="AG5984" s="2"/>
    </row>
    <row r="5985" spans="24:33" ht="43.95" customHeight="1" x14ac:dyDescent="0.3">
      <c r="X5985" s="234"/>
      <c r="Y5985" s="7"/>
      <c r="Z5985" s="2"/>
      <c r="AA5985" s="1"/>
      <c r="AC5985" s="2"/>
      <c r="AE5985" s="1"/>
      <c r="AG5985" s="2"/>
    </row>
    <row r="5986" spans="24:33" ht="43.95" customHeight="1" x14ac:dyDescent="0.3">
      <c r="X5986" s="2"/>
      <c r="Y5986" s="7"/>
      <c r="Z5986" s="2"/>
      <c r="AA5986" s="1"/>
      <c r="AC5986" s="2"/>
      <c r="AE5986" s="1"/>
      <c r="AG5986" s="2"/>
    </row>
    <row r="5987" spans="24:33" ht="43.95" customHeight="1" x14ac:dyDescent="0.3">
      <c r="X5987" s="2"/>
      <c r="Y5987" s="7"/>
      <c r="Z5987" s="2"/>
      <c r="AA5987" s="1"/>
      <c r="AC5987" s="2"/>
      <c r="AE5987" s="1"/>
      <c r="AG5987" s="2"/>
    </row>
    <row r="5988" spans="24:33" ht="43.95" customHeight="1" x14ac:dyDescent="0.3">
      <c r="X5988" s="234"/>
      <c r="Y5988" s="7"/>
      <c r="Z5988" s="2"/>
      <c r="AA5988" s="1"/>
      <c r="AC5988" s="2"/>
      <c r="AE5988" s="1"/>
      <c r="AG5988" s="2"/>
    </row>
    <row r="5989" spans="24:33" ht="43.95" customHeight="1" x14ac:dyDescent="0.3">
      <c r="X5989" s="2"/>
      <c r="Y5989" s="7"/>
      <c r="Z5989" s="2"/>
      <c r="AA5989" s="1"/>
      <c r="AC5989" s="2"/>
      <c r="AE5989" s="1"/>
      <c r="AG5989" s="2"/>
    </row>
    <row r="5990" spans="24:33" ht="43.95" customHeight="1" x14ac:dyDescent="0.3">
      <c r="X5990" s="2"/>
      <c r="Y5990" s="7"/>
      <c r="Z5990" s="2"/>
      <c r="AA5990" s="1"/>
      <c r="AC5990" s="2"/>
      <c r="AE5990" s="1"/>
      <c r="AG5990" s="2"/>
    </row>
    <row r="5991" spans="24:33" ht="43.95" customHeight="1" x14ac:dyDescent="0.3">
      <c r="X5991" s="2"/>
      <c r="Y5991" s="7"/>
      <c r="Z5991" s="2"/>
      <c r="AA5991" s="1"/>
      <c r="AC5991" s="2"/>
      <c r="AE5991" s="1"/>
      <c r="AG5991" s="2"/>
    </row>
    <row r="5992" spans="24:33" ht="43.95" customHeight="1" x14ac:dyDescent="0.3">
      <c r="X5992" s="2"/>
      <c r="Y5992" s="7"/>
      <c r="Z5992" s="2"/>
      <c r="AA5992" s="1"/>
      <c r="AC5992" s="2"/>
      <c r="AE5992" s="1"/>
      <c r="AG5992" s="2"/>
    </row>
    <row r="5993" spans="24:33" ht="43.95" customHeight="1" x14ac:dyDescent="0.3">
      <c r="X5993" s="2"/>
      <c r="Y5993" s="7"/>
      <c r="Z5993" s="2"/>
      <c r="AA5993" s="1"/>
      <c r="AC5993" s="2"/>
      <c r="AE5993" s="1"/>
      <c r="AG5993" s="2"/>
    </row>
    <row r="5994" spans="24:33" ht="43.95" customHeight="1" x14ac:dyDescent="0.3">
      <c r="X5994" s="2"/>
      <c r="Y5994" s="7"/>
      <c r="Z5994" s="2"/>
      <c r="AA5994" s="1"/>
      <c r="AC5994" s="2"/>
      <c r="AE5994" s="1"/>
      <c r="AG5994" s="2"/>
    </row>
    <row r="5995" spans="24:33" ht="43.95" customHeight="1" x14ac:dyDescent="0.3">
      <c r="X5995" s="2"/>
      <c r="Y5995" s="7"/>
      <c r="Z5995" s="2"/>
      <c r="AA5995" s="1"/>
      <c r="AC5995" s="2"/>
      <c r="AE5995" s="1"/>
      <c r="AG5995" s="2"/>
    </row>
    <row r="5996" spans="24:33" ht="43.95" customHeight="1" x14ac:dyDescent="0.3">
      <c r="X5996" s="2"/>
      <c r="Y5996" s="7"/>
      <c r="Z5996" s="2"/>
      <c r="AA5996" s="1"/>
      <c r="AC5996" s="2"/>
      <c r="AE5996" s="1"/>
      <c r="AG5996" s="2"/>
    </row>
    <row r="5997" spans="24:33" ht="43.95" customHeight="1" x14ac:dyDescent="0.3">
      <c r="X5997" s="2"/>
      <c r="Y5997" s="7"/>
      <c r="Z5997" s="2"/>
      <c r="AA5997" s="1"/>
      <c r="AC5997" s="2"/>
      <c r="AE5997" s="1"/>
      <c r="AG5997" s="2"/>
    </row>
    <row r="5998" spans="24:33" ht="43.95" customHeight="1" x14ac:dyDescent="0.3">
      <c r="X5998" s="2"/>
      <c r="Y5998" s="7"/>
      <c r="Z5998" s="2"/>
      <c r="AA5998" s="1"/>
      <c r="AC5998" s="2"/>
      <c r="AE5998" s="1"/>
      <c r="AG5998" s="2"/>
    </row>
    <row r="5999" spans="24:33" ht="43.95" customHeight="1" x14ac:dyDescent="0.3">
      <c r="X5999" s="2"/>
      <c r="Y5999" s="7"/>
      <c r="Z5999" s="2"/>
      <c r="AA5999" s="1"/>
      <c r="AC5999" s="2"/>
      <c r="AE5999" s="1"/>
      <c r="AG5999" s="2"/>
    </row>
    <row r="6000" spans="24:33" ht="43.95" customHeight="1" x14ac:dyDescent="0.3">
      <c r="X6000" s="2"/>
      <c r="Y6000" s="7"/>
      <c r="Z6000" s="2"/>
      <c r="AA6000" s="1"/>
      <c r="AC6000" s="2"/>
      <c r="AE6000" s="1"/>
      <c r="AG6000" s="2"/>
    </row>
    <row r="6001" spans="24:33" ht="43.95" customHeight="1" x14ac:dyDescent="0.3">
      <c r="X6001" s="234"/>
      <c r="Y6001" s="7"/>
      <c r="Z6001" s="2"/>
      <c r="AA6001" s="1"/>
      <c r="AC6001" s="2"/>
      <c r="AE6001" s="1"/>
      <c r="AG6001" s="2"/>
    </row>
    <row r="6002" spans="24:33" ht="43.95" customHeight="1" x14ac:dyDescent="0.3">
      <c r="X6002" s="2"/>
      <c r="Y6002" s="7"/>
      <c r="Z6002" s="2"/>
      <c r="AA6002" s="1"/>
      <c r="AC6002" s="2"/>
      <c r="AE6002" s="1"/>
      <c r="AG6002" s="2"/>
    </row>
    <row r="6003" spans="24:33" ht="43.95" customHeight="1" x14ac:dyDescent="0.3">
      <c r="X6003" s="2"/>
      <c r="Y6003" s="7"/>
      <c r="Z6003" s="2"/>
      <c r="AA6003" s="1"/>
      <c r="AC6003" s="2"/>
      <c r="AE6003" s="1"/>
      <c r="AG6003" s="2"/>
    </row>
    <row r="6004" spans="24:33" ht="43.95" customHeight="1" x14ac:dyDescent="0.3">
      <c r="X6004" s="2"/>
      <c r="Y6004" s="7"/>
      <c r="Z6004" s="2"/>
      <c r="AA6004" s="1"/>
      <c r="AC6004" s="2"/>
      <c r="AE6004" s="1"/>
      <c r="AG6004" s="2"/>
    </row>
    <row r="6005" spans="24:33" ht="43.95" customHeight="1" x14ac:dyDescent="0.3">
      <c r="X6005" s="2"/>
      <c r="Y6005" s="7"/>
      <c r="Z6005" s="2"/>
      <c r="AA6005" s="1"/>
      <c r="AC6005" s="2"/>
      <c r="AE6005" s="1"/>
      <c r="AG6005" s="2"/>
    </row>
    <row r="6006" spans="24:33" ht="43.95" customHeight="1" x14ac:dyDescent="0.3">
      <c r="X6006" s="2"/>
      <c r="Y6006" s="7"/>
      <c r="Z6006" s="2"/>
      <c r="AA6006" s="1"/>
      <c r="AC6006" s="2"/>
      <c r="AE6006" s="1"/>
      <c r="AG6006" s="2"/>
    </row>
    <row r="6007" spans="24:33" ht="43.95" customHeight="1" x14ac:dyDescent="0.3">
      <c r="X6007" s="2"/>
      <c r="Y6007" s="7"/>
      <c r="Z6007" s="2"/>
      <c r="AA6007" s="1"/>
      <c r="AC6007" s="2"/>
      <c r="AE6007" s="1"/>
      <c r="AG6007" s="2"/>
    </row>
    <row r="6008" spans="24:33" ht="43.95" customHeight="1" x14ac:dyDescent="0.3">
      <c r="X6008" s="2"/>
      <c r="Y6008" s="7"/>
      <c r="Z6008" s="2"/>
      <c r="AA6008" s="1"/>
      <c r="AC6008" s="2"/>
      <c r="AE6008" s="1"/>
      <c r="AG6008" s="2"/>
    </row>
    <row r="6009" spans="24:33" ht="43.95" customHeight="1" x14ac:dyDescent="0.3">
      <c r="X6009" s="2"/>
      <c r="Y6009" s="7"/>
      <c r="Z6009" s="2"/>
      <c r="AA6009" s="1"/>
      <c r="AC6009" s="2"/>
      <c r="AE6009" s="1"/>
      <c r="AG6009" s="2"/>
    </row>
    <row r="6010" spans="24:33" ht="43.95" customHeight="1" x14ac:dyDescent="0.3">
      <c r="X6010" s="2"/>
      <c r="Y6010" s="7"/>
      <c r="Z6010" s="2"/>
      <c r="AA6010" s="1"/>
      <c r="AC6010" s="2"/>
      <c r="AE6010" s="1"/>
      <c r="AG6010" s="2"/>
    </row>
    <row r="6011" spans="24:33" ht="43.95" customHeight="1" x14ac:dyDescent="0.3">
      <c r="X6011" s="2"/>
      <c r="Y6011" s="7"/>
      <c r="Z6011" s="2"/>
      <c r="AA6011" s="1"/>
      <c r="AC6011" s="2"/>
      <c r="AE6011" s="1"/>
      <c r="AG6011" s="2"/>
    </row>
    <row r="6012" spans="24:33" ht="43.95" customHeight="1" x14ac:dyDescent="0.3">
      <c r="X6012" s="2"/>
      <c r="Y6012" s="7"/>
      <c r="Z6012" s="2"/>
      <c r="AA6012" s="1"/>
      <c r="AC6012" s="2"/>
      <c r="AE6012" s="1"/>
      <c r="AG6012" s="2"/>
    </row>
    <row r="6013" spans="24:33" ht="43.95" customHeight="1" x14ac:dyDescent="0.3">
      <c r="X6013" s="2"/>
      <c r="Y6013" s="7"/>
      <c r="Z6013" s="2"/>
      <c r="AA6013" s="1"/>
      <c r="AC6013" s="2"/>
      <c r="AE6013" s="1"/>
      <c r="AG6013" s="2"/>
    </row>
    <row r="6014" spans="24:33" ht="43.95" customHeight="1" x14ac:dyDescent="0.3">
      <c r="X6014" s="2"/>
      <c r="Y6014" s="7"/>
      <c r="Z6014" s="2"/>
      <c r="AA6014" s="1"/>
      <c r="AC6014" s="2"/>
      <c r="AE6014" s="1"/>
      <c r="AG6014" s="2"/>
    </row>
    <row r="6015" spans="24:33" ht="43.95" customHeight="1" x14ac:dyDescent="0.3">
      <c r="X6015" s="2"/>
      <c r="Y6015" s="7"/>
      <c r="Z6015" s="2"/>
      <c r="AA6015" s="1"/>
      <c r="AC6015" s="2"/>
      <c r="AE6015" s="1"/>
      <c r="AG6015" s="2"/>
    </row>
    <row r="6016" spans="24:33" ht="43.95" customHeight="1" x14ac:dyDescent="0.3">
      <c r="X6016" s="2"/>
      <c r="Y6016" s="7"/>
      <c r="Z6016" s="2"/>
      <c r="AA6016" s="1"/>
      <c r="AC6016" s="2"/>
      <c r="AE6016" s="1"/>
      <c r="AG6016" s="2"/>
    </row>
    <row r="6017" spans="24:33" ht="43.95" customHeight="1" x14ac:dyDescent="0.3">
      <c r="X6017" s="2"/>
      <c r="Y6017" s="7"/>
      <c r="Z6017" s="2"/>
      <c r="AA6017" s="1"/>
      <c r="AC6017" s="2"/>
      <c r="AE6017" s="1"/>
      <c r="AG6017" s="2"/>
    </row>
    <row r="6018" spans="24:33" ht="43.95" customHeight="1" x14ac:dyDescent="0.3">
      <c r="X6018" s="2"/>
      <c r="Y6018" s="7"/>
      <c r="Z6018" s="2"/>
      <c r="AA6018" s="1"/>
      <c r="AC6018" s="2"/>
      <c r="AE6018" s="1"/>
      <c r="AG6018" s="2"/>
    </row>
    <row r="6019" spans="24:33" ht="43.95" customHeight="1" x14ac:dyDescent="0.3">
      <c r="X6019" s="2"/>
      <c r="Y6019" s="7"/>
      <c r="Z6019" s="2"/>
      <c r="AA6019" s="1"/>
      <c r="AC6019" s="2"/>
      <c r="AE6019" s="1"/>
      <c r="AG6019" s="2"/>
    </row>
    <row r="6020" spans="24:33" ht="43.95" customHeight="1" x14ac:dyDescent="0.3">
      <c r="X6020" s="2"/>
      <c r="Y6020" s="7"/>
      <c r="Z6020" s="2"/>
      <c r="AA6020" s="1"/>
      <c r="AC6020" s="2"/>
      <c r="AE6020" s="1"/>
      <c r="AG6020" s="2"/>
    </row>
    <row r="6021" spans="24:33" ht="43.95" customHeight="1" x14ac:dyDescent="0.3">
      <c r="X6021" s="2"/>
      <c r="Y6021" s="7"/>
      <c r="Z6021" s="2"/>
      <c r="AA6021" s="1"/>
      <c r="AC6021" s="2"/>
      <c r="AE6021" s="1"/>
      <c r="AG6021" s="2"/>
    </row>
    <row r="6022" spans="24:33" ht="43.95" customHeight="1" x14ac:dyDescent="0.3">
      <c r="X6022" s="2"/>
      <c r="Y6022" s="7"/>
      <c r="Z6022" s="2"/>
      <c r="AA6022" s="1"/>
      <c r="AC6022" s="2"/>
      <c r="AE6022" s="1"/>
      <c r="AG6022" s="2"/>
    </row>
    <row r="6023" spans="24:33" ht="43.95" customHeight="1" x14ac:dyDescent="0.3">
      <c r="X6023" s="2"/>
      <c r="Y6023" s="7"/>
      <c r="Z6023" s="2"/>
      <c r="AA6023" s="1"/>
      <c r="AC6023" s="2"/>
      <c r="AE6023" s="1"/>
      <c r="AG6023" s="2"/>
    </row>
    <row r="6024" spans="24:33" ht="43.95" customHeight="1" x14ac:dyDescent="0.3">
      <c r="X6024" s="2"/>
      <c r="Y6024" s="7"/>
      <c r="Z6024" s="2"/>
      <c r="AA6024" s="1"/>
      <c r="AC6024" s="2"/>
      <c r="AE6024" s="1"/>
      <c r="AG6024" s="2"/>
    </row>
    <row r="6025" spans="24:33" ht="43.95" customHeight="1" x14ac:dyDescent="0.3">
      <c r="X6025" s="2"/>
      <c r="Y6025" s="7"/>
      <c r="Z6025" s="2"/>
      <c r="AA6025" s="1"/>
      <c r="AC6025" s="2"/>
      <c r="AE6025" s="1"/>
      <c r="AG6025" s="2"/>
    </row>
    <row r="6026" spans="24:33" ht="43.95" customHeight="1" x14ac:dyDescent="0.3">
      <c r="X6026" s="2"/>
      <c r="Y6026" s="7"/>
      <c r="Z6026" s="2"/>
      <c r="AA6026" s="1"/>
      <c r="AC6026" s="2"/>
      <c r="AE6026" s="1"/>
      <c r="AG6026" s="2"/>
    </row>
    <row r="6027" spans="24:33" ht="43.95" customHeight="1" x14ac:dyDescent="0.3">
      <c r="X6027" s="2"/>
      <c r="Y6027" s="7"/>
      <c r="Z6027" s="2"/>
      <c r="AA6027" s="1"/>
      <c r="AC6027" s="2"/>
      <c r="AE6027" s="1"/>
      <c r="AG6027" s="2"/>
    </row>
    <row r="6028" spans="24:33" ht="43.95" customHeight="1" x14ac:dyDescent="0.3">
      <c r="X6028" s="2"/>
      <c r="Y6028" s="7"/>
      <c r="Z6028" s="2"/>
      <c r="AA6028" s="1"/>
      <c r="AC6028" s="2"/>
      <c r="AE6028" s="1"/>
      <c r="AG6028" s="2"/>
    </row>
    <row r="6029" spans="24:33" ht="43.95" customHeight="1" x14ac:dyDescent="0.3">
      <c r="X6029" s="2"/>
      <c r="Y6029" s="7"/>
      <c r="Z6029" s="2"/>
      <c r="AA6029" s="1"/>
      <c r="AC6029" s="2"/>
      <c r="AE6029" s="1"/>
      <c r="AG6029" s="2"/>
    </row>
    <row r="6030" spans="24:33" ht="43.95" customHeight="1" x14ac:dyDescent="0.3">
      <c r="X6030" s="2"/>
      <c r="Y6030" s="7"/>
      <c r="Z6030" s="2"/>
      <c r="AA6030" s="1"/>
      <c r="AC6030" s="2"/>
      <c r="AE6030" s="1"/>
      <c r="AG6030" s="2"/>
    </row>
    <row r="6031" spans="24:33" ht="43.95" customHeight="1" x14ac:dyDescent="0.3">
      <c r="X6031" s="2"/>
      <c r="Y6031" s="7"/>
      <c r="Z6031" s="2"/>
      <c r="AA6031" s="1"/>
      <c r="AC6031" s="2"/>
      <c r="AE6031" s="1"/>
      <c r="AG6031" s="2"/>
    </row>
    <row r="6032" spans="24:33" ht="43.95" customHeight="1" x14ac:dyDescent="0.3">
      <c r="X6032" s="2"/>
      <c r="Y6032" s="7"/>
      <c r="Z6032" s="2"/>
      <c r="AA6032" s="1"/>
      <c r="AC6032" s="2"/>
      <c r="AE6032" s="1"/>
      <c r="AG6032" s="2"/>
    </row>
    <row r="6033" spans="24:33" ht="43.95" customHeight="1" x14ac:dyDescent="0.3">
      <c r="X6033" s="2"/>
      <c r="Y6033" s="7"/>
      <c r="Z6033" s="2"/>
      <c r="AA6033" s="1"/>
      <c r="AC6033" s="2"/>
      <c r="AE6033" s="1"/>
      <c r="AG6033" s="2"/>
    </row>
    <row r="6034" spans="24:33" ht="43.95" customHeight="1" x14ac:dyDescent="0.3">
      <c r="X6034" s="2"/>
      <c r="Y6034" s="7"/>
      <c r="Z6034" s="2"/>
      <c r="AA6034" s="1"/>
      <c r="AC6034" s="2"/>
      <c r="AE6034" s="1"/>
      <c r="AG6034" s="2"/>
    </row>
    <row r="6035" spans="24:33" ht="43.95" customHeight="1" x14ac:dyDescent="0.3">
      <c r="X6035" s="2"/>
      <c r="Y6035" s="7"/>
      <c r="Z6035" s="2"/>
      <c r="AA6035" s="1"/>
      <c r="AC6035" s="2"/>
      <c r="AE6035" s="1"/>
      <c r="AG6035" s="2"/>
    </row>
    <row r="6036" spans="24:33" ht="43.95" customHeight="1" x14ac:dyDescent="0.3">
      <c r="X6036" s="2"/>
      <c r="Y6036" s="7"/>
      <c r="Z6036" s="2"/>
      <c r="AA6036" s="1"/>
      <c r="AC6036" s="2"/>
      <c r="AE6036" s="1"/>
      <c r="AG6036" s="2"/>
    </row>
    <row r="6037" spans="24:33" ht="43.95" customHeight="1" x14ac:dyDescent="0.3">
      <c r="X6037" s="2"/>
      <c r="Y6037" s="7"/>
      <c r="Z6037" s="2"/>
      <c r="AA6037" s="1"/>
      <c r="AC6037" s="2"/>
      <c r="AE6037" s="1"/>
      <c r="AG6037" s="2"/>
    </row>
    <row r="6038" spans="24:33" ht="43.95" customHeight="1" x14ac:dyDescent="0.3">
      <c r="X6038" s="2"/>
      <c r="Y6038" s="7"/>
      <c r="Z6038" s="2"/>
      <c r="AA6038" s="1"/>
      <c r="AC6038" s="2"/>
      <c r="AE6038" s="1"/>
      <c r="AG6038" s="2"/>
    </row>
    <row r="6039" spans="24:33" ht="43.95" customHeight="1" x14ac:dyDescent="0.3">
      <c r="X6039" s="2"/>
      <c r="Y6039" s="7"/>
      <c r="Z6039" s="2"/>
      <c r="AA6039" s="1"/>
      <c r="AC6039" s="2"/>
      <c r="AE6039" s="1"/>
      <c r="AG6039" s="2"/>
    </row>
    <row r="6040" spans="24:33" ht="43.95" customHeight="1" x14ac:dyDescent="0.3">
      <c r="X6040" s="2"/>
      <c r="Y6040" s="7"/>
      <c r="Z6040" s="2"/>
      <c r="AA6040" s="1"/>
      <c r="AC6040" s="2"/>
      <c r="AE6040" s="1"/>
      <c r="AG6040" s="2"/>
    </row>
    <row r="6041" spans="24:33" ht="43.95" customHeight="1" x14ac:dyDescent="0.3">
      <c r="X6041" s="2"/>
      <c r="Y6041" s="7"/>
      <c r="Z6041" s="2"/>
      <c r="AA6041" s="1"/>
      <c r="AC6041" s="2"/>
      <c r="AE6041" s="1"/>
      <c r="AG6041" s="2"/>
    </row>
    <row r="6042" spans="24:33" ht="43.95" customHeight="1" x14ac:dyDescent="0.3">
      <c r="X6042" s="2"/>
      <c r="Y6042" s="7"/>
      <c r="Z6042" s="2"/>
      <c r="AA6042" s="1"/>
      <c r="AC6042" s="2"/>
      <c r="AE6042" s="1"/>
      <c r="AG6042" s="2"/>
    </row>
    <row r="6043" spans="24:33" ht="43.95" customHeight="1" x14ac:dyDescent="0.3">
      <c r="X6043" s="2"/>
      <c r="Y6043" s="7"/>
      <c r="Z6043" s="2"/>
      <c r="AA6043" s="1"/>
      <c r="AC6043" s="2"/>
      <c r="AE6043" s="1"/>
      <c r="AG6043" s="2"/>
    </row>
    <row r="6044" spans="24:33" ht="43.95" customHeight="1" x14ac:dyDescent="0.3">
      <c r="X6044" s="2"/>
      <c r="Y6044" s="7"/>
      <c r="Z6044" s="2"/>
      <c r="AA6044" s="1"/>
      <c r="AC6044" s="2"/>
      <c r="AE6044" s="1"/>
      <c r="AG6044" s="2"/>
    </row>
    <row r="6045" spans="24:33" ht="43.95" customHeight="1" x14ac:dyDescent="0.3">
      <c r="X6045" s="2"/>
      <c r="Y6045" s="7"/>
      <c r="Z6045" s="2"/>
      <c r="AA6045" s="1"/>
      <c r="AC6045" s="2"/>
      <c r="AE6045" s="1"/>
      <c r="AG6045" s="2"/>
    </row>
    <row r="6046" spans="24:33" ht="43.95" customHeight="1" x14ac:dyDescent="0.3">
      <c r="X6046" s="2"/>
      <c r="Y6046" s="7"/>
      <c r="Z6046" s="2"/>
      <c r="AA6046" s="1"/>
      <c r="AC6046" s="2"/>
      <c r="AE6046" s="1"/>
      <c r="AG6046" s="2"/>
    </row>
    <row r="6047" spans="24:33" ht="43.95" customHeight="1" x14ac:dyDescent="0.3">
      <c r="X6047" s="2"/>
      <c r="Y6047" s="7"/>
      <c r="Z6047" s="2"/>
      <c r="AA6047" s="1"/>
      <c r="AC6047" s="2"/>
      <c r="AE6047" s="1"/>
      <c r="AG6047" s="2"/>
    </row>
    <row r="6048" spans="24:33" ht="43.95" customHeight="1" x14ac:dyDescent="0.3">
      <c r="X6048" s="2"/>
      <c r="Y6048" s="7"/>
      <c r="Z6048" s="2"/>
      <c r="AA6048" s="1"/>
      <c r="AC6048" s="2"/>
      <c r="AE6048" s="1"/>
      <c r="AG6048" s="2"/>
    </row>
    <row r="6049" spans="24:33" ht="43.95" customHeight="1" x14ac:dyDescent="0.3">
      <c r="X6049" s="2"/>
      <c r="Y6049" s="7"/>
      <c r="Z6049" s="2"/>
      <c r="AA6049" s="1"/>
      <c r="AC6049" s="2"/>
      <c r="AE6049" s="1"/>
      <c r="AG6049" s="2"/>
    </row>
    <row r="6050" spans="24:33" ht="43.95" customHeight="1" x14ac:dyDescent="0.3">
      <c r="X6050" s="2"/>
      <c r="Y6050" s="7"/>
      <c r="Z6050" s="2"/>
      <c r="AA6050" s="1"/>
      <c r="AC6050" s="2"/>
      <c r="AE6050" s="1"/>
      <c r="AG6050" s="2"/>
    </row>
    <row r="6051" spans="24:33" ht="43.95" customHeight="1" x14ac:dyDescent="0.3">
      <c r="X6051" s="2"/>
      <c r="Y6051" s="7"/>
      <c r="Z6051" s="2"/>
      <c r="AA6051" s="1"/>
      <c r="AC6051" s="2"/>
      <c r="AE6051" s="1"/>
      <c r="AG6051" s="2"/>
    </row>
    <row r="6052" spans="24:33" ht="43.95" customHeight="1" x14ac:dyDescent="0.3">
      <c r="X6052" s="2"/>
      <c r="Y6052" s="7"/>
      <c r="Z6052" s="2"/>
      <c r="AA6052" s="1"/>
      <c r="AC6052" s="2"/>
      <c r="AE6052" s="1"/>
      <c r="AG6052" s="2"/>
    </row>
    <row r="6053" spans="24:33" ht="43.95" customHeight="1" x14ac:dyDescent="0.3">
      <c r="X6053" s="2"/>
      <c r="Y6053" s="7"/>
      <c r="Z6053" s="2"/>
      <c r="AA6053" s="1"/>
      <c r="AC6053" s="2"/>
      <c r="AE6053" s="1"/>
      <c r="AG6053" s="2"/>
    </row>
    <row r="6054" spans="24:33" ht="43.95" customHeight="1" x14ac:dyDescent="0.3">
      <c r="X6054" s="2"/>
      <c r="Y6054" s="7"/>
      <c r="Z6054" s="2"/>
      <c r="AA6054" s="1"/>
      <c r="AC6054" s="2"/>
      <c r="AE6054" s="1"/>
      <c r="AG6054" s="2"/>
    </row>
    <row r="6055" spans="24:33" ht="43.95" customHeight="1" x14ac:dyDescent="0.3">
      <c r="X6055" s="2"/>
      <c r="Y6055" s="7"/>
      <c r="Z6055" s="2"/>
      <c r="AA6055" s="1"/>
      <c r="AC6055" s="2"/>
      <c r="AE6055" s="1"/>
      <c r="AG6055" s="2"/>
    </row>
    <row r="6056" spans="24:33" ht="43.95" customHeight="1" x14ac:dyDescent="0.3">
      <c r="X6056" s="2"/>
      <c r="Y6056" s="7"/>
      <c r="Z6056" s="2"/>
      <c r="AA6056" s="1"/>
      <c r="AC6056" s="2"/>
      <c r="AE6056" s="1"/>
      <c r="AG6056" s="2"/>
    </row>
    <row r="6057" spans="24:33" ht="43.95" customHeight="1" x14ac:dyDescent="0.3">
      <c r="X6057" s="2"/>
      <c r="Y6057" s="7"/>
      <c r="Z6057" s="2"/>
      <c r="AA6057" s="1"/>
      <c r="AC6057" s="2"/>
      <c r="AE6057" s="1"/>
      <c r="AG6057" s="2"/>
    </row>
    <row r="6058" spans="24:33" ht="43.95" customHeight="1" x14ac:dyDescent="0.3">
      <c r="X6058" s="2"/>
      <c r="Y6058" s="7"/>
      <c r="Z6058" s="2"/>
      <c r="AA6058" s="1"/>
      <c r="AC6058" s="2"/>
      <c r="AE6058" s="1"/>
      <c r="AG6058" s="2"/>
    </row>
    <row r="6059" spans="24:33" ht="43.95" customHeight="1" x14ac:dyDescent="0.3">
      <c r="X6059" s="2"/>
      <c r="Y6059" s="7"/>
      <c r="Z6059" s="2"/>
      <c r="AA6059" s="1"/>
      <c r="AC6059" s="2"/>
      <c r="AE6059" s="1"/>
      <c r="AG6059" s="2"/>
    </row>
    <row r="6060" spans="24:33" ht="43.95" customHeight="1" x14ac:dyDescent="0.3">
      <c r="X6060" s="2"/>
      <c r="Y6060" s="7"/>
      <c r="Z6060" s="2"/>
      <c r="AA6060" s="1"/>
      <c r="AC6060" s="2"/>
      <c r="AE6060" s="1"/>
      <c r="AG6060" s="2"/>
    </row>
    <row r="6061" spans="24:33" ht="43.95" customHeight="1" x14ac:dyDescent="0.3">
      <c r="X6061" s="2"/>
      <c r="Y6061" s="7"/>
      <c r="Z6061" s="2"/>
      <c r="AA6061" s="1"/>
      <c r="AC6061" s="2"/>
      <c r="AE6061" s="1"/>
      <c r="AG6061" s="2"/>
    </row>
    <row r="6062" spans="24:33" ht="43.95" customHeight="1" x14ac:dyDescent="0.3">
      <c r="X6062" s="2"/>
      <c r="Y6062" s="7"/>
      <c r="Z6062" s="2"/>
      <c r="AA6062" s="1"/>
      <c r="AC6062" s="2"/>
      <c r="AE6062" s="1"/>
      <c r="AG6062" s="2"/>
    </row>
    <row r="6063" spans="24:33" ht="43.95" customHeight="1" x14ac:dyDescent="0.3">
      <c r="X6063" s="2"/>
      <c r="Y6063" s="7"/>
      <c r="Z6063" s="2"/>
      <c r="AA6063" s="1"/>
      <c r="AC6063" s="2"/>
      <c r="AE6063" s="1"/>
      <c r="AG6063" s="2"/>
    </row>
    <row r="6064" spans="24:33" ht="43.95" customHeight="1" x14ac:dyDescent="0.3">
      <c r="X6064" s="2"/>
      <c r="Y6064" s="7"/>
      <c r="Z6064" s="2"/>
      <c r="AA6064" s="1"/>
      <c r="AC6064" s="2"/>
      <c r="AE6064" s="1"/>
      <c r="AG6064" s="2"/>
    </row>
    <row r="6065" spans="24:33" ht="43.95" customHeight="1" x14ac:dyDescent="0.3">
      <c r="X6065" s="2"/>
      <c r="Y6065" s="7"/>
      <c r="Z6065" s="2"/>
      <c r="AA6065" s="1"/>
      <c r="AC6065" s="2"/>
      <c r="AE6065" s="1"/>
      <c r="AG6065" s="2"/>
    </row>
    <row r="6066" spans="24:33" ht="43.95" customHeight="1" x14ac:dyDescent="0.3">
      <c r="X6066" s="2"/>
      <c r="Y6066" s="7"/>
      <c r="Z6066" s="2"/>
      <c r="AA6066" s="1"/>
      <c r="AC6066" s="2"/>
      <c r="AE6066" s="1"/>
      <c r="AG6066" s="2"/>
    </row>
    <row r="6067" spans="24:33" ht="43.95" customHeight="1" x14ac:dyDescent="0.3">
      <c r="X6067" s="2"/>
      <c r="Y6067" s="7"/>
      <c r="Z6067" s="2"/>
      <c r="AA6067" s="1"/>
      <c r="AC6067" s="2"/>
      <c r="AE6067" s="1"/>
      <c r="AG6067" s="2"/>
    </row>
    <row r="6068" spans="24:33" ht="43.95" customHeight="1" x14ac:dyDescent="0.3">
      <c r="X6068" s="2"/>
      <c r="Y6068" s="7"/>
      <c r="Z6068" s="2"/>
      <c r="AA6068" s="1"/>
      <c r="AC6068" s="2"/>
      <c r="AE6068" s="1"/>
      <c r="AG6068" s="2"/>
    </row>
    <row r="6069" spans="24:33" ht="43.95" customHeight="1" x14ac:dyDescent="0.3">
      <c r="X6069" s="2"/>
      <c r="Y6069" s="7"/>
    </row>
    <row r="6070" spans="24:33" ht="43.95" customHeight="1" x14ac:dyDescent="0.3">
      <c r="X6070" s="2"/>
      <c r="Y6070" s="7"/>
    </row>
    <row r="6071" spans="24:33" ht="43.95" customHeight="1" x14ac:dyDescent="0.3">
      <c r="X6071" s="2"/>
      <c r="Y6071" s="7"/>
    </row>
    <row r="6072" spans="24:33" ht="43.95" customHeight="1" x14ac:dyDescent="0.3">
      <c r="X6072" s="2"/>
      <c r="Y6072" s="7"/>
    </row>
    <row r="6073" spans="24:33" ht="43.95" customHeight="1" x14ac:dyDescent="0.3">
      <c r="X6073" s="2"/>
      <c r="Y6073" s="7"/>
    </row>
    <row r="6074" spans="24:33" ht="43.95" customHeight="1" x14ac:dyDescent="0.3">
      <c r="X6074" s="2"/>
      <c r="Y6074" s="7"/>
    </row>
    <row r="6075" spans="24:33" ht="43.95" customHeight="1" x14ac:dyDescent="0.3">
      <c r="X6075" s="2"/>
      <c r="Y6075" s="7"/>
    </row>
    <row r="6076" spans="24:33" ht="43.95" customHeight="1" x14ac:dyDescent="0.3">
      <c r="X6076" s="2"/>
      <c r="Y6076" s="7"/>
    </row>
    <row r="6077" spans="24:33" ht="43.95" customHeight="1" x14ac:dyDescent="0.3">
      <c r="X6077" s="2"/>
      <c r="Y6077" s="7"/>
    </row>
    <row r="6078" spans="24:33" ht="43.95" customHeight="1" x14ac:dyDescent="0.3">
      <c r="X6078" s="2"/>
      <c r="Y6078" s="7"/>
    </row>
    <row r="6079" spans="24:33" ht="43.95" customHeight="1" x14ac:dyDescent="0.3">
      <c r="X6079" s="2"/>
      <c r="Y6079" s="7"/>
    </row>
    <row r="6080" spans="24:33" ht="43.95" customHeight="1" x14ac:dyDescent="0.3">
      <c r="X6080" s="2"/>
      <c r="Y6080" s="7"/>
    </row>
    <row r="6081" spans="24:25" ht="43.95" customHeight="1" x14ac:dyDescent="0.3">
      <c r="X6081" s="2"/>
      <c r="Y6081" s="7"/>
    </row>
    <row r="6082" spans="24:25" ht="43.95" customHeight="1" x14ac:dyDescent="0.3">
      <c r="X6082" s="2"/>
      <c r="Y6082" s="7"/>
    </row>
    <row r="6083" spans="24:25" ht="43.95" customHeight="1" x14ac:dyDescent="0.3">
      <c r="X6083" s="2"/>
      <c r="Y6083" s="7"/>
    </row>
    <row r="6084" spans="24:25" ht="43.95" customHeight="1" x14ac:dyDescent="0.3">
      <c r="X6084" s="2"/>
      <c r="Y6084" s="7"/>
    </row>
    <row r="6085" spans="24:25" ht="43.95" customHeight="1" x14ac:dyDescent="0.3">
      <c r="X6085" s="2"/>
      <c r="Y6085" s="7"/>
    </row>
    <row r="6086" spans="24:25" ht="43.95" customHeight="1" x14ac:dyDescent="0.3">
      <c r="X6086" s="2"/>
      <c r="Y6086" s="7"/>
    </row>
    <row r="6087" spans="24:25" ht="43.95" customHeight="1" x14ac:dyDescent="0.3">
      <c r="X6087" s="2"/>
      <c r="Y6087" s="7"/>
    </row>
    <row r="6088" spans="24:25" ht="43.95" customHeight="1" x14ac:dyDescent="0.3">
      <c r="X6088" s="2"/>
      <c r="Y6088" s="7"/>
    </row>
    <row r="6089" spans="24:25" ht="43.95" customHeight="1" x14ac:dyDescent="0.3">
      <c r="X6089" s="2"/>
      <c r="Y6089" s="7"/>
    </row>
    <row r="6090" spans="24:25" ht="43.95" customHeight="1" x14ac:dyDescent="0.3">
      <c r="X6090" s="2"/>
      <c r="Y6090" s="7"/>
    </row>
    <row r="6091" spans="24:25" ht="43.95" customHeight="1" x14ac:dyDescent="0.3">
      <c r="X6091" s="2"/>
      <c r="Y6091" s="7"/>
    </row>
    <row r="6092" spans="24:25" ht="43.95" customHeight="1" x14ac:dyDescent="0.3">
      <c r="X6092" s="2"/>
      <c r="Y6092" s="7"/>
    </row>
    <row r="6093" spans="24:25" ht="43.95" customHeight="1" x14ac:dyDescent="0.3">
      <c r="X6093" s="2"/>
      <c r="Y6093" s="7"/>
    </row>
    <row r="6094" spans="24:25" ht="43.95" customHeight="1" x14ac:dyDescent="0.3">
      <c r="X6094" s="2"/>
      <c r="Y6094" s="7"/>
    </row>
    <row r="6095" spans="24:25" ht="43.95" customHeight="1" x14ac:dyDescent="0.3">
      <c r="X6095" s="2"/>
      <c r="Y6095" s="7"/>
    </row>
    <row r="6096" spans="24:25" ht="43.95" customHeight="1" x14ac:dyDescent="0.3">
      <c r="X6096" s="2"/>
      <c r="Y6096" s="7"/>
    </row>
    <row r="6097" spans="24:25" ht="43.95" customHeight="1" x14ac:dyDescent="0.3">
      <c r="X6097" s="2"/>
      <c r="Y6097" s="7"/>
    </row>
    <row r="6098" spans="24:25" ht="43.95" customHeight="1" x14ac:dyDescent="0.3">
      <c r="X6098" s="2"/>
      <c r="Y6098" s="7"/>
    </row>
    <row r="6099" spans="24:25" ht="43.95" customHeight="1" x14ac:dyDescent="0.3">
      <c r="X6099" s="2"/>
      <c r="Y6099" s="7"/>
    </row>
    <row r="6100" spans="24:25" ht="43.95" customHeight="1" x14ac:dyDescent="0.3">
      <c r="X6100" s="2"/>
      <c r="Y6100" s="7"/>
    </row>
    <row r="6101" spans="24:25" ht="43.95" customHeight="1" x14ac:dyDescent="0.3">
      <c r="X6101" s="2"/>
      <c r="Y6101" s="7"/>
    </row>
    <row r="6102" spans="24:25" ht="43.95" customHeight="1" x14ac:dyDescent="0.3">
      <c r="X6102" s="2"/>
      <c r="Y6102" s="7"/>
    </row>
    <row r="6103" spans="24:25" ht="43.95" customHeight="1" x14ac:dyDescent="0.3">
      <c r="X6103" s="2"/>
      <c r="Y6103" s="7"/>
    </row>
    <row r="6104" spans="24:25" ht="43.95" customHeight="1" x14ac:dyDescent="0.3">
      <c r="X6104" s="2"/>
      <c r="Y6104" s="7"/>
    </row>
    <row r="6105" spans="24:25" ht="43.95" customHeight="1" x14ac:dyDescent="0.3">
      <c r="X6105" s="2"/>
      <c r="Y6105" s="7"/>
    </row>
    <row r="6106" spans="24:25" ht="43.95" customHeight="1" x14ac:dyDescent="0.3">
      <c r="X6106" s="2"/>
      <c r="Y6106" s="7"/>
    </row>
    <row r="6107" spans="24:25" ht="43.95" customHeight="1" x14ac:dyDescent="0.3">
      <c r="X6107" s="2"/>
      <c r="Y6107" s="7"/>
    </row>
    <row r="6108" spans="24:25" ht="43.95" customHeight="1" x14ac:dyDescent="0.3">
      <c r="X6108" s="2"/>
      <c r="Y6108" s="7"/>
    </row>
    <row r="6109" spans="24:25" ht="43.95" customHeight="1" x14ac:dyDescent="0.3">
      <c r="X6109" s="2"/>
      <c r="Y6109" s="7"/>
    </row>
    <row r="6110" spans="24:25" ht="43.95" customHeight="1" x14ac:dyDescent="0.3">
      <c r="X6110" s="2"/>
      <c r="Y6110" s="7"/>
    </row>
    <row r="6111" spans="24:25" ht="43.95" customHeight="1" x14ac:dyDescent="0.3">
      <c r="X6111" s="2"/>
      <c r="Y6111" s="7"/>
    </row>
    <row r="6112" spans="24:25" ht="43.95" customHeight="1" x14ac:dyDescent="0.3">
      <c r="X6112" s="2"/>
      <c r="Y6112" s="7"/>
    </row>
    <row r="6113" spans="24:25" ht="43.95" customHeight="1" x14ac:dyDescent="0.3">
      <c r="X6113" s="2"/>
      <c r="Y6113" s="7"/>
    </row>
    <row r="6114" spans="24:25" ht="43.95" customHeight="1" x14ac:dyDescent="0.3">
      <c r="X6114" s="2"/>
      <c r="Y6114" s="7"/>
    </row>
    <row r="6115" spans="24:25" ht="43.95" customHeight="1" x14ac:dyDescent="0.3">
      <c r="X6115" s="2"/>
      <c r="Y6115" s="7"/>
    </row>
    <row r="6116" spans="24:25" ht="43.95" customHeight="1" x14ac:dyDescent="0.3">
      <c r="X6116" s="2"/>
      <c r="Y6116" s="7"/>
    </row>
    <row r="6117" spans="24:25" ht="43.95" customHeight="1" x14ac:dyDescent="0.3">
      <c r="X6117" s="2"/>
      <c r="Y6117" s="7"/>
    </row>
    <row r="6118" spans="24:25" ht="43.95" customHeight="1" x14ac:dyDescent="0.3">
      <c r="X6118" s="2"/>
      <c r="Y6118" s="7"/>
    </row>
    <row r="6119" spans="24:25" ht="43.95" customHeight="1" x14ac:dyDescent="0.3">
      <c r="X6119" s="2"/>
      <c r="Y6119" s="7"/>
    </row>
    <row r="6120" spans="24:25" ht="43.95" customHeight="1" x14ac:dyDescent="0.3">
      <c r="X6120" s="2"/>
      <c r="Y6120" s="7"/>
    </row>
    <row r="6121" spans="24:25" ht="43.95" customHeight="1" x14ac:dyDescent="0.3">
      <c r="X6121" s="2"/>
      <c r="Y6121" s="7"/>
    </row>
    <row r="6122" spans="24:25" ht="43.95" customHeight="1" x14ac:dyDescent="0.3">
      <c r="X6122" s="2"/>
      <c r="Y6122" s="7"/>
    </row>
    <row r="6123" spans="24:25" ht="43.95" customHeight="1" x14ac:dyDescent="0.3">
      <c r="X6123" s="2"/>
      <c r="Y6123" s="7"/>
    </row>
    <row r="6124" spans="24:25" ht="43.95" customHeight="1" x14ac:dyDescent="0.3">
      <c r="X6124" s="2"/>
      <c r="Y6124" s="7"/>
    </row>
    <row r="6125" spans="24:25" ht="43.95" customHeight="1" x14ac:dyDescent="0.3">
      <c r="X6125" s="2"/>
      <c r="Y6125" s="7"/>
    </row>
    <row r="6126" spans="24:25" ht="43.95" customHeight="1" x14ac:dyDescent="0.3">
      <c r="X6126" s="2"/>
      <c r="Y6126" s="7"/>
    </row>
    <row r="6127" spans="24:25" ht="43.95" customHeight="1" x14ac:dyDescent="0.3">
      <c r="X6127" s="2"/>
      <c r="Y6127" s="7"/>
    </row>
    <row r="6128" spans="24:25" ht="43.95" customHeight="1" x14ac:dyDescent="0.3">
      <c r="X6128" s="2"/>
      <c r="Y6128" s="7"/>
    </row>
    <row r="6129" spans="24:25" ht="43.95" customHeight="1" x14ac:dyDescent="0.3">
      <c r="X6129" s="2"/>
      <c r="Y6129" s="7"/>
    </row>
    <row r="6130" spans="24:25" ht="43.95" customHeight="1" x14ac:dyDescent="0.3">
      <c r="X6130" s="2"/>
      <c r="Y6130" s="7"/>
    </row>
    <row r="6131" spans="24:25" ht="43.95" customHeight="1" x14ac:dyDescent="0.3">
      <c r="X6131" s="2"/>
      <c r="Y6131" s="7"/>
    </row>
    <row r="6132" spans="24:25" ht="43.95" customHeight="1" x14ac:dyDescent="0.3">
      <c r="X6132" s="2"/>
      <c r="Y6132" s="7"/>
    </row>
    <row r="6133" spans="24:25" ht="43.95" customHeight="1" x14ac:dyDescent="0.3">
      <c r="X6133" s="2"/>
      <c r="Y6133" s="7"/>
    </row>
    <row r="6134" spans="24:25" ht="43.95" customHeight="1" x14ac:dyDescent="0.3">
      <c r="X6134" s="2"/>
      <c r="Y6134" s="7"/>
    </row>
    <row r="6135" spans="24:25" ht="43.95" customHeight="1" x14ac:dyDescent="0.3">
      <c r="X6135" s="2"/>
      <c r="Y6135" s="7"/>
    </row>
    <row r="6136" spans="24:25" ht="43.95" customHeight="1" x14ac:dyDescent="0.3">
      <c r="X6136" s="2"/>
      <c r="Y6136" s="7"/>
    </row>
    <row r="6137" spans="24:25" ht="43.95" customHeight="1" x14ac:dyDescent="0.3">
      <c r="X6137" s="2"/>
      <c r="Y6137" s="7"/>
    </row>
    <row r="6138" spans="24:25" ht="43.95" customHeight="1" x14ac:dyDescent="0.3">
      <c r="X6138" s="2"/>
      <c r="Y6138" s="7"/>
    </row>
    <row r="6139" spans="24:25" ht="43.95" customHeight="1" x14ac:dyDescent="0.3">
      <c r="X6139" s="2"/>
      <c r="Y6139" s="7"/>
    </row>
    <row r="6140" spans="24:25" ht="43.95" customHeight="1" x14ac:dyDescent="0.3">
      <c r="X6140" s="2"/>
      <c r="Y6140" s="7"/>
    </row>
    <row r="6141" spans="24:25" ht="43.95" customHeight="1" x14ac:dyDescent="0.3">
      <c r="X6141" s="2"/>
      <c r="Y6141" s="7"/>
    </row>
    <row r="6142" spans="24:25" ht="43.95" customHeight="1" x14ac:dyDescent="0.3">
      <c r="X6142" s="2"/>
      <c r="Y6142" s="7"/>
    </row>
    <row r="6143" spans="24:25" ht="43.95" customHeight="1" x14ac:dyDescent="0.3">
      <c r="X6143" s="2"/>
      <c r="Y6143" s="7"/>
    </row>
    <row r="6144" spans="24:25" ht="43.95" customHeight="1" x14ac:dyDescent="0.3">
      <c r="X6144" s="2"/>
      <c r="Y6144" s="7"/>
    </row>
    <row r="6145" spans="24:25" ht="43.95" customHeight="1" x14ac:dyDescent="0.3">
      <c r="X6145" s="2"/>
      <c r="Y6145" s="7"/>
    </row>
    <row r="6146" spans="24:25" ht="43.95" customHeight="1" x14ac:dyDescent="0.3">
      <c r="X6146" s="2"/>
      <c r="Y6146" s="7"/>
    </row>
    <row r="6147" spans="24:25" ht="43.95" customHeight="1" x14ac:dyDescent="0.3">
      <c r="X6147" s="2"/>
      <c r="Y6147" s="7"/>
    </row>
    <row r="6148" spans="24:25" ht="43.95" customHeight="1" x14ac:dyDescent="0.3">
      <c r="X6148" s="2"/>
      <c r="Y6148" s="7"/>
    </row>
    <row r="6149" spans="24:25" ht="43.95" customHeight="1" x14ac:dyDescent="0.3">
      <c r="X6149" s="2"/>
      <c r="Y6149" s="7"/>
    </row>
    <row r="6150" spans="24:25" ht="43.95" customHeight="1" x14ac:dyDescent="0.3">
      <c r="X6150" s="2"/>
      <c r="Y6150" s="7"/>
    </row>
    <row r="6151" spans="24:25" ht="43.95" customHeight="1" x14ac:dyDescent="0.3">
      <c r="X6151" s="2"/>
      <c r="Y6151" s="7"/>
    </row>
    <row r="6152" spans="24:25" ht="43.95" customHeight="1" x14ac:dyDescent="0.3">
      <c r="X6152" s="2"/>
      <c r="Y6152" s="7"/>
    </row>
    <row r="6153" spans="24:25" ht="43.95" customHeight="1" x14ac:dyDescent="0.3">
      <c r="X6153" s="2"/>
      <c r="Y6153" s="7"/>
    </row>
    <row r="6154" spans="24:25" ht="43.95" customHeight="1" x14ac:dyDescent="0.3">
      <c r="X6154" s="2"/>
      <c r="Y6154" s="7"/>
    </row>
    <row r="6155" spans="24:25" ht="43.95" customHeight="1" x14ac:dyDescent="0.3">
      <c r="X6155" s="2"/>
      <c r="Y6155" s="7"/>
    </row>
    <row r="6156" spans="24:25" ht="43.95" customHeight="1" x14ac:dyDescent="0.3">
      <c r="X6156" s="2"/>
      <c r="Y6156" s="7"/>
    </row>
    <row r="6157" spans="24:25" ht="43.95" customHeight="1" x14ac:dyDescent="0.3">
      <c r="X6157" s="2"/>
      <c r="Y6157" s="7"/>
    </row>
    <row r="6158" spans="24:25" ht="43.95" customHeight="1" x14ac:dyDescent="0.3">
      <c r="X6158" s="2"/>
      <c r="Y6158" s="7"/>
    </row>
    <row r="6159" spans="24:25" ht="43.95" customHeight="1" x14ac:dyDescent="0.3">
      <c r="X6159" s="2"/>
      <c r="Y6159" s="7"/>
    </row>
    <row r="6160" spans="24:25" ht="43.95" customHeight="1" x14ac:dyDescent="0.3">
      <c r="X6160" s="2"/>
      <c r="Y6160" s="7"/>
    </row>
    <row r="6161" spans="24:25" ht="43.95" customHeight="1" x14ac:dyDescent="0.3">
      <c r="X6161" s="2"/>
      <c r="Y6161" s="7"/>
    </row>
    <row r="6162" spans="24:25" ht="43.95" customHeight="1" x14ac:dyDescent="0.3">
      <c r="X6162" s="2"/>
      <c r="Y6162" s="7"/>
    </row>
    <row r="6163" spans="24:25" ht="43.95" customHeight="1" x14ac:dyDescent="0.3">
      <c r="X6163" s="2"/>
      <c r="Y6163" s="7"/>
    </row>
    <row r="6164" spans="24:25" ht="43.95" customHeight="1" x14ac:dyDescent="0.3">
      <c r="X6164" s="2"/>
      <c r="Y6164" s="7"/>
    </row>
    <row r="6165" spans="24:25" ht="43.95" customHeight="1" x14ac:dyDescent="0.3">
      <c r="X6165" s="2"/>
      <c r="Y6165" s="7"/>
    </row>
    <row r="6166" spans="24:25" ht="43.95" customHeight="1" x14ac:dyDescent="0.3">
      <c r="X6166" s="2"/>
      <c r="Y6166" s="7"/>
    </row>
    <row r="6167" spans="24:25" ht="43.95" customHeight="1" x14ac:dyDescent="0.3">
      <c r="X6167" s="2"/>
      <c r="Y6167" s="7"/>
    </row>
    <row r="6168" spans="24:25" ht="43.95" customHeight="1" x14ac:dyDescent="0.3">
      <c r="X6168" s="2"/>
      <c r="Y6168" s="7"/>
    </row>
    <row r="6169" spans="24:25" ht="43.95" customHeight="1" x14ac:dyDescent="0.3">
      <c r="X6169" s="2"/>
      <c r="Y6169" s="7"/>
    </row>
    <row r="6170" spans="24:25" ht="43.95" customHeight="1" x14ac:dyDescent="0.3">
      <c r="X6170" s="2"/>
      <c r="Y6170" s="7"/>
    </row>
    <row r="6171" spans="24:25" ht="43.95" customHeight="1" x14ac:dyDescent="0.3">
      <c r="X6171" s="2"/>
      <c r="Y6171" s="7"/>
    </row>
    <row r="6172" spans="24:25" ht="43.95" customHeight="1" x14ac:dyDescent="0.3">
      <c r="X6172" s="2"/>
      <c r="Y6172" s="7"/>
    </row>
    <row r="6173" spans="24:25" ht="43.95" customHeight="1" x14ac:dyDescent="0.3">
      <c r="X6173" s="2"/>
      <c r="Y6173" s="7"/>
    </row>
    <row r="6174" spans="24:25" ht="43.95" customHeight="1" x14ac:dyDescent="0.3">
      <c r="X6174" s="2"/>
      <c r="Y6174" s="7"/>
    </row>
    <row r="6175" spans="24:25" ht="43.95" customHeight="1" x14ac:dyDescent="0.3">
      <c r="X6175" s="2"/>
      <c r="Y6175" s="7"/>
    </row>
    <row r="6176" spans="24:25" ht="43.95" customHeight="1" x14ac:dyDescent="0.3">
      <c r="X6176" s="2"/>
      <c r="Y6176" s="7"/>
    </row>
    <row r="6177" spans="24:25" ht="43.95" customHeight="1" x14ac:dyDescent="0.3">
      <c r="X6177" s="2"/>
      <c r="Y6177" s="7"/>
    </row>
    <row r="6178" spans="24:25" ht="43.95" customHeight="1" x14ac:dyDescent="0.3">
      <c r="X6178" s="2"/>
      <c r="Y6178" s="7"/>
    </row>
    <row r="6179" spans="24:25" ht="43.95" customHeight="1" x14ac:dyDescent="0.3">
      <c r="X6179" s="2"/>
      <c r="Y6179" s="7"/>
    </row>
    <row r="6180" spans="24:25" ht="43.95" customHeight="1" x14ac:dyDescent="0.3">
      <c r="X6180" s="2"/>
      <c r="Y6180" s="7"/>
    </row>
    <row r="6181" spans="24:25" ht="43.95" customHeight="1" x14ac:dyDescent="0.3">
      <c r="X6181" s="2"/>
      <c r="Y6181" s="7"/>
    </row>
    <row r="6182" spans="24:25" ht="43.95" customHeight="1" x14ac:dyDescent="0.3">
      <c r="X6182" s="2"/>
      <c r="Y6182" s="7"/>
    </row>
    <row r="6183" spans="24:25" ht="43.95" customHeight="1" x14ac:dyDescent="0.3">
      <c r="X6183" s="2"/>
      <c r="Y6183" s="7"/>
    </row>
    <row r="6184" spans="24:25" ht="43.95" customHeight="1" x14ac:dyDescent="0.3">
      <c r="X6184" s="2"/>
      <c r="Y6184" s="7"/>
    </row>
    <row r="6185" spans="24:25" ht="43.95" customHeight="1" x14ac:dyDescent="0.3">
      <c r="X6185" s="2"/>
      <c r="Y6185" s="7"/>
    </row>
    <row r="6186" spans="24:25" ht="43.95" customHeight="1" x14ac:dyDescent="0.3">
      <c r="X6186" s="2"/>
      <c r="Y6186" s="7"/>
    </row>
    <row r="6187" spans="24:25" ht="43.95" customHeight="1" x14ac:dyDescent="0.3">
      <c r="X6187" s="2"/>
      <c r="Y6187" s="7"/>
    </row>
    <row r="6188" spans="24:25" ht="43.95" customHeight="1" x14ac:dyDescent="0.3">
      <c r="X6188" s="2"/>
      <c r="Y6188" s="7"/>
    </row>
    <row r="6189" spans="24:25" ht="43.95" customHeight="1" x14ac:dyDescent="0.3">
      <c r="X6189" s="2"/>
      <c r="Y6189" s="7"/>
    </row>
    <row r="6190" spans="24:25" ht="43.95" customHeight="1" x14ac:dyDescent="0.3">
      <c r="X6190" s="2"/>
      <c r="Y6190" s="7"/>
    </row>
    <row r="6191" spans="24:25" ht="43.95" customHeight="1" x14ac:dyDescent="0.3">
      <c r="X6191" s="2"/>
      <c r="Y6191" s="7"/>
    </row>
    <row r="6192" spans="24:25" ht="43.95" customHeight="1" x14ac:dyDescent="0.3">
      <c r="X6192" s="2"/>
      <c r="Y6192" s="7"/>
    </row>
    <row r="6193" spans="24:25" ht="43.95" customHeight="1" x14ac:dyDescent="0.3">
      <c r="X6193" s="2"/>
      <c r="Y6193" s="7"/>
    </row>
    <row r="6194" spans="24:25" ht="43.95" customHeight="1" x14ac:dyDescent="0.3">
      <c r="X6194" s="2"/>
      <c r="Y6194" s="7"/>
    </row>
    <row r="6195" spans="24:25" ht="43.95" customHeight="1" x14ac:dyDescent="0.3">
      <c r="X6195" s="2"/>
      <c r="Y6195" s="7"/>
    </row>
    <row r="6196" spans="24:25" ht="43.95" customHeight="1" x14ac:dyDescent="0.3">
      <c r="X6196" s="2"/>
      <c r="Y6196" s="7"/>
    </row>
    <row r="6197" spans="24:25" ht="43.95" customHeight="1" x14ac:dyDescent="0.3">
      <c r="X6197" s="2"/>
      <c r="Y6197" s="7"/>
    </row>
    <row r="6198" spans="24:25" ht="43.95" customHeight="1" x14ac:dyDescent="0.3">
      <c r="X6198" s="2"/>
      <c r="Y6198" s="7"/>
    </row>
    <row r="6199" spans="24:25" ht="43.95" customHeight="1" x14ac:dyDescent="0.3">
      <c r="X6199" s="2"/>
      <c r="Y6199" s="7"/>
    </row>
    <row r="6200" spans="24:25" ht="43.95" customHeight="1" x14ac:dyDescent="0.3">
      <c r="X6200" s="2"/>
      <c r="Y6200" s="7"/>
    </row>
    <row r="6201" spans="24:25" ht="43.95" customHeight="1" x14ac:dyDescent="0.3">
      <c r="X6201" s="2"/>
      <c r="Y6201" s="7"/>
    </row>
    <row r="6202" spans="24:25" ht="43.95" customHeight="1" x14ac:dyDescent="0.3">
      <c r="X6202" s="2"/>
      <c r="Y6202" s="7"/>
    </row>
    <row r="6203" spans="24:25" ht="43.95" customHeight="1" x14ac:dyDescent="0.3">
      <c r="X6203" s="2"/>
      <c r="Y6203" s="7"/>
    </row>
    <row r="6204" spans="24:25" ht="43.95" customHeight="1" x14ac:dyDescent="0.3">
      <c r="X6204" s="2"/>
      <c r="Y6204" s="7"/>
    </row>
    <row r="6205" spans="24:25" ht="43.95" customHeight="1" x14ac:dyDescent="0.3">
      <c r="X6205" s="2"/>
      <c r="Y6205" s="7"/>
    </row>
    <row r="6206" spans="24:25" ht="43.95" customHeight="1" x14ac:dyDescent="0.3">
      <c r="X6206" s="2"/>
      <c r="Y6206" s="7"/>
    </row>
    <row r="6207" spans="24:25" ht="43.95" customHeight="1" x14ac:dyDescent="0.3">
      <c r="X6207" s="2"/>
      <c r="Y6207" s="7"/>
    </row>
    <row r="6208" spans="24:25" ht="43.95" customHeight="1" x14ac:dyDescent="0.3">
      <c r="X6208" s="2"/>
      <c r="Y6208" s="7"/>
    </row>
    <row r="6209" spans="24:25" ht="43.95" customHeight="1" x14ac:dyDescent="0.3">
      <c r="X6209" s="2"/>
      <c r="Y6209" s="7"/>
    </row>
    <row r="6210" spans="24:25" ht="43.95" customHeight="1" x14ac:dyDescent="0.3">
      <c r="X6210" s="2"/>
      <c r="Y6210" s="7"/>
    </row>
    <row r="6211" spans="24:25" ht="43.95" customHeight="1" x14ac:dyDescent="0.3">
      <c r="X6211" s="2"/>
      <c r="Y6211" s="7"/>
    </row>
    <row r="6212" spans="24:25" ht="43.95" customHeight="1" x14ac:dyDescent="0.3">
      <c r="X6212" s="2"/>
      <c r="Y6212" s="7"/>
    </row>
    <row r="6213" spans="24:25" ht="43.95" customHeight="1" x14ac:dyDescent="0.3">
      <c r="X6213" s="2"/>
      <c r="Y6213" s="7"/>
    </row>
    <row r="6214" spans="24:25" ht="43.95" customHeight="1" x14ac:dyDescent="0.3">
      <c r="X6214" s="2"/>
      <c r="Y6214" s="7"/>
    </row>
    <row r="6215" spans="24:25" ht="43.95" customHeight="1" x14ac:dyDescent="0.3">
      <c r="X6215" s="2"/>
      <c r="Y6215" s="7"/>
    </row>
    <row r="6216" spans="24:25" ht="43.95" customHeight="1" x14ac:dyDescent="0.3">
      <c r="X6216" s="2"/>
      <c r="Y6216" s="7"/>
    </row>
    <row r="6217" spans="24:25" ht="43.95" customHeight="1" x14ac:dyDescent="0.3">
      <c r="X6217" s="2"/>
      <c r="Y6217" s="7"/>
    </row>
    <row r="6218" spans="24:25" ht="43.95" customHeight="1" x14ac:dyDescent="0.3">
      <c r="X6218" s="2"/>
      <c r="Y6218" s="7"/>
    </row>
    <row r="6219" spans="24:25" ht="43.95" customHeight="1" x14ac:dyDescent="0.3">
      <c r="X6219" s="2"/>
      <c r="Y6219" s="7"/>
    </row>
    <row r="6220" spans="24:25" ht="43.95" customHeight="1" x14ac:dyDescent="0.3">
      <c r="X6220" s="2"/>
      <c r="Y6220" s="7"/>
    </row>
    <row r="6221" spans="24:25" ht="43.95" customHeight="1" x14ac:dyDescent="0.3">
      <c r="X6221" s="2"/>
      <c r="Y6221" s="7"/>
    </row>
    <row r="6222" spans="24:25" ht="43.95" customHeight="1" x14ac:dyDescent="0.3">
      <c r="X6222" s="2"/>
      <c r="Y6222" s="7"/>
    </row>
    <row r="6223" spans="24:25" ht="43.95" customHeight="1" x14ac:dyDescent="0.3">
      <c r="X6223" s="2"/>
      <c r="Y6223" s="7"/>
    </row>
    <row r="6224" spans="24:25" ht="43.95" customHeight="1" x14ac:dyDescent="0.3">
      <c r="X6224" s="2"/>
      <c r="Y6224" s="7"/>
    </row>
    <row r="6225" spans="24:25" ht="43.95" customHeight="1" x14ac:dyDescent="0.3">
      <c r="X6225" s="2"/>
      <c r="Y6225" s="7"/>
    </row>
    <row r="6226" spans="24:25" ht="43.95" customHeight="1" x14ac:dyDescent="0.3">
      <c r="X6226" s="2"/>
      <c r="Y6226" s="7"/>
    </row>
    <row r="6227" spans="24:25" ht="43.95" customHeight="1" x14ac:dyDescent="0.3">
      <c r="X6227" s="2"/>
      <c r="Y6227" s="7"/>
    </row>
    <row r="6228" spans="24:25" ht="43.95" customHeight="1" x14ac:dyDescent="0.3">
      <c r="X6228" s="2"/>
      <c r="Y6228" s="7"/>
    </row>
    <row r="6229" spans="24:25" ht="43.95" customHeight="1" x14ac:dyDescent="0.3">
      <c r="X6229" s="2"/>
      <c r="Y6229" s="7"/>
    </row>
    <row r="6230" spans="24:25" ht="43.95" customHeight="1" x14ac:dyDescent="0.3">
      <c r="X6230" s="2"/>
      <c r="Y6230" s="7"/>
    </row>
    <row r="6231" spans="24:25" ht="43.95" customHeight="1" x14ac:dyDescent="0.3">
      <c r="X6231" s="2"/>
      <c r="Y6231" s="7"/>
    </row>
    <row r="6232" spans="24:25" ht="43.95" customHeight="1" x14ac:dyDescent="0.3">
      <c r="X6232" s="2"/>
      <c r="Y6232" s="7"/>
    </row>
    <row r="6233" spans="24:25" ht="43.95" customHeight="1" x14ac:dyDescent="0.3">
      <c r="X6233" s="2"/>
      <c r="Y6233" s="7"/>
    </row>
    <row r="6234" spans="24:25" ht="43.95" customHeight="1" x14ac:dyDescent="0.3">
      <c r="X6234" s="2"/>
      <c r="Y6234" s="7"/>
    </row>
    <row r="6235" spans="24:25" ht="43.95" customHeight="1" x14ac:dyDescent="0.3">
      <c r="X6235" s="2"/>
      <c r="Y6235" s="7"/>
    </row>
    <row r="6236" spans="24:25" ht="43.95" customHeight="1" x14ac:dyDescent="0.3">
      <c r="X6236" s="2"/>
      <c r="Y6236" s="7"/>
    </row>
    <row r="6237" spans="24:25" ht="43.95" customHeight="1" x14ac:dyDescent="0.3">
      <c r="X6237" s="2"/>
      <c r="Y6237" s="7"/>
    </row>
    <row r="6238" spans="24:25" ht="43.95" customHeight="1" x14ac:dyDescent="0.3">
      <c r="X6238" s="2"/>
      <c r="Y6238" s="7"/>
    </row>
    <row r="6239" spans="24:25" ht="43.95" customHeight="1" x14ac:dyDescent="0.3">
      <c r="X6239" s="2"/>
      <c r="Y6239" s="7"/>
    </row>
    <row r="6240" spans="24:25" ht="43.95" customHeight="1" x14ac:dyDescent="0.3">
      <c r="X6240" s="2"/>
      <c r="Y6240" s="7"/>
    </row>
    <row r="6241" spans="24:25" ht="43.95" customHeight="1" x14ac:dyDescent="0.3">
      <c r="X6241" s="2"/>
      <c r="Y6241" s="7"/>
    </row>
    <row r="6242" spans="24:25" ht="43.95" customHeight="1" x14ac:dyDescent="0.3">
      <c r="X6242" s="2"/>
      <c r="Y6242" s="7"/>
    </row>
    <row r="6243" spans="24:25" ht="43.95" customHeight="1" x14ac:dyDescent="0.3">
      <c r="X6243" s="2"/>
      <c r="Y6243" s="7"/>
    </row>
    <row r="6244" spans="24:25" ht="43.95" customHeight="1" x14ac:dyDescent="0.3">
      <c r="X6244" s="2"/>
      <c r="Y6244" s="7"/>
    </row>
    <row r="6245" spans="24:25" ht="43.95" customHeight="1" x14ac:dyDescent="0.3">
      <c r="X6245" s="2"/>
      <c r="Y6245" s="7"/>
    </row>
    <row r="6246" spans="24:25" ht="43.95" customHeight="1" x14ac:dyDescent="0.3">
      <c r="X6246" s="2"/>
      <c r="Y6246" s="7"/>
    </row>
    <row r="6247" spans="24:25" ht="43.95" customHeight="1" x14ac:dyDescent="0.3">
      <c r="X6247" s="2"/>
      <c r="Y6247" s="7"/>
    </row>
    <row r="6248" spans="24:25" ht="43.95" customHeight="1" x14ac:dyDescent="0.3">
      <c r="X6248" s="2"/>
      <c r="Y6248" s="7"/>
    </row>
    <row r="6249" spans="24:25" ht="43.95" customHeight="1" x14ac:dyDescent="0.3">
      <c r="X6249" s="2"/>
      <c r="Y6249" s="7"/>
    </row>
    <row r="6250" spans="24:25" ht="43.95" customHeight="1" x14ac:dyDescent="0.3">
      <c r="X6250" s="2"/>
      <c r="Y6250" s="7"/>
    </row>
    <row r="6251" spans="24:25" ht="43.95" customHeight="1" x14ac:dyDescent="0.3">
      <c r="X6251" s="2"/>
      <c r="Y6251" s="7"/>
    </row>
    <row r="6252" spans="24:25" ht="43.95" customHeight="1" x14ac:dyDescent="0.3">
      <c r="X6252" s="2"/>
      <c r="Y6252" s="7"/>
    </row>
    <row r="6253" spans="24:25" ht="43.95" customHeight="1" x14ac:dyDescent="0.3">
      <c r="X6253" s="2"/>
      <c r="Y6253" s="7"/>
    </row>
    <row r="6254" spans="24:25" ht="43.95" customHeight="1" x14ac:dyDescent="0.3">
      <c r="X6254" s="2"/>
      <c r="Y6254" s="7"/>
    </row>
    <row r="6255" spans="24:25" ht="43.95" customHeight="1" x14ac:dyDescent="0.3">
      <c r="X6255" s="2"/>
      <c r="Y6255" s="7"/>
    </row>
    <row r="6256" spans="24:25" ht="43.95" customHeight="1" x14ac:dyDescent="0.3">
      <c r="X6256" s="2"/>
      <c r="Y6256" s="7"/>
    </row>
    <row r="6257" spans="24:25" ht="43.95" customHeight="1" x14ac:dyDescent="0.3">
      <c r="X6257" s="2"/>
      <c r="Y6257" s="7"/>
    </row>
    <row r="6258" spans="24:25" ht="43.95" customHeight="1" x14ac:dyDescent="0.3">
      <c r="X6258" s="2"/>
      <c r="Y6258" s="7"/>
    </row>
    <row r="6259" spans="24:25" ht="43.95" customHeight="1" x14ac:dyDescent="0.3">
      <c r="X6259" s="2"/>
      <c r="Y6259" s="7"/>
    </row>
    <row r="6260" spans="24:25" ht="43.95" customHeight="1" x14ac:dyDescent="0.3">
      <c r="X6260" s="250"/>
      <c r="Y6260" s="7"/>
    </row>
    <row r="6261" spans="24:25" ht="43.95" customHeight="1" x14ac:dyDescent="0.3">
      <c r="X6261" s="2"/>
      <c r="Y6261" s="7"/>
    </row>
    <row r="6262" spans="24:25" ht="43.95" customHeight="1" x14ac:dyDescent="0.3">
      <c r="X6262" s="2"/>
      <c r="Y6262" s="7"/>
    </row>
    <row r="6263" spans="24:25" ht="43.95" customHeight="1" x14ac:dyDescent="0.3">
      <c r="X6263" s="2"/>
      <c r="Y6263" s="7"/>
    </row>
    <row r="6264" spans="24:25" ht="43.95" customHeight="1" x14ac:dyDescent="0.3">
      <c r="X6264" s="2"/>
      <c r="Y6264" s="7"/>
    </row>
    <row r="6265" spans="24:25" ht="43.95" customHeight="1" x14ac:dyDescent="0.3">
      <c r="X6265" s="2"/>
      <c r="Y6265" s="7"/>
    </row>
    <row r="6266" spans="24:25" ht="43.95" customHeight="1" x14ac:dyDescent="0.3">
      <c r="X6266" s="2"/>
      <c r="Y6266" s="7"/>
    </row>
    <row r="6267" spans="24:25" ht="43.95" customHeight="1" x14ac:dyDescent="0.3">
      <c r="X6267" s="2"/>
      <c r="Y6267" s="7"/>
    </row>
    <row r="6268" spans="24:25" ht="43.95" customHeight="1" x14ac:dyDescent="0.3">
      <c r="X6268" s="2"/>
      <c r="Y6268" s="7"/>
    </row>
    <row r="6269" spans="24:25" ht="43.95" customHeight="1" x14ac:dyDescent="0.3">
      <c r="X6269" s="2"/>
      <c r="Y6269" s="7"/>
    </row>
    <row r="6270" spans="24:25" ht="43.95" customHeight="1" x14ac:dyDescent="0.3">
      <c r="X6270" s="2"/>
      <c r="Y6270" s="7"/>
    </row>
    <row r="6271" spans="24:25" ht="43.95" customHeight="1" x14ac:dyDescent="0.3">
      <c r="X6271" s="2"/>
      <c r="Y6271" s="7"/>
    </row>
    <row r="6272" spans="24:25" ht="43.95" customHeight="1" x14ac:dyDescent="0.3">
      <c r="X6272" s="2"/>
      <c r="Y6272" s="7"/>
    </row>
    <row r="6273" spans="24:25" ht="43.95" customHeight="1" x14ac:dyDescent="0.3">
      <c r="X6273" s="2"/>
      <c r="Y6273" s="7"/>
    </row>
    <row r="6274" spans="24:25" ht="43.95" customHeight="1" x14ac:dyDescent="0.3">
      <c r="X6274" s="2"/>
      <c r="Y6274" s="7"/>
    </row>
    <row r="6275" spans="24:25" ht="43.95" customHeight="1" x14ac:dyDescent="0.3">
      <c r="X6275" s="2"/>
      <c r="Y6275" s="7"/>
    </row>
    <row r="6276" spans="24:25" ht="43.95" customHeight="1" x14ac:dyDescent="0.3">
      <c r="X6276" s="2"/>
      <c r="Y6276" s="7"/>
    </row>
    <row r="6277" spans="24:25" ht="43.95" customHeight="1" x14ac:dyDescent="0.3">
      <c r="X6277" s="2"/>
      <c r="Y6277" s="7"/>
    </row>
    <row r="6278" spans="24:25" ht="43.95" customHeight="1" x14ac:dyDescent="0.3">
      <c r="X6278" s="2"/>
      <c r="Y6278" s="7"/>
    </row>
    <row r="6279" spans="24:25" ht="43.95" customHeight="1" x14ac:dyDescent="0.3">
      <c r="X6279" s="2"/>
      <c r="Y6279" s="7"/>
    </row>
    <row r="6280" spans="24:25" ht="43.95" customHeight="1" x14ac:dyDescent="0.3">
      <c r="X6280" s="2"/>
      <c r="Y6280" s="7"/>
    </row>
    <row r="6281" spans="24:25" ht="43.95" customHeight="1" x14ac:dyDescent="0.3">
      <c r="X6281" s="2"/>
      <c r="Y6281" s="7"/>
    </row>
    <row r="6282" spans="24:25" ht="43.95" customHeight="1" x14ac:dyDescent="0.3">
      <c r="X6282" s="2"/>
      <c r="Y6282" s="7"/>
    </row>
    <row r="6283" spans="24:25" ht="43.95" customHeight="1" x14ac:dyDescent="0.3">
      <c r="X6283" s="2"/>
      <c r="Y6283" s="7"/>
    </row>
    <row r="6284" spans="24:25" ht="43.95" customHeight="1" x14ac:dyDescent="0.3">
      <c r="X6284" s="2"/>
      <c r="Y6284" s="7"/>
    </row>
    <row r="6285" spans="24:25" ht="43.95" customHeight="1" x14ac:dyDescent="0.3">
      <c r="X6285" s="2"/>
      <c r="Y6285" s="7"/>
    </row>
    <row r="6286" spans="24:25" ht="43.95" customHeight="1" x14ac:dyDescent="0.3">
      <c r="X6286" s="2"/>
      <c r="Y6286" s="7"/>
    </row>
    <row r="6287" spans="24:25" ht="43.95" customHeight="1" x14ac:dyDescent="0.3">
      <c r="X6287" s="2"/>
      <c r="Y6287" s="7"/>
    </row>
    <row r="6288" spans="24:25" ht="43.95" customHeight="1" x14ac:dyDescent="0.3">
      <c r="X6288" s="2"/>
      <c r="Y6288" s="7"/>
    </row>
    <row r="6289" spans="24:25" ht="43.95" customHeight="1" x14ac:dyDescent="0.3">
      <c r="X6289" s="2"/>
      <c r="Y6289" s="7"/>
    </row>
    <row r="6290" spans="24:25" ht="43.95" customHeight="1" x14ac:dyDescent="0.3">
      <c r="X6290" s="2"/>
      <c r="Y6290" s="7"/>
    </row>
    <row r="6291" spans="24:25" ht="43.95" customHeight="1" x14ac:dyDescent="0.3">
      <c r="X6291" s="2"/>
      <c r="Y6291" s="7"/>
    </row>
    <row r="6292" spans="24:25" ht="43.95" customHeight="1" x14ac:dyDescent="0.3">
      <c r="X6292" s="2"/>
      <c r="Y6292" s="7"/>
    </row>
    <row r="6293" spans="24:25" ht="43.95" customHeight="1" x14ac:dyDescent="0.3">
      <c r="X6293" s="2"/>
      <c r="Y6293" s="7"/>
    </row>
    <row r="6294" spans="24:25" ht="43.95" customHeight="1" x14ac:dyDescent="0.3">
      <c r="X6294" s="2"/>
      <c r="Y6294" s="7"/>
    </row>
    <row r="6295" spans="24:25" ht="43.95" customHeight="1" x14ac:dyDescent="0.3">
      <c r="X6295" s="2"/>
      <c r="Y6295" s="7"/>
    </row>
    <row r="6296" spans="24:25" ht="43.95" customHeight="1" x14ac:dyDescent="0.3">
      <c r="X6296" s="2"/>
      <c r="Y6296" s="7"/>
    </row>
    <row r="6297" spans="24:25" ht="43.95" customHeight="1" x14ac:dyDescent="0.3">
      <c r="X6297" s="2"/>
      <c r="Y6297" s="7"/>
    </row>
    <row r="6298" spans="24:25" ht="43.95" customHeight="1" x14ac:dyDescent="0.3">
      <c r="X6298" s="2"/>
      <c r="Y6298" s="7"/>
    </row>
    <row r="6299" spans="24:25" ht="43.95" customHeight="1" x14ac:dyDescent="0.3">
      <c r="X6299" s="2"/>
      <c r="Y6299" s="7"/>
    </row>
    <row r="6300" spans="24:25" ht="43.95" customHeight="1" x14ac:dyDescent="0.3">
      <c r="X6300" s="2"/>
      <c r="Y6300" s="7"/>
    </row>
    <row r="6301" spans="24:25" ht="43.95" customHeight="1" x14ac:dyDescent="0.3">
      <c r="X6301" s="2"/>
      <c r="Y6301" s="7"/>
    </row>
    <row r="6302" spans="24:25" ht="43.95" customHeight="1" x14ac:dyDescent="0.3">
      <c r="X6302" s="2"/>
      <c r="Y6302" s="7"/>
    </row>
    <row r="6303" spans="24:25" ht="43.95" customHeight="1" x14ac:dyDescent="0.3">
      <c r="X6303" s="2"/>
      <c r="Y6303" s="7"/>
    </row>
    <row r="6304" spans="24:25" ht="43.95" customHeight="1" x14ac:dyDescent="0.3">
      <c r="X6304" s="2"/>
      <c r="Y6304" s="7"/>
    </row>
    <row r="6305" spans="24:25" ht="43.95" customHeight="1" x14ac:dyDescent="0.3">
      <c r="X6305" s="2"/>
      <c r="Y6305" s="7"/>
    </row>
    <row r="6306" spans="24:25" ht="43.95" customHeight="1" x14ac:dyDescent="0.3">
      <c r="X6306" s="2"/>
      <c r="Y6306" s="7"/>
    </row>
    <row r="6307" spans="24:25" ht="43.95" customHeight="1" x14ac:dyDescent="0.3">
      <c r="X6307" s="2"/>
      <c r="Y6307" s="7"/>
    </row>
    <row r="6308" spans="24:25" ht="43.95" customHeight="1" x14ac:dyDescent="0.3">
      <c r="X6308" s="2"/>
      <c r="Y6308" s="7"/>
    </row>
    <row r="6309" spans="24:25" ht="43.95" customHeight="1" x14ac:dyDescent="0.3">
      <c r="X6309" s="2"/>
      <c r="Y6309" s="7"/>
    </row>
    <row r="6310" spans="24:25" ht="43.95" customHeight="1" x14ac:dyDescent="0.3">
      <c r="X6310" s="2"/>
      <c r="Y6310" s="7"/>
    </row>
    <row r="6311" spans="24:25" ht="43.95" customHeight="1" x14ac:dyDescent="0.3">
      <c r="X6311" s="2"/>
      <c r="Y6311" s="7"/>
    </row>
    <row r="6312" spans="24:25" ht="43.95" customHeight="1" x14ac:dyDescent="0.3">
      <c r="X6312" s="2"/>
      <c r="Y6312" s="7"/>
    </row>
    <row r="6313" spans="24:25" ht="43.95" customHeight="1" x14ac:dyDescent="0.3">
      <c r="X6313" s="2"/>
      <c r="Y6313" s="7"/>
    </row>
    <row r="6314" spans="24:25" ht="43.95" customHeight="1" x14ac:dyDescent="0.3">
      <c r="X6314" s="2"/>
      <c r="Y6314" s="7"/>
    </row>
    <row r="6315" spans="24:25" ht="43.95" customHeight="1" x14ac:dyDescent="0.3">
      <c r="X6315" s="2"/>
      <c r="Y6315" s="7"/>
    </row>
    <row r="6316" spans="24:25" ht="43.95" customHeight="1" x14ac:dyDescent="0.3">
      <c r="X6316" s="2"/>
      <c r="Y6316" s="7"/>
    </row>
    <row r="6317" spans="24:25" ht="43.95" customHeight="1" x14ac:dyDescent="0.3">
      <c r="X6317" s="2"/>
      <c r="Y6317" s="7"/>
    </row>
    <row r="6318" spans="24:25" ht="43.95" customHeight="1" x14ac:dyDescent="0.3">
      <c r="X6318" s="2"/>
      <c r="Y6318" s="7"/>
    </row>
    <row r="6319" spans="24:25" ht="43.95" customHeight="1" x14ac:dyDescent="0.3">
      <c r="X6319" s="2"/>
      <c r="Y6319" s="7"/>
    </row>
    <row r="6320" spans="24:25" ht="43.95" customHeight="1" x14ac:dyDescent="0.3">
      <c r="X6320" s="2"/>
      <c r="Y6320" s="7"/>
    </row>
    <row r="6321" spans="24:25" ht="43.95" customHeight="1" x14ac:dyDescent="0.3">
      <c r="X6321" s="2"/>
      <c r="Y6321" s="7"/>
    </row>
    <row r="6322" spans="24:25" ht="43.95" customHeight="1" x14ac:dyDescent="0.3">
      <c r="X6322" s="2"/>
      <c r="Y6322" s="7"/>
    </row>
    <row r="6323" spans="24:25" ht="43.95" customHeight="1" x14ac:dyDescent="0.3">
      <c r="X6323" s="2"/>
      <c r="Y6323" s="7"/>
    </row>
    <row r="6324" spans="24:25" ht="43.95" customHeight="1" x14ac:dyDescent="0.3">
      <c r="X6324" s="2"/>
      <c r="Y6324" s="7"/>
    </row>
    <row r="6325" spans="24:25" ht="43.95" customHeight="1" x14ac:dyDescent="0.3">
      <c r="X6325" s="31"/>
      <c r="Y6325" s="7"/>
    </row>
    <row r="6326" spans="24:25" ht="43.95" customHeight="1" x14ac:dyDescent="0.3">
      <c r="X6326" s="2"/>
      <c r="Y6326" s="7"/>
    </row>
    <row r="6327" spans="24:25" ht="43.95" customHeight="1" x14ac:dyDescent="0.3">
      <c r="X6327" s="2"/>
      <c r="Y6327" s="7"/>
    </row>
    <row r="6328" spans="24:25" ht="43.95" customHeight="1" x14ac:dyDescent="0.3">
      <c r="X6328" s="2"/>
      <c r="Y6328" s="7"/>
    </row>
    <row r="6329" spans="24:25" ht="43.95" customHeight="1" x14ac:dyDescent="0.3">
      <c r="X6329" s="2"/>
      <c r="Y6329" s="7"/>
    </row>
    <row r="6330" spans="24:25" ht="43.95" customHeight="1" x14ac:dyDescent="0.3">
      <c r="X6330" s="2"/>
      <c r="Y6330" s="7"/>
    </row>
    <row r="6331" spans="24:25" ht="43.95" customHeight="1" x14ac:dyDescent="0.3">
      <c r="X6331" s="2"/>
      <c r="Y6331" s="7"/>
    </row>
    <row r="6332" spans="24:25" ht="43.95" customHeight="1" x14ac:dyDescent="0.3">
      <c r="X6332" s="2"/>
      <c r="Y6332" s="7"/>
    </row>
    <row r="6333" spans="24:25" ht="43.95" customHeight="1" x14ac:dyDescent="0.3">
      <c r="X6333" s="2"/>
      <c r="Y6333" s="7"/>
    </row>
    <row r="6334" spans="24:25" ht="43.95" customHeight="1" x14ac:dyDescent="0.3">
      <c r="X6334" s="2"/>
      <c r="Y6334" s="7"/>
    </row>
    <row r="6335" spans="24:25" ht="43.95" customHeight="1" x14ac:dyDescent="0.3">
      <c r="X6335" s="2"/>
      <c r="Y6335" s="7"/>
    </row>
    <row r="6336" spans="24:25" ht="43.95" customHeight="1" x14ac:dyDescent="0.3">
      <c r="X6336" s="2"/>
      <c r="Y6336" s="7"/>
    </row>
    <row r="6337" spans="24:25" ht="43.95" customHeight="1" x14ac:dyDescent="0.3">
      <c r="X6337" s="2"/>
      <c r="Y6337" s="7"/>
    </row>
    <row r="6338" spans="24:25" ht="43.95" customHeight="1" x14ac:dyDescent="0.3">
      <c r="X6338" s="2"/>
      <c r="Y6338" s="7"/>
    </row>
    <row r="6339" spans="24:25" ht="43.95" customHeight="1" x14ac:dyDescent="0.3">
      <c r="X6339" s="2"/>
      <c r="Y6339" s="7"/>
    </row>
    <row r="6340" spans="24:25" ht="43.95" customHeight="1" x14ac:dyDescent="0.3">
      <c r="X6340" s="2"/>
      <c r="Y6340" s="7"/>
    </row>
    <row r="6341" spans="24:25" ht="43.95" customHeight="1" x14ac:dyDescent="0.3">
      <c r="X6341" s="2"/>
      <c r="Y6341" s="7"/>
    </row>
    <row r="6342" spans="24:25" ht="43.95" customHeight="1" x14ac:dyDescent="0.3">
      <c r="X6342" s="2"/>
      <c r="Y6342" s="7"/>
    </row>
    <row r="6343" spans="24:25" ht="43.95" customHeight="1" x14ac:dyDescent="0.3">
      <c r="X6343" s="2"/>
      <c r="Y6343" s="7"/>
    </row>
    <row r="6344" spans="24:25" ht="43.95" customHeight="1" x14ac:dyDescent="0.3">
      <c r="X6344" s="2"/>
      <c r="Y6344" s="7"/>
    </row>
    <row r="6345" spans="24:25" ht="43.95" customHeight="1" x14ac:dyDescent="0.3">
      <c r="X6345" s="2"/>
      <c r="Y6345" s="7"/>
    </row>
    <row r="6346" spans="24:25" ht="43.95" customHeight="1" x14ac:dyDescent="0.3">
      <c r="X6346" s="2"/>
      <c r="Y6346" s="7"/>
    </row>
    <row r="6347" spans="24:25" ht="43.95" customHeight="1" x14ac:dyDescent="0.3">
      <c r="X6347" s="2"/>
      <c r="Y6347" s="7"/>
    </row>
    <row r="6348" spans="24:25" ht="43.95" customHeight="1" x14ac:dyDescent="0.3">
      <c r="X6348" s="2"/>
      <c r="Y6348" s="7"/>
    </row>
    <row r="6349" spans="24:25" ht="43.95" customHeight="1" x14ac:dyDescent="0.3">
      <c r="X6349" s="2"/>
      <c r="Y6349" s="7"/>
    </row>
    <row r="6350" spans="24:25" ht="43.95" customHeight="1" x14ac:dyDescent="0.3">
      <c r="X6350" s="2"/>
      <c r="Y6350" s="7"/>
    </row>
    <row r="6351" spans="24:25" ht="43.95" customHeight="1" x14ac:dyDescent="0.3">
      <c r="X6351" s="2"/>
      <c r="Y6351" s="7"/>
    </row>
    <row r="6352" spans="24:25" ht="43.95" customHeight="1" x14ac:dyDescent="0.3">
      <c r="X6352" s="2"/>
      <c r="Y6352" s="7"/>
    </row>
    <row r="6353" spans="24:25" ht="43.95" customHeight="1" x14ac:dyDescent="0.3">
      <c r="X6353" s="2"/>
      <c r="Y6353" s="7"/>
    </row>
    <row r="6354" spans="24:25" ht="43.95" customHeight="1" x14ac:dyDescent="0.3">
      <c r="X6354" s="2"/>
      <c r="Y6354" s="7"/>
    </row>
    <row r="6355" spans="24:25" ht="43.95" customHeight="1" x14ac:dyDescent="0.3">
      <c r="X6355" s="2"/>
      <c r="Y6355" s="7"/>
    </row>
    <row r="6356" spans="24:25" ht="43.95" customHeight="1" x14ac:dyDescent="0.3">
      <c r="X6356" s="2"/>
      <c r="Y6356" s="7"/>
    </row>
    <row r="6357" spans="24:25" ht="43.95" customHeight="1" x14ac:dyDescent="0.3">
      <c r="X6357" s="2"/>
      <c r="Y6357" s="7"/>
    </row>
    <row r="6358" spans="24:25" ht="43.95" customHeight="1" x14ac:dyDescent="0.3">
      <c r="X6358" s="2"/>
      <c r="Y6358" s="7"/>
    </row>
    <row r="6359" spans="24:25" ht="43.95" customHeight="1" x14ac:dyDescent="0.3">
      <c r="X6359" s="2"/>
      <c r="Y6359" s="7"/>
    </row>
    <row r="6360" spans="24:25" ht="43.95" customHeight="1" x14ac:dyDescent="0.3">
      <c r="X6360" s="2"/>
      <c r="Y6360" s="7"/>
    </row>
    <row r="6361" spans="24:25" ht="43.95" customHeight="1" x14ac:dyDescent="0.3">
      <c r="X6361" s="2"/>
      <c r="Y6361" s="7"/>
    </row>
    <row r="6362" spans="24:25" ht="43.95" customHeight="1" x14ac:dyDescent="0.3">
      <c r="X6362" s="2"/>
      <c r="Y6362" s="7"/>
    </row>
    <row r="6363" spans="24:25" ht="43.95" customHeight="1" x14ac:dyDescent="0.3">
      <c r="X6363" s="2"/>
      <c r="Y6363" s="7"/>
    </row>
    <row r="6364" spans="24:25" ht="43.95" customHeight="1" x14ac:dyDescent="0.3">
      <c r="X6364" s="2"/>
      <c r="Y6364" s="7"/>
    </row>
    <row r="6365" spans="24:25" ht="43.95" customHeight="1" x14ac:dyDescent="0.3">
      <c r="X6365" s="2"/>
      <c r="Y6365" s="7"/>
    </row>
    <row r="6366" spans="24:25" ht="43.95" customHeight="1" x14ac:dyDescent="0.3">
      <c r="X6366" s="2"/>
      <c r="Y6366" s="7"/>
    </row>
    <row r="6367" spans="24:25" ht="43.95" customHeight="1" x14ac:dyDescent="0.3">
      <c r="X6367" s="2"/>
      <c r="Y6367" s="7"/>
    </row>
    <row r="6368" spans="24:25" ht="43.95" customHeight="1" x14ac:dyDescent="0.3">
      <c r="X6368" s="2"/>
      <c r="Y6368" s="7"/>
    </row>
    <row r="6369" spans="24:25" ht="43.95" customHeight="1" x14ac:dyDescent="0.3">
      <c r="X6369" s="2"/>
      <c r="Y6369" s="7"/>
    </row>
    <row r="6370" spans="24:25" ht="43.95" customHeight="1" x14ac:dyDescent="0.3">
      <c r="X6370" s="2"/>
      <c r="Y6370" s="7"/>
    </row>
    <row r="6371" spans="24:25" ht="43.95" customHeight="1" x14ac:dyDescent="0.3">
      <c r="X6371" s="2"/>
      <c r="Y6371" s="7"/>
    </row>
    <row r="6372" spans="24:25" ht="43.95" customHeight="1" x14ac:dyDescent="0.3">
      <c r="X6372" s="2"/>
      <c r="Y6372" s="7"/>
    </row>
    <row r="6373" spans="24:25" ht="43.95" customHeight="1" x14ac:dyDescent="0.3">
      <c r="X6373" s="2"/>
      <c r="Y6373" s="7"/>
    </row>
    <row r="6374" spans="24:25" ht="43.95" customHeight="1" x14ac:dyDescent="0.3">
      <c r="X6374" s="2"/>
      <c r="Y6374" s="7"/>
    </row>
    <row r="6375" spans="24:25" ht="43.95" customHeight="1" x14ac:dyDescent="0.3">
      <c r="X6375" s="2"/>
      <c r="Y6375" s="7"/>
    </row>
    <row r="6376" spans="24:25" ht="43.95" customHeight="1" x14ac:dyDescent="0.3">
      <c r="X6376" s="2"/>
      <c r="Y6376" s="7"/>
    </row>
    <row r="6377" spans="24:25" ht="43.95" customHeight="1" x14ac:dyDescent="0.3">
      <c r="X6377" s="2"/>
      <c r="Y6377" s="7"/>
    </row>
    <row r="6378" spans="24:25" ht="43.95" customHeight="1" x14ac:dyDescent="0.3">
      <c r="X6378" s="2"/>
      <c r="Y6378" s="7"/>
    </row>
    <row r="6379" spans="24:25" ht="43.95" customHeight="1" x14ac:dyDescent="0.3">
      <c r="X6379" s="2"/>
      <c r="Y6379" s="7"/>
    </row>
    <row r="6380" spans="24:25" ht="43.95" customHeight="1" x14ac:dyDescent="0.3">
      <c r="X6380" s="2"/>
      <c r="Y6380" s="7"/>
    </row>
    <row r="6381" spans="24:25" ht="43.95" customHeight="1" x14ac:dyDescent="0.3">
      <c r="X6381" s="2"/>
      <c r="Y6381" s="7"/>
    </row>
    <row r="6382" spans="24:25" ht="43.95" customHeight="1" x14ac:dyDescent="0.3">
      <c r="X6382" s="2"/>
      <c r="Y6382" s="7"/>
    </row>
    <row r="6383" spans="24:25" ht="43.95" customHeight="1" x14ac:dyDescent="0.3">
      <c r="X6383" s="2"/>
      <c r="Y6383" s="7"/>
    </row>
    <row r="6384" spans="24:25" ht="43.95" customHeight="1" x14ac:dyDescent="0.3">
      <c r="X6384" s="2"/>
      <c r="Y6384" s="7"/>
    </row>
    <row r="6385" spans="24:25" ht="43.95" customHeight="1" x14ac:dyDescent="0.3">
      <c r="X6385" s="2"/>
      <c r="Y6385" s="7"/>
    </row>
    <row r="6386" spans="24:25" ht="43.95" customHeight="1" x14ac:dyDescent="0.3">
      <c r="X6386" s="2"/>
      <c r="Y6386" s="7"/>
    </row>
    <row r="6387" spans="24:25" ht="43.95" customHeight="1" x14ac:dyDescent="0.3">
      <c r="X6387" s="2"/>
      <c r="Y6387" s="7"/>
    </row>
    <row r="6388" spans="24:25" ht="43.95" customHeight="1" x14ac:dyDescent="0.3">
      <c r="X6388" s="242"/>
      <c r="Y6388" s="7"/>
    </row>
    <row r="6389" spans="24:25" ht="43.95" customHeight="1" x14ac:dyDescent="0.3">
      <c r="X6389" s="2"/>
      <c r="Y6389" s="7"/>
    </row>
    <row r="6390" spans="24:25" ht="43.95" customHeight="1" x14ac:dyDescent="0.3">
      <c r="X6390" s="242"/>
      <c r="Y6390" s="7"/>
    </row>
    <row r="6391" spans="24:25" ht="43.95" customHeight="1" x14ac:dyDescent="0.3">
      <c r="X6391" s="2"/>
      <c r="Y6391" s="7"/>
    </row>
    <row r="6392" spans="24:25" ht="43.95" customHeight="1" x14ac:dyDescent="0.3">
      <c r="X6392" s="242"/>
      <c r="Y6392" s="7"/>
    </row>
    <row r="6393" spans="24:25" ht="43.95" customHeight="1" x14ac:dyDescent="0.3">
      <c r="X6393" s="2"/>
      <c r="Y6393" s="7"/>
    </row>
    <row r="6394" spans="24:25" ht="43.95" customHeight="1" x14ac:dyDescent="0.3">
      <c r="X6394" s="2"/>
      <c r="Y6394" s="7"/>
    </row>
    <row r="6395" spans="24:25" ht="43.95" customHeight="1" x14ac:dyDescent="0.3">
      <c r="X6395" s="2"/>
      <c r="Y6395" s="7"/>
    </row>
    <row r="6396" spans="24:25" ht="43.95" customHeight="1" x14ac:dyDescent="0.3">
      <c r="X6396" s="2"/>
      <c r="Y6396" s="7"/>
    </row>
    <row r="6397" spans="24:25" ht="43.95" customHeight="1" x14ac:dyDescent="0.3">
      <c r="X6397" s="2"/>
      <c r="Y6397" s="7"/>
    </row>
    <row r="6398" spans="24:25" ht="43.95" customHeight="1" x14ac:dyDescent="0.3">
      <c r="X6398" s="2"/>
      <c r="Y6398" s="7"/>
    </row>
    <row r="6399" spans="24:25" ht="43.95" customHeight="1" x14ac:dyDescent="0.3">
      <c r="X6399" s="2"/>
      <c r="Y6399" s="7"/>
    </row>
    <row r="6400" spans="24:25" ht="43.95" customHeight="1" x14ac:dyDescent="0.3">
      <c r="X6400" s="2"/>
      <c r="Y6400" s="7"/>
    </row>
    <row r="6401" spans="24:25" ht="43.95" customHeight="1" x14ac:dyDescent="0.3">
      <c r="X6401" s="2"/>
      <c r="Y6401" s="7"/>
    </row>
    <row r="6402" spans="24:25" ht="43.95" customHeight="1" x14ac:dyDescent="0.3">
      <c r="X6402" s="2"/>
      <c r="Y6402" s="7"/>
    </row>
    <row r="6403" spans="24:25" ht="43.95" customHeight="1" x14ac:dyDescent="0.3">
      <c r="X6403" s="250"/>
      <c r="Y6403" s="7"/>
    </row>
    <row r="6404" spans="24:25" ht="43.95" customHeight="1" x14ac:dyDescent="0.3">
      <c r="X6404" s="2"/>
      <c r="Y6404" s="7"/>
    </row>
    <row r="6405" spans="24:25" ht="43.95" customHeight="1" x14ac:dyDescent="0.3">
      <c r="X6405" s="2"/>
      <c r="Y6405" s="7"/>
    </row>
    <row r="6406" spans="24:25" ht="43.95" customHeight="1" x14ac:dyDescent="0.3">
      <c r="X6406" s="2"/>
      <c r="Y6406" s="7"/>
    </row>
    <row r="6407" spans="24:25" ht="43.95" customHeight="1" x14ac:dyDescent="0.3">
      <c r="X6407" s="2"/>
      <c r="Y6407" s="7"/>
    </row>
    <row r="6408" spans="24:25" ht="43.95" customHeight="1" x14ac:dyDescent="0.3">
      <c r="X6408" s="2"/>
      <c r="Y6408" s="7"/>
    </row>
    <row r="6409" spans="24:25" ht="43.95" customHeight="1" x14ac:dyDescent="0.3">
      <c r="X6409" s="242"/>
      <c r="Y6409" s="7"/>
    </row>
    <row r="6410" spans="24:25" ht="43.95" customHeight="1" x14ac:dyDescent="0.3">
      <c r="X6410" s="2"/>
      <c r="Y6410" s="7"/>
    </row>
    <row r="6411" spans="24:25" ht="43.95" customHeight="1" x14ac:dyDescent="0.3">
      <c r="X6411" s="2"/>
      <c r="Y6411" s="7"/>
    </row>
    <row r="6412" spans="24:25" ht="43.95" customHeight="1" x14ac:dyDescent="0.3">
      <c r="X6412" s="2"/>
      <c r="Y6412" s="7"/>
    </row>
    <row r="6413" spans="24:25" ht="43.95" customHeight="1" x14ac:dyDescent="0.3">
      <c r="X6413" s="2"/>
      <c r="Y6413" s="7"/>
    </row>
    <row r="6414" spans="24:25" ht="43.95" customHeight="1" x14ac:dyDescent="0.3">
      <c r="X6414" s="2"/>
      <c r="Y6414" s="7"/>
    </row>
    <row r="6415" spans="24:25" ht="43.95" customHeight="1" x14ac:dyDescent="0.3">
      <c r="X6415" s="242"/>
      <c r="Y6415" s="7"/>
    </row>
    <row r="6416" spans="24:25" ht="43.95" customHeight="1" x14ac:dyDescent="0.3">
      <c r="X6416" s="2"/>
      <c r="Y6416" s="7"/>
    </row>
    <row r="6417" spans="24:25" ht="43.95" customHeight="1" x14ac:dyDescent="0.3">
      <c r="X6417" s="2"/>
      <c r="Y6417" s="7"/>
    </row>
    <row r="6418" spans="24:25" ht="43.95" customHeight="1" x14ac:dyDescent="0.3">
      <c r="X6418" s="2"/>
      <c r="Y6418" s="7"/>
    </row>
    <row r="6419" spans="24:25" ht="43.95" customHeight="1" x14ac:dyDescent="0.3">
      <c r="X6419" s="242"/>
      <c r="Y6419" s="7"/>
    </row>
    <row r="6420" spans="24:25" ht="43.95" customHeight="1" x14ac:dyDescent="0.3">
      <c r="X6420" s="242"/>
      <c r="Y6420" s="7"/>
    </row>
    <row r="6421" spans="24:25" ht="43.95" customHeight="1" x14ac:dyDescent="0.3">
      <c r="X6421" s="2"/>
      <c r="Y6421" s="7"/>
    </row>
    <row r="6422" spans="24:25" ht="43.95" customHeight="1" x14ac:dyDescent="0.3">
      <c r="X6422" s="2"/>
      <c r="Y6422" s="7"/>
    </row>
    <row r="6423" spans="24:25" ht="43.95" customHeight="1" x14ac:dyDescent="0.3">
      <c r="X6423" s="2"/>
      <c r="Y6423" s="7"/>
    </row>
    <row r="6424" spans="24:25" ht="43.95" customHeight="1" x14ac:dyDescent="0.3">
      <c r="X6424" s="2"/>
      <c r="Y6424" s="7"/>
    </row>
    <row r="6425" spans="24:25" ht="43.95" customHeight="1" x14ac:dyDescent="0.3">
      <c r="X6425" s="2"/>
      <c r="Y6425" s="7"/>
    </row>
    <row r="6426" spans="24:25" ht="43.95" customHeight="1" x14ac:dyDescent="0.3">
      <c r="X6426" s="2"/>
      <c r="Y6426" s="7"/>
    </row>
    <row r="6427" spans="24:25" ht="43.95" customHeight="1" x14ac:dyDescent="0.3">
      <c r="X6427" s="2"/>
      <c r="Y6427" s="7"/>
    </row>
    <row r="6428" spans="24:25" ht="43.95" customHeight="1" x14ac:dyDescent="0.3">
      <c r="X6428" s="2"/>
      <c r="Y6428" s="7"/>
    </row>
    <row r="6429" spans="24:25" ht="43.95" customHeight="1" x14ac:dyDescent="0.3">
      <c r="X6429" s="2"/>
      <c r="Y6429" s="7"/>
    </row>
    <row r="6430" spans="24:25" ht="43.95" customHeight="1" x14ac:dyDescent="0.3">
      <c r="X6430" s="2"/>
      <c r="Y6430" s="7"/>
    </row>
    <row r="6431" spans="24:25" ht="43.95" customHeight="1" x14ac:dyDescent="0.3">
      <c r="X6431" s="242"/>
      <c r="Y6431" s="7"/>
    </row>
    <row r="6432" spans="24:25" ht="43.95" customHeight="1" x14ac:dyDescent="0.3">
      <c r="X6432" s="2"/>
      <c r="Y6432" s="7"/>
    </row>
    <row r="6433" spans="24:25" ht="43.95" customHeight="1" x14ac:dyDescent="0.3">
      <c r="X6433" s="2"/>
      <c r="Y6433" s="7"/>
    </row>
    <row r="6434" spans="24:25" ht="43.95" customHeight="1" x14ac:dyDescent="0.3">
      <c r="X6434" s="2"/>
      <c r="Y6434" s="7"/>
    </row>
    <row r="6435" spans="24:25" ht="43.95" customHeight="1" x14ac:dyDescent="0.3">
      <c r="X6435" s="2"/>
      <c r="Y6435" s="7"/>
    </row>
    <row r="6436" spans="24:25" ht="43.95" customHeight="1" x14ac:dyDescent="0.3">
      <c r="X6436" s="2"/>
      <c r="Y6436" s="7"/>
    </row>
    <row r="6437" spans="24:25" ht="43.95" customHeight="1" x14ac:dyDescent="0.3">
      <c r="X6437" s="2"/>
      <c r="Y6437" s="7"/>
    </row>
    <row r="6438" spans="24:25" ht="43.95" customHeight="1" x14ac:dyDescent="0.3">
      <c r="X6438" s="2"/>
      <c r="Y6438" s="7"/>
    </row>
    <row r="6439" spans="24:25" ht="43.95" customHeight="1" x14ac:dyDescent="0.3">
      <c r="X6439" s="2"/>
      <c r="Y6439" s="7"/>
    </row>
    <row r="6440" spans="24:25" ht="43.95" customHeight="1" x14ac:dyDescent="0.3">
      <c r="X6440" s="2"/>
      <c r="Y6440" s="7"/>
    </row>
    <row r="6441" spans="24:25" ht="43.95" customHeight="1" x14ac:dyDescent="0.3">
      <c r="X6441" s="2"/>
      <c r="Y6441" s="7"/>
    </row>
    <row r="6442" spans="24:25" ht="43.95" customHeight="1" x14ac:dyDescent="0.3">
      <c r="X6442" s="2"/>
      <c r="Y6442" s="7"/>
    </row>
    <row r="6443" spans="24:25" ht="43.95" customHeight="1" x14ac:dyDescent="0.3">
      <c r="X6443" s="2"/>
      <c r="Y6443" s="7"/>
    </row>
    <row r="6444" spans="24:25" ht="43.95" customHeight="1" x14ac:dyDescent="0.3">
      <c r="X6444" s="2"/>
      <c r="Y6444" s="7"/>
    </row>
    <row r="6445" spans="24:25" ht="43.95" customHeight="1" x14ac:dyDescent="0.3">
      <c r="X6445" s="2"/>
      <c r="Y6445" s="7"/>
    </row>
    <row r="6446" spans="24:25" ht="43.95" customHeight="1" x14ac:dyDescent="0.3">
      <c r="X6446" s="2"/>
      <c r="Y6446" s="7"/>
    </row>
    <row r="6447" spans="24:25" ht="43.95" customHeight="1" x14ac:dyDescent="0.3">
      <c r="X6447" s="2"/>
      <c r="Y6447" s="7"/>
    </row>
    <row r="6448" spans="24:25" ht="43.95" customHeight="1" x14ac:dyDescent="0.3">
      <c r="X6448" s="2"/>
      <c r="Y6448" s="7"/>
    </row>
    <row r="6449" spans="24:25" ht="43.95" customHeight="1" x14ac:dyDescent="0.3">
      <c r="X6449" s="2"/>
      <c r="Y6449" s="7"/>
    </row>
    <row r="6450" spans="24:25" ht="43.95" customHeight="1" x14ac:dyDescent="0.3">
      <c r="X6450" s="2"/>
      <c r="Y6450" s="7"/>
    </row>
    <row r="6451" spans="24:25" ht="43.95" customHeight="1" x14ac:dyDescent="0.3">
      <c r="X6451" s="2"/>
      <c r="Y6451" s="7"/>
    </row>
    <row r="6452" spans="24:25" ht="43.95" customHeight="1" x14ac:dyDescent="0.3">
      <c r="X6452" s="2"/>
      <c r="Y6452" s="7"/>
    </row>
    <row r="6453" spans="24:25" ht="43.95" customHeight="1" x14ac:dyDescent="0.3">
      <c r="X6453" s="2"/>
      <c r="Y6453" s="7"/>
    </row>
    <row r="6454" spans="24:25" ht="43.95" customHeight="1" x14ac:dyDescent="0.3">
      <c r="X6454" s="2"/>
      <c r="Y6454" s="7"/>
    </row>
    <row r="6455" spans="24:25" ht="43.95" customHeight="1" x14ac:dyDescent="0.3">
      <c r="X6455" s="2"/>
      <c r="Y6455" s="7"/>
    </row>
    <row r="6456" spans="24:25" ht="43.95" customHeight="1" x14ac:dyDescent="0.3">
      <c r="X6456" s="2"/>
      <c r="Y6456" s="7"/>
    </row>
    <row r="6457" spans="24:25" ht="43.95" customHeight="1" x14ac:dyDescent="0.3">
      <c r="X6457" s="2"/>
      <c r="Y6457" s="7"/>
    </row>
    <row r="6458" spans="24:25" ht="43.95" customHeight="1" x14ac:dyDescent="0.3">
      <c r="X6458" s="2"/>
      <c r="Y6458" s="7"/>
    </row>
    <row r="6459" spans="24:25" ht="43.95" customHeight="1" x14ac:dyDescent="0.3">
      <c r="X6459" s="2"/>
      <c r="Y6459" s="7"/>
    </row>
    <row r="6460" spans="24:25" ht="43.95" customHeight="1" x14ac:dyDescent="0.3">
      <c r="X6460" s="2"/>
      <c r="Y6460" s="7"/>
    </row>
    <row r="6461" spans="24:25" ht="43.95" customHeight="1" x14ac:dyDescent="0.3">
      <c r="X6461" s="2"/>
      <c r="Y6461" s="7"/>
    </row>
    <row r="6462" spans="24:25" ht="43.95" customHeight="1" x14ac:dyDescent="0.3">
      <c r="X6462" s="2"/>
      <c r="Y6462" s="7"/>
    </row>
    <row r="6463" spans="24:25" ht="43.95" customHeight="1" x14ac:dyDescent="0.3">
      <c r="X6463" s="2"/>
      <c r="Y6463" s="7"/>
    </row>
    <row r="6464" spans="24:25" ht="43.95" customHeight="1" x14ac:dyDescent="0.3">
      <c r="X6464" s="2"/>
      <c r="Y6464" s="7"/>
    </row>
    <row r="6465" spans="24:25" ht="43.95" customHeight="1" x14ac:dyDescent="0.3">
      <c r="X6465" s="2"/>
      <c r="Y6465" s="7"/>
    </row>
    <row r="6466" spans="24:25" ht="43.95" customHeight="1" x14ac:dyDescent="0.3">
      <c r="X6466" s="2"/>
      <c r="Y6466" s="7"/>
    </row>
    <row r="6467" spans="24:25" ht="43.95" customHeight="1" x14ac:dyDescent="0.3">
      <c r="X6467" s="2"/>
      <c r="Y6467" s="7"/>
    </row>
    <row r="6468" spans="24:25" ht="43.95" customHeight="1" x14ac:dyDescent="0.3">
      <c r="X6468" s="2"/>
      <c r="Y6468" s="7"/>
    </row>
    <row r="6469" spans="24:25" ht="43.95" customHeight="1" x14ac:dyDescent="0.3">
      <c r="X6469" s="2"/>
      <c r="Y6469" s="7"/>
    </row>
    <row r="6470" spans="24:25" ht="43.95" customHeight="1" x14ac:dyDescent="0.3">
      <c r="X6470" s="2"/>
      <c r="Y6470" s="7"/>
    </row>
    <row r="6471" spans="24:25" ht="43.95" customHeight="1" x14ac:dyDescent="0.3">
      <c r="X6471" s="2"/>
      <c r="Y6471" s="7"/>
    </row>
    <row r="6472" spans="24:25" ht="43.95" customHeight="1" x14ac:dyDescent="0.3">
      <c r="X6472" s="2"/>
      <c r="Y6472" s="7"/>
    </row>
    <row r="6473" spans="24:25" ht="43.95" customHeight="1" x14ac:dyDescent="0.3">
      <c r="X6473" s="2"/>
      <c r="Y6473" s="7"/>
    </row>
    <row r="6474" spans="24:25" ht="43.95" customHeight="1" x14ac:dyDescent="0.3">
      <c r="X6474" s="2"/>
      <c r="Y6474" s="7"/>
    </row>
    <row r="6475" spans="24:25" ht="43.95" customHeight="1" x14ac:dyDescent="0.3">
      <c r="X6475" s="2"/>
      <c r="Y6475" s="7"/>
    </row>
    <row r="6476" spans="24:25" ht="43.95" customHeight="1" x14ac:dyDescent="0.3">
      <c r="X6476" s="2"/>
      <c r="Y6476" s="7"/>
    </row>
    <row r="6477" spans="24:25" ht="43.95" customHeight="1" x14ac:dyDescent="0.3">
      <c r="X6477" s="244"/>
      <c r="Y6477" s="7"/>
    </row>
    <row r="6478" spans="24:25" ht="43.95" customHeight="1" x14ac:dyDescent="0.3">
      <c r="X6478" s="2"/>
      <c r="Y6478" s="7"/>
    </row>
    <row r="6479" spans="24:25" ht="43.95" customHeight="1" x14ac:dyDescent="0.3">
      <c r="X6479" s="2"/>
      <c r="Y6479" s="7"/>
    </row>
    <row r="6480" spans="24:25" ht="43.95" customHeight="1" x14ac:dyDescent="0.3">
      <c r="X6480" s="2"/>
      <c r="Y6480" s="7"/>
    </row>
    <row r="6481" spans="24:25" ht="43.95" customHeight="1" x14ac:dyDescent="0.3">
      <c r="X6481" s="2"/>
      <c r="Y6481" s="7"/>
    </row>
    <row r="6482" spans="24:25" ht="43.95" customHeight="1" x14ac:dyDescent="0.3">
      <c r="X6482" s="2"/>
      <c r="Y6482" s="7"/>
    </row>
    <row r="6483" spans="24:25" ht="43.95" customHeight="1" x14ac:dyDescent="0.3">
      <c r="X6483" s="2"/>
      <c r="Y6483" s="7"/>
    </row>
    <row r="6484" spans="24:25" ht="43.95" customHeight="1" x14ac:dyDescent="0.3">
      <c r="X6484" s="2"/>
      <c r="Y6484" s="7"/>
    </row>
    <row r="6485" spans="24:25" ht="43.95" customHeight="1" x14ac:dyDescent="0.3">
      <c r="X6485" s="2"/>
      <c r="Y6485" s="7"/>
    </row>
    <row r="6486" spans="24:25" ht="43.95" customHeight="1" x14ac:dyDescent="0.3">
      <c r="X6486" s="2"/>
      <c r="Y6486" s="7"/>
    </row>
    <row r="6487" spans="24:25" ht="43.95" customHeight="1" x14ac:dyDescent="0.3">
      <c r="X6487" s="2"/>
      <c r="Y6487" s="7"/>
    </row>
    <row r="6488" spans="24:25" ht="43.95" customHeight="1" x14ac:dyDescent="0.3">
      <c r="X6488" s="2"/>
      <c r="Y6488" s="7"/>
    </row>
    <row r="6489" spans="24:25" ht="43.95" customHeight="1" x14ac:dyDescent="0.3">
      <c r="X6489" s="2"/>
      <c r="Y6489" s="7"/>
    </row>
    <row r="6490" spans="24:25" ht="43.95" customHeight="1" x14ac:dyDescent="0.3">
      <c r="X6490" s="2"/>
      <c r="Y6490" s="7"/>
    </row>
    <row r="6491" spans="24:25" ht="43.95" customHeight="1" x14ac:dyDescent="0.3">
      <c r="X6491" s="2"/>
      <c r="Y6491" s="7"/>
    </row>
    <row r="6492" spans="24:25" ht="43.95" customHeight="1" x14ac:dyDescent="0.3">
      <c r="X6492" s="2"/>
      <c r="Y6492" s="7"/>
    </row>
    <row r="6493" spans="24:25" ht="43.95" customHeight="1" x14ac:dyDescent="0.3">
      <c r="X6493" s="2"/>
      <c r="Y6493" s="7"/>
    </row>
    <row r="6494" spans="24:25" ht="43.95" customHeight="1" x14ac:dyDescent="0.3">
      <c r="X6494" s="2"/>
      <c r="Y6494" s="7"/>
    </row>
    <row r="6495" spans="24:25" ht="43.95" customHeight="1" x14ac:dyDescent="0.3">
      <c r="X6495" s="2"/>
      <c r="Y6495" s="7"/>
    </row>
    <row r="6496" spans="24:25" ht="43.95" customHeight="1" x14ac:dyDescent="0.3">
      <c r="X6496" s="2"/>
      <c r="Y6496" s="7"/>
    </row>
    <row r="6497" spans="24:25" ht="43.95" customHeight="1" x14ac:dyDescent="0.3">
      <c r="X6497" s="2"/>
      <c r="Y6497" s="7"/>
    </row>
    <row r="6498" spans="24:25" ht="43.95" customHeight="1" x14ac:dyDescent="0.3">
      <c r="X6498" s="2"/>
      <c r="Y6498" s="7"/>
    </row>
    <row r="6499" spans="24:25" ht="43.95" customHeight="1" x14ac:dyDescent="0.3">
      <c r="X6499" s="2"/>
      <c r="Y6499" s="7"/>
    </row>
    <row r="6500" spans="24:25" ht="43.95" customHeight="1" x14ac:dyDescent="0.3">
      <c r="X6500" s="2"/>
      <c r="Y6500" s="7"/>
    </row>
    <row r="6501" spans="24:25" ht="43.95" customHeight="1" x14ac:dyDescent="0.3">
      <c r="X6501" s="2"/>
      <c r="Y6501" s="7"/>
    </row>
    <row r="6502" spans="24:25" ht="43.95" customHeight="1" x14ac:dyDescent="0.3">
      <c r="X6502" s="2"/>
      <c r="Y6502" s="7"/>
    </row>
    <row r="6503" spans="24:25" ht="43.95" customHeight="1" x14ac:dyDescent="0.3">
      <c r="X6503" s="2"/>
      <c r="Y6503" s="7"/>
    </row>
    <row r="6504" spans="24:25" ht="43.95" customHeight="1" x14ac:dyDescent="0.3">
      <c r="X6504" s="2"/>
      <c r="Y6504" s="7"/>
    </row>
    <row r="6505" spans="24:25" ht="43.95" customHeight="1" x14ac:dyDescent="0.3">
      <c r="X6505" s="244"/>
      <c r="Y6505" s="7"/>
    </row>
    <row r="6506" spans="24:25" ht="43.95" customHeight="1" x14ac:dyDescent="0.3">
      <c r="X6506" s="2"/>
      <c r="Y6506" s="7"/>
    </row>
    <row r="6507" spans="24:25" ht="43.95" customHeight="1" x14ac:dyDescent="0.3">
      <c r="X6507" s="2"/>
      <c r="Y6507" s="7"/>
    </row>
    <row r="6508" spans="24:25" ht="43.95" customHeight="1" x14ac:dyDescent="0.3">
      <c r="X6508" s="2"/>
      <c r="Y6508" s="7"/>
    </row>
    <row r="6509" spans="24:25" ht="43.95" customHeight="1" x14ac:dyDescent="0.3">
      <c r="X6509" s="2"/>
      <c r="Y6509" s="7"/>
    </row>
    <row r="6510" spans="24:25" ht="43.95" customHeight="1" x14ac:dyDescent="0.3">
      <c r="X6510" s="2"/>
      <c r="Y6510" s="7"/>
    </row>
    <row r="6511" spans="24:25" ht="43.95" customHeight="1" x14ac:dyDescent="0.3">
      <c r="X6511" s="2"/>
      <c r="Y6511" s="7"/>
    </row>
    <row r="6512" spans="24:25" ht="43.95" customHeight="1" x14ac:dyDescent="0.3">
      <c r="X6512" s="2"/>
      <c r="Y6512" s="7"/>
    </row>
    <row r="6513" spans="24:25" ht="43.95" customHeight="1" x14ac:dyDescent="0.3">
      <c r="X6513" s="2"/>
      <c r="Y6513" s="7"/>
    </row>
    <row r="6514" spans="24:25" ht="43.95" customHeight="1" x14ac:dyDescent="0.3">
      <c r="X6514" s="2"/>
      <c r="Y6514" s="7"/>
    </row>
    <row r="6515" spans="24:25" ht="43.95" customHeight="1" x14ac:dyDescent="0.3">
      <c r="X6515" s="2"/>
      <c r="Y6515" s="7"/>
    </row>
    <row r="6516" spans="24:25" ht="43.95" customHeight="1" x14ac:dyDescent="0.3">
      <c r="X6516" s="2"/>
      <c r="Y6516" s="7"/>
    </row>
    <row r="6517" spans="24:25" ht="43.95" customHeight="1" x14ac:dyDescent="0.3">
      <c r="X6517" s="2"/>
      <c r="Y6517" s="7"/>
    </row>
    <row r="6518" spans="24:25" ht="43.95" customHeight="1" x14ac:dyDescent="0.3">
      <c r="X6518" s="2"/>
      <c r="Y6518" s="7"/>
    </row>
    <row r="6519" spans="24:25" ht="43.95" customHeight="1" x14ac:dyDescent="0.3">
      <c r="X6519" s="2"/>
      <c r="Y6519" s="7"/>
    </row>
    <row r="6520" spans="24:25" ht="43.95" customHeight="1" x14ac:dyDescent="0.3">
      <c r="X6520" s="2"/>
      <c r="Y6520" s="7"/>
    </row>
    <row r="6521" spans="24:25" ht="43.95" customHeight="1" x14ac:dyDescent="0.3">
      <c r="X6521" s="2"/>
      <c r="Y6521" s="7"/>
    </row>
    <row r="6522" spans="24:25" ht="43.95" customHeight="1" x14ac:dyDescent="0.3">
      <c r="X6522" s="2"/>
      <c r="Y6522" s="7"/>
    </row>
    <row r="6523" spans="24:25" ht="43.95" customHeight="1" x14ac:dyDescent="0.3">
      <c r="X6523" s="2"/>
      <c r="Y6523" s="7"/>
    </row>
    <row r="6524" spans="24:25" ht="43.95" customHeight="1" x14ac:dyDescent="0.3">
      <c r="X6524" s="2"/>
      <c r="Y6524" s="7"/>
    </row>
    <row r="6525" spans="24:25" ht="43.95" customHeight="1" x14ac:dyDescent="0.3">
      <c r="X6525" s="2"/>
      <c r="Y6525" s="7"/>
    </row>
    <row r="6526" spans="24:25" ht="43.95" customHeight="1" x14ac:dyDescent="0.3">
      <c r="X6526" s="2"/>
      <c r="Y6526" s="7"/>
    </row>
    <row r="6527" spans="24:25" ht="43.95" customHeight="1" x14ac:dyDescent="0.3">
      <c r="X6527" s="2"/>
      <c r="Y6527" s="7"/>
    </row>
    <row r="6528" spans="24:25" ht="43.95" customHeight="1" x14ac:dyDescent="0.3">
      <c r="X6528" s="2"/>
      <c r="Y6528" s="7"/>
    </row>
    <row r="6529" spans="24:25" ht="43.95" customHeight="1" x14ac:dyDescent="0.3">
      <c r="X6529" s="2"/>
      <c r="Y6529" s="7"/>
    </row>
    <row r="6530" spans="24:25" ht="43.95" customHeight="1" x14ac:dyDescent="0.3">
      <c r="X6530" s="2"/>
      <c r="Y6530" s="7"/>
    </row>
    <row r="6531" spans="24:25" ht="43.95" customHeight="1" x14ac:dyDescent="0.3">
      <c r="X6531" s="2"/>
      <c r="Y6531" s="7"/>
    </row>
    <row r="6532" spans="24:25" ht="43.95" customHeight="1" x14ac:dyDescent="0.3">
      <c r="X6532" s="2"/>
      <c r="Y6532" s="7"/>
    </row>
    <row r="6533" spans="24:25" ht="43.95" customHeight="1" x14ac:dyDescent="0.3">
      <c r="X6533" s="2"/>
      <c r="Y6533" s="7"/>
    </row>
    <row r="6534" spans="24:25" ht="43.95" customHeight="1" x14ac:dyDescent="0.3">
      <c r="X6534" s="2"/>
      <c r="Y6534" s="7"/>
    </row>
    <row r="6535" spans="24:25" ht="43.95" customHeight="1" x14ac:dyDescent="0.3">
      <c r="X6535" s="2"/>
      <c r="Y6535" s="7"/>
    </row>
    <row r="6536" spans="24:25" ht="43.95" customHeight="1" x14ac:dyDescent="0.3">
      <c r="X6536" s="2"/>
      <c r="Y6536" s="7"/>
    </row>
    <row r="6537" spans="24:25" ht="43.95" customHeight="1" x14ac:dyDescent="0.3">
      <c r="X6537" s="2"/>
      <c r="Y6537" s="7"/>
    </row>
    <row r="6538" spans="24:25" ht="43.95" customHeight="1" x14ac:dyDescent="0.3">
      <c r="X6538" s="2"/>
      <c r="Y6538" s="7"/>
    </row>
    <row r="6539" spans="24:25" ht="43.95" customHeight="1" x14ac:dyDescent="0.3">
      <c r="X6539" s="2"/>
      <c r="Y6539" s="7"/>
    </row>
    <row r="6540" spans="24:25" ht="43.95" customHeight="1" x14ac:dyDescent="0.3">
      <c r="X6540" s="2"/>
      <c r="Y6540" s="7"/>
    </row>
    <row r="6541" spans="24:25" ht="43.95" customHeight="1" x14ac:dyDescent="0.3">
      <c r="X6541" s="2"/>
      <c r="Y6541" s="7"/>
    </row>
    <row r="6542" spans="24:25" ht="43.95" customHeight="1" x14ac:dyDescent="0.3">
      <c r="X6542" s="2"/>
      <c r="Y6542" s="7"/>
    </row>
    <row r="6543" spans="24:25" ht="43.95" customHeight="1" x14ac:dyDescent="0.3">
      <c r="X6543" s="2"/>
      <c r="Y6543" s="7"/>
    </row>
    <row r="6544" spans="24:25" ht="43.95" customHeight="1" x14ac:dyDescent="0.3">
      <c r="X6544" s="2"/>
      <c r="Y6544" s="7"/>
    </row>
    <row r="6545" spans="24:25" ht="43.95" customHeight="1" x14ac:dyDescent="0.3">
      <c r="X6545" s="2"/>
      <c r="Y6545" s="7"/>
    </row>
    <row r="6546" spans="24:25" ht="43.95" customHeight="1" x14ac:dyDescent="0.3">
      <c r="X6546" s="2"/>
      <c r="Y6546" s="7"/>
    </row>
    <row r="6547" spans="24:25" ht="43.95" customHeight="1" x14ac:dyDescent="0.3">
      <c r="X6547" s="2"/>
      <c r="Y6547" s="7"/>
    </row>
    <row r="6548" spans="24:25" ht="43.95" customHeight="1" x14ac:dyDescent="0.3">
      <c r="X6548" s="2"/>
      <c r="Y6548" s="7"/>
    </row>
    <row r="6549" spans="24:25" ht="43.95" customHeight="1" x14ac:dyDescent="0.3">
      <c r="X6549" s="2"/>
      <c r="Y6549" s="7"/>
    </row>
    <row r="6550" spans="24:25" ht="43.95" customHeight="1" x14ac:dyDescent="0.3">
      <c r="X6550" s="2"/>
      <c r="Y6550" s="7"/>
    </row>
    <row r="6551" spans="24:25" ht="43.95" customHeight="1" x14ac:dyDescent="0.3">
      <c r="X6551" s="2"/>
      <c r="Y6551" s="7"/>
    </row>
    <row r="6552" spans="24:25" ht="43.95" customHeight="1" x14ac:dyDescent="0.3">
      <c r="X6552" s="2"/>
      <c r="Y6552" s="7"/>
    </row>
    <row r="6553" spans="24:25" ht="43.95" customHeight="1" x14ac:dyDescent="0.3">
      <c r="X6553" s="2"/>
      <c r="Y6553" s="7"/>
    </row>
    <row r="6554" spans="24:25" ht="43.95" customHeight="1" x14ac:dyDescent="0.3">
      <c r="X6554" s="2"/>
      <c r="Y6554" s="7"/>
    </row>
    <row r="6555" spans="24:25" ht="43.95" customHeight="1" x14ac:dyDescent="0.3">
      <c r="X6555" s="2"/>
      <c r="Y6555" s="7"/>
    </row>
    <row r="6556" spans="24:25" ht="43.95" customHeight="1" x14ac:dyDescent="0.3">
      <c r="X6556" s="2"/>
      <c r="Y6556" s="7"/>
    </row>
    <row r="6557" spans="24:25" ht="43.95" customHeight="1" x14ac:dyDescent="0.3">
      <c r="X6557" s="2"/>
      <c r="Y6557" s="7"/>
    </row>
    <row r="6558" spans="24:25" ht="43.95" customHeight="1" x14ac:dyDescent="0.3">
      <c r="X6558" s="2"/>
      <c r="Y6558" s="7"/>
    </row>
    <row r="6559" spans="24:25" ht="43.95" customHeight="1" x14ac:dyDescent="0.3">
      <c r="X6559" s="2"/>
      <c r="Y6559" s="7"/>
    </row>
    <row r="6560" spans="24:25" ht="43.95" customHeight="1" x14ac:dyDescent="0.3">
      <c r="X6560" s="2"/>
      <c r="Y6560" s="7"/>
    </row>
    <row r="6561" spans="24:25" ht="43.95" customHeight="1" x14ac:dyDescent="0.3">
      <c r="X6561" s="2"/>
      <c r="Y6561" s="7"/>
    </row>
    <row r="6562" spans="24:25" ht="43.95" customHeight="1" x14ac:dyDescent="0.3">
      <c r="X6562" s="2"/>
      <c r="Y6562" s="7"/>
    </row>
    <row r="6563" spans="24:25" ht="43.95" customHeight="1" x14ac:dyDescent="0.3">
      <c r="X6563" s="2"/>
      <c r="Y6563" s="7"/>
    </row>
    <row r="6564" spans="24:25" ht="43.95" customHeight="1" x14ac:dyDescent="0.3">
      <c r="X6564" s="2"/>
      <c r="Y6564" s="7"/>
    </row>
    <row r="6565" spans="24:25" ht="43.95" customHeight="1" x14ac:dyDescent="0.3">
      <c r="X6565" s="2"/>
      <c r="Y6565" s="7"/>
    </row>
    <row r="6566" spans="24:25" ht="43.95" customHeight="1" x14ac:dyDescent="0.3">
      <c r="X6566" s="2"/>
      <c r="Y6566" s="7"/>
    </row>
    <row r="6567" spans="24:25" ht="43.95" customHeight="1" x14ac:dyDescent="0.3">
      <c r="X6567" s="2"/>
      <c r="Y6567" s="7"/>
    </row>
    <row r="6568" spans="24:25" ht="43.95" customHeight="1" x14ac:dyDescent="0.3">
      <c r="X6568" s="2"/>
      <c r="Y6568" s="7"/>
    </row>
    <row r="6569" spans="24:25" ht="43.95" customHeight="1" x14ac:dyDescent="0.3">
      <c r="X6569" s="2"/>
      <c r="Y6569" s="7"/>
    </row>
    <row r="6570" spans="24:25" ht="43.95" customHeight="1" x14ac:dyDescent="0.3">
      <c r="X6570" s="2"/>
      <c r="Y6570" s="7"/>
    </row>
    <row r="6571" spans="24:25" ht="43.95" customHeight="1" x14ac:dyDescent="0.3">
      <c r="X6571" s="2"/>
      <c r="Y6571" s="7"/>
    </row>
    <row r="6572" spans="24:25" ht="43.95" customHeight="1" x14ac:dyDescent="0.3">
      <c r="X6572" s="2"/>
      <c r="Y6572" s="7"/>
    </row>
    <row r="6573" spans="24:25" ht="43.95" customHeight="1" x14ac:dyDescent="0.3">
      <c r="X6573" s="2"/>
      <c r="Y6573" s="7"/>
    </row>
    <row r="6574" spans="24:25" ht="43.95" customHeight="1" x14ac:dyDescent="0.3">
      <c r="X6574" s="2"/>
      <c r="Y6574" s="7"/>
    </row>
    <row r="6575" spans="24:25" ht="43.95" customHeight="1" x14ac:dyDescent="0.3">
      <c r="X6575" s="2"/>
      <c r="Y6575" s="7"/>
    </row>
    <row r="6576" spans="24:25" ht="43.95" customHeight="1" x14ac:dyDescent="0.3">
      <c r="X6576" s="2"/>
      <c r="Y6576" s="7"/>
    </row>
    <row r="6577" spans="24:25" ht="43.95" customHeight="1" x14ac:dyDescent="0.3">
      <c r="X6577" s="245"/>
      <c r="Y6577" s="7"/>
    </row>
    <row r="6578" spans="24:25" ht="43.95" customHeight="1" x14ac:dyDescent="0.3">
      <c r="X6578" s="2"/>
      <c r="Y6578" s="7"/>
    </row>
    <row r="6579" spans="24:25" ht="43.95" customHeight="1" x14ac:dyDescent="0.3">
      <c r="X6579" s="2"/>
      <c r="Y6579" s="7"/>
    </row>
    <row r="6580" spans="24:25" ht="43.95" customHeight="1" x14ac:dyDescent="0.3">
      <c r="X6580" s="2"/>
      <c r="Y6580" s="7"/>
    </row>
    <row r="6581" spans="24:25" ht="43.95" customHeight="1" x14ac:dyDescent="0.3">
      <c r="X6581" s="2"/>
      <c r="Y6581" s="7"/>
    </row>
    <row r="6582" spans="24:25" ht="43.95" customHeight="1" x14ac:dyDescent="0.3">
      <c r="X6582" s="2"/>
      <c r="Y6582" s="7"/>
    </row>
    <row r="6583" spans="24:25" ht="43.95" customHeight="1" x14ac:dyDescent="0.3">
      <c r="X6583" s="245"/>
      <c r="Y6583" s="7"/>
    </row>
    <row r="6584" spans="24:25" ht="43.95" customHeight="1" x14ac:dyDescent="0.3">
      <c r="X6584" s="2"/>
      <c r="Y6584" s="7"/>
    </row>
    <row r="6585" spans="24:25" ht="43.95" customHeight="1" x14ac:dyDescent="0.3">
      <c r="X6585" s="2"/>
      <c r="Y6585" s="7"/>
    </row>
    <row r="6586" spans="24:25" ht="43.95" customHeight="1" x14ac:dyDescent="0.3">
      <c r="X6586" s="2"/>
      <c r="Y6586" s="7"/>
    </row>
    <row r="6587" spans="24:25" ht="43.95" customHeight="1" x14ac:dyDescent="0.3">
      <c r="X6587" s="2"/>
      <c r="Y6587" s="7"/>
    </row>
    <row r="6588" spans="24:25" ht="43.95" customHeight="1" x14ac:dyDescent="0.3">
      <c r="X6588" s="2"/>
      <c r="Y6588" s="7"/>
    </row>
    <row r="6589" spans="24:25" ht="43.95" customHeight="1" x14ac:dyDescent="0.3">
      <c r="X6589" s="2"/>
      <c r="Y6589" s="7"/>
    </row>
    <row r="6590" spans="24:25" ht="43.95" customHeight="1" x14ac:dyDescent="0.3">
      <c r="X6590" s="2"/>
      <c r="Y6590" s="7"/>
    </row>
    <row r="6591" spans="24:25" ht="43.95" customHeight="1" x14ac:dyDescent="0.3">
      <c r="X6591" s="2"/>
      <c r="Y6591" s="7"/>
    </row>
    <row r="6592" spans="24:25" ht="43.95" customHeight="1" x14ac:dyDescent="0.3">
      <c r="X6592" s="2"/>
      <c r="Y6592" s="7"/>
    </row>
    <row r="6593" spans="24:25" ht="43.95" customHeight="1" x14ac:dyDescent="0.3">
      <c r="X6593" s="2"/>
      <c r="Y6593" s="7"/>
    </row>
    <row r="6594" spans="24:25" ht="43.95" customHeight="1" x14ac:dyDescent="0.3">
      <c r="X6594" s="2"/>
      <c r="Y6594" s="7"/>
    </row>
    <row r="6595" spans="24:25" ht="43.95" customHeight="1" x14ac:dyDescent="0.3">
      <c r="X6595" s="2"/>
      <c r="Y6595" s="7"/>
    </row>
    <row r="6596" spans="24:25" ht="43.95" customHeight="1" x14ac:dyDescent="0.3">
      <c r="X6596" s="2"/>
      <c r="Y6596" s="7"/>
    </row>
    <row r="6597" spans="24:25" ht="43.95" customHeight="1" x14ac:dyDescent="0.3">
      <c r="X6597" s="2"/>
      <c r="Y6597" s="7"/>
    </row>
    <row r="6598" spans="24:25" ht="43.95" customHeight="1" x14ac:dyDescent="0.3">
      <c r="X6598" s="2"/>
      <c r="Y6598" s="7"/>
    </row>
    <row r="6599" spans="24:25" ht="43.95" customHeight="1" x14ac:dyDescent="0.3">
      <c r="X6599" s="2"/>
      <c r="Y6599" s="7"/>
    </row>
    <row r="6600" spans="24:25" ht="43.95" customHeight="1" x14ac:dyDescent="0.3">
      <c r="X6600" s="2"/>
      <c r="Y6600" s="7"/>
    </row>
    <row r="6601" spans="24:25" ht="43.95" customHeight="1" x14ac:dyDescent="0.3">
      <c r="X6601" s="2"/>
      <c r="Y6601" s="7"/>
    </row>
    <row r="6602" spans="24:25" ht="43.95" customHeight="1" x14ac:dyDescent="0.3">
      <c r="X6602" s="2"/>
      <c r="Y6602" s="7"/>
    </row>
    <row r="6603" spans="24:25" ht="43.95" customHeight="1" x14ac:dyDescent="0.3">
      <c r="X6603" s="245"/>
      <c r="Y6603" s="7"/>
    </row>
    <row r="6604" spans="24:25" ht="43.95" customHeight="1" x14ac:dyDescent="0.3">
      <c r="X6604" s="245"/>
      <c r="Y6604" s="7"/>
    </row>
    <row r="6605" spans="24:25" ht="43.95" customHeight="1" x14ac:dyDescent="0.3">
      <c r="X6605" s="2"/>
      <c r="Y6605" s="7"/>
    </row>
    <row r="6606" spans="24:25" ht="43.95" customHeight="1" x14ac:dyDescent="0.3">
      <c r="X6606" s="252"/>
      <c r="Y6606" s="7"/>
    </row>
    <row r="6607" spans="24:25" ht="43.95" customHeight="1" x14ac:dyDescent="0.3">
      <c r="X6607" s="252"/>
      <c r="Y6607" s="7"/>
    </row>
    <row r="6608" spans="24:25" ht="43.95" customHeight="1" x14ac:dyDescent="0.3">
      <c r="X6608" s="252"/>
      <c r="Y6608" s="7"/>
    </row>
    <row r="6609" spans="24:25" ht="43.95" customHeight="1" x14ac:dyDescent="0.3">
      <c r="X6609" s="2"/>
      <c r="Y6609" s="7"/>
    </row>
    <row r="6610" spans="24:25" ht="43.95" customHeight="1" x14ac:dyDescent="0.3">
      <c r="X6610" s="2"/>
      <c r="Y6610" s="7"/>
    </row>
    <row r="6611" spans="24:25" ht="43.95" customHeight="1" x14ac:dyDescent="0.3">
      <c r="X6611" s="2"/>
      <c r="Y6611" s="7"/>
    </row>
    <row r="6612" spans="24:25" ht="43.95" customHeight="1" x14ac:dyDescent="0.3">
      <c r="X6612" s="2"/>
      <c r="Y6612" s="7"/>
    </row>
    <row r="6613" spans="24:25" ht="43.95" customHeight="1" x14ac:dyDescent="0.3">
      <c r="X6613" s="2"/>
      <c r="Y6613" s="7"/>
    </row>
    <row r="6614" spans="24:25" ht="43.95" customHeight="1" x14ac:dyDescent="0.3">
      <c r="X6614" s="2"/>
      <c r="Y6614" s="7"/>
    </row>
    <row r="6615" spans="24:25" ht="43.95" customHeight="1" x14ac:dyDescent="0.3">
      <c r="X6615" s="2"/>
      <c r="Y6615" s="7"/>
    </row>
    <row r="6616" spans="24:25" ht="43.95" customHeight="1" x14ac:dyDescent="0.3">
      <c r="X6616" s="2"/>
      <c r="Y6616" s="7"/>
    </row>
    <row r="6617" spans="24:25" ht="43.95" customHeight="1" x14ac:dyDescent="0.3">
      <c r="X6617" s="2"/>
      <c r="Y6617" s="7"/>
    </row>
    <row r="6618" spans="24:25" ht="43.95" customHeight="1" x14ac:dyDescent="0.3">
      <c r="X6618" s="2"/>
      <c r="Y6618" s="7"/>
    </row>
    <row r="6619" spans="24:25" ht="43.95" customHeight="1" x14ac:dyDescent="0.3">
      <c r="X6619" s="2"/>
      <c r="Y6619" s="7"/>
    </row>
    <row r="6620" spans="24:25" ht="43.95" customHeight="1" x14ac:dyDescent="0.3">
      <c r="X6620" s="2"/>
      <c r="Y6620" s="7"/>
    </row>
    <row r="6621" spans="24:25" ht="43.95" customHeight="1" x14ac:dyDescent="0.3">
      <c r="X6621" s="2"/>
      <c r="Y6621" s="7"/>
    </row>
    <row r="6622" spans="24:25" ht="43.95" customHeight="1" x14ac:dyDescent="0.3">
      <c r="X6622" s="2"/>
      <c r="Y6622" s="7"/>
    </row>
    <row r="6623" spans="24:25" ht="43.95" customHeight="1" x14ac:dyDescent="0.3">
      <c r="X6623" s="2"/>
      <c r="Y6623" s="7"/>
    </row>
    <row r="6624" spans="24:25" ht="43.95" customHeight="1" x14ac:dyDescent="0.3">
      <c r="X6624" s="2"/>
      <c r="Y6624" s="7"/>
    </row>
    <row r="6625" spans="24:25" ht="43.95" customHeight="1" x14ac:dyDescent="0.3">
      <c r="X6625" s="2"/>
      <c r="Y6625" s="7"/>
    </row>
    <row r="6626" spans="24:25" ht="43.95" customHeight="1" x14ac:dyDescent="0.3">
      <c r="X6626" s="2"/>
      <c r="Y6626" s="7"/>
    </row>
    <row r="6627" spans="24:25" ht="43.95" customHeight="1" x14ac:dyDescent="0.3">
      <c r="X6627" s="2"/>
      <c r="Y6627" s="7"/>
    </row>
    <row r="6628" spans="24:25" ht="43.95" customHeight="1" x14ac:dyDescent="0.3">
      <c r="X6628" s="2"/>
      <c r="Y6628" s="7"/>
    </row>
    <row r="6629" spans="24:25" ht="43.95" customHeight="1" x14ac:dyDescent="0.3">
      <c r="X6629" s="2"/>
      <c r="Y6629" s="7"/>
    </row>
    <row r="6630" spans="24:25" ht="43.95" customHeight="1" x14ac:dyDescent="0.3">
      <c r="X6630" s="2"/>
      <c r="Y6630" s="7"/>
    </row>
    <row r="6631" spans="24:25" ht="43.95" customHeight="1" x14ac:dyDescent="0.3">
      <c r="X6631" s="2"/>
      <c r="Y6631" s="7"/>
    </row>
    <row r="6632" spans="24:25" ht="43.95" customHeight="1" x14ac:dyDescent="0.3">
      <c r="X6632" s="2"/>
      <c r="Y6632" s="7"/>
    </row>
    <row r="6633" spans="24:25" ht="43.95" customHeight="1" x14ac:dyDescent="0.3">
      <c r="X6633" s="2"/>
      <c r="Y6633" s="7"/>
    </row>
    <row r="6634" spans="24:25" ht="43.95" customHeight="1" x14ac:dyDescent="0.3">
      <c r="X6634" s="2"/>
      <c r="Y6634" s="7"/>
    </row>
    <row r="6635" spans="24:25" ht="43.95" customHeight="1" x14ac:dyDescent="0.3">
      <c r="X6635" s="2"/>
      <c r="Y6635" s="7"/>
    </row>
    <row r="6636" spans="24:25" ht="43.95" customHeight="1" x14ac:dyDescent="0.3">
      <c r="X6636" s="2"/>
      <c r="Y6636" s="7"/>
    </row>
    <row r="6637" spans="24:25" ht="43.95" customHeight="1" x14ac:dyDescent="0.3">
      <c r="X6637" s="2"/>
      <c r="Y6637" s="7"/>
    </row>
    <row r="6638" spans="24:25" ht="43.95" customHeight="1" x14ac:dyDescent="0.3">
      <c r="X6638" s="2"/>
      <c r="Y6638" s="7"/>
    </row>
    <row r="6639" spans="24:25" ht="43.95" customHeight="1" x14ac:dyDescent="0.3">
      <c r="X6639" s="2"/>
      <c r="Y6639" s="7"/>
    </row>
    <row r="6640" spans="24:25" ht="43.95" customHeight="1" x14ac:dyDescent="0.3">
      <c r="X6640" s="2"/>
      <c r="Y6640" s="7"/>
    </row>
    <row r="6641" spans="24:25" ht="43.95" customHeight="1" x14ac:dyDescent="0.3">
      <c r="X6641" s="2"/>
      <c r="Y6641" s="7"/>
    </row>
    <row r="6642" spans="24:25" ht="43.95" customHeight="1" x14ac:dyDescent="0.3">
      <c r="X6642" s="2"/>
      <c r="Y6642" s="7"/>
    </row>
    <row r="6643" spans="24:25" ht="43.95" customHeight="1" x14ac:dyDescent="0.3">
      <c r="X6643" s="2"/>
      <c r="Y6643" s="7"/>
    </row>
    <row r="6644" spans="24:25" ht="43.95" customHeight="1" x14ac:dyDescent="0.3">
      <c r="X6644" s="2"/>
      <c r="Y6644" s="7"/>
    </row>
    <row r="6645" spans="24:25" ht="43.95" customHeight="1" x14ac:dyDescent="0.3">
      <c r="X6645" s="2"/>
      <c r="Y6645" s="7"/>
    </row>
    <row r="6646" spans="24:25" ht="43.95" customHeight="1" x14ac:dyDescent="0.3">
      <c r="X6646" s="2"/>
      <c r="Y6646" s="7"/>
    </row>
    <row r="6647" spans="24:25" ht="43.95" customHeight="1" x14ac:dyDescent="0.3">
      <c r="X6647" s="2"/>
      <c r="Y6647" s="7"/>
    </row>
    <row r="6648" spans="24:25" ht="43.95" customHeight="1" x14ac:dyDescent="0.3">
      <c r="X6648" s="2"/>
      <c r="Y6648" s="7"/>
    </row>
    <row r="6649" spans="24:25" ht="43.95" customHeight="1" x14ac:dyDescent="0.3">
      <c r="X6649" s="2"/>
      <c r="Y6649" s="7"/>
    </row>
    <row r="6650" spans="24:25" ht="43.95" customHeight="1" x14ac:dyDescent="0.3">
      <c r="X6650" s="2"/>
      <c r="Y6650" s="7"/>
    </row>
    <row r="6651" spans="24:25" ht="43.95" customHeight="1" x14ac:dyDescent="0.3">
      <c r="X6651" s="2"/>
      <c r="Y6651" s="7"/>
    </row>
    <row r="6652" spans="24:25" ht="43.95" customHeight="1" x14ac:dyDescent="0.3">
      <c r="X6652" s="2"/>
      <c r="Y6652" s="7"/>
    </row>
    <row r="6653" spans="24:25" ht="43.95" customHeight="1" x14ac:dyDescent="0.3">
      <c r="X6653" s="2"/>
      <c r="Y6653" s="7"/>
    </row>
    <row r="6654" spans="24:25" ht="43.95" customHeight="1" x14ac:dyDescent="0.3">
      <c r="X6654" s="2"/>
      <c r="Y6654" s="7"/>
    </row>
    <row r="6655" spans="24:25" ht="43.95" customHeight="1" x14ac:dyDescent="0.3">
      <c r="X6655" s="2"/>
      <c r="Y6655" s="7"/>
    </row>
    <row r="6656" spans="24:25" ht="43.95" customHeight="1" x14ac:dyDescent="0.3">
      <c r="X6656" s="2"/>
      <c r="Y6656" s="7"/>
    </row>
    <row r="6657" spans="24:25" ht="43.95" customHeight="1" x14ac:dyDescent="0.3">
      <c r="X6657" s="2"/>
      <c r="Y6657" s="7"/>
    </row>
    <row r="6658" spans="24:25" ht="43.95" customHeight="1" x14ac:dyDescent="0.3">
      <c r="X6658" s="2"/>
      <c r="Y6658" s="7"/>
    </row>
    <row r="6659" spans="24:25" ht="43.95" customHeight="1" x14ac:dyDescent="0.3">
      <c r="X6659" s="2"/>
      <c r="Y6659" s="7"/>
    </row>
    <row r="6660" spans="24:25" ht="43.95" customHeight="1" x14ac:dyDescent="0.3">
      <c r="X6660" s="2"/>
      <c r="Y6660" s="7"/>
    </row>
    <row r="6661" spans="24:25" ht="43.95" customHeight="1" x14ac:dyDescent="0.3">
      <c r="X6661" s="2"/>
      <c r="Y6661" s="7"/>
    </row>
    <row r="6662" spans="24:25" ht="43.95" customHeight="1" x14ac:dyDescent="0.3">
      <c r="X6662" s="2"/>
      <c r="Y6662" s="7"/>
    </row>
    <row r="6663" spans="24:25" ht="43.95" customHeight="1" x14ac:dyDescent="0.3">
      <c r="X6663" s="2"/>
      <c r="Y6663" s="7"/>
    </row>
    <row r="6664" spans="24:25" ht="43.95" customHeight="1" x14ac:dyDescent="0.3">
      <c r="X6664" s="2"/>
      <c r="Y6664" s="7"/>
    </row>
    <row r="6665" spans="24:25" ht="43.95" customHeight="1" x14ac:dyDescent="0.3">
      <c r="X6665" s="2"/>
      <c r="Y6665" s="7"/>
    </row>
    <row r="6666" spans="24:25" ht="43.95" customHeight="1" x14ac:dyDescent="0.3">
      <c r="X6666" s="2"/>
      <c r="Y6666" s="7"/>
    </row>
    <row r="6667" spans="24:25" ht="43.95" customHeight="1" x14ac:dyDescent="0.3">
      <c r="X6667" s="2"/>
      <c r="Y6667" s="7"/>
    </row>
    <row r="6668" spans="24:25" ht="43.95" customHeight="1" x14ac:dyDescent="0.3">
      <c r="X6668" s="2"/>
      <c r="Y6668" s="7"/>
    </row>
    <row r="6669" spans="24:25" ht="43.95" customHeight="1" x14ac:dyDescent="0.3">
      <c r="X6669" s="2"/>
      <c r="Y6669" s="7"/>
    </row>
    <row r="6670" spans="24:25" ht="43.95" customHeight="1" x14ac:dyDescent="0.3">
      <c r="X6670" s="2"/>
      <c r="Y6670" s="7"/>
    </row>
    <row r="6671" spans="24:25" ht="43.95" customHeight="1" x14ac:dyDescent="0.3">
      <c r="X6671" s="2"/>
      <c r="Y6671" s="7"/>
    </row>
    <row r="6672" spans="24:25" ht="43.95" customHeight="1" x14ac:dyDescent="0.3">
      <c r="X6672" s="2"/>
      <c r="Y6672" s="7"/>
    </row>
    <row r="6673" spans="24:25" ht="43.95" customHeight="1" x14ac:dyDescent="0.3">
      <c r="X6673" s="2"/>
      <c r="Y6673" s="7"/>
    </row>
    <row r="6674" spans="24:25" ht="43.95" customHeight="1" x14ac:dyDescent="0.3">
      <c r="X6674" s="2"/>
      <c r="Y6674" s="7"/>
    </row>
    <row r="6675" spans="24:25" ht="43.95" customHeight="1" x14ac:dyDescent="0.3">
      <c r="X6675" s="2"/>
      <c r="Y6675" s="7"/>
    </row>
    <row r="6676" spans="24:25" ht="43.95" customHeight="1" x14ac:dyDescent="0.3">
      <c r="X6676" s="2"/>
      <c r="Y6676" s="7"/>
    </row>
    <row r="6677" spans="24:25" ht="43.95" customHeight="1" x14ac:dyDescent="0.3">
      <c r="X6677" s="2"/>
      <c r="Y6677" s="7"/>
    </row>
    <row r="6678" spans="24:25" ht="43.95" customHeight="1" x14ac:dyDescent="0.3">
      <c r="X6678" s="2"/>
      <c r="Y6678" s="7"/>
    </row>
    <row r="6679" spans="24:25" ht="43.95" customHeight="1" x14ac:dyDescent="0.3">
      <c r="X6679" s="2"/>
      <c r="Y6679" s="7"/>
    </row>
    <row r="6680" spans="24:25" ht="43.95" customHeight="1" x14ac:dyDescent="0.3">
      <c r="X6680" s="2"/>
      <c r="Y6680" s="7"/>
    </row>
    <row r="6681" spans="24:25" ht="43.95" customHeight="1" x14ac:dyDescent="0.3">
      <c r="X6681" s="2"/>
      <c r="Y6681" s="7"/>
    </row>
    <row r="6682" spans="24:25" ht="43.95" customHeight="1" x14ac:dyDescent="0.3">
      <c r="X6682" s="2"/>
      <c r="Y6682" s="7"/>
    </row>
    <row r="6683" spans="24:25" ht="43.95" customHeight="1" x14ac:dyDescent="0.3">
      <c r="X6683" s="2"/>
      <c r="Y6683" s="7"/>
    </row>
    <row r="6684" spans="24:25" ht="43.95" customHeight="1" x14ac:dyDescent="0.3">
      <c r="X6684" s="2"/>
      <c r="Y6684" s="7"/>
    </row>
    <row r="6685" spans="24:25" ht="43.95" customHeight="1" x14ac:dyDescent="0.3">
      <c r="X6685" s="2"/>
      <c r="Y6685" s="7"/>
    </row>
    <row r="6686" spans="24:25" ht="43.95" customHeight="1" x14ac:dyDescent="0.3">
      <c r="X6686" s="2"/>
      <c r="Y6686" s="7"/>
    </row>
    <row r="6687" spans="24:25" ht="43.95" customHeight="1" x14ac:dyDescent="0.3">
      <c r="X6687" s="2"/>
      <c r="Y6687" s="7"/>
    </row>
    <row r="6688" spans="24:25" ht="43.95" customHeight="1" x14ac:dyDescent="0.3">
      <c r="X6688" s="2"/>
      <c r="Y6688" s="7"/>
    </row>
    <row r="6689" spans="24:25" ht="43.95" customHeight="1" x14ac:dyDescent="0.3">
      <c r="X6689" s="2"/>
      <c r="Y6689" s="7"/>
    </row>
    <row r="6690" spans="24:25" ht="43.95" customHeight="1" x14ac:dyDescent="0.3">
      <c r="X6690" s="2"/>
      <c r="Y6690" s="7"/>
    </row>
    <row r="6691" spans="24:25" ht="43.95" customHeight="1" x14ac:dyDescent="0.3">
      <c r="X6691" s="2"/>
      <c r="Y6691" s="7"/>
    </row>
    <row r="6692" spans="24:25" ht="43.95" customHeight="1" x14ac:dyDescent="0.3">
      <c r="X6692" s="2"/>
      <c r="Y6692" s="7"/>
    </row>
    <row r="6693" spans="24:25" ht="43.95" customHeight="1" x14ac:dyDescent="0.3">
      <c r="X6693" s="2"/>
      <c r="Y6693" s="7"/>
    </row>
    <row r="6694" spans="24:25" ht="43.95" customHeight="1" x14ac:dyDescent="0.3">
      <c r="X6694" s="2"/>
      <c r="Y6694" s="7"/>
    </row>
    <row r="6695" spans="24:25" ht="43.95" customHeight="1" x14ac:dyDescent="0.3">
      <c r="X6695" s="2"/>
      <c r="Y6695" s="7"/>
    </row>
    <row r="6696" spans="24:25" ht="43.95" customHeight="1" x14ac:dyDescent="0.3">
      <c r="X6696" s="2"/>
      <c r="Y6696" s="7"/>
    </row>
    <row r="6697" spans="24:25" ht="43.95" customHeight="1" x14ac:dyDescent="0.3">
      <c r="X6697" s="2"/>
      <c r="Y6697" s="7"/>
    </row>
    <row r="6698" spans="24:25" ht="43.95" customHeight="1" x14ac:dyDescent="0.3">
      <c r="X6698" s="2"/>
      <c r="Y6698" s="7"/>
    </row>
    <row r="6699" spans="24:25" ht="43.95" customHeight="1" x14ac:dyDescent="0.3">
      <c r="X6699" s="2"/>
      <c r="Y6699" s="7"/>
    </row>
    <row r="6700" spans="24:25" ht="43.95" customHeight="1" x14ac:dyDescent="0.3">
      <c r="X6700" s="2"/>
      <c r="Y6700" s="7"/>
    </row>
    <row r="6701" spans="24:25" ht="43.95" customHeight="1" x14ac:dyDescent="0.3">
      <c r="X6701" s="2"/>
      <c r="Y6701" s="7"/>
    </row>
    <row r="6702" spans="24:25" ht="43.95" customHeight="1" x14ac:dyDescent="0.3">
      <c r="X6702" s="2"/>
      <c r="Y6702" s="7"/>
    </row>
    <row r="6703" spans="24:25" ht="43.95" customHeight="1" x14ac:dyDescent="0.3">
      <c r="X6703" s="2"/>
      <c r="Y6703" s="7"/>
    </row>
    <row r="6704" spans="24:25" ht="43.95" customHeight="1" x14ac:dyDescent="0.3">
      <c r="X6704" s="2"/>
      <c r="Y6704" s="7"/>
    </row>
    <row r="6705" spans="24:25" ht="43.95" customHeight="1" x14ac:dyDescent="0.3">
      <c r="X6705" s="2"/>
      <c r="Y6705" s="7"/>
    </row>
    <row r="6706" spans="24:25" ht="43.95" customHeight="1" x14ac:dyDescent="0.3">
      <c r="X6706" s="2"/>
      <c r="Y6706" s="7"/>
    </row>
    <row r="6707" spans="24:25" ht="43.95" customHeight="1" x14ac:dyDescent="0.3">
      <c r="X6707" s="2"/>
      <c r="Y6707" s="7"/>
    </row>
    <row r="6708" spans="24:25" ht="43.95" customHeight="1" x14ac:dyDescent="0.3">
      <c r="X6708" s="2"/>
      <c r="Y6708" s="7"/>
    </row>
    <row r="6709" spans="24:25" ht="43.95" customHeight="1" x14ac:dyDescent="0.3">
      <c r="X6709" s="2"/>
      <c r="Y6709" s="7"/>
    </row>
    <row r="6710" spans="24:25" ht="43.95" customHeight="1" x14ac:dyDescent="0.3">
      <c r="X6710" s="2"/>
      <c r="Y6710" s="7"/>
    </row>
    <row r="6711" spans="24:25" ht="43.95" customHeight="1" x14ac:dyDescent="0.3">
      <c r="X6711" s="2"/>
      <c r="Y6711" s="7"/>
    </row>
    <row r="6712" spans="24:25" ht="43.95" customHeight="1" x14ac:dyDescent="0.3">
      <c r="X6712" s="2"/>
      <c r="Y6712" s="7"/>
    </row>
    <row r="6713" spans="24:25" ht="43.95" customHeight="1" x14ac:dyDescent="0.3">
      <c r="X6713" s="2"/>
      <c r="Y6713" s="7"/>
    </row>
    <row r="6714" spans="24:25" ht="43.95" customHeight="1" x14ac:dyDescent="0.3">
      <c r="X6714" s="2"/>
      <c r="Y6714" s="7"/>
    </row>
    <row r="6715" spans="24:25" ht="43.95" customHeight="1" x14ac:dyDescent="0.3">
      <c r="X6715" s="2"/>
      <c r="Y6715" s="7"/>
    </row>
    <row r="6716" spans="24:25" ht="43.95" customHeight="1" x14ac:dyDescent="0.3">
      <c r="X6716" s="2"/>
      <c r="Y6716" s="7"/>
    </row>
    <row r="6717" spans="24:25" ht="43.95" customHeight="1" x14ac:dyDescent="0.3">
      <c r="X6717" s="2"/>
      <c r="Y6717" s="7"/>
    </row>
    <row r="6718" spans="24:25" ht="43.95" customHeight="1" x14ac:dyDescent="0.3">
      <c r="X6718" s="2"/>
      <c r="Y6718" s="7"/>
    </row>
    <row r="6719" spans="24:25" ht="43.95" customHeight="1" x14ac:dyDescent="0.3">
      <c r="X6719" s="250"/>
      <c r="Y6719" s="7"/>
    </row>
    <row r="6720" spans="24:25" ht="43.95" customHeight="1" x14ac:dyDescent="0.3">
      <c r="X6720" s="2"/>
      <c r="Y6720" s="7"/>
    </row>
    <row r="6721" spans="24:25" ht="43.95" customHeight="1" x14ac:dyDescent="0.3">
      <c r="X6721" s="2"/>
      <c r="Y6721" s="7"/>
    </row>
    <row r="6722" spans="24:25" ht="43.95" customHeight="1" x14ac:dyDescent="0.3">
      <c r="X6722" s="2"/>
      <c r="Y6722" s="7"/>
    </row>
    <row r="6723" spans="24:25" ht="43.95" customHeight="1" x14ac:dyDescent="0.3">
      <c r="X6723" s="2"/>
      <c r="Y6723" s="7"/>
    </row>
    <row r="6724" spans="24:25" ht="43.95" customHeight="1" x14ac:dyDescent="0.3">
      <c r="X6724" s="2"/>
      <c r="Y6724" s="7"/>
    </row>
    <row r="6725" spans="24:25" ht="43.95" customHeight="1" x14ac:dyDescent="0.3">
      <c r="X6725" s="2"/>
      <c r="Y6725" s="7"/>
    </row>
    <row r="6726" spans="24:25" ht="43.95" customHeight="1" x14ac:dyDescent="0.3">
      <c r="X6726" s="2"/>
      <c r="Y6726" s="7"/>
    </row>
    <row r="6727" spans="24:25" ht="43.95" customHeight="1" x14ac:dyDescent="0.3">
      <c r="X6727" s="2"/>
      <c r="Y6727" s="7"/>
    </row>
    <row r="6728" spans="24:25" ht="43.95" customHeight="1" x14ac:dyDescent="0.3">
      <c r="X6728" s="2"/>
      <c r="Y6728" s="7"/>
    </row>
    <row r="6729" spans="24:25" ht="43.95" customHeight="1" x14ac:dyDescent="0.3">
      <c r="X6729" s="2"/>
      <c r="Y6729" s="7"/>
    </row>
    <row r="6730" spans="24:25" ht="43.95" customHeight="1" x14ac:dyDescent="0.3">
      <c r="X6730" s="2"/>
      <c r="Y6730" s="7"/>
    </row>
    <row r="6731" spans="24:25" ht="43.95" customHeight="1" x14ac:dyDescent="0.3">
      <c r="X6731" s="2"/>
      <c r="Y6731" s="7"/>
    </row>
    <row r="6732" spans="24:25" ht="43.95" customHeight="1" x14ac:dyDescent="0.3">
      <c r="X6732" s="2"/>
      <c r="Y6732" s="7"/>
    </row>
    <row r="6733" spans="24:25" ht="43.95" customHeight="1" x14ac:dyDescent="0.3">
      <c r="X6733" s="250"/>
      <c r="Y6733" s="7"/>
    </row>
    <row r="6734" spans="24:25" ht="43.95" customHeight="1" x14ac:dyDescent="0.3">
      <c r="X6734" s="2"/>
      <c r="Y6734" s="7"/>
    </row>
    <row r="6735" spans="24:25" ht="43.95" customHeight="1" x14ac:dyDescent="0.3">
      <c r="X6735" s="2"/>
      <c r="Y6735" s="7"/>
    </row>
    <row r="6736" spans="24:25" ht="43.95" customHeight="1" x14ac:dyDescent="0.3">
      <c r="X6736" s="250"/>
      <c r="Y6736" s="7"/>
    </row>
    <row r="6737" spans="24:25" ht="43.95" customHeight="1" x14ac:dyDescent="0.3">
      <c r="X6737" s="2"/>
      <c r="Y6737" s="7"/>
    </row>
    <row r="6738" spans="24:25" ht="43.95" customHeight="1" x14ac:dyDescent="0.3">
      <c r="X6738" s="2"/>
      <c r="Y6738" s="7"/>
    </row>
    <row r="6739" spans="24:25" ht="43.95" customHeight="1" x14ac:dyDescent="0.3">
      <c r="X6739" s="2"/>
      <c r="Y6739" s="7"/>
    </row>
    <row r="6740" spans="24:25" ht="43.95" customHeight="1" x14ac:dyDescent="0.3">
      <c r="X6740" s="2"/>
      <c r="Y6740" s="7"/>
    </row>
    <row r="6741" spans="24:25" ht="43.95" customHeight="1" x14ac:dyDescent="0.3">
      <c r="X6741" s="2"/>
      <c r="Y6741" s="7"/>
    </row>
    <row r="6742" spans="24:25" ht="43.95" customHeight="1" x14ac:dyDescent="0.3">
      <c r="X6742" s="2"/>
      <c r="Y6742" s="7"/>
    </row>
    <row r="6743" spans="24:25" ht="43.95" customHeight="1" x14ac:dyDescent="0.3">
      <c r="X6743" s="2"/>
      <c r="Y6743" s="7"/>
    </row>
    <row r="6744" spans="24:25" ht="43.95" customHeight="1" x14ac:dyDescent="0.3">
      <c r="X6744" s="2"/>
      <c r="Y6744" s="7"/>
    </row>
    <row r="6745" spans="24:25" ht="43.95" customHeight="1" x14ac:dyDescent="0.3">
      <c r="X6745" s="2"/>
      <c r="Y6745" s="7"/>
    </row>
    <row r="6746" spans="24:25" ht="43.95" customHeight="1" x14ac:dyDescent="0.3">
      <c r="X6746" s="2"/>
      <c r="Y6746" s="7"/>
    </row>
    <row r="6747" spans="24:25" ht="43.95" customHeight="1" x14ac:dyDescent="0.3">
      <c r="X6747" s="2"/>
      <c r="Y6747" s="7"/>
    </row>
    <row r="6748" spans="24:25" ht="43.95" customHeight="1" x14ac:dyDescent="0.3">
      <c r="X6748" s="2"/>
      <c r="Y6748" s="7"/>
    </row>
    <row r="6749" spans="24:25" ht="43.95" customHeight="1" x14ac:dyDescent="0.3">
      <c r="X6749" s="2"/>
      <c r="Y6749" s="7"/>
    </row>
    <row r="6750" spans="24:25" ht="43.95" customHeight="1" x14ac:dyDescent="0.3">
      <c r="X6750" s="2"/>
      <c r="Y6750" s="7"/>
    </row>
    <row r="6751" spans="24:25" ht="43.95" customHeight="1" x14ac:dyDescent="0.3">
      <c r="X6751" s="2"/>
      <c r="Y6751" s="7"/>
    </row>
    <row r="6752" spans="24:25" ht="43.95" customHeight="1" x14ac:dyDescent="0.3">
      <c r="X6752" s="2"/>
      <c r="Y6752" s="7"/>
    </row>
    <row r="6753" spans="24:25" ht="43.95" customHeight="1" x14ac:dyDescent="0.3">
      <c r="X6753" s="2"/>
      <c r="Y6753" s="7"/>
    </row>
    <row r="6754" spans="24:25" ht="43.95" customHeight="1" x14ac:dyDescent="0.3">
      <c r="X6754" s="2"/>
      <c r="Y6754" s="7"/>
    </row>
    <row r="6755" spans="24:25" ht="43.95" customHeight="1" x14ac:dyDescent="0.3">
      <c r="X6755" s="2"/>
      <c r="Y6755" s="7"/>
    </row>
    <row r="6756" spans="24:25" ht="43.95" customHeight="1" x14ac:dyDescent="0.3">
      <c r="X6756" s="2"/>
      <c r="Y6756" s="7"/>
    </row>
    <row r="6757" spans="24:25" ht="43.95" customHeight="1" x14ac:dyDescent="0.3">
      <c r="X6757" s="2"/>
      <c r="Y6757" s="7"/>
    </row>
    <row r="6758" spans="24:25" ht="43.95" customHeight="1" x14ac:dyDescent="0.3">
      <c r="X6758" s="2"/>
      <c r="Y6758" s="7"/>
    </row>
    <row r="6759" spans="24:25" ht="43.95" customHeight="1" x14ac:dyDescent="0.3">
      <c r="X6759" s="2"/>
      <c r="Y6759" s="7"/>
    </row>
    <row r="6760" spans="24:25" ht="43.95" customHeight="1" x14ac:dyDescent="0.3">
      <c r="X6760" s="252"/>
      <c r="Y6760" s="7"/>
    </row>
    <row r="6761" spans="24:25" ht="43.95" customHeight="1" x14ac:dyDescent="0.3">
      <c r="X6761" s="2"/>
      <c r="Y6761" s="7"/>
    </row>
    <row r="6762" spans="24:25" ht="43.95" customHeight="1" x14ac:dyDescent="0.3">
      <c r="X6762" s="2"/>
      <c r="Y6762" s="7"/>
    </row>
    <row r="6763" spans="24:25" ht="43.95" customHeight="1" x14ac:dyDescent="0.3">
      <c r="X6763" s="2"/>
      <c r="Y6763" s="7"/>
    </row>
    <row r="6764" spans="24:25" ht="43.95" customHeight="1" x14ac:dyDescent="0.3">
      <c r="X6764" s="2"/>
      <c r="Y6764" s="7"/>
    </row>
    <row r="6765" spans="24:25" ht="43.95" customHeight="1" x14ac:dyDescent="0.3">
      <c r="X6765" s="2"/>
      <c r="Y6765" s="7"/>
    </row>
    <row r="6766" spans="24:25" ht="43.95" customHeight="1" x14ac:dyDescent="0.3">
      <c r="X6766" s="2"/>
      <c r="Y6766" s="7"/>
    </row>
    <row r="6767" spans="24:25" ht="43.95" customHeight="1" x14ac:dyDescent="0.3">
      <c r="X6767" s="2"/>
      <c r="Y6767" s="7"/>
    </row>
    <row r="6768" spans="24:25" ht="43.95" customHeight="1" x14ac:dyDescent="0.3">
      <c r="X6768" s="1"/>
      <c r="Y6768" s="7"/>
    </row>
    <row r="6769" spans="24:25" ht="43.95" customHeight="1" x14ac:dyDescent="0.3">
      <c r="X6769" s="2"/>
      <c r="Y6769" s="7"/>
    </row>
    <row r="6770" spans="24:25" ht="43.95" customHeight="1" x14ac:dyDescent="0.3">
      <c r="X6770" s="2"/>
      <c r="Y6770" s="7"/>
    </row>
    <row r="6771" spans="24:25" ht="43.95" customHeight="1" x14ac:dyDescent="0.3">
      <c r="X6771" s="2"/>
      <c r="Y6771" s="7"/>
    </row>
    <row r="6772" spans="24:25" ht="43.95" customHeight="1" x14ac:dyDescent="0.3">
      <c r="X6772" s="2"/>
      <c r="Y6772" s="7"/>
    </row>
    <row r="6773" spans="24:25" ht="43.95" customHeight="1" x14ac:dyDescent="0.3">
      <c r="X6773" s="2"/>
      <c r="Y6773" s="7"/>
    </row>
    <row r="6774" spans="24:25" ht="43.95" customHeight="1" x14ac:dyDescent="0.3">
      <c r="X6774" s="2"/>
      <c r="Y6774" s="7"/>
    </row>
    <row r="6775" spans="24:25" ht="43.95" customHeight="1" x14ac:dyDescent="0.3">
      <c r="X6775" s="252"/>
      <c r="Y6775" s="7"/>
    </row>
    <row r="6776" spans="24:25" ht="43.95" customHeight="1" x14ac:dyDescent="0.3">
      <c r="X6776" s="2"/>
      <c r="Y6776" s="7"/>
    </row>
    <row r="6777" spans="24:25" ht="43.95" customHeight="1" x14ac:dyDescent="0.3">
      <c r="X6777" s="2"/>
      <c r="Y6777" s="7"/>
    </row>
    <row r="6778" spans="24:25" ht="43.95" customHeight="1" x14ac:dyDescent="0.3">
      <c r="X6778" s="2"/>
      <c r="Y6778" s="7"/>
    </row>
    <row r="6779" spans="24:25" ht="43.95" customHeight="1" x14ac:dyDescent="0.3">
      <c r="X6779" s="2"/>
      <c r="Y6779" s="7"/>
    </row>
    <row r="6780" spans="24:25" ht="43.95" customHeight="1" x14ac:dyDescent="0.3">
      <c r="X6780" s="2"/>
      <c r="Y6780" s="7"/>
    </row>
    <row r="6781" spans="24:25" ht="43.95" customHeight="1" x14ac:dyDescent="0.3">
      <c r="X6781" s="2"/>
      <c r="Y6781" s="7"/>
    </row>
    <row r="6782" spans="24:25" ht="43.95" customHeight="1" x14ac:dyDescent="0.3">
      <c r="X6782" s="2"/>
      <c r="Y6782" s="7"/>
    </row>
    <row r="6783" spans="24:25" ht="43.95" customHeight="1" x14ac:dyDescent="0.3">
      <c r="X6783" s="2"/>
      <c r="Y6783" s="7"/>
    </row>
    <row r="6784" spans="24:25" ht="43.95" customHeight="1" x14ac:dyDescent="0.3">
      <c r="X6784" s="252"/>
      <c r="Y6784" s="7"/>
    </row>
    <row r="6785" spans="24:25" ht="43.95" customHeight="1" x14ac:dyDescent="0.3">
      <c r="X6785" s="2"/>
      <c r="Y6785" s="7"/>
    </row>
    <row r="6786" spans="24:25" ht="43.95" customHeight="1" x14ac:dyDescent="0.3">
      <c r="X6786" s="2"/>
      <c r="Y6786" s="7"/>
    </row>
    <row r="6787" spans="24:25" ht="43.95" customHeight="1" x14ac:dyDescent="0.3">
      <c r="X6787" s="2"/>
      <c r="Y6787" s="7"/>
    </row>
    <row r="6788" spans="24:25" ht="43.95" customHeight="1" x14ac:dyDescent="0.3">
      <c r="X6788" s="2"/>
      <c r="Y6788" s="7"/>
    </row>
    <row r="6789" spans="24:25" ht="43.95" customHeight="1" x14ac:dyDescent="0.3">
      <c r="X6789" s="252"/>
      <c r="Y6789" s="7"/>
    </row>
    <row r="6790" spans="24:25" ht="43.95" customHeight="1" x14ac:dyDescent="0.3">
      <c r="X6790" s="2"/>
      <c r="Y6790" s="7"/>
    </row>
    <row r="6791" spans="24:25" ht="43.95" customHeight="1" x14ac:dyDescent="0.3">
      <c r="X6791" s="2"/>
      <c r="Y6791" s="7"/>
    </row>
    <row r="6792" spans="24:25" ht="43.95" customHeight="1" x14ac:dyDescent="0.3">
      <c r="X6792" s="252"/>
      <c r="Y6792" s="7"/>
    </row>
    <row r="6793" spans="24:25" ht="43.95" customHeight="1" x14ac:dyDescent="0.3">
      <c r="X6793" s="2"/>
      <c r="Y6793" s="7"/>
    </row>
    <row r="6794" spans="24:25" ht="43.95" customHeight="1" x14ac:dyDescent="0.3">
      <c r="X6794" s="2"/>
      <c r="Y6794" s="7"/>
    </row>
    <row r="6795" spans="24:25" ht="43.95" customHeight="1" x14ac:dyDescent="0.3">
      <c r="X6795" s="252"/>
      <c r="Y6795" s="7"/>
    </row>
    <row r="6796" spans="24:25" ht="43.95" customHeight="1" x14ac:dyDescent="0.3">
      <c r="X6796" s="2"/>
      <c r="Y6796" s="7"/>
    </row>
    <row r="6797" spans="24:25" ht="43.95" customHeight="1" x14ac:dyDescent="0.3">
      <c r="X6797" s="2"/>
      <c r="Y6797" s="7"/>
    </row>
    <row r="6798" spans="24:25" ht="43.95" customHeight="1" x14ac:dyDescent="0.3">
      <c r="X6798" s="252"/>
      <c r="Y6798" s="7"/>
    </row>
    <row r="6799" spans="24:25" ht="43.95" customHeight="1" x14ac:dyDescent="0.3">
      <c r="X6799" s="2"/>
      <c r="Y6799" s="7"/>
    </row>
    <row r="6800" spans="24:25" ht="43.95" customHeight="1" x14ac:dyDescent="0.3">
      <c r="X6800" s="2"/>
      <c r="Y6800" s="7"/>
    </row>
    <row r="6801" spans="24:25" ht="43.95" customHeight="1" x14ac:dyDescent="0.3">
      <c r="X6801" s="2"/>
      <c r="Y6801" s="7"/>
    </row>
    <row r="6802" spans="24:25" ht="43.95" customHeight="1" x14ac:dyDescent="0.3">
      <c r="X6802" s="252"/>
      <c r="Y6802" s="7"/>
    </row>
    <row r="6803" spans="24:25" ht="43.95" customHeight="1" x14ac:dyDescent="0.3">
      <c r="X6803" s="2"/>
      <c r="Y6803" s="7"/>
    </row>
    <row r="6804" spans="24:25" ht="43.95" customHeight="1" x14ac:dyDescent="0.3">
      <c r="X6804" s="2"/>
      <c r="Y6804" s="7"/>
    </row>
    <row r="6805" spans="24:25" ht="43.95" customHeight="1" x14ac:dyDescent="0.3">
      <c r="X6805" s="2"/>
      <c r="Y6805" s="7"/>
    </row>
    <row r="6806" spans="24:25" ht="43.95" customHeight="1" x14ac:dyDescent="0.3">
      <c r="X6806" s="2"/>
      <c r="Y6806" s="7"/>
    </row>
    <row r="6807" spans="24:25" ht="43.95" customHeight="1" x14ac:dyDescent="0.3">
      <c r="X6807" s="2"/>
      <c r="Y6807" s="7"/>
    </row>
    <row r="6808" spans="24:25" ht="43.95" customHeight="1" x14ac:dyDescent="0.3">
      <c r="X6808" s="2"/>
      <c r="Y6808" s="7"/>
    </row>
    <row r="6809" spans="24:25" ht="43.95" customHeight="1" x14ac:dyDescent="0.3">
      <c r="X6809" s="2"/>
      <c r="Y6809" s="7"/>
    </row>
    <row r="6810" spans="24:25" ht="43.95" customHeight="1" x14ac:dyDescent="0.3">
      <c r="X6810" s="2"/>
      <c r="Y6810" s="7"/>
    </row>
    <row r="6811" spans="24:25" ht="43.95" customHeight="1" x14ac:dyDescent="0.3">
      <c r="X6811" s="252"/>
      <c r="Y6811" s="7"/>
    </row>
    <row r="6812" spans="24:25" ht="43.95" customHeight="1" x14ac:dyDescent="0.3">
      <c r="X6812" s="2"/>
      <c r="Y6812" s="7"/>
    </row>
    <row r="6813" spans="24:25" ht="43.95" customHeight="1" x14ac:dyDescent="0.3">
      <c r="X6813" s="252"/>
      <c r="Y6813" s="7"/>
    </row>
    <row r="6814" spans="24:25" ht="43.95" customHeight="1" x14ac:dyDescent="0.3">
      <c r="X6814" s="252"/>
      <c r="Y6814" s="7"/>
    </row>
    <row r="6815" spans="24:25" ht="43.95" customHeight="1" x14ac:dyDescent="0.3">
      <c r="X6815" s="252"/>
      <c r="Y6815" s="7"/>
    </row>
    <row r="6816" spans="24:25" ht="43.95" customHeight="1" x14ac:dyDescent="0.3">
      <c r="X6816" s="252"/>
      <c r="Y6816" s="7"/>
    </row>
    <row r="6817" spans="24:25" ht="43.95" customHeight="1" x14ac:dyDescent="0.3">
      <c r="X6817" s="252"/>
      <c r="Y6817" s="7"/>
    </row>
    <row r="6818" spans="24:25" ht="43.95" customHeight="1" x14ac:dyDescent="0.3">
      <c r="X6818" s="252"/>
      <c r="Y6818" s="7"/>
    </row>
    <row r="6819" spans="24:25" ht="43.95" customHeight="1" x14ac:dyDescent="0.3">
      <c r="X6819" s="252"/>
      <c r="Y6819" s="7"/>
    </row>
    <row r="6820" spans="24:25" ht="43.95" customHeight="1" x14ac:dyDescent="0.3">
      <c r="X6820" s="252"/>
      <c r="Y6820" s="7"/>
    </row>
    <row r="6821" spans="24:25" ht="43.95" customHeight="1" x14ac:dyDescent="0.3">
      <c r="X6821" s="2"/>
      <c r="Y6821" s="7"/>
    </row>
    <row r="6822" spans="24:25" ht="43.95" customHeight="1" x14ac:dyDescent="0.3">
      <c r="X6822" s="2"/>
      <c r="Y6822" s="7"/>
    </row>
    <row r="6823" spans="24:25" ht="43.95" customHeight="1" x14ac:dyDescent="0.3">
      <c r="X6823" s="2"/>
      <c r="Y6823" s="7"/>
    </row>
    <row r="6824" spans="24:25" ht="43.95" customHeight="1" x14ac:dyDescent="0.3">
      <c r="X6824" s="2"/>
      <c r="Y6824" s="7"/>
    </row>
    <row r="6825" spans="24:25" ht="43.95" customHeight="1" x14ac:dyDescent="0.3">
      <c r="X6825" s="2"/>
      <c r="Y6825" s="7"/>
    </row>
    <row r="6826" spans="24:25" ht="43.95" customHeight="1" x14ac:dyDescent="0.3">
      <c r="X6826" s="2"/>
      <c r="Y6826" s="7"/>
    </row>
    <row r="6827" spans="24:25" ht="43.95" customHeight="1" x14ac:dyDescent="0.3">
      <c r="X6827" s="2"/>
      <c r="Y6827" s="7"/>
    </row>
    <row r="6828" spans="24:25" ht="43.95" customHeight="1" x14ac:dyDescent="0.3">
      <c r="X6828" s="2"/>
      <c r="Y6828" s="7"/>
    </row>
    <row r="6829" spans="24:25" ht="43.95" customHeight="1" x14ac:dyDescent="0.3">
      <c r="X6829" s="2"/>
      <c r="Y6829" s="7"/>
    </row>
    <row r="6830" spans="24:25" ht="43.95" customHeight="1" x14ac:dyDescent="0.3">
      <c r="X6830" s="2"/>
      <c r="Y6830" s="7"/>
    </row>
    <row r="6831" spans="24:25" ht="43.95" customHeight="1" x14ac:dyDescent="0.3">
      <c r="X6831" s="2"/>
      <c r="Y6831" s="7"/>
    </row>
    <row r="6832" spans="24:25" ht="43.95" customHeight="1" x14ac:dyDescent="0.3">
      <c r="X6832" s="252"/>
      <c r="Y6832" s="7"/>
    </row>
    <row r="6833" spans="24:25" ht="43.95" customHeight="1" x14ac:dyDescent="0.3">
      <c r="X6833" s="2"/>
      <c r="Y6833" s="7"/>
    </row>
    <row r="6834" spans="24:25" ht="43.95" customHeight="1" x14ac:dyDescent="0.3">
      <c r="X6834" s="2"/>
      <c r="Y6834" s="7"/>
    </row>
    <row r="6835" spans="24:25" ht="43.95" customHeight="1" x14ac:dyDescent="0.3">
      <c r="X6835" s="2"/>
      <c r="Y6835" s="7"/>
    </row>
    <row r="6836" spans="24:25" ht="43.95" customHeight="1" x14ac:dyDescent="0.3">
      <c r="X6836" s="2"/>
      <c r="Y6836" s="7"/>
    </row>
    <row r="6837" spans="24:25" ht="43.95" customHeight="1" x14ac:dyDescent="0.3">
      <c r="X6837" s="2"/>
      <c r="Y6837" s="7"/>
    </row>
    <row r="6838" spans="24:25" ht="43.95" customHeight="1" x14ac:dyDescent="0.3">
      <c r="X6838" s="2"/>
      <c r="Y6838" s="7"/>
    </row>
    <row r="6839" spans="24:25" ht="43.95" customHeight="1" x14ac:dyDescent="0.3">
      <c r="X6839" s="2"/>
      <c r="Y6839" s="7"/>
    </row>
    <row r="6840" spans="24:25" ht="43.95" customHeight="1" x14ac:dyDescent="0.3">
      <c r="X6840" s="2"/>
      <c r="Y6840" s="7"/>
    </row>
    <row r="6841" spans="24:25" ht="43.95" customHeight="1" x14ac:dyDescent="0.3">
      <c r="X6841" s="2"/>
      <c r="Y6841" s="7"/>
    </row>
    <row r="6842" spans="24:25" ht="43.95" customHeight="1" x14ac:dyDescent="0.3">
      <c r="X6842" s="2"/>
      <c r="Y6842" s="7"/>
    </row>
    <row r="6843" spans="24:25" ht="43.95" customHeight="1" x14ac:dyDescent="0.3">
      <c r="X6843" s="2"/>
      <c r="Y6843" s="7"/>
    </row>
    <row r="6844" spans="24:25" ht="43.95" customHeight="1" x14ac:dyDescent="0.3">
      <c r="X6844" s="2"/>
      <c r="Y6844" s="7"/>
    </row>
    <row r="6845" spans="24:25" ht="43.95" customHeight="1" x14ac:dyDescent="0.3">
      <c r="X6845" s="2"/>
      <c r="Y6845" s="7"/>
    </row>
    <row r="6846" spans="24:25" ht="43.95" customHeight="1" x14ac:dyDescent="0.3">
      <c r="X6846" s="2"/>
      <c r="Y6846" s="7"/>
    </row>
    <row r="6847" spans="24:25" ht="43.95" customHeight="1" x14ac:dyDescent="0.3">
      <c r="X6847" s="2"/>
      <c r="Y6847" s="7"/>
    </row>
    <row r="6848" spans="24:25" ht="43.95" customHeight="1" x14ac:dyDescent="0.3">
      <c r="X6848" s="2"/>
      <c r="Y6848" s="7"/>
    </row>
    <row r="6849" spans="24:25" ht="43.95" customHeight="1" x14ac:dyDescent="0.3">
      <c r="X6849" s="254"/>
      <c r="Y6849" s="7"/>
    </row>
    <row r="6850" spans="24:25" ht="43.95" customHeight="1" x14ac:dyDescent="0.3">
      <c r="X6850" s="2"/>
      <c r="Y6850" s="7"/>
    </row>
    <row r="6851" spans="24:25" ht="43.95" customHeight="1" x14ac:dyDescent="0.3">
      <c r="X6851" s="2"/>
      <c r="Y6851" s="7"/>
    </row>
    <row r="6852" spans="24:25" ht="43.95" customHeight="1" x14ac:dyDescent="0.3">
      <c r="X6852" s="2"/>
      <c r="Y6852" s="7"/>
    </row>
    <row r="6853" spans="24:25" ht="43.95" customHeight="1" x14ac:dyDescent="0.3">
      <c r="X6853" s="2"/>
      <c r="Y6853" s="7"/>
    </row>
    <row r="6854" spans="24:25" ht="43.95" customHeight="1" x14ac:dyDescent="0.3">
      <c r="X6854" s="2"/>
      <c r="Y6854" s="7"/>
    </row>
    <row r="6855" spans="24:25" ht="43.95" customHeight="1" x14ac:dyDescent="0.3">
      <c r="X6855" s="2"/>
      <c r="Y6855" s="7"/>
    </row>
    <row r="6856" spans="24:25" ht="43.95" customHeight="1" x14ac:dyDescent="0.3">
      <c r="X6856" s="2"/>
      <c r="Y6856" s="7"/>
    </row>
    <row r="6857" spans="24:25" ht="43.95" customHeight="1" x14ac:dyDescent="0.3">
      <c r="X6857" s="254"/>
      <c r="Y6857" s="7"/>
    </row>
    <row r="6858" spans="24:25" ht="43.95" customHeight="1" x14ac:dyDescent="0.3">
      <c r="X6858" s="2"/>
      <c r="Y6858" s="7"/>
    </row>
    <row r="6859" spans="24:25" ht="43.95" customHeight="1" x14ac:dyDescent="0.3">
      <c r="X6859" s="2"/>
      <c r="Y6859" s="7"/>
    </row>
    <row r="6860" spans="24:25" ht="43.95" customHeight="1" x14ac:dyDescent="0.3">
      <c r="X6860" s="2"/>
      <c r="Y6860" s="7"/>
    </row>
    <row r="6861" spans="24:25" ht="43.95" customHeight="1" x14ac:dyDescent="0.3">
      <c r="X6861" s="2"/>
      <c r="Y6861" s="7"/>
    </row>
    <row r="6862" spans="24:25" ht="43.95" customHeight="1" x14ac:dyDescent="0.3">
      <c r="X6862" s="2"/>
      <c r="Y6862" s="7"/>
    </row>
    <row r="6863" spans="24:25" ht="43.95" customHeight="1" x14ac:dyDescent="0.3">
      <c r="X6863" s="2"/>
      <c r="Y6863" s="7"/>
    </row>
    <row r="6864" spans="24:25" ht="43.95" customHeight="1" x14ac:dyDescent="0.3">
      <c r="X6864" s="2"/>
      <c r="Y6864" s="7"/>
    </row>
    <row r="6865" spans="24:25" ht="43.95" customHeight="1" x14ac:dyDescent="0.3">
      <c r="X6865" s="2"/>
      <c r="Y6865" s="7"/>
    </row>
    <row r="6866" spans="24:25" ht="43.95" customHeight="1" x14ac:dyDescent="0.3">
      <c r="X6866" s="2"/>
      <c r="Y6866" s="7"/>
    </row>
    <row r="6867" spans="24:25" ht="43.95" customHeight="1" x14ac:dyDescent="0.3">
      <c r="X6867" s="2"/>
      <c r="Y6867" s="7"/>
    </row>
    <row r="6868" spans="24:25" ht="43.95" customHeight="1" x14ac:dyDescent="0.3">
      <c r="X6868" s="2"/>
      <c r="Y6868" s="7"/>
    </row>
    <row r="6869" spans="24:25" ht="43.95" customHeight="1" x14ac:dyDescent="0.3">
      <c r="X6869" s="2"/>
      <c r="Y6869" s="7"/>
    </row>
    <row r="6870" spans="24:25" ht="43.95" customHeight="1" x14ac:dyDescent="0.3">
      <c r="X6870" s="2"/>
      <c r="Y6870" s="7"/>
    </row>
    <row r="6871" spans="24:25" ht="43.95" customHeight="1" x14ac:dyDescent="0.3">
      <c r="X6871" s="2"/>
      <c r="Y6871" s="7"/>
    </row>
    <row r="6872" spans="24:25" ht="43.95" customHeight="1" x14ac:dyDescent="0.3">
      <c r="X6872" s="2"/>
      <c r="Y6872" s="7"/>
    </row>
    <row r="6873" spans="24:25" ht="43.95" customHeight="1" x14ac:dyDescent="0.3">
      <c r="X6873" s="2"/>
      <c r="Y6873" s="7"/>
    </row>
    <row r="6874" spans="24:25" ht="43.95" customHeight="1" x14ac:dyDescent="0.3">
      <c r="X6874" s="2"/>
      <c r="Y6874" s="7"/>
    </row>
    <row r="6875" spans="24:25" ht="43.95" customHeight="1" x14ac:dyDescent="0.3">
      <c r="X6875" s="2"/>
      <c r="Y6875" s="7"/>
    </row>
    <row r="6876" spans="24:25" ht="43.95" customHeight="1" x14ac:dyDescent="0.3">
      <c r="X6876" s="2"/>
      <c r="Y6876" s="7"/>
    </row>
    <row r="6877" spans="24:25" ht="43.95" customHeight="1" x14ac:dyDescent="0.3">
      <c r="X6877" s="2"/>
      <c r="Y6877" s="7"/>
    </row>
    <row r="6878" spans="24:25" ht="43.95" customHeight="1" x14ac:dyDescent="0.3">
      <c r="X6878" s="2"/>
      <c r="Y6878" s="7"/>
    </row>
    <row r="6879" spans="24:25" ht="43.95" customHeight="1" x14ac:dyDescent="0.3">
      <c r="X6879" s="254"/>
      <c r="Y6879" s="7"/>
    </row>
    <row r="6880" spans="24:25" ht="43.95" customHeight="1" x14ac:dyDescent="0.3">
      <c r="X6880" s="2"/>
      <c r="Y6880" s="7"/>
    </row>
    <row r="6881" spans="24:25" ht="43.95" customHeight="1" x14ac:dyDescent="0.3">
      <c r="X6881" s="2"/>
      <c r="Y6881" s="7"/>
    </row>
    <row r="6882" spans="24:25" ht="43.95" customHeight="1" x14ac:dyDescent="0.3">
      <c r="X6882" s="2"/>
      <c r="Y6882" s="7"/>
    </row>
    <row r="6883" spans="24:25" ht="43.95" customHeight="1" x14ac:dyDescent="0.3">
      <c r="X6883" s="2"/>
      <c r="Y6883" s="7"/>
    </row>
    <row r="6884" spans="24:25" ht="43.95" customHeight="1" x14ac:dyDescent="0.3">
      <c r="X6884" s="2"/>
      <c r="Y6884" s="7"/>
    </row>
    <row r="6885" spans="24:25" ht="43.95" customHeight="1" x14ac:dyDescent="0.3">
      <c r="X6885" s="2"/>
      <c r="Y6885" s="7"/>
    </row>
    <row r="6886" spans="24:25" ht="43.95" customHeight="1" x14ac:dyDescent="0.3">
      <c r="X6886" s="2"/>
      <c r="Y6886" s="7"/>
    </row>
    <row r="6887" spans="24:25" ht="43.95" customHeight="1" x14ac:dyDescent="0.3">
      <c r="X6887" s="2"/>
      <c r="Y6887" s="7"/>
    </row>
    <row r="6888" spans="24:25" ht="43.95" customHeight="1" x14ac:dyDescent="0.3">
      <c r="X6888" s="2"/>
      <c r="Y6888" s="7"/>
    </row>
    <row r="6889" spans="24:25" ht="43.95" customHeight="1" x14ac:dyDescent="0.3">
      <c r="X6889" s="2"/>
      <c r="Y6889" s="7"/>
    </row>
    <row r="6890" spans="24:25" ht="43.95" customHeight="1" x14ac:dyDescent="0.3">
      <c r="X6890" s="2"/>
      <c r="Y6890" s="7"/>
    </row>
    <row r="6891" spans="24:25" ht="43.95" customHeight="1" x14ac:dyDescent="0.3">
      <c r="X6891" s="2"/>
      <c r="Y6891" s="7"/>
    </row>
    <row r="6892" spans="24:25" ht="43.95" customHeight="1" x14ac:dyDescent="0.3">
      <c r="X6892" s="2"/>
      <c r="Y6892" s="7"/>
    </row>
    <row r="6893" spans="24:25" ht="43.95" customHeight="1" x14ac:dyDescent="0.3">
      <c r="X6893" s="2"/>
      <c r="Y6893" s="7"/>
    </row>
    <row r="6894" spans="24:25" ht="43.95" customHeight="1" x14ac:dyDescent="0.3">
      <c r="X6894" s="2"/>
      <c r="Y6894" s="7"/>
    </row>
    <row r="6895" spans="24:25" ht="43.95" customHeight="1" x14ac:dyDescent="0.3">
      <c r="X6895" s="2"/>
      <c r="Y6895" s="7"/>
    </row>
    <row r="6896" spans="24:25" ht="43.95" customHeight="1" x14ac:dyDescent="0.3">
      <c r="X6896" s="2"/>
      <c r="Y6896" s="7"/>
    </row>
    <row r="6897" spans="24:25" ht="43.95" customHeight="1" x14ac:dyDescent="0.3">
      <c r="X6897" s="2"/>
      <c r="Y6897" s="7"/>
    </row>
    <row r="6898" spans="24:25" ht="43.95" customHeight="1" x14ac:dyDescent="0.3">
      <c r="X6898" s="2"/>
      <c r="Y6898" s="7"/>
    </row>
    <row r="6899" spans="24:25" ht="43.95" customHeight="1" x14ac:dyDescent="0.3">
      <c r="X6899" s="2"/>
      <c r="Y6899" s="7"/>
    </row>
    <row r="6900" spans="24:25" ht="43.95" customHeight="1" x14ac:dyDescent="0.3">
      <c r="X6900" s="2"/>
      <c r="Y6900" s="7"/>
    </row>
    <row r="6901" spans="24:25" ht="43.95" customHeight="1" x14ac:dyDescent="0.3">
      <c r="X6901" s="2"/>
      <c r="Y6901" s="7"/>
    </row>
    <row r="6902" spans="24:25" ht="43.95" customHeight="1" x14ac:dyDescent="0.3">
      <c r="X6902" s="2"/>
      <c r="Y6902" s="7"/>
    </row>
    <row r="6903" spans="24:25" ht="43.95" customHeight="1" x14ac:dyDescent="0.3">
      <c r="X6903" s="2"/>
      <c r="Y6903" s="7"/>
    </row>
    <row r="6904" spans="24:25" ht="43.95" customHeight="1" x14ac:dyDescent="0.3">
      <c r="X6904" s="2"/>
      <c r="Y6904" s="7"/>
    </row>
    <row r="6905" spans="24:25" ht="43.95" customHeight="1" x14ac:dyDescent="0.3">
      <c r="X6905" s="2"/>
      <c r="Y6905" s="7"/>
    </row>
    <row r="6906" spans="24:25" ht="43.95" customHeight="1" x14ac:dyDescent="0.3">
      <c r="X6906" s="2"/>
      <c r="Y6906" s="7"/>
    </row>
    <row r="6907" spans="24:25" ht="43.95" customHeight="1" x14ac:dyDescent="0.3">
      <c r="X6907" s="254"/>
      <c r="Y6907" s="7"/>
    </row>
    <row r="6908" spans="24:25" ht="43.95" customHeight="1" x14ac:dyDescent="0.3">
      <c r="X6908" s="2"/>
      <c r="Y6908" s="7"/>
    </row>
    <row r="6909" spans="24:25" ht="43.95" customHeight="1" x14ac:dyDescent="0.3">
      <c r="X6909" s="2"/>
      <c r="Y6909" s="7"/>
    </row>
    <row r="6910" spans="24:25" ht="43.95" customHeight="1" x14ac:dyDescent="0.3">
      <c r="X6910" s="2"/>
      <c r="Y6910" s="7"/>
    </row>
    <row r="6911" spans="24:25" ht="43.95" customHeight="1" x14ac:dyDescent="0.3">
      <c r="X6911" s="2"/>
      <c r="Y6911" s="7"/>
    </row>
    <row r="6912" spans="24:25" ht="43.95" customHeight="1" x14ac:dyDescent="0.3">
      <c r="X6912" s="2"/>
      <c r="Y6912" s="7"/>
    </row>
    <row r="6913" spans="24:25" ht="43.95" customHeight="1" x14ac:dyDescent="0.3">
      <c r="X6913" s="2"/>
      <c r="Y6913" s="7"/>
    </row>
    <row r="6914" spans="24:25" ht="43.95" customHeight="1" x14ac:dyDescent="0.3">
      <c r="X6914" s="2"/>
      <c r="Y6914" s="7"/>
    </row>
    <row r="6915" spans="24:25" ht="43.95" customHeight="1" x14ac:dyDescent="0.3">
      <c r="X6915" s="2"/>
      <c r="Y6915" s="7"/>
    </row>
    <row r="6916" spans="24:25" ht="43.95" customHeight="1" x14ac:dyDescent="0.3">
      <c r="X6916" s="2"/>
      <c r="Y6916" s="7"/>
    </row>
    <row r="6917" spans="24:25" ht="43.95" customHeight="1" x14ac:dyDescent="0.3">
      <c r="X6917" s="254"/>
      <c r="Y6917" s="7"/>
    </row>
    <row r="6918" spans="24:25" ht="43.95" customHeight="1" x14ac:dyDescent="0.3">
      <c r="X6918" s="2"/>
      <c r="Y6918" s="7"/>
    </row>
    <row r="6919" spans="24:25" ht="43.95" customHeight="1" x14ac:dyDescent="0.3">
      <c r="X6919" s="254"/>
      <c r="Y6919" s="7"/>
    </row>
    <row r="6920" spans="24:25" ht="43.95" customHeight="1" x14ac:dyDescent="0.3">
      <c r="X6920" s="2"/>
      <c r="Y6920" s="7"/>
    </row>
    <row r="6921" spans="24:25" ht="43.95" customHeight="1" x14ac:dyDescent="0.3">
      <c r="X6921" s="2"/>
      <c r="Y6921" s="7"/>
    </row>
    <row r="6922" spans="24:25" ht="43.95" customHeight="1" x14ac:dyDescent="0.3">
      <c r="X6922" s="2"/>
      <c r="Y6922" s="7"/>
    </row>
    <row r="6923" spans="24:25" ht="43.95" customHeight="1" x14ac:dyDescent="0.3">
      <c r="X6923" s="2"/>
      <c r="Y6923" s="7"/>
    </row>
    <row r="6924" spans="24:25" ht="43.95" customHeight="1" x14ac:dyDescent="0.3">
      <c r="X6924" s="2"/>
      <c r="Y6924" s="7"/>
    </row>
    <row r="6925" spans="24:25" ht="43.95" customHeight="1" x14ac:dyDescent="0.3">
      <c r="X6925" s="2"/>
      <c r="Y6925" s="7"/>
    </row>
    <row r="6926" spans="24:25" ht="43.95" customHeight="1" x14ac:dyDescent="0.3">
      <c r="X6926" s="2"/>
      <c r="Y6926" s="7"/>
    </row>
    <row r="6927" spans="24:25" ht="43.95" customHeight="1" x14ac:dyDescent="0.3">
      <c r="X6927" s="2"/>
      <c r="Y6927" s="7"/>
    </row>
    <row r="6928" spans="24:25" ht="43.95" customHeight="1" x14ac:dyDescent="0.3">
      <c r="X6928" s="2"/>
      <c r="Y6928" s="7"/>
    </row>
    <row r="6929" spans="24:25" ht="43.95" customHeight="1" x14ac:dyDescent="0.3">
      <c r="X6929" s="2"/>
      <c r="Y6929" s="7"/>
    </row>
    <row r="6930" spans="24:25" ht="43.95" customHeight="1" x14ac:dyDescent="0.3">
      <c r="X6930" s="2"/>
      <c r="Y6930" s="7"/>
    </row>
    <row r="6931" spans="24:25" ht="43.95" customHeight="1" x14ac:dyDescent="0.3">
      <c r="X6931" s="254"/>
      <c r="Y6931" s="7"/>
    </row>
    <row r="6932" spans="24:25" ht="43.95" customHeight="1" x14ac:dyDescent="0.3">
      <c r="X6932" s="2"/>
      <c r="Y6932" s="7"/>
    </row>
    <row r="6933" spans="24:25" ht="43.95" customHeight="1" x14ac:dyDescent="0.3">
      <c r="X6933" s="2"/>
      <c r="Y6933" s="7"/>
    </row>
    <row r="6934" spans="24:25" ht="43.95" customHeight="1" x14ac:dyDescent="0.3">
      <c r="X6934" s="2"/>
      <c r="Y6934" s="7"/>
    </row>
    <row r="6935" spans="24:25" ht="43.95" customHeight="1" x14ac:dyDescent="0.3">
      <c r="X6935" s="2"/>
      <c r="Y6935" s="7"/>
    </row>
    <row r="6936" spans="24:25" ht="43.95" customHeight="1" x14ac:dyDescent="0.3">
      <c r="X6936" s="2"/>
      <c r="Y6936" s="7"/>
    </row>
    <row r="6937" spans="24:25" ht="43.95" customHeight="1" x14ac:dyDescent="0.3">
      <c r="X6937" s="2"/>
      <c r="Y6937" s="7"/>
    </row>
    <row r="6938" spans="24:25" ht="43.95" customHeight="1" x14ac:dyDescent="0.3">
      <c r="X6938" s="2"/>
      <c r="Y6938" s="7"/>
    </row>
    <row r="6939" spans="24:25" ht="43.95" customHeight="1" x14ac:dyDescent="0.3">
      <c r="X6939" s="2"/>
      <c r="Y6939" s="7"/>
    </row>
    <row r="6940" spans="24:25" ht="43.95" customHeight="1" x14ac:dyDescent="0.3">
      <c r="X6940" s="2"/>
      <c r="Y6940" s="7"/>
    </row>
    <row r="6941" spans="24:25" ht="43.95" customHeight="1" x14ac:dyDescent="0.3">
      <c r="X6941" s="2"/>
      <c r="Y6941" s="7"/>
    </row>
    <row r="6942" spans="24:25" ht="43.95" customHeight="1" x14ac:dyDescent="0.3">
      <c r="X6942" s="2"/>
      <c r="Y6942" s="7"/>
    </row>
    <row r="6943" spans="24:25" ht="43.95" customHeight="1" x14ac:dyDescent="0.3">
      <c r="X6943" s="2"/>
      <c r="Y6943" s="7"/>
    </row>
    <row r="6944" spans="24:25" ht="43.95" customHeight="1" x14ac:dyDescent="0.3">
      <c r="X6944" s="2"/>
      <c r="Y6944" s="7"/>
    </row>
    <row r="6945" spans="24:25" ht="43.95" customHeight="1" x14ac:dyDescent="0.3">
      <c r="X6945" s="2"/>
      <c r="Y6945" s="7"/>
    </row>
    <row r="6946" spans="24:25" ht="43.95" customHeight="1" x14ac:dyDescent="0.3">
      <c r="X6946" s="2"/>
      <c r="Y6946" s="7"/>
    </row>
    <row r="6947" spans="24:25" ht="43.95" customHeight="1" x14ac:dyDescent="0.3">
      <c r="X6947" s="2"/>
      <c r="Y6947" s="7"/>
    </row>
    <row r="6948" spans="24:25" ht="43.95" customHeight="1" x14ac:dyDescent="0.3">
      <c r="X6948" s="2"/>
      <c r="Y6948" s="7"/>
    </row>
    <row r="6949" spans="24:25" ht="43.95" customHeight="1" x14ac:dyDescent="0.3">
      <c r="X6949" s="2"/>
      <c r="Y6949" s="7"/>
    </row>
    <row r="6950" spans="24:25" ht="43.95" customHeight="1" x14ac:dyDescent="0.3">
      <c r="X6950" s="2"/>
      <c r="Y6950" s="7"/>
    </row>
    <row r="6951" spans="24:25" ht="43.95" customHeight="1" x14ac:dyDescent="0.3">
      <c r="X6951" s="2"/>
      <c r="Y6951" s="7"/>
    </row>
    <row r="6952" spans="24:25" ht="43.95" customHeight="1" x14ac:dyDescent="0.3">
      <c r="X6952" s="2"/>
      <c r="Y6952" s="7"/>
    </row>
    <row r="6953" spans="24:25" ht="43.95" customHeight="1" x14ac:dyDescent="0.3">
      <c r="X6953" s="2"/>
      <c r="Y6953" s="7"/>
    </row>
    <row r="6954" spans="24:25" ht="43.95" customHeight="1" x14ac:dyDescent="0.3">
      <c r="X6954" s="2"/>
      <c r="Y6954" s="7"/>
    </row>
    <row r="6955" spans="24:25" ht="43.95" customHeight="1" x14ac:dyDescent="0.3">
      <c r="X6955" s="2"/>
      <c r="Y6955" s="7"/>
    </row>
    <row r="6956" spans="24:25" ht="43.95" customHeight="1" x14ac:dyDescent="0.3">
      <c r="X6956" s="2"/>
      <c r="Y6956" s="7"/>
    </row>
    <row r="6957" spans="24:25" ht="43.95" customHeight="1" x14ac:dyDescent="0.3">
      <c r="X6957" s="2"/>
      <c r="Y6957" s="7"/>
    </row>
    <row r="6958" spans="24:25" ht="43.95" customHeight="1" x14ac:dyDescent="0.3">
      <c r="X6958" s="2"/>
      <c r="Y6958" s="7"/>
    </row>
    <row r="6959" spans="24:25" ht="43.95" customHeight="1" x14ac:dyDescent="0.3">
      <c r="X6959" s="2"/>
      <c r="Y6959" s="7"/>
    </row>
    <row r="6960" spans="24:25" ht="43.95" customHeight="1" x14ac:dyDescent="0.3">
      <c r="X6960" s="2"/>
      <c r="Y6960" s="7"/>
    </row>
    <row r="6961" spans="24:25" ht="43.95" customHeight="1" x14ac:dyDescent="0.3">
      <c r="X6961" s="2"/>
      <c r="Y6961" s="7"/>
    </row>
    <row r="6962" spans="24:25" ht="43.95" customHeight="1" x14ac:dyDescent="0.3">
      <c r="X6962" s="2"/>
      <c r="Y6962" s="7"/>
    </row>
    <row r="6963" spans="24:25" ht="43.95" customHeight="1" x14ac:dyDescent="0.3">
      <c r="X6963" s="2"/>
      <c r="Y6963" s="7"/>
    </row>
    <row r="6964" spans="24:25" ht="43.95" customHeight="1" x14ac:dyDescent="0.3">
      <c r="X6964" s="2"/>
      <c r="Y6964" s="7"/>
    </row>
    <row r="6965" spans="24:25" ht="43.95" customHeight="1" x14ac:dyDescent="0.3">
      <c r="X6965" s="2"/>
      <c r="Y6965" s="7"/>
    </row>
    <row r="6966" spans="24:25" ht="43.95" customHeight="1" x14ac:dyDescent="0.3">
      <c r="X6966" s="2"/>
      <c r="Y6966" s="7"/>
    </row>
    <row r="6967" spans="24:25" ht="43.95" customHeight="1" x14ac:dyDescent="0.3">
      <c r="X6967" s="2"/>
      <c r="Y6967" s="7"/>
    </row>
    <row r="6968" spans="24:25" ht="43.95" customHeight="1" x14ac:dyDescent="0.3">
      <c r="X6968" s="2"/>
      <c r="Y6968" s="7"/>
    </row>
    <row r="6969" spans="24:25" ht="43.95" customHeight="1" x14ac:dyDescent="0.3">
      <c r="X6969" s="2"/>
      <c r="Y6969" s="7"/>
    </row>
    <row r="6970" spans="24:25" ht="43.95" customHeight="1" x14ac:dyDescent="0.3">
      <c r="X6970" s="2"/>
      <c r="Y6970" s="7"/>
    </row>
    <row r="6971" spans="24:25" ht="43.95" customHeight="1" x14ac:dyDescent="0.3">
      <c r="X6971" s="2"/>
      <c r="Y6971" s="7"/>
    </row>
    <row r="6972" spans="24:25" ht="43.95" customHeight="1" x14ac:dyDescent="0.3">
      <c r="X6972" s="2"/>
      <c r="Y6972" s="7"/>
    </row>
    <row r="6973" spans="24:25" ht="43.95" customHeight="1" x14ac:dyDescent="0.3">
      <c r="X6973" s="2"/>
      <c r="Y6973" s="7"/>
    </row>
    <row r="6974" spans="24:25" ht="43.95" customHeight="1" x14ac:dyDescent="0.3">
      <c r="X6974" s="2"/>
      <c r="Y6974" s="7"/>
    </row>
    <row r="6975" spans="24:25" ht="43.95" customHeight="1" x14ac:dyDescent="0.3">
      <c r="X6975" s="2"/>
      <c r="Y6975" s="7"/>
    </row>
    <row r="6976" spans="24:25" ht="43.95" customHeight="1" x14ac:dyDescent="0.3">
      <c r="X6976" s="2"/>
      <c r="Y6976" s="7"/>
    </row>
    <row r="6977" spans="24:25" ht="43.95" customHeight="1" x14ac:dyDescent="0.3">
      <c r="X6977" s="2"/>
      <c r="Y6977" s="7"/>
    </row>
    <row r="6978" spans="24:25" ht="43.95" customHeight="1" x14ac:dyDescent="0.3">
      <c r="X6978" s="2"/>
      <c r="Y6978" s="7"/>
    </row>
    <row r="6979" spans="24:25" ht="43.95" customHeight="1" x14ac:dyDescent="0.3">
      <c r="X6979" s="2"/>
      <c r="Y6979" s="7"/>
    </row>
    <row r="6980" spans="24:25" ht="43.95" customHeight="1" x14ac:dyDescent="0.3">
      <c r="X6980" s="2"/>
      <c r="Y6980" s="7"/>
    </row>
    <row r="6981" spans="24:25" ht="43.95" customHeight="1" x14ac:dyDescent="0.3">
      <c r="X6981" s="2"/>
      <c r="Y6981" s="7"/>
    </row>
    <row r="6982" spans="24:25" ht="43.95" customHeight="1" x14ac:dyDescent="0.3">
      <c r="X6982" s="2"/>
      <c r="Y6982" s="7"/>
    </row>
    <row r="6983" spans="24:25" ht="43.95" customHeight="1" x14ac:dyDescent="0.3">
      <c r="X6983" s="2"/>
      <c r="Y6983" s="7"/>
    </row>
    <row r="6984" spans="24:25" ht="43.95" customHeight="1" x14ac:dyDescent="0.3">
      <c r="X6984" s="2"/>
      <c r="Y6984" s="7"/>
    </row>
    <row r="6985" spans="24:25" ht="43.95" customHeight="1" x14ac:dyDescent="0.3">
      <c r="X6985" s="2"/>
      <c r="Y6985" s="7"/>
    </row>
    <row r="6986" spans="24:25" ht="43.95" customHeight="1" x14ac:dyDescent="0.3">
      <c r="X6986" s="2"/>
      <c r="Y6986" s="7"/>
    </row>
    <row r="6987" spans="24:25" ht="43.95" customHeight="1" x14ac:dyDescent="0.3">
      <c r="X6987" s="2"/>
      <c r="Y6987" s="7"/>
    </row>
    <row r="6988" spans="24:25" ht="43.95" customHeight="1" x14ac:dyDescent="0.3">
      <c r="X6988" s="2"/>
      <c r="Y6988" s="7"/>
    </row>
    <row r="6989" spans="24:25" ht="43.95" customHeight="1" x14ac:dyDescent="0.3">
      <c r="X6989" s="2"/>
      <c r="Y6989" s="7"/>
    </row>
    <row r="6990" spans="24:25" ht="43.95" customHeight="1" x14ac:dyDescent="0.3">
      <c r="X6990" s="2"/>
      <c r="Y6990" s="7"/>
    </row>
    <row r="6991" spans="24:25" ht="43.95" customHeight="1" x14ac:dyDescent="0.3">
      <c r="X6991" s="2"/>
      <c r="Y6991" s="7"/>
    </row>
    <row r="6992" spans="24:25" ht="43.95" customHeight="1" x14ac:dyDescent="0.3">
      <c r="X6992" s="2"/>
      <c r="Y6992" s="7"/>
    </row>
    <row r="6993" spans="24:25" ht="43.95" customHeight="1" x14ac:dyDescent="0.3">
      <c r="X6993" s="2"/>
      <c r="Y6993" s="7"/>
    </row>
    <row r="6994" spans="24:25" ht="43.95" customHeight="1" x14ac:dyDescent="0.3">
      <c r="X6994" s="2"/>
      <c r="Y6994" s="7"/>
    </row>
    <row r="6995" spans="24:25" ht="43.95" customHeight="1" x14ac:dyDescent="0.3">
      <c r="X6995" s="2"/>
      <c r="Y6995" s="7"/>
    </row>
    <row r="6996" spans="24:25" ht="43.95" customHeight="1" x14ac:dyDescent="0.3">
      <c r="X6996" s="2"/>
      <c r="Y6996" s="7"/>
    </row>
    <row r="6997" spans="24:25" ht="43.95" customHeight="1" x14ac:dyDescent="0.3">
      <c r="X6997" s="2"/>
      <c r="Y6997" s="7"/>
    </row>
    <row r="6998" spans="24:25" ht="43.95" customHeight="1" x14ac:dyDescent="0.3">
      <c r="X6998" s="2"/>
      <c r="Y6998" s="7"/>
    </row>
    <row r="6999" spans="24:25" ht="43.95" customHeight="1" x14ac:dyDescent="0.3">
      <c r="X6999" s="2"/>
      <c r="Y6999" s="7"/>
    </row>
    <row r="7000" spans="24:25" ht="43.95" customHeight="1" x14ac:dyDescent="0.3">
      <c r="X7000" s="2"/>
      <c r="Y7000" s="7"/>
    </row>
    <row r="7001" spans="24:25" ht="43.95" customHeight="1" x14ac:dyDescent="0.3">
      <c r="X7001" s="2"/>
      <c r="Y7001" s="7"/>
    </row>
    <row r="7002" spans="24:25" ht="43.95" customHeight="1" x14ac:dyDescent="0.3">
      <c r="X7002" s="2"/>
      <c r="Y7002" s="7"/>
    </row>
    <row r="7003" spans="24:25" ht="43.95" customHeight="1" x14ac:dyDescent="0.3">
      <c r="X7003" s="2"/>
      <c r="Y7003" s="7"/>
    </row>
    <row r="7004" spans="24:25" ht="43.95" customHeight="1" x14ac:dyDescent="0.3">
      <c r="X7004" s="2"/>
      <c r="Y7004" s="7"/>
    </row>
    <row r="7005" spans="24:25" ht="43.95" customHeight="1" x14ac:dyDescent="0.3">
      <c r="X7005" s="2"/>
      <c r="Y7005" s="7"/>
    </row>
    <row r="7006" spans="24:25" ht="43.95" customHeight="1" x14ac:dyDescent="0.3">
      <c r="X7006" s="2"/>
      <c r="Y7006" s="7"/>
    </row>
    <row r="7007" spans="24:25" ht="43.95" customHeight="1" x14ac:dyDescent="0.3">
      <c r="X7007" s="2"/>
      <c r="Y7007" s="7"/>
    </row>
    <row r="7008" spans="24:25" ht="43.95" customHeight="1" x14ac:dyDescent="0.3">
      <c r="X7008" s="2"/>
      <c r="Y7008" s="7"/>
    </row>
    <row r="7009" spans="24:25" ht="43.95" customHeight="1" x14ac:dyDescent="0.3">
      <c r="X7009" s="2"/>
      <c r="Y7009" s="7"/>
    </row>
    <row r="7010" spans="24:25" ht="43.95" customHeight="1" x14ac:dyDescent="0.3">
      <c r="X7010" s="2"/>
      <c r="Y7010" s="7"/>
    </row>
    <row r="7011" spans="24:25" ht="43.95" customHeight="1" x14ac:dyDescent="0.3">
      <c r="X7011" s="2"/>
      <c r="Y7011" s="7"/>
    </row>
    <row r="7012" spans="24:25" ht="43.95" customHeight="1" x14ac:dyDescent="0.3">
      <c r="X7012" s="2"/>
      <c r="Y7012" s="7"/>
    </row>
    <row r="7013" spans="24:25" ht="43.95" customHeight="1" x14ac:dyDescent="0.3">
      <c r="X7013" s="2"/>
      <c r="Y7013" s="7"/>
    </row>
    <row r="7014" spans="24:25" ht="43.95" customHeight="1" x14ac:dyDescent="0.3">
      <c r="X7014" s="2"/>
      <c r="Y7014" s="7"/>
    </row>
    <row r="7015" spans="24:25" ht="43.95" customHeight="1" x14ac:dyDescent="0.3">
      <c r="X7015" s="2"/>
      <c r="Y7015" s="7"/>
    </row>
    <row r="7016" spans="24:25" ht="43.95" customHeight="1" x14ac:dyDescent="0.3">
      <c r="X7016" s="2"/>
      <c r="Y7016" s="7"/>
    </row>
    <row r="7017" spans="24:25" ht="43.95" customHeight="1" x14ac:dyDescent="0.3">
      <c r="X7017" s="2"/>
      <c r="Y7017" s="7"/>
    </row>
    <row r="7018" spans="24:25" ht="43.95" customHeight="1" x14ac:dyDescent="0.3">
      <c r="X7018" s="256"/>
      <c r="Y7018" s="7"/>
    </row>
    <row r="7019" spans="24:25" ht="43.95" customHeight="1" x14ac:dyDescent="0.3">
      <c r="X7019" s="2"/>
      <c r="Y7019" s="7"/>
    </row>
    <row r="7020" spans="24:25" ht="43.95" customHeight="1" x14ac:dyDescent="0.3">
      <c r="X7020" s="2"/>
      <c r="Y7020" s="7"/>
    </row>
    <row r="7021" spans="24:25" ht="43.95" customHeight="1" x14ac:dyDescent="0.3">
      <c r="X7021" s="2"/>
      <c r="Y7021" s="7"/>
    </row>
    <row r="7022" spans="24:25" ht="43.95" customHeight="1" x14ac:dyDescent="0.3">
      <c r="X7022" s="2"/>
      <c r="Y7022" s="7"/>
    </row>
    <row r="7023" spans="24:25" ht="43.95" customHeight="1" x14ac:dyDescent="0.3">
      <c r="X7023" s="256"/>
      <c r="Y7023" s="7"/>
    </row>
    <row r="7024" spans="24:25" ht="43.95" customHeight="1" x14ac:dyDescent="0.3">
      <c r="X7024" s="2"/>
      <c r="Y7024" s="7"/>
    </row>
    <row r="7025" spans="24:25" ht="43.95" customHeight="1" x14ac:dyDescent="0.3">
      <c r="X7025" s="2"/>
      <c r="Y7025" s="7"/>
    </row>
    <row r="7026" spans="24:25" ht="43.95" customHeight="1" x14ac:dyDescent="0.3">
      <c r="X7026" s="2"/>
      <c r="Y7026" s="7"/>
    </row>
    <row r="7027" spans="24:25" ht="43.95" customHeight="1" x14ac:dyDescent="0.3">
      <c r="X7027" s="2"/>
      <c r="Y7027" s="7"/>
    </row>
    <row r="7028" spans="24:25" ht="43.95" customHeight="1" x14ac:dyDescent="0.3">
      <c r="X7028" s="2"/>
      <c r="Y7028" s="7"/>
    </row>
    <row r="7029" spans="24:25" ht="43.95" customHeight="1" x14ac:dyDescent="0.3">
      <c r="X7029" s="2"/>
      <c r="Y7029" s="7"/>
    </row>
    <row r="7030" spans="24:25" ht="43.95" customHeight="1" x14ac:dyDescent="0.3">
      <c r="X7030" s="256"/>
      <c r="Y7030" s="7"/>
    </row>
    <row r="7031" spans="24:25" ht="43.95" customHeight="1" x14ac:dyDescent="0.3">
      <c r="X7031" s="256"/>
      <c r="Y7031" s="7"/>
    </row>
    <row r="7032" spans="24:25" ht="43.95" customHeight="1" x14ac:dyDescent="0.3">
      <c r="X7032" s="2"/>
      <c r="Y7032" s="7"/>
    </row>
    <row r="7033" spans="24:25" ht="43.95" customHeight="1" x14ac:dyDescent="0.3">
      <c r="X7033" s="2"/>
      <c r="Y7033" s="7"/>
    </row>
    <row r="7034" spans="24:25" ht="43.95" customHeight="1" x14ac:dyDescent="0.3">
      <c r="X7034" s="2"/>
      <c r="Y7034" s="7"/>
    </row>
    <row r="7035" spans="24:25" ht="43.95" customHeight="1" x14ac:dyDescent="0.3">
      <c r="X7035" s="256"/>
      <c r="Y7035" s="7"/>
    </row>
    <row r="7036" spans="24:25" ht="43.95" customHeight="1" x14ac:dyDescent="0.3">
      <c r="X7036" s="2"/>
      <c r="Y7036" s="7"/>
    </row>
    <row r="7037" spans="24:25" ht="43.95" customHeight="1" x14ac:dyDescent="0.3">
      <c r="X7037" s="2"/>
      <c r="Y7037" s="7"/>
    </row>
    <row r="7038" spans="24:25" ht="43.95" customHeight="1" x14ac:dyDescent="0.3">
      <c r="X7038" s="2"/>
      <c r="Y7038" s="7"/>
    </row>
    <row r="7039" spans="24:25" ht="43.95" customHeight="1" x14ac:dyDescent="0.3">
      <c r="X7039" s="256"/>
      <c r="Y7039" s="7"/>
    </row>
    <row r="7040" spans="24:25" ht="43.95" customHeight="1" x14ac:dyDescent="0.3">
      <c r="X7040" s="256"/>
      <c r="Y7040" s="7"/>
    </row>
    <row r="7041" spans="24:25" ht="43.95" customHeight="1" x14ac:dyDescent="0.3">
      <c r="X7041" s="2"/>
      <c r="Y7041" s="7"/>
    </row>
    <row r="7042" spans="24:25" ht="43.95" customHeight="1" x14ac:dyDescent="0.3">
      <c r="X7042" s="2"/>
      <c r="Y7042" s="7"/>
    </row>
    <row r="7043" spans="24:25" ht="43.95" customHeight="1" x14ac:dyDescent="0.3">
      <c r="X7043" s="2"/>
      <c r="Y7043" s="7"/>
    </row>
    <row r="7044" spans="24:25" ht="43.95" customHeight="1" x14ac:dyDescent="0.3">
      <c r="X7044" s="2"/>
      <c r="Y7044" s="7"/>
    </row>
    <row r="7045" spans="24:25" ht="43.95" customHeight="1" x14ac:dyDescent="0.3">
      <c r="X7045" s="2"/>
      <c r="Y7045" s="7"/>
    </row>
    <row r="7046" spans="24:25" ht="43.95" customHeight="1" x14ac:dyDescent="0.3">
      <c r="X7046" s="2"/>
      <c r="Y7046" s="7"/>
    </row>
    <row r="7047" spans="24:25" ht="43.95" customHeight="1" x14ac:dyDescent="0.3">
      <c r="X7047" s="2"/>
      <c r="Y7047" s="7"/>
    </row>
    <row r="7048" spans="24:25" ht="43.95" customHeight="1" x14ac:dyDescent="0.3">
      <c r="X7048" s="256"/>
      <c r="Y7048" s="7"/>
    </row>
    <row r="7049" spans="24:25" ht="43.95" customHeight="1" x14ac:dyDescent="0.3">
      <c r="X7049" s="2"/>
      <c r="Y7049" s="7"/>
    </row>
    <row r="7050" spans="24:25" ht="43.95" customHeight="1" x14ac:dyDescent="0.3">
      <c r="X7050" s="2"/>
      <c r="Y7050" s="7"/>
    </row>
    <row r="7051" spans="24:25" ht="43.95" customHeight="1" x14ac:dyDescent="0.3">
      <c r="X7051" s="2"/>
      <c r="Y7051" s="7"/>
    </row>
    <row r="7052" spans="24:25" ht="43.95" customHeight="1" x14ac:dyDescent="0.3">
      <c r="X7052" s="2"/>
      <c r="Y7052" s="7"/>
    </row>
    <row r="7053" spans="24:25" ht="43.95" customHeight="1" x14ac:dyDescent="0.3">
      <c r="X7053" s="2"/>
      <c r="Y7053" s="7"/>
    </row>
    <row r="7054" spans="24:25" ht="43.95" customHeight="1" x14ac:dyDescent="0.3">
      <c r="X7054" s="2"/>
      <c r="Y7054" s="7"/>
    </row>
    <row r="7055" spans="24:25" ht="43.95" customHeight="1" x14ac:dyDescent="0.3">
      <c r="X7055" s="2"/>
      <c r="Y7055" s="7"/>
    </row>
    <row r="7056" spans="24:25" ht="43.95" customHeight="1" x14ac:dyDescent="0.3">
      <c r="X7056" s="2"/>
      <c r="Y7056" s="7"/>
    </row>
    <row r="7057" spans="24:25" ht="43.95" customHeight="1" x14ac:dyDescent="0.3">
      <c r="X7057" s="2"/>
      <c r="Y7057" s="7"/>
    </row>
    <row r="7058" spans="24:25" ht="43.95" customHeight="1" x14ac:dyDescent="0.3">
      <c r="X7058" s="2"/>
      <c r="Y7058" s="7"/>
    </row>
    <row r="7059" spans="24:25" ht="43.95" customHeight="1" x14ac:dyDescent="0.3">
      <c r="X7059" s="2"/>
      <c r="Y7059" s="7"/>
    </row>
    <row r="7060" spans="24:25" ht="43.95" customHeight="1" x14ac:dyDescent="0.3">
      <c r="X7060" s="2"/>
      <c r="Y7060" s="7"/>
    </row>
    <row r="7061" spans="24:25" ht="43.95" customHeight="1" x14ac:dyDescent="0.3">
      <c r="X7061" s="2"/>
      <c r="Y7061" s="7"/>
    </row>
    <row r="7062" spans="24:25" ht="43.95" customHeight="1" x14ac:dyDescent="0.3">
      <c r="X7062" s="2"/>
      <c r="Y7062" s="7"/>
    </row>
    <row r="7063" spans="24:25" ht="43.95" customHeight="1" x14ac:dyDescent="0.3">
      <c r="X7063" s="2"/>
      <c r="Y7063" s="7"/>
    </row>
    <row r="7064" spans="24:25" ht="43.95" customHeight="1" x14ac:dyDescent="0.3">
      <c r="X7064" s="2"/>
      <c r="Y7064" s="7"/>
    </row>
    <row r="7065" spans="24:25" ht="43.95" customHeight="1" x14ac:dyDescent="0.3">
      <c r="X7065" s="2"/>
      <c r="Y7065" s="7"/>
    </row>
    <row r="7066" spans="24:25" ht="43.95" customHeight="1" x14ac:dyDescent="0.3">
      <c r="X7066" s="2"/>
      <c r="Y7066" s="7"/>
    </row>
    <row r="7067" spans="24:25" ht="43.95" customHeight="1" x14ac:dyDescent="0.3">
      <c r="X7067" s="2"/>
      <c r="Y7067" s="7"/>
    </row>
    <row r="7068" spans="24:25" ht="43.95" customHeight="1" x14ac:dyDescent="0.3">
      <c r="X7068" s="2"/>
      <c r="Y7068" s="7"/>
    </row>
    <row r="7069" spans="24:25" ht="43.95" customHeight="1" x14ac:dyDescent="0.3">
      <c r="X7069" s="2"/>
      <c r="Y7069" s="7"/>
    </row>
    <row r="7070" spans="24:25" ht="43.95" customHeight="1" x14ac:dyDescent="0.3">
      <c r="X7070" s="2"/>
      <c r="Y7070" s="7"/>
    </row>
    <row r="7071" spans="24:25" ht="43.95" customHeight="1" x14ac:dyDescent="0.3">
      <c r="X7071" s="2"/>
      <c r="Y7071" s="7"/>
    </row>
    <row r="7072" spans="24:25" ht="43.95" customHeight="1" x14ac:dyDescent="0.3">
      <c r="X7072" s="2"/>
      <c r="Y7072" s="7"/>
    </row>
    <row r="7073" spans="24:25" ht="43.95" customHeight="1" x14ac:dyDescent="0.3">
      <c r="X7073" s="2"/>
      <c r="Y7073" s="7"/>
    </row>
    <row r="7074" spans="24:25" ht="43.95" customHeight="1" x14ac:dyDescent="0.3">
      <c r="X7074" s="2"/>
      <c r="Y7074" s="7"/>
    </row>
    <row r="7075" spans="24:25" ht="43.95" customHeight="1" x14ac:dyDescent="0.3">
      <c r="X7075" s="2"/>
      <c r="Y7075" s="7"/>
    </row>
    <row r="7076" spans="24:25" ht="43.95" customHeight="1" x14ac:dyDescent="0.3">
      <c r="X7076" s="2"/>
      <c r="Y7076" s="7"/>
    </row>
    <row r="7077" spans="24:25" ht="43.95" customHeight="1" x14ac:dyDescent="0.3">
      <c r="X7077" s="2"/>
      <c r="Y7077" s="7"/>
    </row>
    <row r="7078" spans="24:25" ht="43.95" customHeight="1" x14ac:dyDescent="0.3">
      <c r="X7078" s="256"/>
      <c r="Y7078" s="7"/>
    </row>
    <row r="7079" spans="24:25" ht="43.95" customHeight="1" x14ac:dyDescent="0.3">
      <c r="X7079" s="2"/>
      <c r="Y7079" s="7"/>
    </row>
    <row r="7080" spans="24:25" ht="43.95" customHeight="1" x14ac:dyDescent="0.3">
      <c r="X7080" s="2"/>
      <c r="Y7080" s="7"/>
    </row>
    <row r="7081" spans="24:25" ht="43.95" customHeight="1" x14ac:dyDescent="0.3">
      <c r="X7081" s="2"/>
      <c r="Y7081" s="7"/>
    </row>
    <row r="7082" spans="24:25" ht="43.95" customHeight="1" x14ac:dyDescent="0.3">
      <c r="X7082" s="2"/>
      <c r="Y7082" s="7"/>
    </row>
    <row r="7083" spans="24:25" ht="43.95" customHeight="1" x14ac:dyDescent="0.3">
      <c r="X7083" s="256"/>
      <c r="Y7083" s="7"/>
    </row>
    <row r="7084" spans="24:25" ht="43.95" customHeight="1" x14ac:dyDescent="0.3"/>
    <row r="7085" spans="24:25" ht="43.95" customHeight="1" x14ac:dyDescent="0.3"/>
    <row r="7086" spans="24:25" ht="43.95" customHeight="1" x14ac:dyDescent="0.3"/>
    <row r="7087" spans="24:25" ht="43.95" customHeight="1" x14ac:dyDescent="0.3"/>
    <row r="7088" spans="24:25" ht="43.95" customHeight="1" x14ac:dyDescent="0.3"/>
    <row r="7089" ht="43.95" customHeight="1" x14ac:dyDescent="0.3"/>
    <row r="7090" ht="43.95" customHeight="1" x14ac:dyDescent="0.3"/>
    <row r="7091" ht="43.95" customHeight="1" x14ac:dyDescent="0.3"/>
    <row r="7092" ht="43.95" customHeight="1" x14ac:dyDescent="0.3"/>
    <row r="7093" ht="43.95" customHeight="1" x14ac:dyDescent="0.3"/>
    <row r="7094" ht="43.95" customHeight="1" x14ac:dyDescent="0.3"/>
    <row r="7095" ht="43.95" customHeight="1" x14ac:dyDescent="0.3"/>
    <row r="7096" ht="43.95" customHeight="1" x14ac:dyDescent="0.3"/>
    <row r="7097" ht="43.95" customHeight="1" x14ac:dyDescent="0.3"/>
    <row r="7098" ht="43.95" customHeight="1" x14ac:dyDescent="0.3"/>
    <row r="7099" ht="43.95" customHeight="1" x14ac:dyDescent="0.3"/>
    <row r="7100" ht="43.95" customHeight="1" x14ac:dyDescent="0.3"/>
    <row r="7101" ht="43.95" customHeight="1" x14ac:dyDescent="0.3"/>
    <row r="7102" ht="43.95" customHeight="1" x14ac:dyDescent="0.3"/>
    <row r="7103" ht="43.95" customHeight="1" x14ac:dyDescent="0.3"/>
    <row r="7104" ht="43.95" customHeight="1" x14ac:dyDescent="0.3"/>
    <row r="7105" ht="43.95" customHeight="1" x14ac:dyDescent="0.3"/>
    <row r="7106" ht="43.95" customHeight="1" x14ac:dyDescent="0.3"/>
    <row r="7107" ht="43.95" customHeight="1" x14ac:dyDescent="0.3"/>
    <row r="7108" ht="43.95" customHeight="1" x14ac:dyDescent="0.3"/>
    <row r="7109" ht="43.95" customHeight="1" x14ac:dyDescent="0.3"/>
    <row r="7110" ht="43.95" customHeight="1" x14ac:dyDescent="0.3"/>
    <row r="7111" ht="43.95" customHeight="1" x14ac:dyDescent="0.3"/>
    <row r="7112" ht="43.95" customHeight="1" x14ac:dyDescent="0.3"/>
    <row r="7113" ht="43.95" customHeight="1" x14ac:dyDescent="0.3"/>
    <row r="7114" ht="43.95" customHeight="1" x14ac:dyDescent="0.3"/>
    <row r="7115" ht="43.95" customHeight="1" x14ac:dyDescent="0.3"/>
    <row r="7116" ht="43.95" customHeight="1" x14ac:dyDescent="0.3"/>
    <row r="7117" ht="43.95" customHeight="1" x14ac:dyDescent="0.3"/>
    <row r="7118" ht="43.95" customHeight="1" x14ac:dyDescent="0.3"/>
    <row r="7119" ht="43.95" customHeight="1" x14ac:dyDescent="0.3"/>
    <row r="7120" ht="43.95" customHeight="1" x14ac:dyDescent="0.3"/>
    <row r="7121" ht="43.95" customHeight="1" x14ac:dyDescent="0.3"/>
    <row r="7122" ht="43.95" customHeight="1" x14ac:dyDescent="0.3"/>
    <row r="7123" ht="43.95" customHeight="1" x14ac:dyDescent="0.3"/>
    <row r="7124" ht="43.95" customHeight="1" x14ac:dyDescent="0.3"/>
    <row r="7125" ht="43.95" customHeight="1" x14ac:dyDescent="0.3"/>
    <row r="7126" ht="43.95" customHeight="1" x14ac:dyDescent="0.3"/>
    <row r="7127" ht="43.95" customHeight="1" x14ac:dyDescent="0.3"/>
    <row r="7128" ht="43.95" customHeight="1" x14ac:dyDescent="0.3"/>
    <row r="7129" ht="43.95" customHeight="1" x14ac:dyDescent="0.3"/>
    <row r="7130" ht="43.95" customHeight="1" x14ac:dyDescent="0.3"/>
    <row r="7131" ht="43.95" customHeight="1" x14ac:dyDescent="0.3"/>
    <row r="7132" ht="43.95" customHeight="1" x14ac:dyDescent="0.3"/>
    <row r="7133" ht="43.95" customHeight="1" x14ac:dyDescent="0.3"/>
    <row r="7134" ht="43.95" customHeight="1" x14ac:dyDescent="0.3"/>
    <row r="7135" ht="43.95" customHeight="1" x14ac:dyDescent="0.3"/>
    <row r="7136" ht="43.95" customHeight="1" x14ac:dyDescent="0.3"/>
    <row r="7137" ht="43.95" customHeight="1" x14ac:dyDescent="0.3"/>
    <row r="7138" ht="43.95" customHeight="1" x14ac:dyDescent="0.3"/>
    <row r="7139" ht="43.95" customHeight="1" x14ac:dyDescent="0.3"/>
    <row r="7140" ht="43.95" customHeight="1" x14ac:dyDescent="0.3"/>
    <row r="7141" ht="43.95" customHeight="1" x14ac:dyDescent="0.3"/>
    <row r="7142" ht="43.95" customHeight="1" x14ac:dyDescent="0.3"/>
    <row r="7143" ht="43.95" customHeight="1" x14ac:dyDescent="0.3"/>
    <row r="7144" ht="43.95" customHeight="1" x14ac:dyDescent="0.3"/>
    <row r="7145" ht="43.95" customHeight="1" x14ac:dyDescent="0.3"/>
    <row r="7146" ht="43.95" customHeight="1" x14ac:dyDescent="0.3"/>
    <row r="7147" ht="43.95" customHeight="1" x14ac:dyDescent="0.3"/>
    <row r="7148" ht="43.95" customHeight="1" x14ac:dyDescent="0.3"/>
    <row r="7149" ht="43.95" customHeight="1" x14ac:dyDescent="0.3"/>
    <row r="7150" ht="43.95" customHeight="1" x14ac:dyDescent="0.3"/>
    <row r="7151" ht="43.95" customHeight="1" x14ac:dyDescent="0.3"/>
    <row r="7152" ht="43.95" customHeight="1" x14ac:dyDescent="0.3"/>
    <row r="7153" ht="43.95" customHeight="1" x14ac:dyDescent="0.3"/>
    <row r="7154" ht="43.95" customHeight="1" x14ac:dyDescent="0.3"/>
    <row r="7155" ht="43.95" customHeight="1" x14ac:dyDescent="0.3"/>
    <row r="7156" ht="43.95" customHeight="1" x14ac:dyDescent="0.3"/>
    <row r="7157" ht="43.95" customHeight="1" x14ac:dyDescent="0.3"/>
    <row r="7158" ht="43.95" customHeight="1" x14ac:dyDescent="0.3"/>
    <row r="7159" ht="43.95" customHeight="1" x14ac:dyDescent="0.3"/>
    <row r="7160" ht="43.95" customHeight="1" x14ac:dyDescent="0.3"/>
    <row r="7161" ht="43.95" customHeight="1" x14ac:dyDescent="0.3"/>
    <row r="7162" ht="43.95" customHeight="1" x14ac:dyDescent="0.3"/>
    <row r="7163" ht="43.95" customHeight="1" x14ac:dyDescent="0.3"/>
    <row r="7164" ht="43.95" customHeight="1" x14ac:dyDescent="0.3"/>
    <row r="7165" ht="43.95" customHeight="1" x14ac:dyDescent="0.3"/>
    <row r="7166" ht="43.95" customHeight="1" x14ac:dyDescent="0.3"/>
    <row r="7167" ht="43.95" customHeight="1" x14ac:dyDescent="0.3"/>
    <row r="7168" ht="43.95" customHeight="1" x14ac:dyDescent="0.3"/>
    <row r="7169" ht="43.95" customHeight="1" x14ac:dyDescent="0.3"/>
    <row r="7170" ht="43.95" customHeight="1" x14ac:dyDescent="0.3"/>
    <row r="7171" ht="43.95" customHeight="1" x14ac:dyDescent="0.3"/>
    <row r="7172" ht="43.95" customHeight="1" x14ac:dyDescent="0.3"/>
    <row r="7173" ht="43.95" customHeight="1" x14ac:dyDescent="0.3"/>
    <row r="7174" ht="43.95" customHeight="1" x14ac:dyDescent="0.3"/>
    <row r="7175" ht="43.95" customHeight="1" x14ac:dyDescent="0.3"/>
    <row r="7176" ht="43.95" customHeight="1" x14ac:dyDescent="0.3"/>
    <row r="7177" ht="43.95" customHeight="1" x14ac:dyDescent="0.3"/>
    <row r="7178" ht="43.95" customHeight="1" x14ac:dyDescent="0.3"/>
    <row r="7179" ht="43.95" customHeight="1" x14ac:dyDescent="0.3"/>
    <row r="7180" ht="43.95" customHeight="1" x14ac:dyDescent="0.3"/>
    <row r="7181" ht="43.95" customHeight="1" x14ac:dyDescent="0.3"/>
    <row r="7182" ht="43.95" customHeight="1" x14ac:dyDescent="0.3"/>
    <row r="7183" ht="43.95" customHeight="1" x14ac:dyDescent="0.3"/>
    <row r="7184" ht="43.95" customHeight="1" x14ac:dyDescent="0.3"/>
    <row r="7185" ht="43.95" customHeight="1" x14ac:dyDescent="0.3"/>
    <row r="7186" ht="43.95" customHeight="1" x14ac:dyDescent="0.3"/>
    <row r="7187" ht="43.95" customHeight="1" x14ac:dyDescent="0.3"/>
    <row r="7188" ht="43.95" customHeight="1" x14ac:dyDescent="0.3"/>
    <row r="7189" ht="43.95" customHeight="1" x14ac:dyDescent="0.3"/>
    <row r="7190" ht="43.95" customHeight="1" x14ac:dyDescent="0.3"/>
    <row r="7191" ht="43.95" customHeight="1" x14ac:dyDescent="0.3"/>
    <row r="7192" ht="43.95" customHeight="1" x14ac:dyDescent="0.3"/>
    <row r="7193" ht="43.95" customHeight="1" x14ac:dyDescent="0.3"/>
    <row r="7194" ht="43.95" customHeight="1" x14ac:dyDescent="0.3"/>
    <row r="7195" ht="43.95" customHeight="1" x14ac:dyDescent="0.3"/>
    <row r="7196" ht="43.95" customHeight="1" x14ac:dyDescent="0.3"/>
    <row r="7197" ht="43.95" customHeight="1" x14ac:dyDescent="0.3"/>
    <row r="7198" ht="43.95" customHeight="1" x14ac:dyDescent="0.3"/>
    <row r="7199" ht="43.95" customHeight="1" x14ac:dyDescent="0.3"/>
    <row r="7200" ht="43.95" customHeight="1" x14ac:dyDescent="0.3"/>
    <row r="7201" ht="43.95" customHeight="1" x14ac:dyDescent="0.3"/>
    <row r="7202" ht="43.95" customHeight="1" x14ac:dyDescent="0.3"/>
    <row r="7203" ht="43.95" customHeight="1" x14ac:dyDescent="0.3"/>
    <row r="7204" ht="43.95" customHeight="1" x14ac:dyDescent="0.3"/>
    <row r="7205" ht="43.95" customHeight="1" x14ac:dyDescent="0.3"/>
    <row r="7206" ht="43.95" customHeight="1" x14ac:dyDescent="0.3"/>
    <row r="7207" ht="43.95" customHeight="1" x14ac:dyDescent="0.3"/>
    <row r="7208" ht="43.95" customHeight="1" x14ac:dyDescent="0.3"/>
    <row r="7209" ht="43.95" customHeight="1" x14ac:dyDescent="0.3"/>
    <row r="7210" ht="43.95" customHeight="1" x14ac:dyDescent="0.3"/>
    <row r="7211" ht="43.95" customHeight="1" x14ac:dyDescent="0.3"/>
    <row r="7212" ht="43.95" customHeight="1" x14ac:dyDescent="0.3"/>
    <row r="7213" ht="43.95" customHeight="1" x14ac:dyDescent="0.3"/>
    <row r="7214" ht="43.95" customHeight="1" x14ac:dyDescent="0.3"/>
    <row r="7215" ht="43.95" customHeight="1" x14ac:dyDescent="0.3"/>
    <row r="7216" ht="43.95" customHeight="1" x14ac:dyDescent="0.3"/>
    <row r="7217" ht="43.95" customHeight="1" x14ac:dyDescent="0.3"/>
    <row r="7218" ht="52.2" customHeight="1" x14ac:dyDescent="0.3"/>
    <row r="7219" ht="43.95" customHeight="1" x14ac:dyDescent="0.3"/>
    <row r="7220" ht="43.95" customHeight="1" x14ac:dyDescent="0.3"/>
    <row r="7221" ht="43.95" customHeight="1" x14ac:dyDescent="0.3"/>
    <row r="7222" ht="43.95" customHeight="1" x14ac:dyDescent="0.3"/>
    <row r="7223" ht="43.95" customHeight="1" x14ac:dyDescent="0.3"/>
    <row r="7224" ht="43.95" customHeight="1" x14ac:dyDescent="0.3"/>
    <row r="7225" ht="43.95" customHeight="1" x14ac:dyDescent="0.3"/>
    <row r="7226" ht="43.95" customHeight="1" x14ac:dyDescent="0.3"/>
    <row r="7227" ht="43.95" customHeight="1" x14ac:dyDescent="0.3"/>
    <row r="7228" ht="43.95" customHeight="1" x14ac:dyDescent="0.3"/>
    <row r="7229" ht="43.95" customHeight="1" x14ac:dyDescent="0.3"/>
    <row r="7230" ht="43.95" customHeight="1" x14ac:dyDescent="0.3"/>
    <row r="7231" ht="43.95" customHeight="1" x14ac:dyDescent="0.3"/>
    <row r="7232" ht="43.95" customHeight="1" x14ac:dyDescent="0.3"/>
    <row r="7233" ht="43.95" customHeight="1" x14ac:dyDescent="0.3"/>
    <row r="7234" ht="43.95" customHeight="1" x14ac:dyDescent="0.3"/>
    <row r="7235" ht="43.95" customHeight="1" x14ac:dyDescent="0.3"/>
    <row r="7236" ht="43.95" customHeight="1" x14ac:dyDescent="0.3"/>
    <row r="7237" ht="43.95" customHeight="1" x14ac:dyDescent="0.3"/>
    <row r="7238" ht="43.95" customHeight="1" x14ac:dyDescent="0.3"/>
    <row r="7239" ht="43.95" customHeight="1" x14ac:dyDescent="0.3"/>
    <row r="7240" ht="43.95" customHeight="1" x14ac:dyDescent="0.3"/>
    <row r="7241" ht="43.95" customHeight="1" x14ac:dyDescent="0.3"/>
    <row r="7242" ht="43.95" customHeight="1" x14ac:dyDescent="0.3"/>
    <row r="7243" ht="43.95" customHeight="1" x14ac:dyDescent="0.3"/>
    <row r="7244" ht="43.95" customHeight="1" x14ac:dyDescent="0.3"/>
    <row r="7245" ht="43.95" customHeight="1" x14ac:dyDescent="0.3"/>
    <row r="7246" ht="43.95" customHeight="1" x14ac:dyDescent="0.3"/>
    <row r="7247" ht="43.95" customHeight="1" x14ac:dyDescent="0.3"/>
    <row r="7248" ht="43.95" customHeight="1" x14ac:dyDescent="0.3"/>
    <row r="7249" ht="43.95" customHeight="1" x14ac:dyDescent="0.3"/>
    <row r="7250" ht="43.95" customHeight="1" x14ac:dyDescent="0.3"/>
    <row r="7251" ht="43.95" customHeight="1" x14ac:dyDescent="0.3"/>
    <row r="7252" ht="43.95" customHeight="1" x14ac:dyDescent="0.3"/>
    <row r="7253" ht="43.95" customHeight="1" x14ac:dyDescent="0.3"/>
    <row r="7254" ht="43.95" customHeight="1" x14ac:dyDescent="0.3"/>
    <row r="7255" ht="43.95" customHeight="1" x14ac:dyDescent="0.3"/>
    <row r="7256" ht="43.95" customHeight="1" x14ac:dyDescent="0.3"/>
    <row r="7257" ht="43.95" customHeight="1" x14ac:dyDescent="0.3"/>
    <row r="7258" ht="43.95" customHeight="1" x14ac:dyDescent="0.3"/>
    <row r="7259" ht="43.95" customHeight="1" x14ac:dyDescent="0.3"/>
    <row r="7260" ht="43.95" customHeight="1" x14ac:dyDescent="0.3"/>
    <row r="7261" ht="43.95" customHeight="1" x14ac:dyDescent="0.3"/>
    <row r="7262" ht="43.95" customHeight="1" x14ac:dyDescent="0.3"/>
    <row r="7263" ht="43.95" customHeight="1" x14ac:dyDescent="0.3"/>
    <row r="7264" ht="43.95" customHeight="1" x14ac:dyDescent="0.3"/>
    <row r="7265" ht="43.95" customHeight="1" x14ac:dyDescent="0.3"/>
    <row r="7266" ht="43.95" customHeight="1" x14ac:dyDescent="0.3"/>
    <row r="7267" ht="43.95" customHeight="1" x14ac:dyDescent="0.3"/>
    <row r="7268" ht="43.95" customHeight="1" x14ac:dyDescent="0.3"/>
    <row r="7269" ht="43.95" customHeight="1" x14ac:dyDescent="0.3"/>
    <row r="7270" ht="43.95" customHeight="1" x14ac:dyDescent="0.3"/>
    <row r="7271" ht="43.95" customHeight="1" x14ac:dyDescent="0.3"/>
    <row r="7272" ht="43.95" customHeight="1" x14ac:dyDescent="0.3"/>
    <row r="7273" ht="43.95" customHeight="1" x14ac:dyDescent="0.3"/>
    <row r="7274" ht="43.95" customHeight="1" x14ac:dyDescent="0.3"/>
    <row r="7275" ht="43.95" customHeight="1" x14ac:dyDescent="0.3"/>
    <row r="7276" ht="43.95" customHeight="1" x14ac:dyDescent="0.3"/>
    <row r="7277" ht="43.95" customHeight="1" x14ac:dyDescent="0.3"/>
    <row r="7278" ht="43.95" customHeight="1" x14ac:dyDescent="0.3"/>
    <row r="7279" ht="43.95" customHeight="1" x14ac:dyDescent="0.3"/>
    <row r="7280" ht="43.95" customHeight="1" x14ac:dyDescent="0.3"/>
    <row r="7281" ht="43.95" customHeight="1" x14ac:dyDescent="0.3"/>
    <row r="7282" ht="43.95" customHeight="1" x14ac:dyDescent="0.3"/>
    <row r="7283" ht="43.95" customHeight="1" x14ac:dyDescent="0.3"/>
    <row r="7284" ht="43.95" customHeight="1" x14ac:dyDescent="0.3"/>
    <row r="7285" ht="43.95" customHeight="1" x14ac:dyDescent="0.3"/>
    <row r="7286" ht="43.95" customHeight="1" x14ac:dyDescent="0.3"/>
    <row r="7287" ht="43.95" customHeight="1" x14ac:dyDescent="0.3"/>
    <row r="7288" ht="43.95" customHeight="1" x14ac:dyDescent="0.3"/>
    <row r="7289" ht="43.95" customHeight="1" x14ac:dyDescent="0.3"/>
    <row r="7290" ht="43.95" customHeight="1" x14ac:dyDescent="0.3"/>
    <row r="7291" ht="43.95" customHeight="1" x14ac:dyDescent="0.3"/>
    <row r="7292" ht="43.95" customHeight="1" x14ac:dyDescent="0.3"/>
    <row r="7293" ht="43.95" customHeight="1" x14ac:dyDescent="0.3"/>
    <row r="7294" ht="43.95" customHeight="1" x14ac:dyDescent="0.3"/>
    <row r="7295" ht="43.95" customHeight="1" x14ac:dyDescent="0.3"/>
    <row r="7296" ht="43.95" customHeight="1" x14ac:dyDescent="0.3"/>
    <row r="7297" ht="43.95" customHeight="1" x14ac:dyDescent="0.3"/>
    <row r="7298" ht="43.95" customHeight="1" x14ac:dyDescent="0.3"/>
    <row r="7299" ht="43.95" customHeight="1" x14ac:dyDescent="0.3"/>
    <row r="7300" ht="43.95" customHeight="1" x14ac:dyDescent="0.3"/>
    <row r="7301" ht="43.95" customHeight="1" x14ac:dyDescent="0.3"/>
    <row r="7302" ht="43.95" customHeight="1" x14ac:dyDescent="0.3"/>
    <row r="7303" ht="43.95" customHeight="1" x14ac:dyDescent="0.3"/>
    <row r="7304" ht="43.95" customHeight="1" x14ac:dyDescent="0.3"/>
    <row r="7305" ht="43.95" customHeight="1" x14ac:dyDescent="0.3"/>
    <row r="7306" ht="43.95" customHeight="1" x14ac:dyDescent="0.3"/>
    <row r="7307" ht="43.95" customHeight="1" x14ac:dyDescent="0.3"/>
    <row r="7308" ht="43.95" customHeight="1" x14ac:dyDescent="0.3"/>
    <row r="7309" ht="43.95" customHeight="1" x14ac:dyDescent="0.3"/>
    <row r="7310" ht="43.95" customHeight="1" x14ac:dyDescent="0.3"/>
    <row r="7311" ht="43.95" customHeight="1" x14ac:dyDescent="0.3"/>
    <row r="7312" ht="43.95" customHeight="1" x14ac:dyDescent="0.3"/>
    <row r="7313" ht="43.95" customHeight="1" x14ac:dyDescent="0.3"/>
    <row r="7314" ht="43.95" customHeight="1" x14ac:dyDescent="0.3"/>
    <row r="7315" ht="43.95" customHeight="1" x14ac:dyDescent="0.3"/>
    <row r="7316" ht="43.95" customHeight="1" x14ac:dyDescent="0.3"/>
    <row r="7317" ht="43.95" customHeight="1" x14ac:dyDescent="0.3"/>
    <row r="7318" ht="43.95" customHeight="1" x14ac:dyDescent="0.3"/>
    <row r="7319" ht="43.95" customHeight="1" x14ac:dyDescent="0.3"/>
    <row r="7320" ht="43.95" customHeight="1" x14ac:dyDescent="0.3"/>
    <row r="7321" ht="43.95" customHeight="1" x14ac:dyDescent="0.3"/>
    <row r="7322" ht="43.95" customHeight="1" x14ac:dyDescent="0.3"/>
    <row r="7323" ht="43.95" customHeight="1" x14ac:dyDescent="0.3"/>
    <row r="7324" ht="43.95" customHeight="1" x14ac:dyDescent="0.3"/>
    <row r="7325" ht="43.95" customHeight="1" x14ac:dyDescent="0.3"/>
    <row r="7326" ht="43.95" customHeight="1" x14ac:dyDescent="0.3"/>
    <row r="7327" ht="43.95" customHeight="1" x14ac:dyDescent="0.3"/>
    <row r="7328" ht="43.95" customHeight="1" x14ac:dyDescent="0.3"/>
    <row r="7329" ht="43.95" customHeight="1" x14ac:dyDescent="0.3"/>
    <row r="7330" ht="43.95" customHeight="1" x14ac:dyDescent="0.3"/>
    <row r="7331" ht="43.95" customHeight="1" x14ac:dyDescent="0.3"/>
    <row r="7332" ht="43.95" customHeight="1" x14ac:dyDescent="0.3"/>
    <row r="7333" ht="43.95" customHeight="1" x14ac:dyDescent="0.3"/>
    <row r="7334" ht="43.95" customHeight="1" x14ac:dyDescent="0.3"/>
    <row r="7335" ht="43.95" customHeight="1" x14ac:dyDescent="0.3"/>
    <row r="7336" ht="43.95" customHeight="1" x14ac:dyDescent="0.3"/>
    <row r="7337" ht="43.95" customHeight="1" x14ac:dyDescent="0.3"/>
    <row r="7338" ht="43.95" customHeight="1" x14ac:dyDescent="0.3"/>
    <row r="7339" ht="43.95" customHeight="1" x14ac:dyDescent="0.3"/>
    <row r="7340" ht="43.95" customHeight="1" x14ac:dyDescent="0.3"/>
    <row r="7341" ht="43.95" customHeight="1" x14ac:dyDescent="0.3"/>
    <row r="7342" ht="43.95" customHeight="1" x14ac:dyDescent="0.3"/>
    <row r="7343" ht="43.95" customHeight="1" x14ac:dyDescent="0.3"/>
    <row r="7344" ht="43.95" customHeight="1" x14ac:dyDescent="0.3"/>
    <row r="7345" ht="43.95" customHeight="1" x14ac:dyDescent="0.3"/>
    <row r="7346" ht="43.95" customHeight="1" x14ac:dyDescent="0.3"/>
    <row r="7347" ht="43.95" customHeight="1" x14ac:dyDescent="0.3"/>
    <row r="7348" ht="43.95" customHeight="1" x14ac:dyDescent="0.3"/>
    <row r="7349" ht="43.95" customHeight="1" x14ac:dyDescent="0.3"/>
    <row r="7350" ht="43.95" customHeight="1" x14ac:dyDescent="0.3"/>
    <row r="7351" ht="43.95" customHeight="1" x14ac:dyDescent="0.3"/>
    <row r="7352" ht="43.95" customHeight="1" x14ac:dyDescent="0.3"/>
    <row r="7353" ht="43.95" customHeight="1" x14ac:dyDescent="0.3"/>
    <row r="7354" ht="43.95" customHeight="1" x14ac:dyDescent="0.3"/>
    <row r="7355" ht="43.95" customHeight="1" x14ac:dyDescent="0.3"/>
    <row r="7356" ht="43.95" customHeight="1" x14ac:dyDescent="0.3"/>
    <row r="7357" ht="43.95" customHeight="1" x14ac:dyDescent="0.3"/>
    <row r="7358" ht="43.95" customHeight="1" x14ac:dyDescent="0.3"/>
    <row r="7359" ht="43.95" customHeight="1" x14ac:dyDescent="0.3"/>
    <row r="7360" ht="43.95" customHeight="1" x14ac:dyDescent="0.3"/>
    <row r="7361" ht="43.95" customHeight="1" x14ac:dyDescent="0.3"/>
    <row r="7362" ht="43.95" customHeight="1" x14ac:dyDescent="0.3"/>
    <row r="7363" ht="43.95" customHeight="1" x14ac:dyDescent="0.3"/>
    <row r="7364" ht="43.95" customHeight="1" x14ac:dyDescent="0.3"/>
    <row r="7365" ht="43.95" customHeight="1" x14ac:dyDescent="0.3"/>
    <row r="7366" ht="43.95" customHeight="1" x14ac:dyDescent="0.3"/>
    <row r="7367" ht="43.95" customHeight="1" x14ac:dyDescent="0.3"/>
    <row r="7368" ht="43.95" customHeight="1" x14ac:dyDescent="0.3"/>
    <row r="7369" ht="43.95" customHeight="1" x14ac:dyDescent="0.3"/>
    <row r="7370" ht="43.95" customHeight="1" x14ac:dyDescent="0.3"/>
    <row r="7371" ht="43.95" customHeight="1" x14ac:dyDescent="0.3"/>
    <row r="7372" ht="43.95" customHeight="1" x14ac:dyDescent="0.3"/>
    <row r="7373" ht="43.95" customHeight="1" x14ac:dyDescent="0.3"/>
    <row r="7374" ht="43.95" customHeight="1" x14ac:dyDescent="0.3"/>
    <row r="7375" ht="43.95" customHeight="1" x14ac:dyDescent="0.3"/>
    <row r="7376" ht="43.95" customHeight="1" x14ac:dyDescent="0.3"/>
    <row r="7377" ht="43.95" customHeight="1" x14ac:dyDescent="0.3"/>
    <row r="7378" ht="43.95" customHeight="1" x14ac:dyDescent="0.3"/>
    <row r="7379" ht="43.95" customHeight="1" x14ac:dyDescent="0.3"/>
    <row r="7380" ht="43.95" customHeight="1" x14ac:dyDescent="0.3"/>
    <row r="7381" ht="43.95" customHeight="1" x14ac:dyDescent="0.3"/>
    <row r="7382" ht="43.95" customHeight="1" x14ac:dyDescent="0.3"/>
    <row r="7383" ht="43.95" customHeight="1" x14ac:dyDescent="0.3"/>
    <row r="7384" ht="43.95" customHeight="1" x14ac:dyDescent="0.3"/>
    <row r="7385" ht="43.95" customHeight="1" x14ac:dyDescent="0.3"/>
    <row r="7386" ht="43.95" customHeight="1" x14ac:dyDescent="0.3"/>
    <row r="7387" ht="43.95" customHeight="1" x14ac:dyDescent="0.3"/>
    <row r="7388" ht="43.95" customHeight="1" x14ac:dyDescent="0.3"/>
    <row r="7389" ht="43.95" customHeight="1" x14ac:dyDescent="0.3"/>
    <row r="7390" ht="43.95" customHeight="1" x14ac:dyDescent="0.3"/>
    <row r="7391" ht="43.95" customHeight="1" x14ac:dyDescent="0.3"/>
    <row r="7392" ht="43.95" customHeight="1" x14ac:dyDescent="0.3"/>
    <row r="7393" ht="43.95" customHeight="1" x14ac:dyDescent="0.3"/>
    <row r="7394" ht="43.95" customHeight="1" x14ac:dyDescent="0.3"/>
    <row r="7395" ht="43.95" customHeight="1" x14ac:dyDescent="0.3"/>
    <row r="7396" ht="43.95" customHeight="1" x14ac:dyDescent="0.3"/>
    <row r="7397" ht="43.95" customHeight="1" x14ac:dyDescent="0.3"/>
    <row r="7398" ht="43.95" customHeight="1" x14ac:dyDescent="0.3"/>
    <row r="7399" ht="43.95" customHeight="1" x14ac:dyDescent="0.3"/>
    <row r="7400" ht="43.95" customHeight="1" x14ac:dyDescent="0.3"/>
    <row r="7401" ht="43.95" customHeight="1" x14ac:dyDescent="0.3"/>
    <row r="7402" ht="43.95" customHeight="1" x14ac:dyDescent="0.3"/>
    <row r="7403" ht="43.95" customHeight="1" x14ac:dyDescent="0.3"/>
    <row r="7404" ht="43.95" customHeight="1" x14ac:dyDescent="0.3"/>
    <row r="7405" ht="43.95" customHeight="1" x14ac:dyDescent="0.3"/>
    <row r="7406" ht="43.95" customHeight="1" x14ac:dyDescent="0.3"/>
    <row r="7407" ht="43.95" customHeight="1" x14ac:dyDescent="0.3"/>
    <row r="7408" ht="43.95" customHeight="1" x14ac:dyDescent="0.3"/>
    <row r="7409" ht="43.95" customHeight="1" x14ac:dyDescent="0.3"/>
    <row r="7410" ht="43.95" customHeight="1" x14ac:dyDescent="0.3"/>
    <row r="7411" ht="43.95" customHeight="1" x14ac:dyDescent="0.3"/>
    <row r="7412" ht="43.95" customHeight="1" x14ac:dyDescent="0.3"/>
    <row r="7413" ht="43.95" customHeight="1" x14ac:dyDescent="0.3"/>
    <row r="7414" ht="43.95" customHeight="1" x14ac:dyDescent="0.3"/>
    <row r="7415" ht="43.95" customHeight="1" x14ac:dyDescent="0.3"/>
    <row r="7416" ht="43.95" customHeight="1" x14ac:dyDescent="0.3"/>
    <row r="7417" ht="43.95" customHeight="1" x14ac:dyDescent="0.3"/>
    <row r="7418" ht="43.95" customHeight="1" x14ac:dyDescent="0.3"/>
    <row r="7419" ht="43.95" customHeight="1" x14ac:dyDescent="0.3"/>
    <row r="7420" ht="43.95" customHeight="1" x14ac:dyDescent="0.3"/>
    <row r="7421" ht="43.95" customHeight="1" x14ac:dyDescent="0.3"/>
    <row r="7422" ht="43.95" customHeight="1" x14ac:dyDescent="0.3"/>
    <row r="7423" ht="43.95" customHeight="1" x14ac:dyDescent="0.3"/>
    <row r="7424" ht="43.95" customHeight="1" x14ac:dyDescent="0.3"/>
    <row r="7425" ht="43.95" customHeight="1" x14ac:dyDescent="0.3"/>
    <row r="7426" ht="43.95" customHeight="1" x14ac:dyDescent="0.3"/>
    <row r="7427" ht="43.95" customHeight="1" x14ac:dyDescent="0.3"/>
    <row r="7428" ht="43.95" customHeight="1" x14ac:dyDescent="0.3"/>
    <row r="7429" ht="43.95" customHeight="1" x14ac:dyDescent="0.3"/>
    <row r="7430" ht="43.95" customHeight="1" x14ac:dyDescent="0.3"/>
    <row r="7431" ht="43.95" customHeight="1" x14ac:dyDescent="0.3"/>
    <row r="7432" ht="43.95" customHeight="1" x14ac:dyDescent="0.3"/>
    <row r="7433" ht="43.95" customHeight="1" x14ac:dyDescent="0.3"/>
    <row r="7434" ht="43.95" customHeight="1" x14ac:dyDescent="0.3"/>
    <row r="7435" ht="43.95" customHeight="1" x14ac:dyDescent="0.3"/>
    <row r="7436" ht="43.95" customHeight="1" x14ac:dyDescent="0.3"/>
    <row r="7437" ht="43.95" customHeight="1" x14ac:dyDescent="0.3"/>
    <row r="7438" ht="43.95" customHeight="1" x14ac:dyDescent="0.3"/>
    <row r="7439" ht="43.95" customHeight="1" x14ac:dyDescent="0.3"/>
    <row r="7440" ht="43.95" customHeight="1" x14ac:dyDescent="0.3"/>
    <row r="7441" ht="43.95" customHeight="1" x14ac:dyDescent="0.3"/>
    <row r="7442" ht="43.95" customHeight="1" x14ac:dyDescent="0.3"/>
    <row r="7443" ht="43.95" customHeight="1" x14ac:dyDescent="0.3"/>
    <row r="7444" ht="43.95" customHeight="1" x14ac:dyDescent="0.3"/>
    <row r="7445" ht="43.95" customHeight="1" x14ac:dyDescent="0.3"/>
    <row r="7446" ht="43.95" customHeight="1" x14ac:dyDescent="0.3"/>
    <row r="7447" ht="43.95" customHeight="1" x14ac:dyDescent="0.3"/>
    <row r="7448" ht="43.95" customHeight="1" x14ac:dyDescent="0.3"/>
    <row r="7449" ht="43.95" customHeight="1" x14ac:dyDescent="0.3"/>
    <row r="7450" ht="43.95" customHeight="1" x14ac:dyDescent="0.3"/>
    <row r="7451" ht="43.95" customHeight="1" x14ac:dyDescent="0.3"/>
    <row r="7452" ht="43.95" customHeight="1" x14ac:dyDescent="0.3"/>
    <row r="7453" ht="43.95" customHeight="1" x14ac:dyDescent="0.3"/>
    <row r="7454" ht="43.95" customHeight="1" x14ac:dyDescent="0.3"/>
    <row r="7455" ht="43.95" customHeight="1" x14ac:dyDescent="0.3"/>
    <row r="7456" ht="43.95" customHeight="1" x14ac:dyDescent="0.3"/>
    <row r="7457" ht="43.95" customHeight="1" x14ac:dyDescent="0.3"/>
    <row r="7458" ht="43.95" customHeight="1" x14ac:dyDescent="0.3"/>
    <row r="7459" ht="43.95" customHeight="1" x14ac:dyDescent="0.3"/>
    <row r="7460" ht="43.95" customHeight="1" x14ac:dyDescent="0.3"/>
    <row r="7461" ht="43.95" customHeight="1" x14ac:dyDescent="0.3"/>
    <row r="7462" ht="43.95" customHeight="1" x14ac:dyDescent="0.3"/>
    <row r="7463" ht="43.95" customHeight="1" x14ac:dyDescent="0.3"/>
    <row r="7464" ht="43.95" customHeight="1" x14ac:dyDescent="0.3"/>
    <row r="7465" ht="43.95" customHeight="1" x14ac:dyDescent="0.3"/>
    <row r="7466" ht="43.95" customHeight="1" x14ac:dyDescent="0.3"/>
    <row r="7467" ht="43.95" customHeight="1" x14ac:dyDescent="0.3"/>
    <row r="7468" ht="43.95" customHeight="1" x14ac:dyDescent="0.3"/>
    <row r="7469" ht="43.95" customHeight="1" x14ac:dyDescent="0.3"/>
    <row r="7470" ht="43.95" customHeight="1" x14ac:dyDescent="0.3"/>
    <row r="7471" ht="43.95" customHeight="1" x14ac:dyDescent="0.3"/>
    <row r="7472" ht="43.95" customHeight="1" x14ac:dyDescent="0.3"/>
    <row r="7473" ht="43.95" customHeight="1" x14ac:dyDescent="0.3"/>
    <row r="7474" ht="43.95" customHeight="1" x14ac:dyDescent="0.3"/>
    <row r="7475" ht="43.95" customHeight="1" x14ac:dyDescent="0.3"/>
    <row r="7476" ht="43.95" customHeight="1" x14ac:dyDescent="0.3"/>
    <row r="7477" ht="43.95" customHeight="1" x14ac:dyDescent="0.3"/>
    <row r="7478" ht="43.95" customHeight="1" x14ac:dyDescent="0.3"/>
    <row r="7479" ht="43.95" customHeight="1" x14ac:dyDescent="0.3"/>
    <row r="7480" ht="43.95" customHeight="1" x14ac:dyDescent="0.3"/>
    <row r="7481" ht="43.95" customHeight="1" x14ac:dyDescent="0.3"/>
    <row r="7482" ht="43.95" customHeight="1" x14ac:dyDescent="0.3"/>
    <row r="7483" ht="43.95" customHeight="1" x14ac:dyDescent="0.3"/>
    <row r="7484" ht="43.95" customHeight="1" x14ac:dyDescent="0.3"/>
    <row r="7485" ht="43.95" customHeight="1" x14ac:dyDescent="0.3"/>
    <row r="7486" ht="43.95" customHeight="1" x14ac:dyDescent="0.3"/>
    <row r="7487" ht="43.95" customHeight="1" x14ac:dyDescent="0.3"/>
    <row r="7488" ht="43.95" customHeight="1" x14ac:dyDescent="0.3"/>
    <row r="7489" ht="43.95" customHeight="1" x14ac:dyDescent="0.3"/>
    <row r="7490" ht="43.95" customHeight="1" x14ac:dyDescent="0.3"/>
    <row r="7491" ht="43.95" customHeight="1" x14ac:dyDescent="0.3"/>
    <row r="7492" ht="43.95" customHeight="1" x14ac:dyDescent="0.3"/>
    <row r="7493" ht="43.95" customHeight="1" x14ac:dyDescent="0.3"/>
    <row r="7494" ht="43.95" customHeight="1" x14ac:dyDescent="0.3"/>
    <row r="7495" ht="43.95" customHeight="1" x14ac:dyDescent="0.3"/>
    <row r="7496" ht="43.95" customHeight="1" x14ac:dyDescent="0.3"/>
    <row r="7497" ht="43.95" customHeight="1" x14ac:dyDescent="0.3"/>
    <row r="7498" ht="43.95" customHeight="1" x14ac:dyDescent="0.3"/>
    <row r="7499" ht="43.95" customHeight="1" x14ac:dyDescent="0.3"/>
    <row r="7500" ht="43.95" customHeight="1" x14ac:dyDescent="0.3"/>
    <row r="7501" ht="43.95" customHeight="1" x14ac:dyDescent="0.3"/>
    <row r="7502" ht="43.95" customHeight="1" x14ac:dyDescent="0.3"/>
    <row r="7503" ht="43.95" customHeight="1" x14ac:dyDescent="0.3"/>
    <row r="7504" ht="43.95" customHeight="1" x14ac:dyDescent="0.3"/>
    <row r="7505" ht="43.95" customHeight="1" x14ac:dyDescent="0.3"/>
    <row r="7506" ht="43.95" customHeight="1" x14ac:dyDescent="0.3"/>
    <row r="7507" ht="43.95" customHeight="1" x14ac:dyDescent="0.3"/>
    <row r="7508" ht="43.95" customHeight="1" x14ac:dyDescent="0.3"/>
    <row r="7509" ht="43.95" customHeight="1" x14ac:dyDescent="0.3"/>
    <row r="7510" ht="43.95" customHeight="1" x14ac:dyDescent="0.3"/>
    <row r="7511" ht="43.95" customHeight="1" x14ac:dyDescent="0.3"/>
    <row r="7512" ht="43.95" customHeight="1" x14ac:dyDescent="0.3"/>
    <row r="7513" ht="43.95" customHeight="1" x14ac:dyDescent="0.3"/>
    <row r="7514" ht="43.95" customHeight="1" x14ac:dyDescent="0.3"/>
    <row r="7515" ht="43.95" customHeight="1" x14ac:dyDescent="0.3"/>
    <row r="7516" ht="43.95" customHeight="1" x14ac:dyDescent="0.3"/>
    <row r="7517" ht="43.95" customHeight="1" x14ac:dyDescent="0.3"/>
    <row r="7518" ht="43.95" customHeight="1" x14ac:dyDescent="0.3"/>
    <row r="7519" ht="43.95" customHeight="1" x14ac:dyDescent="0.3"/>
    <row r="7520" ht="43.95" customHeight="1" x14ac:dyDescent="0.3"/>
    <row r="7521" ht="43.95" customHeight="1" x14ac:dyDescent="0.3"/>
    <row r="7522" ht="43.95" customHeight="1" x14ac:dyDescent="0.3"/>
    <row r="7523" ht="43.95" customHeight="1" x14ac:dyDescent="0.3"/>
    <row r="7524" ht="43.95" customHeight="1" x14ac:dyDescent="0.3"/>
    <row r="7525" ht="43.95" customHeight="1" x14ac:dyDescent="0.3"/>
    <row r="7526" ht="43.95" customHeight="1" x14ac:dyDescent="0.3"/>
    <row r="7527" ht="43.95" customHeight="1" x14ac:dyDescent="0.3"/>
    <row r="7528" ht="43.95" customHeight="1" x14ac:dyDescent="0.3"/>
    <row r="7529" ht="43.95" customHeight="1" x14ac:dyDescent="0.3"/>
    <row r="7530" ht="43.95" customHeight="1" x14ac:dyDescent="0.3"/>
    <row r="7531" ht="43.95" customHeight="1" x14ac:dyDescent="0.3"/>
    <row r="7532" ht="43.95" customHeight="1" x14ac:dyDescent="0.3"/>
    <row r="7533" ht="43.95" customHeight="1" x14ac:dyDescent="0.3"/>
    <row r="7534" ht="43.95" customHeight="1" x14ac:dyDescent="0.3"/>
    <row r="7535" ht="43.95" customHeight="1" x14ac:dyDescent="0.3"/>
    <row r="7536" ht="43.95" customHeight="1" x14ac:dyDescent="0.3"/>
    <row r="7537" ht="43.95" customHeight="1" x14ac:dyDescent="0.3"/>
    <row r="7538" ht="43.95" customHeight="1" x14ac:dyDescent="0.3"/>
    <row r="7539" ht="43.95" customHeight="1" x14ac:dyDescent="0.3"/>
    <row r="7540" ht="43.95" customHeight="1" x14ac:dyDescent="0.3"/>
    <row r="7541" ht="43.95" customHeight="1" x14ac:dyDescent="0.3"/>
    <row r="7542" ht="43.95" customHeight="1" x14ac:dyDescent="0.3"/>
    <row r="7543" ht="43.95" customHeight="1" x14ac:dyDescent="0.3"/>
    <row r="7544" ht="43.95" customHeight="1" x14ac:dyDescent="0.3"/>
    <row r="7545" ht="43.95" customHeight="1" x14ac:dyDescent="0.3"/>
    <row r="7546" ht="43.95" customHeight="1" x14ac:dyDescent="0.3"/>
    <row r="7547" ht="43.95" customHeight="1" x14ac:dyDescent="0.3"/>
    <row r="7548" ht="43.95" customHeight="1" x14ac:dyDescent="0.3"/>
    <row r="7549" ht="43.95" customHeight="1" x14ac:dyDescent="0.3"/>
    <row r="7550" ht="43.95" customHeight="1" x14ac:dyDescent="0.3"/>
    <row r="7551" ht="43.95" customHeight="1" x14ac:dyDescent="0.3"/>
    <row r="7552" ht="43.95" customHeight="1" x14ac:dyDescent="0.3"/>
    <row r="7553" ht="43.95" customHeight="1" x14ac:dyDescent="0.3"/>
    <row r="7554" ht="43.95" customHeight="1" x14ac:dyDescent="0.3"/>
    <row r="7555" ht="43.95" customHeight="1" x14ac:dyDescent="0.3"/>
    <row r="7556" ht="43.95" customHeight="1" x14ac:dyDescent="0.3"/>
    <row r="7557" ht="43.95" customHeight="1" x14ac:dyDescent="0.3"/>
    <row r="7558" ht="43.95" customHeight="1" x14ac:dyDescent="0.3"/>
    <row r="7559" ht="43.95" customHeight="1" x14ac:dyDescent="0.3"/>
    <row r="7560" ht="43.95" customHeight="1" x14ac:dyDescent="0.3"/>
    <row r="7561" ht="43.95" customHeight="1" x14ac:dyDescent="0.3"/>
    <row r="7562" ht="43.95" customHeight="1" x14ac:dyDescent="0.3"/>
    <row r="7563" ht="43.95" customHeight="1" x14ac:dyDescent="0.3"/>
    <row r="7564" ht="43.95" customHeight="1" x14ac:dyDescent="0.3"/>
    <row r="7565" ht="43.95" customHeight="1" x14ac:dyDescent="0.3"/>
    <row r="7566" ht="43.95" customHeight="1" x14ac:dyDescent="0.3"/>
    <row r="7567" ht="43.95" customHeight="1" x14ac:dyDescent="0.3"/>
    <row r="7568" ht="43.95" customHeight="1" x14ac:dyDescent="0.3"/>
    <row r="7569" ht="43.95" customHeight="1" x14ac:dyDescent="0.3"/>
    <row r="7570" ht="43.95" customHeight="1" x14ac:dyDescent="0.3"/>
    <row r="7571" ht="43.95" customHeight="1" x14ac:dyDescent="0.3"/>
    <row r="7572" ht="43.95" customHeight="1" x14ac:dyDescent="0.3"/>
    <row r="7573" ht="43.95" customHeight="1" x14ac:dyDescent="0.3"/>
    <row r="7574" ht="43.95" customHeight="1" x14ac:dyDescent="0.3"/>
    <row r="7575" ht="43.95" customHeight="1" x14ac:dyDescent="0.3"/>
    <row r="7576" ht="43.95" customHeight="1" x14ac:dyDescent="0.3"/>
    <row r="7577" ht="43.95" customHeight="1" x14ac:dyDescent="0.3"/>
    <row r="7578" ht="43.95" customHeight="1" x14ac:dyDescent="0.3"/>
    <row r="7579" ht="43.95" customHeight="1" x14ac:dyDescent="0.3"/>
    <row r="7580" ht="43.95" customHeight="1" x14ac:dyDescent="0.3"/>
    <row r="7581" ht="43.95" customHeight="1" x14ac:dyDescent="0.3"/>
    <row r="7582" ht="43.95" customHeight="1" x14ac:dyDescent="0.3"/>
    <row r="7583" ht="43.95" customHeight="1" x14ac:dyDescent="0.3"/>
    <row r="7584" ht="43.95" customHeight="1" x14ac:dyDescent="0.3"/>
    <row r="7585" ht="43.95" customHeight="1" x14ac:dyDescent="0.3"/>
    <row r="7586" ht="43.95" customHeight="1" x14ac:dyDescent="0.3"/>
    <row r="7587" ht="43.95" customHeight="1" x14ac:dyDescent="0.3"/>
    <row r="7588" ht="43.95" customHeight="1" x14ac:dyDescent="0.3"/>
    <row r="7589" ht="43.95" customHeight="1" x14ac:dyDescent="0.3"/>
    <row r="7590" ht="43.95" customHeight="1" x14ac:dyDescent="0.3"/>
    <row r="7591" ht="43.95" customHeight="1" x14ac:dyDescent="0.3"/>
    <row r="7592" ht="43.95" customHeight="1" x14ac:dyDescent="0.3"/>
    <row r="7593" ht="43.95" customHeight="1" x14ac:dyDescent="0.3"/>
    <row r="7594" ht="43.95" customHeight="1" x14ac:dyDescent="0.3"/>
    <row r="7595" ht="43.95" customHeight="1" x14ac:dyDescent="0.3"/>
    <row r="7596" ht="43.95" customHeight="1" x14ac:dyDescent="0.3"/>
    <row r="7597" ht="43.95" customHeight="1" x14ac:dyDescent="0.3"/>
    <row r="7598" ht="43.95" customHeight="1" x14ac:dyDescent="0.3"/>
    <row r="7599" ht="43.95" customHeight="1" x14ac:dyDescent="0.3"/>
    <row r="7600" ht="43.95" customHeight="1" x14ac:dyDescent="0.3"/>
    <row r="7601" ht="43.95" customHeight="1" x14ac:dyDescent="0.3"/>
    <row r="7602" ht="43.95" customHeight="1" x14ac:dyDescent="0.3"/>
    <row r="7603" ht="43.95" customHeight="1" x14ac:dyDescent="0.3"/>
    <row r="7604" ht="43.95" customHeight="1" x14ac:dyDescent="0.3"/>
    <row r="7605" ht="43.95" customHeight="1" x14ac:dyDescent="0.3"/>
    <row r="7606" ht="43.95" customHeight="1" x14ac:dyDescent="0.3"/>
    <row r="7607" ht="43.95" customHeight="1" x14ac:dyDescent="0.3"/>
    <row r="7608" ht="43.95" customHeight="1" x14ac:dyDescent="0.3"/>
    <row r="7609" ht="43.95" customHeight="1" x14ac:dyDescent="0.3"/>
    <row r="7610" ht="43.95" customHeight="1" x14ac:dyDescent="0.3"/>
    <row r="7611" ht="43.95" customHeight="1" x14ac:dyDescent="0.3"/>
    <row r="7612" ht="43.95" customHeight="1" x14ac:dyDescent="0.3"/>
    <row r="7613" ht="43.95" customHeight="1" x14ac:dyDescent="0.3"/>
    <row r="7614" ht="43.95" customHeight="1" x14ac:dyDescent="0.3"/>
    <row r="7615" ht="43.95" customHeight="1" x14ac:dyDescent="0.3"/>
    <row r="7616" ht="43.95" customHeight="1" x14ac:dyDescent="0.3"/>
    <row r="7617" ht="43.95" customHeight="1" x14ac:dyDescent="0.3"/>
    <row r="7618" ht="43.95" customHeight="1" x14ac:dyDescent="0.3"/>
    <row r="7619" ht="43.95" customHeight="1" x14ac:dyDescent="0.3"/>
    <row r="7620" ht="43.95" customHeight="1" x14ac:dyDescent="0.3"/>
    <row r="7621" ht="43.95" customHeight="1" x14ac:dyDescent="0.3"/>
    <row r="7622" ht="43.95" customHeight="1" x14ac:dyDescent="0.3"/>
    <row r="7623" ht="43.95" customHeight="1" x14ac:dyDescent="0.3"/>
    <row r="7624" ht="43.95" customHeight="1" x14ac:dyDescent="0.3"/>
    <row r="7625" ht="43.95" customHeight="1" x14ac:dyDescent="0.3"/>
    <row r="7626" ht="43.95" customHeight="1" x14ac:dyDescent="0.3"/>
    <row r="7627" ht="43.95" customHeight="1" x14ac:dyDescent="0.3"/>
    <row r="7628" ht="43.95" customHeight="1" x14ac:dyDescent="0.3"/>
    <row r="7629" ht="43.95" customHeight="1" x14ac:dyDescent="0.3"/>
    <row r="7630" ht="43.95" customHeight="1" x14ac:dyDescent="0.3"/>
    <row r="7631" ht="43.95" customHeight="1" x14ac:dyDescent="0.3"/>
    <row r="7632" ht="43.95" customHeight="1" x14ac:dyDescent="0.3"/>
    <row r="7633" ht="43.95" customHeight="1" x14ac:dyDescent="0.3"/>
    <row r="7634" ht="43.95" customHeight="1" x14ac:dyDescent="0.3"/>
    <row r="7635" ht="43.95" customHeight="1" x14ac:dyDescent="0.3"/>
    <row r="7636" ht="43.95" customHeight="1" x14ac:dyDescent="0.3"/>
    <row r="7637" ht="43.95" customHeight="1" x14ac:dyDescent="0.3"/>
    <row r="7638" ht="43.95" customHeight="1" x14ac:dyDescent="0.3"/>
    <row r="7639" ht="43.95" customHeight="1" x14ac:dyDescent="0.3"/>
    <row r="7640" ht="43.95" customHeight="1" x14ac:dyDescent="0.3"/>
    <row r="7641" ht="43.95" customHeight="1" x14ac:dyDescent="0.3"/>
    <row r="7642" ht="43.95" customHeight="1" x14ac:dyDescent="0.3"/>
    <row r="7643" ht="43.95" customHeight="1" x14ac:dyDescent="0.3"/>
    <row r="7644" ht="43.95" customHeight="1" x14ac:dyDescent="0.3"/>
    <row r="7645" ht="43.95" customHeight="1" x14ac:dyDescent="0.3"/>
    <row r="7646" ht="43.95" customHeight="1" x14ac:dyDescent="0.3"/>
    <row r="7647" ht="43.95" customHeight="1" x14ac:dyDescent="0.3"/>
    <row r="7648" ht="43.95" customHeight="1" x14ac:dyDescent="0.3"/>
    <row r="7649" ht="43.95" customHeight="1" x14ac:dyDescent="0.3"/>
    <row r="7650" ht="43.95" customHeight="1" x14ac:dyDescent="0.3"/>
    <row r="7651" ht="43.95" customHeight="1" x14ac:dyDescent="0.3"/>
    <row r="7652" ht="43.95" customHeight="1" x14ac:dyDescent="0.3"/>
    <row r="7653" ht="43.95" customHeight="1" x14ac:dyDescent="0.3"/>
    <row r="7654" ht="43.95" customHeight="1" x14ac:dyDescent="0.3"/>
    <row r="7655" ht="43.95" customHeight="1" x14ac:dyDescent="0.3"/>
    <row r="7656" ht="43.95" customHeight="1" x14ac:dyDescent="0.3"/>
    <row r="7657" ht="43.95" customHeight="1" x14ac:dyDescent="0.3"/>
    <row r="7658" ht="43.95" customHeight="1" x14ac:dyDescent="0.3"/>
    <row r="7659" ht="43.95" customHeight="1" x14ac:dyDescent="0.3"/>
    <row r="7660" ht="43.95" customHeight="1" x14ac:dyDescent="0.3"/>
    <row r="7661" ht="43.95" customHeight="1" x14ac:dyDescent="0.3"/>
    <row r="7662" ht="43.95" customHeight="1" x14ac:dyDescent="0.3"/>
    <row r="7663" ht="43.95" customHeight="1" x14ac:dyDescent="0.3"/>
    <row r="7664" ht="43.95" customHeight="1" x14ac:dyDescent="0.3"/>
    <row r="7665" ht="43.95" customHeight="1" x14ac:dyDescent="0.3"/>
    <row r="7666" ht="43.95" customHeight="1" x14ac:dyDescent="0.3"/>
    <row r="7667" ht="43.95" customHeight="1" x14ac:dyDescent="0.3"/>
    <row r="7668" ht="43.95" customHeight="1" x14ac:dyDescent="0.3"/>
    <row r="7669" ht="43.95" customHeight="1" x14ac:dyDescent="0.3"/>
    <row r="7670" ht="43.95" customHeight="1" x14ac:dyDescent="0.3"/>
    <row r="7671" ht="43.95" customHeight="1" x14ac:dyDescent="0.3"/>
    <row r="7672" ht="43.95" customHeight="1" x14ac:dyDescent="0.3"/>
    <row r="7673" ht="43.95" customHeight="1" x14ac:dyDescent="0.3"/>
    <row r="7674" ht="43.95" customHeight="1" x14ac:dyDescent="0.3"/>
    <row r="7675" ht="43.95" customHeight="1" x14ac:dyDescent="0.3"/>
    <row r="7676" ht="43.95" customHeight="1" x14ac:dyDescent="0.3"/>
    <row r="7677" ht="43.95" customHeight="1" x14ac:dyDescent="0.3"/>
    <row r="7678" ht="43.95" customHeight="1" x14ac:dyDescent="0.3"/>
    <row r="7679" ht="43.95" customHeight="1" x14ac:dyDescent="0.3"/>
    <row r="7680" ht="43.95" customHeight="1" x14ac:dyDescent="0.3"/>
    <row r="7681" ht="43.95" customHeight="1" x14ac:dyDescent="0.3"/>
    <row r="7682" ht="43.95" customHeight="1" x14ac:dyDescent="0.3"/>
    <row r="7683" ht="43.95" customHeight="1" x14ac:dyDescent="0.3"/>
    <row r="7684" ht="43.95" customHeight="1" x14ac:dyDescent="0.3"/>
    <row r="7685" ht="43.95" customHeight="1" x14ac:dyDescent="0.3"/>
    <row r="7686" ht="43.95" customHeight="1" x14ac:dyDescent="0.3"/>
    <row r="7687" ht="43.95" customHeight="1" x14ac:dyDescent="0.3"/>
    <row r="7688" ht="43.95" customHeight="1" x14ac:dyDescent="0.3"/>
    <row r="7689" ht="43.95" customHeight="1" x14ac:dyDescent="0.3"/>
    <row r="7690" ht="43.95" customHeight="1" x14ac:dyDescent="0.3"/>
    <row r="7691" ht="43.95" customHeight="1" x14ac:dyDescent="0.3"/>
    <row r="7692" ht="43.95" customHeight="1" x14ac:dyDescent="0.3"/>
    <row r="7693" ht="43.95" customHeight="1" x14ac:dyDescent="0.3"/>
    <row r="7694" ht="43.95" customHeight="1" x14ac:dyDescent="0.3"/>
    <row r="7695" ht="43.95" customHeight="1" x14ac:dyDescent="0.3"/>
    <row r="7696" ht="43.95" customHeight="1" x14ac:dyDescent="0.3"/>
    <row r="7697" ht="43.95" customHeight="1" x14ac:dyDescent="0.3"/>
    <row r="7698" ht="43.95" customHeight="1" x14ac:dyDescent="0.3"/>
    <row r="7699" ht="43.95" customHeight="1" x14ac:dyDescent="0.3"/>
    <row r="7700" ht="43.95" customHeight="1" x14ac:dyDescent="0.3"/>
    <row r="7701" ht="43.95" customHeight="1" x14ac:dyDescent="0.3"/>
    <row r="7702" ht="43.95" customHeight="1" x14ac:dyDescent="0.3"/>
    <row r="7703" ht="43.95" customHeight="1" x14ac:dyDescent="0.3"/>
    <row r="7704" ht="43.95" customHeight="1" x14ac:dyDescent="0.3"/>
    <row r="7705" ht="43.95" customHeight="1" x14ac:dyDescent="0.3"/>
    <row r="7706" ht="43.95" customHeight="1" x14ac:dyDescent="0.3"/>
    <row r="7707" ht="43.95" customHeight="1" x14ac:dyDescent="0.3"/>
    <row r="7708" ht="43.95" customHeight="1" x14ac:dyDescent="0.3"/>
    <row r="7709" ht="43.95" customHeight="1" x14ac:dyDescent="0.3"/>
    <row r="7710" ht="43.95" customHeight="1" x14ac:dyDescent="0.3"/>
    <row r="7711" ht="43.95" customHeight="1" x14ac:dyDescent="0.3"/>
    <row r="7712" ht="43.95" customHeight="1" x14ac:dyDescent="0.3"/>
    <row r="7713" ht="43.95" customHeight="1" x14ac:dyDescent="0.3"/>
    <row r="7714" ht="43.95" customHeight="1" x14ac:dyDescent="0.3"/>
    <row r="7715" ht="43.95" customHeight="1" x14ac:dyDescent="0.3"/>
    <row r="7716" ht="43.95" customHeight="1" x14ac:dyDescent="0.3"/>
    <row r="7717" ht="43.95" customHeight="1" x14ac:dyDescent="0.3"/>
    <row r="7718" ht="43.95" customHeight="1" x14ac:dyDescent="0.3"/>
    <row r="7719" ht="43.95" customHeight="1" x14ac:dyDescent="0.3"/>
    <row r="7720" ht="43.95" customHeight="1" x14ac:dyDescent="0.3"/>
    <row r="7721" ht="43.95" customHeight="1" x14ac:dyDescent="0.3"/>
    <row r="7722" ht="43.95" customHeight="1" x14ac:dyDescent="0.3"/>
    <row r="7723" ht="43.95" customHeight="1" x14ac:dyDescent="0.3"/>
    <row r="7724" ht="43.95" customHeight="1" x14ac:dyDescent="0.3"/>
    <row r="7725" ht="43.95" customHeight="1" x14ac:dyDescent="0.3"/>
    <row r="7726" ht="43.95" customHeight="1" x14ac:dyDescent="0.3"/>
    <row r="7727" ht="43.95" customHeight="1" x14ac:dyDescent="0.3"/>
    <row r="7728" ht="43.95" customHeight="1" x14ac:dyDescent="0.3"/>
    <row r="7729" ht="43.95" customHeight="1" x14ac:dyDescent="0.3"/>
    <row r="7730" ht="43.95" customHeight="1" x14ac:dyDescent="0.3"/>
    <row r="7731" ht="43.95" customHeight="1" x14ac:dyDescent="0.3"/>
    <row r="7732" ht="43.95" customHeight="1" x14ac:dyDescent="0.3"/>
    <row r="7733" ht="43.95" customHeight="1" x14ac:dyDescent="0.3"/>
    <row r="7734" ht="43.95" customHeight="1" x14ac:dyDescent="0.3"/>
    <row r="7735" ht="43.95" customHeight="1" x14ac:dyDescent="0.3"/>
    <row r="7736" ht="43.95" customHeight="1" x14ac:dyDescent="0.3"/>
    <row r="7737" ht="43.95" customHeight="1" x14ac:dyDescent="0.3"/>
    <row r="7738" ht="43.95" customHeight="1" x14ac:dyDescent="0.3"/>
    <row r="7739" ht="43.95" customHeight="1" x14ac:dyDescent="0.3"/>
    <row r="7740" ht="43.95" customHeight="1" x14ac:dyDescent="0.3"/>
    <row r="7741" ht="43.95" customHeight="1" x14ac:dyDescent="0.3"/>
    <row r="7742" ht="43.95" customHeight="1" x14ac:dyDescent="0.3"/>
    <row r="7743" ht="43.95" customHeight="1" x14ac:dyDescent="0.3"/>
    <row r="7744" ht="43.95" customHeight="1" x14ac:dyDescent="0.3"/>
    <row r="7745" ht="43.95" customHeight="1" x14ac:dyDescent="0.3"/>
    <row r="7746" ht="43.95" customHeight="1" x14ac:dyDescent="0.3"/>
    <row r="7747" ht="43.95" customHeight="1" x14ac:dyDescent="0.3"/>
    <row r="7748" ht="43.95" customHeight="1" x14ac:dyDescent="0.3"/>
    <row r="7749" ht="43.95" customHeight="1" x14ac:dyDescent="0.3"/>
    <row r="7750" ht="43.95" customHeight="1" x14ac:dyDescent="0.3"/>
    <row r="7751" ht="43.95" customHeight="1" x14ac:dyDescent="0.3"/>
    <row r="7752" ht="43.95" customHeight="1" x14ac:dyDescent="0.3"/>
    <row r="7753" ht="43.95" customHeight="1" x14ac:dyDescent="0.3"/>
    <row r="7754" ht="43.95" customHeight="1" x14ac:dyDescent="0.3"/>
    <row r="7755" ht="43.95" customHeight="1" x14ac:dyDescent="0.3"/>
    <row r="7756" ht="43.95" customHeight="1" x14ac:dyDescent="0.3"/>
    <row r="7757" ht="43.95" customHeight="1" x14ac:dyDescent="0.3"/>
    <row r="7758" ht="43.95" customHeight="1" x14ac:dyDescent="0.3"/>
    <row r="7759" ht="43.95" customHeight="1" x14ac:dyDescent="0.3"/>
    <row r="7760" ht="43.95" customHeight="1" x14ac:dyDescent="0.3"/>
    <row r="7761" ht="43.95" customHeight="1" x14ac:dyDescent="0.3"/>
    <row r="7762" ht="43.95" customHeight="1" x14ac:dyDescent="0.3"/>
    <row r="7763" ht="43.95" customHeight="1" x14ac:dyDescent="0.3"/>
    <row r="7764" ht="43.95" customHeight="1" x14ac:dyDescent="0.3"/>
    <row r="7765" ht="43.95" customHeight="1" x14ac:dyDescent="0.3"/>
    <row r="7766" ht="43.95" customHeight="1" x14ac:dyDescent="0.3"/>
    <row r="7767" ht="43.95" customHeight="1" x14ac:dyDescent="0.3"/>
    <row r="7768" ht="43.95" customHeight="1" x14ac:dyDescent="0.3"/>
    <row r="7769" ht="43.95" customHeight="1" x14ac:dyDescent="0.3"/>
    <row r="7770" ht="43.95" customHeight="1" x14ac:dyDescent="0.3"/>
    <row r="7771" ht="43.95" customHeight="1" x14ac:dyDescent="0.3"/>
    <row r="7772" ht="43.95" customHeight="1" x14ac:dyDescent="0.3"/>
    <row r="7773" ht="43.95" customHeight="1" x14ac:dyDescent="0.3"/>
    <row r="7774" ht="43.95" customHeight="1" x14ac:dyDescent="0.3"/>
    <row r="7775" ht="43.95" customHeight="1" x14ac:dyDescent="0.3"/>
    <row r="7776" ht="43.95" customHeight="1" x14ac:dyDescent="0.3"/>
    <row r="7777" ht="43.95" customHeight="1" x14ac:dyDescent="0.3"/>
    <row r="7778" ht="43.95" customHeight="1" x14ac:dyDescent="0.3"/>
    <row r="7779" ht="43.95" customHeight="1" x14ac:dyDescent="0.3"/>
    <row r="7780" ht="43.95" customHeight="1" x14ac:dyDescent="0.3"/>
    <row r="7781" ht="43.95" customHeight="1" x14ac:dyDescent="0.3"/>
    <row r="7782" ht="43.95" customHeight="1" x14ac:dyDescent="0.3"/>
    <row r="7783" ht="43.95" customHeight="1" x14ac:dyDescent="0.3"/>
    <row r="7784" ht="43.95" customHeight="1" x14ac:dyDescent="0.3"/>
    <row r="7785" ht="43.95" customHeight="1" x14ac:dyDescent="0.3"/>
    <row r="7786" ht="43.95" customHeight="1" x14ac:dyDescent="0.3"/>
    <row r="7787" ht="43.95" customHeight="1" x14ac:dyDescent="0.3"/>
    <row r="7788" ht="43.95" customHeight="1" x14ac:dyDescent="0.3"/>
    <row r="7789" ht="43.95" customHeight="1" x14ac:dyDescent="0.3"/>
    <row r="7790" ht="43.95" customHeight="1" x14ac:dyDescent="0.3"/>
    <row r="7791" ht="43.95" customHeight="1" x14ac:dyDescent="0.3"/>
    <row r="7792" ht="43.95" customHeight="1" x14ac:dyDescent="0.3"/>
    <row r="7793" ht="43.95" customHeight="1" x14ac:dyDescent="0.3"/>
    <row r="7794" ht="43.95" customHeight="1" x14ac:dyDescent="0.3"/>
    <row r="7795" ht="43.95" customHeight="1" x14ac:dyDescent="0.3"/>
    <row r="7796" ht="43.95" customHeight="1" x14ac:dyDescent="0.3"/>
    <row r="7797" ht="43.95" customHeight="1" x14ac:dyDescent="0.3"/>
    <row r="7798" ht="43.95" customHeight="1" x14ac:dyDescent="0.3"/>
    <row r="7799" ht="43.95" customHeight="1" x14ac:dyDescent="0.3"/>
    <row r="7800" ht="43.95" customHeight="1" x14ac:dyDescent="0.3"/>
    <row r="7801" ht="43.95" customHeight="1" x14ac:dyDescent="0.3"/>
    <row r="7802" ht="43.95" customHeight="1" x14ac:dyDescent="0.3"/>
    <row r="7803" ht="43.95" customHeight="1" x14ac:dyDescent="0.3"/>
    <row r="7804" ht="43.95" customHeight="1" x14ac:dyDescent="0.3"/>
    <row r="7805" ht="43.95" customHeight="1" x14ac:dyDescent="0.3"/>
    <row r="7806" ht="43.95" customHeight="1" x14ac:dyDescent="0.3"/>
    <row r="7807" ht="43.95" customHeight="1" x14ac:dyDescent="0.3"/>
    <row r="7808" ht="43.95" customHeight="1" x14ac:dyDescent="0.3"/>
    <row r="7809" ht="43.95" customHeight="1" x14ac:dyDescent="0.3"/>
    <row r="7810" ht="43.95" customHeight="1" x14ac:dyDescent="0.3"/>
    <row r="7811" ht="43.95" customHeight="1" x14ac:dyDescent="0.3"/>
    <row r="7812" ht="43.95" customHeight="1" x14ac:dyDescent="0.3"/>
    <row r="7813" ht="43.95" customHeight="1" x14ac:dyDescent="0.3"/>
    <row r="7814" ht="43.95" customHeight="1" x14ac:dyDescent="0.3"/>
    <row r="7815" ht="43.95" customHeight="1" x14ac:dyDescent="0.3"/>
    <row r="7816" ht="43.95" customHeight="1" x14ac:dyDescent="0.3"/>
    <row r="7817" ht="43.95" customHeight="1" x14ac:dyDescent="0.3"/>
    <row r="7818" ht="43.95" customHeight="1" x14ac:dyDescent="0.3"/>
    <row r="7819" ht="43.95" customHeight="1" x14ac:dyDescent="0.3"/>
    <row r="7820" ht="43.95" customHeight="1" x14ac:dyDescent="0.3"/>
    <row r="7821" ht="43.95" customHeight="1" x14ac:dyDescent="0.3"/>
    <row r="7822" ht="43.95" customHeight="1" x14ac:dyDescent="0.3"/>
    <row r="7823" ht="43.95" customHeight="1" x14ac:dyDescent="0.3"/>
    <row r="7824" ht="43.95" customHeight="1" x14ac:dyDescent="0.3"/>
    <row r="7825" ht="43.95" customHeight="1" x14ac:dyDescent="0.3"/>
    <row r="7826" ht="43.95" customHeight="1" x14ac:dyDescent="0.3"/>
    <row r="7827" ht="43.95" customHeight="1" x14ac:dyDescent="0.3"/>
    <row r="7828" ht="43.95" customHeight="1" x14ac:dyDescent="0.3"/>
    <row r="7829" ht="43.95" customHeight="1" x14ac:dyDescent="0.3"/>
    <row r="7830" ht="43.95" customHeight="1" x14ac:dyDescent="0.3"/>
    <row r="7831" ht="43.95" customHeight="1" x14ac:dyDescent="0.3"/>
    <row r="7832" ht="43.95" customHeight="1" x14ac:dyDescent="0.3"/>
    <row r="7833" ht="43.95" customHeight="1" x14ac:dyDescent="0.3"/>
    <row r="7834" ht="43.95" customHeight="1" x14ac:dyDescent="0.3"/>
    <row r="7835" ht="43.95" customHeight="1" x14ac:dyDescent="0.3"/>
    <row r="7836" ht="43.95" customHeight="1" x14ac:dyDescent="0.3"/>
    <row r="7837" ht="43.95" customHeight="1" x14ac:dyDescent="0.3"/>
    <row r="7838" ht="43.95" customHeight="1" x14ac:dyDescent="0.3"/>
    <row r="7839" ht="43.95" customHeight="1" x14ac:dyDescent="0.3"/>
    <row r="7840" ht="43.95" customHeight="1" x14ac:dyDescent="0.3"/>
    <row r="7841" ht="43.95" customHeight="1" x14ac:dyDescent="0.3"/>
    <row r="7842" ht="43.95" customHeight="1" x14ac:dyDescent="0.3"/>
    <row r="7843" ht="43.95" customHeight="1" x14ac:dyDescent="0.3"/>
    <row r="7844" ht="43.95" customHeight="1" x14ac:dyDescent="0.3"/>
    <row r="7845" ht="43.95" customHeight="1" x14ac:dyDescent="0.3"/>
    <row r="7846" ht="43.95" customHeight="1" x14ac:dyDescent="0.3"/>
    <row r="7847" ht="43.95" customHeight="1" x14ac:dyDescent="0.3"/>
    <row r="7848" ht="43.95" customHeight="1" x14ac:dyDescent="0.3"/>
    <row r="7849" ht="43.95" customHeight="1" x14ac:dyDescent="0.3"/>
    <row r="7850" ht="43.95" customHeight="1" x14ac:dyDescent="0.3"/>
    <row r="7851" ht="43.95" customHeight="1" x14ac:dyDescent="0.3"/>
    <row r="7852" ht="43.95" customHeight="1" x14ac:dyDescent="0.3"/>
    <row r="7853" ht="43.95" customHeight="1" x14ac:dyDescent="0.3"/>
    <row r="7854" ht="43.95" customHeight="1" x14ac:dyDescent="0.3"/>
    <row r="7855" ht="43.95" customHeight="1" x14ac:dyDescent="0.3"/>
    <row r="7856" ht="43.95" customHeight="1" x14ac:dyDescent="0.3"/>
    <row r="7857" ht="43.95" customHeight="1" x14ac:dyDescent="0.3"/>
    <row r="7858" ht="43.95" customHeight="1" x14ac:dyDescent="0.3"/>
    <row r="7859" ht="43.95" customHeight="1" x14ac:dyDescent="0.3"/>
    <row r="7860" ht="43.95" customHeight="1" x14ac:dyDescent="0.3"/>
    <row r="7861" ht="43.95" customHeight="1" x14ac:dyDescent="0.3"/>
    <row r="7862" ht="43.95" customHeight="1" x14ac:dyDescent="0.3"/>
    <row r="7863" ht="43.95" customHeight="1" x14ac:dyDescent="0.3"/>
    <row r="7864" ht="43.95" customHeight="1" x14ac:dyDescent="0.3"/>
    <row r="7865" ht="43.95" customHeight="1" x14ac:dyDescent="0.3"/>
    <row r="7866" ht="43.95" customHeight="1" x14ac:dyDescent="0.3"/>
    <row r="7867" ht="43.95" customHeight="1" x14ac:dyDescent="0.3"/>
    <row r="7868" ht="43.95" customHeight="1" x14ac:dyDescent="0.3"/>
    <row r="7869" ht="43.95" customHeight="1" x14ac:dyDescent="0.3"/>
    <row r="7870" ht="43.95" customHeight="1" x14ac:dyDescent="0.3"/>
    <row r="7871" ht="43.95" customHeight="1" x14ac:dyDescent="0.3"/>
    <row r="7872" ht="43.95" customHeight="1" x14ac:dyDescent="0.3"/>
    <row r="7873" ht="43.95" customHeight="1" x14ac:dyDescent="0.3"/>
    <row r="7874" ht="43.95" customHeight="1" x14ac:dyDescent="0.3"/>
    <row r="7875" ht="43.95" customHeight="1" x14ac:dyDescent="0.3"/>
    <row r="7876" ht="43.95" customHeight="1" x14ac:dyDescent="0.3"/>
    <row r="7877" ht="43.95" customHeight="1" x14ac:dyDescent="0.3"/>
    <row r="7878" ht="43.95" customHeight="1" x14ac:dyDescent="0.3"/>
    <row r="7879" ht="43.95" customHeight="1" x14ac:dyDescent="0.3"/>
    <row r="7880" ht="43.95" customHeight="1" x14ac:dyDescent="0.3"/>
    <row r="7881" ht="43.95" customHeight="1" x14ac:dyDescent="0.3"/>
    <row r="7882" ht="43.95" customHeight="1" x14ac:dyDescent="0.3"/>
    <row r="7883" ht="43.95" customHeight="1" x14ac:dyDescent="0.3"/>
    <row r="7884" ht="43.95" customHeight="1" x14ac:dyDescent="0.3"/>
    <row r="7885" ht="43.95" customHeight="1" x14ac:dyDescent="0.3"/>
    <row r="7886" ht="43.95" customHeight="1" x14ac:dyDescent="0.3"/>
    <row r="7887" ht="43.95" customHeight="1" x14ac:dyDescent="0.3"/>
    <row r="7888" ht="43.95" customHeight="1" x14ac:dyDescent="0.3"/>
    <row r="7889" ht="43.95" customHeight="1" x14ac:dyDescent="0.3"/>
    <row r="7890" ht="43.95" customHeight="1" x14ac:dyDescent="0.3"/>
    <row r="7891" ht="43.95" customHeight="1" x14ac:dyDescent="0.3"/>
    <row r="7892" ht="43.95" customHeight="1" x14ac:dyDescent="0.3"/>
    <row r="7893" ht="43.95" customHeight="1" x14ac:dyDescent="0.3"/>
    <row r="7894" ht="43.95" customHeight="1" x14ac:dyDescent="0.3"/>
    <row r="7895" ht="43.95" customHeight="1" x14ac:dyDescent="0.3"/>
  </sheetData>
  <mergeCells count="3">
    <mergeCell ref="A3:J3"/>
    <mergeCell ref="L3:W3"/>
    <mergeCell ref="Z3:AG3"/>
  </mergeCells>
  <phoneticPr fontId="209" type="noConversion"/>
  <conditionalFormatting sqref="J6">
    <cfRule type="cellIs" dxfId="115" priority="209" operator="lessThan">
      <formula>100</formula>
    </cfRule>
  </conditionalFormatting>
  <conditionalFormatting sqref="J6:J1300">
    <cfRule type="iconSet" priority="478">
      <iconSet>
        <cfvo type="percent" val="0"/>
        <cfvo type="percent" val="33"/>
        <cfvo type="percent" val="67"/>
      </iconSet>
    </cfRule>
    <cfRule type="cellIs" dxfId="114" priority="479" operator="lessThan">
      <formula>5</formula>
    </cfRule>
  </conditionalFormatting>
  <conditionalFormatting sqref="J8">
    <cfRule type="cellIs" dxfId="113" priority="183" operator="greaterThan">
      <formula>5</formula>
    </cfRule>
    <cfRule type="cellIs" dxfId="112" priority="184" operator="lessThan">
      <formula>4</formula>
    </cfRule>
  </conditionalFormatting>
  <conditionalFormatting sqref="J9">
    <cfRule type="iconSet" priority="206">
      <iconSet>
        <cfvo type="percent" val="0"/>
        <cfvo type="percent" val="33"/>
        <cfvo type="percent" val="67"/>
      </iconSet>
    </cfRule>
    <cfRule type="cellIs" dxfId="111" priority="207" operator="greaterThan">
      <formula>101</formula>
    </cfRule>
    <cfRule type="cellIs" dxfId="110" priority="208" operator="lessThan">
      <formula>100</formula>
    </cfRule>
  </conditionalFormatting>
  <conditionalFormatting sqref="J14">
    <cfRule type="cellIs" dxfId="109" priority="177" operator="lessThan">
      <formula>4</formula>
    </cfRule>
  </conditionalFormatting>
  <conditionalFormatting sqref="J52">
    <cfRule type="iconSet" priority="200">
      <iconSet>
        <cfvo type="percent" val="0"/>
        <cfvo type="percent" val="33"/>
        <cfvo type="percent" val="67"/>
      </iconSet>
    </cfRule>
    <cfRule type="cellIs" dxfId="108" priority="201" operator="greaterThan">
      <formula>51</formula>
    </cfRule>
    <cfRule type="cellIs" dxfId="107" priority="202" operator="lessThan">
      <formula>49</formula>
    </cfRule>
    <cfRule type="cellIs" dxfId="106" priority="203" operator="lessThan">
      <formula>49</formula>
    </cfRule>
    <cfRule type="cellIs" dxfId="105" priority="204" operator="greaterThan">
      <formula>49</formula>
    </cfRule>
    <cfRule type="cellIs" dxfId="104" priority="205" operator="lessThan">
      <formula>50</formula>
    </cfRule>
  </conditionalFormatting>
  <conditionalFormatting sqref="J57">
    <cfRule type="iconSet" priority="197">
      <iconSet>
        <cfvo type="percent" val="0"/>
        <cfvo type="percent" val="33"/>
        <cfvo type="percent" val="67"/>
      </iconSet>
    </cfRule>
    <cfRule type="cellIs" dxfId="103" priority="198" operator="greaterThan">
      <formula>21</formula>
    </cfRule>
    <cfRule type="cellIs" dxfId="102" priority="199" operator="lessThan">
      <formula>20</formula>
    </cfRule>
  </conditionalFormatting>
  <conditionalFormatting sqref="J88">
    <cfRule type="iconSet" priority="194">
      <iconSet>
        <cfvo type="percent" val="0"/>
        <cfvo type="percent" val="33"/>
        <cfvo type="percent" val="67"/>
      </iconSet>
    </cfRule>
    <cfRule type="cellIs" dxfId="101" priority="195" operator="greaterThan">
      <formula>21</formula>
    </cfRule>
    <cfRule type="cellIs" dxfId="100" priority="196" operator="lessThan">
      <formula>20</formula>
    </cfRule>
  </conditionalFormatting>
  <conditionalFormatting sqref="J93">
    <cfRule type="iconSet" priority="175">
      <iconSet>
        <cfvo type="percent" val="0"/>
        <cfvo type="percent" val="33"/>
        <cfvo type="percent" val="67"/>
      </iconSet>
    </cfRule>
    <cfRule type="cellIs" dxfId="99" priority="176" operator="greaterThan">
      <formula>5</formula>
    </cfRule>
  </conditionalFormatting>
  <conditionalFormatting sqref="J110">
    <cfRule type="iconSet" priority="171">
      <iconSet>
        <cfvo type="percent" val="0"/>
        <cfvo type="percent" val="33"/>
        <cfvo type="percent" val="67"/>
      </iconSet>
    </cfRule>
    <cfRule type="cellIs" dxfId="98" priority="172" operator="greaterThan">
      <formula>0</formula>
    </cfRule>
  </conditionalFormatting>
  <conditionalFormatting sqref="J112">
    <cfRule type="iconSet" priority="173">
      <iconSet>
        <cfvo type="percent" val="0"/>
        <cfvo type="percent" val="33"/>
        <cfvo type="percent" val="67"/>
      </iconSet>
    </cfRule>
    <cfRule type="cellIs" dxfId="97" priority="174" operator="greaterThan">
      <formula>0</formula>
    </cfRule>
  </conditionalFormatting>
  <conditionalFormatting sqref="J163">
    <cfRule type="iconSet" priority="169">
      <iconSet>
        <cfvo type="percent" val="0"/>
        <cfvo type="percent" val="33"/>
        <cfvo type="percent" val="67"/>
      </iconSet>
    </cfRule>
    <cfRule type="cellIs" dxfId="96" priority="170" operator="greaterThan">
      <formula>0</formula>
    </cfRule>
  </conditionalFormatting>
  <conditionalFormatting sqref="J166">
    <cfRule type="iconSet" priority="191">
      <iconSet>
        <cfvo type="percent" val="0"/>
        <cfvo type="percent" val="33"/>
        <cfvo type="percent" val="67"/>
      </iconSet>
    </cfRule>
    <cfRule type="cellIs" dxfId="95" priority="192" operator="greaterThan">
      <formula>21</formula>
    </cfRule>
    <cfRule type="cellIs" dxfId="94" priority="193" operator="lessThan">
      <formula>20</formula>
    </cfRule>
  </conditionalFormatting>
  <conditionalFormatting sqref="J167">
    <cfRule type="iconSet" priority="188">
      <iconSet>
        <cfvo type="percent" val="0"/>
        <cfvo type="percent" val="33"/>
        <cfvo type="percent" val="67"/>
      </iconSet>
    </cfRule>
    <cfRule type="cellIs" dxfId="93" priority="189" operator="greaterThan">
      <formula>6</formula>
    </cfRule>
    <cfRule type="cellIs" dxfId="92" priority="190" operator="lessThan">
      <formula>5</formula>
    </cfRule>
  </conditionalFormatting>
  <conditionalFormatting sqref="J182">
    <cfRule type="cellIs" dxfId="91" priority="166" operator="greaterThan">
      <formula>-1</formula>
    </cfRule>
    <cfRule type="iconSet" priority="167">
      <iconSet>
        <cfvo type="percent" val="0"/>
        <cfvo type="percent" val="33"/>
        <cfvo type="percent" val="67"/>
      </iconSet>
    </cfRule>
    <cfRule type="cellIs" dxfId="90" priority="168" operator="greaterThan">
      <formula>0</formula>
    </cfRule>
  </conditionalFormatting>
  <conditionalFormatting sqref="J197">
    <cfRule type="iconSet" priority="185">
      <iconSet>
        <cfvo type="percent" val="0"/>
        <cfvo type="percent" val="33"/>
        <cfvo type="percent" val="67"/>
      </iconSet>
    </cfRule>
    <cfRule type="cellIs" dxfId="89" priority="186" operator="greaterThan">
      <formula>6</formula>
    </cfRule>
    <cfRule type="cellIs" dxfId="88" priority="187" operator="lessThan">
      <formula>5</formula>
    </cfRule>
  </conditionalFormatting>
  <conditionalFormatting sqref="J211">
    <cfRule type="iconSet" priority="164">
      <iconSet>
        <cfvo type="percent" val="0"/>
        <cfvo type="percent" val="33"/>
        <cfvo type="percent" val="67"/>
      </iconSet>
    </cfRule>
    <cfRule type="cellIs" dxfId="87" priority="165" operator="greaterThan">
      <formula>5</formula>
    </cfRule>
  </conditionalFormatting>
  <conditionalFormatting sqref="J253">
    <cfRule type="iconSet" priority="162">
      <iconSet>
        <cfvo type="percent" val="0"/>
        <cfvo type="percent" val="33"/>
        <cfvo type="percent" val="67"/>
      </iconSet>
    </cfRule>
    <cfRule type="cellIs" dxfId="86" priority="163" operator="greaterThan">
      <formula>42</formula>
    </cfRule>
  </conditionalFormatting>
  <conditionalFormatting sqref="J270">
    <cfRule type="cellIs" dxfId="85" priority="160" operator="lessThan">
      <formula>19</formula>
    </cfRule>
    <cfRule type="cellIs" dxfId="84" priority="161" operator="greaterThan">
      <formula>20</formula>
    </cfRule>
  </conditionalFormatting>
  <conditionalFormatting sqref="J287">
    <cfRule type="iconSet" priority="158">
      <iconSet>
        <cfvo type="percent" val="0"/>
        <cfvo type="percent" val="33"/>
        <cfvo type="percent" val="67"/>
      </iconSet>
    </cfRule>
    <cfRule type="cellIs" dxfId="83" priority="159" operator="greaterThan">
      <formula>3</formula>
    </cfRule>
  </conditionalFormatting>
  <conditionalFormatting sqref="J300">
    <cfRule type="cellIs" dxfId="82" priority="157" operator="greaterThan">
      <formula>4</formula>
    </cfRule>
  </conditionalFormatting>
  <conditionalFormatting sqref="J310">
    <cfRule type="iconSet" priority="154">
      <iconSet>
        <cfvo type="percent" val="0"/>
        <cfvo type="percent" val="33"/>
        <cfvo type="percent" val="67"/>
      </iconSet>
    </cfRule>
    <cfRule type="cellIs" dxfId="81" priority="155" operator="lessThan">
      <formula>3</formula>
    </cfRule>
    <cfRule type="cellIs" dxfId="80" priority="156" operator="greaterThan">
      <formula>5</formula>
    </cfRule>
  </conditionalFormatting>
  <conditionalFormatting sqref="J333">
    <cfRule type="iconSet" priority="152">
      <iconSet>
        <cfvo type="percent" val="0"/>
        <cfvo type="percent" val="33"/>
        <cfvo type="percent" val="67"/>
      </iconSet>
    </cfRule>
    <cfRule type="cellIs" dxfId="79" priority="153" operator="greaterThan">
      <formula>5</formula>
    </cfRule>
  </conditionalFormatting>
  <conditionalFormatting sqref="J335">
    <cfRule type="iconSet" priority="150">
      <iconSet iconSet="4RedToBlack">
        <cfvo type="percent" val="0"/>
        <cfvo type="percent" val="25"/>
        <cfvo type="percent" val="50"/>
        <cfvo type="percent" val="75"/>
      </iconSet>
    </cfRule>
    <cfRule type="cellIs" dxfId="78" priority="151" operator="greaterThan">
      <formula>2</formula>
    </cfRule>
  </conditionalFormatting>
  <conditionalFormatting sqref="J359">
    <cfRule type="cellIs" dxfId="77" priority="148" operator="greaterThan">
      <formula>3</formula>
    </cfRule>
  </conditionalFormatting>
  <conditionalFormatting sqref="J360">
    <cfRule type="cellIs" dxfId="76" priority="149" operator="greaterThan">
      <formula>5</formula>
    </cfRule>
  </conditionalFormatting>
  <conditionalFormatting sqref="J363">
    <cfRule type="iconSet" priority="146">
      <iconSet>
        <cfvo type="percent" val="0"/>
        <cfvo type="percent" val="33"/>
        <cfvo type="percent" val="67"/>
      </iconSet>
    </cfRule>
    <cfRule type="cellIs" dxfId="75" priority="147" operator="greaterThan">
      <formula>12</formula>
    </cfRule>
  </conditionalFormatting>
  <conditionalFormatting sqref="J364">
    <cfRule type="cellIs" dxfId="74" priority="145" operator="greaterThan">
      <formula>5</formula>
    </cfRule>
  </conditionalFormatting>
  <conditionalFormatting sqref="J365">
    <cfRule type="iconSet" priority="144">
      <iconSet>
        <cfvo type="percent" val="0"/>
        <cfvo type="percent" val="33"/>
        <cfvo type="percent" val="67"/>
      </iconSet>
    </cfRule>
  </conditionalFormatting>
  <conditionalFormatting sqref="J365:J366">
    <cfRule type="cellIs" dxfId="73" priority="143" operator="greaterThan">
      <formula>3</formula>
    </cfRule>
  </conditionalFormatting>
  <conditionalFormatting sqref="J366">
    <cfRule type="iconSet" priority="142">
      <iconSet>
        <cfvo type="percent" val="0"/>
        <cfvo type="percent" val="33"/>
        <cfvo type="percent" val="67"/>
      </iconSet>
    </cfRule>
  </conditionalFormatting>
  <conditionalFormatting sqref="J375">
    <cfRule type="iconSet" priority="140">
      <iconSet>
        <cfvo type="percent" val="0"/>
        <cfvo type="percent" val="33"/>
        <cfvo type="percent" val="67"/>
      </iconSet>
    </cfRule>
    <cfRule type="cellIs" dxfId="72" priority="141" operator="greaterThan">
      <formula>50</formula>
    </cfRule>
  </conditionalFormatting>
  <conditionalFormatting sqref="J379">
    <cfRule type="cellIs" dxfId="71" priority="139" operator="greaterThan">
      <formula>5</formula>
    </cfRule>
  </conditionalFormatting>
  <conditionalFormatting sqref="J396">
    <cfRule type="iconSet" priority="135">
      <iconSet>
        <cfvo type="percent" val="0"/>
        <cfvo type="percent" val="33"/>
        <cfvo type="percent" val="67"/>
      </iconSet>
    </cfRule>
    <cfRule type="cellIs" dxfId="70" priority="138" operator="greaterThan">
      <formula>10</formula>
    </cfRule>
  </conditionalFormatting>
  <conditionalFormatting sqref="J399">
    <cfRule type="iconSet" priority="136">
      <iconSet>
        <cfvo type="percent" val="0"/>
        <cfvo type="percent" val="33"/>
        <cfvo type="percent" val="67"/>
      </iconSet>
    </cfRule>
    <cfRule type="cellIs" dxfId="69" priority="137" operator="greaterThan">
      <formula>5</formula>
    </cfRule>
  </conditionalFormatting>
  <conditionalFormatting sqref="J401">
    <cfRule type="iconSet" priority="133">
      <iconSet>
        <cfvo type="percent" val="0"/>
        <cfvo type="percent" val="33"/>
        <cfvo type="percent" val="67"/>
      </iconSet>
    </cfRule>
    <cfRule type="cellIs" dxfId="68" priority="134" operator="greaterThan">
      <formula>10</formula>
    </cfRule>
  </conditionalFormatting>
  <conditionalFormatting sqref="J405">
    <cfRule type="iconSet" priority="131">
      <iconSet>
        <cfvo type="percent" val="0"/>
        <cfvo type="percent" val="33"/>
        <cfvo type="percent" val="67"/>
      </iconSet>
    </cfRule>
    <cfRule type="cellIs" dxfId="67" priority="132" operator="greaterThan">
      <formula>1</formula>
    </cfRule>
  </conditionalFormatting>
  <conditionalFormatting sqref="J407">
    <cfRule type="cellIs" dxfId="66" priority="130" operator="greaterThan">
      <formula>1</formula>
    </cfRule>
  </conditionalFormatting>
  <conditionalFormatting sqref="J409:J410">
    <cfRule type="cellIs" dxfId="65" priority="129" operator="greaterThan">
      <formula>0</formula>
    </cfRule>
  </conditionalFormatting>
  <conditionalFormatting sqref="J414">
    <cfRule type="iconSet" priority="127">
      <iconSet>
        <cfvo type="percent" val="0"/>
        <cfvo type="percent" val="33"/>
        <cfvo type="percent" val="67"/>
      </iconSet>
    </cfRule>
    <cfRule type="cellIs" dxfId="64" priority="128" operator="greaterThan">
      <formula>2</formula>
    </cfRule>
  </conditionalFormatting>
  <conditionalFormatting sqref="J422">
    <cfRule type="cellIs" dxfId="63" priority="126" operator="greaterThan">
      <formula>1</formula>
    </cfRule>
  </conditionalFormatting>
  <conditionalFormatting sqref="J424">
    <cfRule type="iconSet" priority="124">
      <iconSet>
        <cfvo type="percent" val="0"/>
        <cfvo type="percent" val="33"/>
        <cfvo type="percent" val="67"/>
      </iconSet>
    </cfRule>
    <cfRule type="cellIs" dxfId="62" priority="125" operator="greaterThan">
      <formula>2</formula>
    </cfRule>
  </conditionalFormatting>
  <conditionalFormatting sqref="J431">
    <cfRule type="iconSet" priority="122">
      <iconSet>
        <cfvo type="percent" val="0"/>
        <cfvo type="percent" val="33"/>
        <cfvo type="percent" val="67"/>
      </iconSet>
    </cfRule>
    <cfRule type="cellIs" dxfId="61" priority="123" operator="greaterThan">
      <formula>5</formula>
    </cfRule>
  </conditionalFormatting>
  <conditionalFormatting sqref="J437">
    <cfRule type="iconSet" priority="120">
      <iconSet>
        <cfvo type="percent" val="0"/>
        <cfvo type="percent" val="33"/>
        <cfvo type="percent" val="67"/>
      </iconSet>
    </cfRule>
    <cfRule type="cellIs" dxfId="60" priority="121" operator="greaterThan">
      <formula>10</formula>
    </cfRule>
  </conditionalFormatting>
  <conditionalFormatting sqref="J444">
    <cfRule type="iconSet" priority="118">
      <iconSet>
        <cfvo type="percent" val="0"/>
        <cfvo type="percent" val="33"/>
        <cfvo type="percent" val="67"/>
      </iconSet>
    </cfRule>
    <cfRule type="cellIs" dxfId="59" priority="119" operator="greaterThan">
      <formula>5</formula>
    </cfRule>
  </conditionalFormatting>
  <conditionalFormatting sqref="J452">
    <cfRule type="iconSet" priority="117">
      <iconSet>
        <cfvo type="percent" val="0"/>
        <cfvo type="percent" val="33"/>
        <cfvo type="percent" val="67"/>
      </iconSet>
    </cfRule>
  </conditionalFormatting>
  <conditionalFormatting sqref="J452:J453">
    <cfRule type="cellIs" dxfId="58" priority="116" operator="greaterThan">
      <formula>0</formula>
    </cfRule>
  </conditionalFormatting>
  <conditionalFormatting sqref="J453">
    <cfRule type="iconSet" priority="115">
      <iconSet>
        <cfvo type="percent" val="0"/>
        <cfvo type="percent" val="33"/>
        <cfvo type="percent" val="67"/>
      </iconSet>
    </cfRule>
  </conditionalFormatting>
  <conditionalFormatting sqref="J456">
    <cfRule type="iconSet" priority="113">
      <iconSet>
        <cfvo type="percent" val="0"/>
        <cfvo type="percent" val="33"/>
        <cfvo type="percent" val="67"/>
      </iconSet>
    </cfRule>
    <cfRule type="cellIs" dxfId="57" priority="114" operator="greaterThan">
      <formula>0</formula>
    </cfRule>
  </conditionalFormatting>
  <conditionalFormatting sqref="J463">
    <cfRule type="iconSet" priority="111">
      <iconSet>
        <cfvo type="percent" val="0"/>
        <cfvo type="percent" val="33"/>
        <cfvo type="percent" val="67"/>
      </iconSet>
    </cfRule>
    <cfRule type="cellIs" dxfId="56" priority="112" operator="greaterThan">
      <formula>0</formula>
    </cfRule>
  </conditionalFormatting>
  <conditionalFormatting sqref="J465">
    <cfRule type="iconSet" priority="109">
      <iconSet>
        <cfvo type="percent" val="0"/>
        <cfvo type="percent" val="33"/>
        <cfvo type="percent" val="67"/>
      </iconSet>
    </cfRule>
    <cfRule type="cellIs" dxfId="55" priority="110" operator="greaterThan">
      <formula>2</formula>
    </cfRule>
  </conditionalFormatting>
  <conditionalFormatting sqref="J480">
    <cfRule type="cellIs" dxfId="54" priority="108" operator="greaterThan">
      <formula>5</formula>
    </cfRule>
  </conditionalFormatting>
  <conditionalFormatting sqref="J485">
    <cfRule type="iconSet" priority="106">
      <iconSet>
        <cfvo type="percent" val="0"/>
        <cfvo type="percent" val="33"/>
        <cfvo type="percent" val="67"/>
      </iconSet>
    </cfRule>
    <cfRule type="cellIs" dxfId="53" priority="107" operator="greaterThan">
      <formula>10</formula>
    </cfRule>
  </conditionalFormatting>
  <conditionalFormatting sqref="J485:J486">
    <cfRule type="cellIs" dxfId="52" priority="104" operator="greaterThan">
      <formula>5</formula>
    </cfRule>
  </conditionalFormatting>
  <conditionalFormatting sqref="J486">
    <cfRule type="iconSet" priority="105">
      <iconSet>
        <cfvo type="percent" val="0"/>
        <cfvo type="percent" val="33"/>
        <cfvo type="percent" val="67"/>
      </iconSet>
    </cfRule>
  </conditionalFormatting>
  <conditionalFormatting sqref="J491">
    <cfRule type="iconSet" priority="103">
      <iconSet>
        <cfvo type="percent" val="0"/>
        <cfvo type="percent" val="33"/>
        <cfvo type="percent" val="67"/>
      </iconSet>
    </cfRule>
  </conditionalFormatting>
  <conditionalFormatting sqref="J491:J492">
    <cfRule type="cellIs" dxfId="51" priority="102" operator="greaterThan">
      <formula>5</formula>
    </cfRule>
  </conditionalFormatting>
  <conditionalFormatting sqref="J492">
    <cfRule type="iconSet" priority="101">
      <iconSet>
        <cfvo type="percent" val="0"/>
        <cfvo type="percent" val="33"/>
        <cfvo type="percent" val="67"/>
      </iconSet>
    </cfRule>
  </conditionalFormatting>
  <conditionalFormatting sqref="J501">
    <cfRule type="iconSet" priority="99">
      <iconSet>
        <cfvo type="percent" val="0"/>
        <cfvo type="percent" val="33"/>
        <cfvo type="percent" val="67"/>
      </iconSet>
    </cfRule>
    <cfRule type="cellIs" dxfId="50" priority="100" operator="greaterThan">
      <formula>5</formula>
    </cfRule>
  </conditionalFormatting>
  <conditionalFormatting sqref="J503">
    <cfRule type="iconSet" priority="97">
      <iconSet>
        <cfvo type="percent" val="0"/>
        <cfvo type="percent" val="33"/>
        <cfvo type="percent" val="67"/>
      </iconSet>
    </cfRule>
    <cfRule type="cellIs" dxfId="49" priority="98" operator="greaterThan">
      <formula>0</formula>
    </cfRule>
  </conditionalFormatting>
  <conditionalFormatting sqref="J505:J506">
    <cfRule type="iconSet" priority="95">
      <iconSet>
        <cfvo type="percent" val="0"/>
        <cfvo type="percent" val="33"/>
        <cfvo type="percent" val="67"/>
      </iconSet>
    </cfRule>
    <cfRule type="cellIs" dxfId="48" priority="96" operator="greaterThan">
      <formula>0</formula>
    </cfRule>
  </conditionalFormatting>
  <conditionalFormatting sqref="J511">
    <cfRule type="iconSet" priority="93">
      <iconSet>
        <cfvo type="percent" val="0"/>
        <cfvo type="percent" val="33"/>
        <cfvo type="percent" val="67"/>
      </iconSet>
    </cfRule>
    <cfRule type="cellIs" dxfId="47" priority="94" operator="greaterThan">
      <formula>0</formula>
    </cfRule>
  </conditionalFormatting>
  <conditionalFormatting sqref="J513">
    <cfRule type="iconSet" priority="91">
      <iconSet>
        <cfvo type="percent" val="0"/>
        <cfvo type="percent" val="33"/>
        <cfvo type="percent" val="67"/>
      </iconSet>
    </cfRule>
    <cfRule type="cellIs" dxfId="46" priority="92" operator="greaterThan">
      <formula>0</formula>
    </cfRule>
  </conditionalFormatting>
  <conditionalFormatting sqref="J515">
    <cfRule type="iconSet" priority="90">
      <iconSet>
        <cfvo type="percent" val="0"/>
        <cfvo type="percent" val="33"/>
        <cfvo type="percent" val="67"/>
      </iconSet>
    </cfRule>
  </conditionalFormatting>
  <conditionalFormatting sqref="J515:J516">
    <cfRule type="cellIs" dxfId="45" priority="87" operator="greaterThan">
      <formula>0</formula>
    </cfRule>
  </conditionalFormatting>
  <conditionalFormatting sqref="J516">
    <cfRule type="iconSet" priority="88">
      <iconSet>
        <cfvo type="percent" val="0"/>
        <cfvo type="percent" val="33"/>
        <cfvo type="percent" val="67"/>
      </iconSet>
    </cfRule>
    <cfRule type="cellIs" dxfId="44" priority="89" operator="greaterThan">
      <formula>" "</formula>
    </cfRule>
  </conditionalFormatting>
  <conditionalFormatting sqref="J517">
    <cfRule type="iconSet" priority="85">
      <iconSet>
        <cfvo type="percent" val="0"/>
        <cfvo type="percent" val="33"/>
        <cfvo type="percent" val="67"/>
      </iconSet>
    </cfRule>
    <cfRule type="cellIs" dxfId="43" priority="86" operator="greaterThan">
      <formula>5</formula>
    </cfRule>
  </conditionalFormatting>
  <conditionalFormatting sqref="J526">
    <cfRule type="iconSet" priority="84">
      <iconSet>
        <cfvo type="percent" val="0"/>
        <cfvo type="percent" val="33"/>
        <cfvo type="percent" val="67"/>
      </iconSet>
    </cfRule>
  </conditionalFormatting>
  <conditionalFormatting sqref="J526:J528">
    <cfRule type="cellIs" dxfId="42" priority="82" operator="greaterThan">
      <formula>0</formula>
    </cfRule>
  </conditionalFormatting>
  <conditionalFormatting sqref="J527">
    <cfRule type="iconSet" priority="83">
      <iconSet>
        <cfvo type="percent" val="0"/>
        <cfvo type="percent" val="33"/>
        <cfvo type="percent" val="67"/>
      </iconSet>
    </cfRule>
  </conditionalFormatting>
  <conditionalFormatting sqref="J528">
    <cfRule type="iconSet" priority="81">
      <iconSet>
        <cfvo type="percent" val="0"/>
        <cfvo type="percent" val="33"/>
        <cfvo type="percent" val="67"/>
      </iconSet>
    </cfRule>
  </conditionalFormatting>
  <conditionalFormatting sqref="J532">
    <cfRule type="iconSet" priority="79">
      <iconSet>
        <cfvo type="percent" val="0"/>
        <cfvo type="percent" val="33"/>
        <cfvo type="percent" val="67"/>
      </iconSet>
    </cfRule>
    <cfRule type="cellIs" dxfId="41" priority="80" operator="greaterThan">
      <formula>0</formula>
    </cfRule>
  </conditionalFormatting>
  <conditionalFormatting sqref="J537">
    <cfRule type="iconSet" priority="77">
      <iconSet>
        <cfvo type="percent" val="0"/>
        <cfvo type="percent" val="33"/>
        <cfvo type="percent" val="67"/>
      </iconSet>
    </cfRule>
    <cfRule type="cellIs" dxfId="40" priority="78" operator="greaterThan">
      <formula>5</formula>
    </cfRule>
  </conditionalFormatting>
  <conditionalFormatting sqref="J547">
    <cfRule type="iconSet" priority="76">
      <iconSet>
        <cfvo type="percent" val="0"/>
        <cfvo type="percent" val="33"/>
        <cfvo type="percent" val="67"/>
      </iconSet>
    </cfRule>
  </conditionalFormatting>
  <conditionalFormatting sqref="J547:J548">
    <cfRule type="cellIs" dxfId="39" priority="75" operator="greaterThan">
      <formula>5</formula>
    </cfRule>
  </conditionalFormatting>
  <conditionalFormatting sqref="J548">
    <cfRule type="iconSet" priority="74">
      <iconSet>
        <cfvo type="percent" val="0"/>
        <cfvo type="percent" val="33"/>
        <cfvo type="percent" val="67"/>
      </iconSet>
    </cfRule>
  </conditionalFormatting>
  <conditionalFormatting sqref="J558">
    <cfRule type="iconSet" priority="72">
      <iconSet>
        <cfvo type="percent" val="0"/>
        <cfvo type="percent" val="33"/>
        <cfvo type="percent" val="67"/>
      </iconSet>
    </cfRule>
    <cfRule type="cellIs" dxfId="38" priority="73" operator="greaterThan">
      <formula>3</formula>
    </cfRule>
  </conditionalFormatting>
  <conditionalFormatting sqref="J570">
    <cfRule type="iconSet" priority="70">
      <iconSet>
        <cfvo type="percent" val="0"/>
        <cfvo type="percent" val="33"/>
        <cfvo type="percent" val="67"/>
      </iconSet>
    </cfRule>
    <cfRule type="cellIs" dxfId="37" priority="71" operator="greaterThan">
      <formula>5</formula>
    </cfRule>
  </conditionalFormatting>
  <conditionalFormatting sqref="J578">
    <cfRule type="iconSet" priority="68">
      <iconSet>
        <cfvo type="percent" val="0"/>
        <cfvo type="percent" val="33"/>
        <cfvo type="percent" val="67"/>
      </iconSet>
    </cfRule>
    <cfRule type="cellIs" dxfId="36" priority="69" operator="greaterThan">
      <formula>0</formula>
    </cfRule>
  </conditionalFormatting>
  <conditionalFormatting sqref="J588">
    <cfRule type="iconSet" priority="67">
      <iconSet>
        <cfvo type="percent" val="0"/>
        <cfvo type="percent" val="33"/>
        <cfvo type="percent" val="67"/>
      </iconSet>
    </cfRule>
  </conditionalFormatting>
  <conditionalFormatting sqref="J588:J590">
    <cfRule type="cellIs" dxfId="35" priority="65" operator="greaterThan">
      <formula>0</formula>
    </cfRule>
  </conditionalFormatting>
  <conditionalFormatting sqref="J589">
    <cfRule type="iconSet" priority="66">
      <iconSet>
        <cfvo type="percent" val="0"/>
        <cfvo type="percent" val="33"/>
        <cfvo type="percent" val="67"/>
      </iconSet>
    </cfRule>
  </conditionalFormatting>
  <conditionalFormatting sqref="J590">
    <cfRule type="iconSet" priority="64">
      <iconSet>
        <cfvo type="percent" val="0"/>
        <cfvo type="percent" val="33"/>
        <cfvo type="percent" val="67"/>
      </iconSet>
    </cfRule>
  </conditionalFormatting>
  <conditionalFormatting sqref="J600">
    <cfRule type="iconSet" priority="62">
      <iconSet>
        <cfvo type="percent" val="0"/>
        <cfvo type="percent" val="33"/>
        <cfvo type="percent" val="67"/>
      </iconSet>
    </cfRule>
    <cfRule type="cellIs" dxfId="34" priority="63" operator="greaterThan">
      <formula>0</formula>
    </cfRule>
  </conditionalFormatting>
  <conditionalFormatting sqref="J605">
    <cfRule type="iconSet" priority="60">
      <iconSet>
        <cfvo type="percent" val="0"/>
        <cfvo type="percent" val="33"/>
        <cfvo type="percent" val="67"/>
      </iconSet>
    </cfRule>
    <cfRule type="cellIs" dxfId="33" priority="61" operator="greaterThan">
      <formula>0</formula>
    </cfRule>
  </conditionalFormatting>
  <conditionalFormatting sqref="J607">
    <cfRule type="iconSet" priority="58">
      <iconSet>
        <cfvo type="percent" val="0"/>
        <cfvo type="percent" val="33"/>
        <cfvo type="percent" val="67"/>
      </iconSet>
    </cfRule>
    <cfRule type="cellIs" dxfId="32" priority="59" operator="greaterThan">
      <formula>0</formula>
    </cfRule>
  </conditionalFormatting>
  <conditionalFormatting sqref="J609">
    <cfRule type="iconSet" priority="56">
      <iconSet>
        <cfvo type="percent" val="0"/>
        <cfvo type="percent" val="33"/>
        <cfvo type="percent" val="67"/>
      </iconSet>
    </cfRule>
    <cfRule type="cellIs" dxfId="31" priority="57" operator="greaterThan">
      <formula>20</formula>
    </cfRule>
  </conditionalFormatting>
  <conditionalFormatting sqref="J610">
    <cfRule type="iconSet" priority="54">
      <iconSet>
        <cfvo type="percent" val="0"/>
        <cfvo type="percent" val="33"/>
        <cfvo type="percent" val="67"/>
      </iconSet>
    </cfRule>
    <cfRule type="cellIs" dxfId="30" priority="55" operator="greaterThan">
      <formula>1</formula>
    </cfRule>
  </conditionalFormatting>
  <conditionalFormatting sqref="J617">
    <cfRule type="iconSet" priority="52">
      <iconSet>
        <cfvo type="percent" val="0"/>
        <cfvo type="percent" val="33"/>
        <cfvo type="percent" val="67"/>
      </iconSet>
    </cfRule>
    <cfRule type="cellIs" dxfId="29" priority="53" operator="greaterThan">
      <formula>1</formula>
    </cfRule>
  </conditionalFormatting>
  <conditionalFormatting sqref="J620">
    <cfRule type="iconSet" priority="50">
      <iconSet>
        <cfvo type="percent" val="0"/>
        <cfvo type="percent" val="33"/>
        <cfvo type="percent" val="67"/>
      </iconSet>
    </cfRule>
    <cfRule type="cellIs" dxfId="28" priority="51" operator="greaterThan">
      <formula>0</formula>
    </cfRule>
  </conditionalFormatting>
  <conditionalFormatting sqref="J623">
    <cfRule type="iconSet" priority="49">
      <iconSet>
        <cfvo type="percent" val="0"/>
        <cfvo type="percent" val="33"/>
        <cfvo type="percent" val="67"/>
      </iconSet>
    </cfRule>
  </conditionalFormatting>
  <conditionalFormatting sqref="J623:J624">
    <cfRule type="cellIs" dxfId="27" priority="48" operator="greaterThan">
      <formula>1</formula>
    </cfRule>
  </conditionalFormatting>
  <conditionalFormatting sqref="J624">
    <cfRule type="iconSet" priority="47">
      <iconSet>
        <cfvo type="percent" val="0"/>
        <cfvo type="percent" val="33"/>
        <cfvo type="percent" val="67"/>
      </iconSet>
    </cfRule>
  </conditionalFormatting>
  <conditionalFormatting sqref="J629">
    <cfRule type="iconSet" priority="45">
      <iconSet>
        <cfvo type="percent" val="0"/>
        <cfvo type="percent" val="33"/>
        <cfvo type="percent" val="67"/>
      </iconSet>
    </cfRule>
    <cfRule type="cellIs" dxfId="26" priority="46" operator="greaterThan">
      <formula>0</formula>
    </cfRule>
  </conditionalFormatting>
  <conditionalFormatting sqref="J632">
    <cfRule type="iconSet" priority="43">
      <iconSet>
        <cfvo type="percent" val="0"/>
        <cfvo type="percent" val="33"/>
        <cfvo type="percent" val="67"/>
      </iconSet>
    </cfRule>
    <cfRule type="cellIs" dxfId="25" priority="44" operator="greaterThan">
      <formula>0</formula>
    </cfRule>
  </conditionalFormatting>
  <conditionalFormatting sqref="J643">
    <cfRule type="iconSet" priority="42">
      <iconSet>
        <cfvo type="percent" val="0"/>
        <cfvo type="percent" val="33"/>
        <cfvo type="percent" val="67"/>
      </iconSet>
    </cfRule>
  </conditionalFormatting>
  <conditionalFormatting sqref="J643:J645">
    <cfRule type="cellIs" dxfId="24" priority="40" operator="greaterThan">
      <formula>0</formula>
    </cfRule>
  </conditionalFormatting>
  <conditionalFormatting sqref="J644">
    <cfRule type="iconSet" priority="41">
      <iconSet>
        <cfvo type="percent" val="0"/>
        <cfvo type="percent" val="33"/>
        <cfvo type="percent" val="67"/>
      </iconSet>
    </cfRule>
  </conditionalFormatting>
  <conditionalFormatting sqref="J645">
    <cfRule type="iconSet" priority="39">
      <iconSet>
        <cfvo type="percent" val="0"/>
        <cfvo type="percent" val="33"/>
        <cfvo type="percent" val="67"/>
      </iconSet>
    </cfRule>
  </conditionalFormatting>
  <conditionalFormatting sqref="J654">
    <cfRule type="cellIs" dxfId="23" priority="38" operator="greaterThan">
      <formula>0</formula>
    </cfRule>
  </conditionalFormatting>
  <conditionalFormatting sqref="J662">
    <cfRule type="cellIs" dxfId="22" priority="37" operator="greaterThan">
      <formula>5</formula>
    </cfRule>
  </conditionalFormatting>
  <conditionalFormatting sqref="J663">
    <cfRule type="iconSet" priority="35">
      <iconSet>
        <cfvo type="percent" val="0"/>
        <cfvo type="percent" val="33"/>
        <cfvo type="percent" val="67"/>
      </iconSet>
    </cfRule>
    <cfRule type="cellIs" dxfId="21" priority="36" operator="greaterThan">
      <formula>10</formula>
    </cfRule>
  </conditionalFormatting>
  <conditionalFormatting sqref="J667">
    <cfRule type="iconSet" priority="33">
      <iconSet>
        <cfvo type="percent" val="0"/>
        <cfvo type="percent" val="33"/>
        <cfvo type="percent" val="67"/>
      </iconSet>
    </cfRule>
    <cfRule type="cellIs" dxfId="20" priority="34" operator="greaterThan">
      <formula>2</formula>
    </cfRule>
  </conditionalFormatting>
  <conditionalFormatting sqref="J669">
    <cfRule type="iconSet" priority="31">
      <iconSet>
        <cfvo type="percent" val="0"/>
        <cfvo type="percent" val="33"/>
        <cfvo type="percent" val="67"/>
      </iconSet>
    </cfRule>
    <cfRule type="cellIs" dxfId="19" priority="32" operator="greaterThan">
      <formula>0</formula>
    </cfRule>
  </conditionalFormatting>
  <conditionalFormatting sqref="J676">
    <cfRule type="cellIs" dxfId="18" priority="30" operator="greaterThan">
      <formula>10</formula>
    </cfRule>
  </conditionalFormatting>
  <conditionalFormatting sqref="J678">
    <cfRule type="iconSet" priority="28">
      <iconSet>
        <cfvo type="percent" val="0"/>
        <cfvo type="percent" val="33"/>
        <cfvo type="percent" val="67"/>
      </iconSet>
    </cfRule>
    <cfRule type="cellIs" dxfId="17" priority="29" operator="greaterThan">
      <formula>2</formula>
    </cfRule>
  </conditionalFormatting>
  <conditionalFormatting sqref="J679">
    <cfRule type="iconSet" priority="26">
      <iconSet>
        <cfvo type="percent" val="0"/>
        <cfvo type="percent" val="33"/>
        <cfvo type="percent" val="67"/>
      </iconSet>
    </cfRule>
    <cfRule type="cellIs" dxfId="16" priority="27" operator="greaterThan">
      <formula>0</formula>
    </cfRule>
  </conditionalFormatting>
  <conditionalFormatting sqref="J687">
    <cfRule type="iconSet" priority="24">
      <iconSet>
        <cfvo type="percent" val="0"/>
        <cfvo type="percent" val="33"/>
        <cfvo type="percent" val="67"/>
      </iconSet>
    </cfRule>
    <cfRule type="cellIs" dxfId="15" priority="25" operator="greaterThan">
      <formula>4</formula>
    </cfRule>
  </conditionalFormatting>
  <conditionalFormatting sqref="J688">
    <cfRule type="cellIs" dxfId="14" priority="23" operator="greaterThan">
      <formula>2</formula>
    </cfRule>
  </conditionalFormatting>
  <conditionalFormatting sqref="J690">
    <cfRule type="cellIs" dxfId="13" priority="22" operator="greaterThan">
      <formula>2</formula>
    </cfRule>
  </conditionalFormatting>
  <conditionalFormatting sqref="J696">
    <cfRule type="iconSet" priority="20">
      <iconSet>
        <cfvo type="percent" val="0"/>
        <cfvo type="percent" val="33"/>
        <cfvo type="percent" val="67"/>
      </iconSet>
    </cfRule>
    <cfRule type="cellIs" dxfId="12" priority="21" operator="greaterThan">
      <formula>10</formula>
    </cfRule>
  </conditionalFormatting>
  <conditionalFormatting sqref="J699">
    <cfRule type="iconSet" priority="18">
      <iconSet>
        <cfvo type="percent" val="0"/>
        <cfvo type="percent" val="33"/>
        <cfvo type="percent" val="67"/>
      </iconSet>
    </cfRule>
    <cfRule type="cellIs" dxfId="11" priority="19" operator="greaterThan">
      <formula>0</formula>
    </cfRule>
  </conditionalFormatting>
  <conditionalFormatting sqref="J700">
    <cfRule type="iconSet" priority="17">
      <iconSet>
        <cfvo type="percent" val="0"/>
        <cfvo type="percent" val="33"/>
        <cfvo type="percent" val="67"/>
      </iconSet>
    </cfRule>
  </conditionalFormatting>
  <conditionalFormatting sqref="J700:J702">
    <cfRule type="cellIs" dxfId="10" priority="15" operator="greaterThan">
      <formula>2</formula>
    </cfRule>
  </conditionalFormatting>
  <conditionalFormatting sqref="J701">
    <cfRule type="iconSet" priority="16">
      <iconSet>
        <cfvo type="percent" val="0"/>
        <cfvo type="percent" val="33"/>
        <cfvo type="percent" val="67"/>
      </iconSet>
    </cfRule>
  </conditionalFormatting>
  <conditionalFormatting sqref="J702">
    <cfRule type="iconSet" priority="14">
      <iconSet>
        <cfvo type="percent" val="0"/>
        <cfvo type="percent" val="33"/>
        <cfvo type="percent" val="67"/>
      </iconSet>
    </cfRule>
  </conditionalFormatting>
  <conditionalFormatting sqref="J706">
    <cfRule type="iconSet" priority="12">
      <iconSet>
        <cfvo type="percent" val="0"/>
        <cfvo type="percent" val="33"/>
        <cfvo type="percent" val="67"/>
      </iconSet>
    </cfRule>
    <cfRule type="cellIs" dxfId="9" priority="13" operator="greaterThan">
      <formula>2</formula>
    </cfRule>
  </conditionalFormatting>
  <conditionalFormatting sqref="J707">
    <cfRule type="iconSet" priority="10">
      <iconSet>
        <cfvo type="percent" val="0"/>
        <cfvo type="percent" val="33"/>
        <cfvo type="percent" val="67"/>
      </iconSet>
    </cfRule>
    <cfRule type="cellIs" dxfId="8" priority="11" operator="greaterThan">
      <formula>10</formula>
    </cfRule>
  </conditionalFormatting>
  <conditionalFormatting sqref="J716">
    <cfRule type="iconSet" priority="8">
      <iconSet>
        <cfvo type="percent" val="0"/>
        <cfvo type="percent" val="33"/>
        <cfvo type="percent" val="67"/>
      </iconSet>
    </cfRule>
    <cfRule type="cellIs" dxfId="7" priority="9" operator="greaterThan">
      <formula>2</formula>
    </cfRule>
  </conditionalFormatting>
  <conditionalFormatting sqref="J717">
    <cfRule type="iconSet" priority="6">
      <iconSet>
        <cfvo type="percent" val="0"/>
        <cfvo type="percent" val="33"/>
        <cfvo type="percent" val="67"/>
      </iconSet>
    </cfRule>
    <cfRule type="cellIs" dxfId="6" priority="7" operator="greaterThan">
      <formula>1</formula>
    </cfRule>
  </conditionalFormatting>
  <conditionalFormatting sqref="J718">
    <cfRule type="iconSet" priority="4">
      <iconSet>
        <cfvo type="percent" val="0"/>
        <cfvo type="percent" val="33"/>
        <cfvo type="percent" val="67"/>
      </iconSet>
    </cfRule>
    <cfRule type="cellIs" dxfId="5" priority="5" operator="greaterThan">
      <formula>20</formula>
    </cfRule>
  </conditionalFormatting>
  <conditionalFormatting sqref="J721">
    <cfRule type="iconSet" priority="3">
      <iconSet>
        <cfvo type="percent" val="0"/>
        <cfvo type="percent" val="33"/>
        <cfvo type="percent" val="67"/>
      </iconSet>
    </cfRule>
  </conditionalFormatting>
  <conditionalFormatting sqref="J721:J722">
    <cfRule type="cellIs" dxfId="4" priority="2" operator="greaterThan">
      <formula>0</formula>
    </cfRule>
  </conditionalFormatting>
  <conditionalFormatting sqref="J722">
    <cfRule type="iconSet" priority="1">
      <iconSet>
        <cfvo type="percent" val="0"/>
        <cfvo type="percent" val="33"/>
        <cfvo type="percent" val="67"/>
      </iconSet>
    </cfRule>
  </conditionalFormatting>
  <conditionalFormatting sqref="J946">
    <cfRule type="iconSet" priority="181">
      <iconSet>
        <cfvo type="percent" val="0"/>
        <cfvo type="percent" val="33"/>
        <cfvo type="percent" val="67"/>
      </iconSet>
    </cfRule>
  </conditionalFormatting>
  <conditionalFormatting sqref="J946:J947">
    <cfRule type="cellIs" dxfId="3" priority="178" operator="greaterThan">
      <formula>0</formula>
    </cfRule>
    <cfRule type="cellIs" dxfId="2" priority="179" operator="greaterThan">
      <formula>1</formula>
    </cfRule>
    <cfRule type="cellIs" dxfId="1" priority="182" operator="lessThan">
      <formula>0</formula>
    </cfRule>
  </conditionalFormatting>
  <conditionalFormatting sqref="J947">
    <cfRule type="iconSet" priority="180">
      <iconSet>
        <cfvo type="percent" val="0"/>
        <cfvo type="percent" val="33"/>
        <cfvo type="percent" val="67"/>
      </iconSet>
    </cfRule>
  </conditionalFormatting>
  <conditionalFormatting sqref="J1157:J1160">
    <cfRule type="iconSet" priority="210">
      <iconSet>
        <cfvo type="percent" val="0"/>
        <cfvo type="percent" val="33"/>
        <cfvo type="percent" val="67"/>
      </iconSet>
    </cfRule>
    <cfRule type="cellIs" dxfId="0" priority="211" operator="greaterThan">
      <formula>0</formula>
    </cfRule>
  </conditionalFormatting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b7156d-1e9b-4e41-8fec-4481e9cf8b4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F8A87CBF15104C82A6EB79D6090818" ma:contentTypeVersion="4" ma:contentTypeDescription="Create a new document." ma:contentTypeScope="" ma:versionID="3f1fb584b0f571a8dbedc63468c239de">
  <xsd:schema xmlns:xsd="http://www.w3.org/2001/XMLSchema" xmlns:xs="http://www.w3.org/2001/XMLSchema" xmlns:p="http://schemas.microsoft.com/office/2006/metadata/properties" xmlns:ns3="12b7156d-1e9b-4e41-8fec-4481e9cf8b48" targetNamespace="http://schemas.microsoft.com/office/2006/metadata/properties" ma:root="true" ma:fieldsID="f62f53e54c028a99ba11c8bc0962a38f" ns3:_="">
    <xsd:import namespace="12b7156d-1e9b-4e41-8fec-4481e9cf8b4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7156d-1e9b-4e41-8fec-4481e9cf8b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438146-216A-4572-A3AF-5D9E87EA723B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12b7156d-1e9b-4e41-8fec-4481e9cf8b48"/>
    <ds:schemaRef ds:uri="http://schemas.microsoft.com/office/2006/metadata/properties"/>
    <ds:schemaRef ds:uri="http://purl.org/dc/dcmitype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88C20738-9D7D-46E2-95B4-A0D33E64C809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2b7156d-1e9b-4e41-8fec-4481e9cf8b48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279874-2365-4197-98E5-480F69D7B2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Viviana B</dc:creator>
  <cp:keywords/>
  <dc:description/>
  <cp:lastModifiedBy>Leyla Bernal Barrera</cp:lastModifiedBy>
  <cp:revision/>
  <cp:lastPrinted>2025-08-21T12:51:46Z</cp:lastPrinted>
  <dcterms:created xsi:type="dcterms:W3CDTF">2023-12-21T18:57:08Z</dcterms:created>
  <dcterms:modified xsi:type="dcterms:W3CDTF">2026-08-06T16:36:02Z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0x0101000BF8A87CBF15104C82A6EB79D6090818</vt:lpwstr>
  </property>
</Properties>
</file>